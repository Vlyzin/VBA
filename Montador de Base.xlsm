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cius.domingues\Documents\Projeto\Base Bayer\"/>
    </mc:Choice>
  </mc:AlternateContent>
  <xr:revisionPtr revIDLastSave="0" documentId="13_ncr:1_{2E806C84-87C2-451B-9E5A-3D4D023E6F6F}" xr6:coauthVersionLast="47" xr6:coauthVersionMax="47" xr10:uidLastSave="{00000000-0000-0000-0000-000000000000}"/>
  <bookViews>
    <workbookView xWindow="-110" yWindow="-110" windowWidth="19420" windowHeight="10300" activeTab="1" xr2:uid="{C6FEAF04-68ED-4EE0-923B-4D5242870A44}"/>
  </bookViews>
  <sheets>
    <sheet name="Macro" sheetId="66" r:id="rId1"/>
    <sheet name="Base" sheetId="4" r:id="rId2"/>
    <sheet name="Retorno" sheetId="65" r:id="rId3"/>
  </sheets>
  <definedNames>
    <definedName name="_xlnm._FilterDatabase" localSheetId="1" hidden="1">Base!$A$1:$T$4080</definedName>
    <definedName name="_xleta.HOUR" hidden="1" xlm="1">#NAME?</definedName>
    <definedName name="_xleta.LOOKUP" hidden="1" xlm="1">#NAME?</definedName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080" i="4" l="1"/>
  <c r="O4080" i="4"/>
  <c r="S4079" i="4"/>
  <c r="O4079" i="4"/>
  <c r="S4078" i="4"/>
  <c r="O4078" i="4"/>
  <c r="S4077" i="4"/>
  <c r="O4077" i="4"/>
  <c r="S4076" i="4"/>
  <c r="O4076" i="4"/>
  <c r="S4075" i="4"/>
  <c r="O4075" i="4"/>
  <c r="S4074" i="4"/>
  <c r="O4074" i="4"/>
  <c r="S4073" i="4"/>
  <c r="O4073" i="4"/>
  <c r="S4072" i="4"/>
  <c r="O4072" i="4"/>
  <c r="S4071" i="4"/>
  <c r="O4071" i="4"/>
  <c r="S4070" i="4"/>
  <c r="O4070" i="4"/>
  <c r="S4069" i="4"/>
  <c r="O4069" i="4"/>
  <c r="S4068" i="4"/>
  <c r="O4068" i="4"/>
  <c r="S4067" i="4"/>
  <c r="O4067" i="4"/>
  <c r="S4066" i="4"/>
  <c r="O4066" i="4"/>
  <c r="S4065" i="4"/>
  <c r="O4065" i="4"/>
  <c r="S4064" i="4"/>
  <c r="O4064" i="4"/>
  <c r="S4063" i="4"/>
  <c r="O4063" i="4"/>
  <c r="S4062" i="4"/>
  <c r="O4062" i="4"/>
  <c r="S4061" i="4"/>
  <c r="O4061" i="4"/>
  <c r="S4060" i="4"/>
  <c r="O4060" i="4"/>
  <c r="S4059" i="4"/>
  <c r="O4059" i="4"/>
  <c r="S4058" i="4"/>
  <c r="O4058" i="4"/>
  <c r="S4057" i="4"/>
  <c r="O4057" i="4"/>
  <c r="S4056" i="4"/>
  <c r="O4056" i="4"/>
  <c r="S4055" i="4"/>
  <c r="O4055" i="4"/>
  <c r="S4054" i="4"/>
  <c r="O4054" i="4"/>
  <c r="S4053" i="4"/>
  <c r="O4053" i="4"/>
  <c r="S4052" i="4"/>
  <c r="O4052" i="4"/>
  <c r="S4051" i="4"/>
  <c r="O4051" i="4"/>
  <c r="S4050" i="4"/>
  <c r="O4050" i="4"/>
  <c r="S4049" i="4"/>
  <c r="O4049" i="4"/>
  <c r="S4048" i="4"/>
  <c r="O4048" i="4"/>
  <c r="S4047" i="4"/>
  <c r="O4047" i="4"/>
  <c r="S4046" i="4"/>
  <c r="O4046" i="4"/>
  <c r="S4045" i="4"/>
  <c r="O4045" i="4"/>
  <c r="S4044" i="4"/>
  <c r="O4044" i="4"/>
  <c r="S4043" i="4"/>
  <c r="O4043" i="4"/>
  <c r="S4042" i="4"/>
  <c r="O4042" i="4"/>
  <c r="S4041" i="4"/>
  <c r="O4041" i="4"/>
  <c r="S4040" i="4"/>
  <c r="O4040" i="4"/>
  <c r="S4039" i="4"/>
  <c r="O4039" i="4"/>
  <c r="S4038" i="4"/>
  <c r="O4038" i="4"/>
  <c r="S4037" i="4"/>
  <c r="O4037" i="4"/>
  <c r="S4036" i="4"/>
  <c r="O4036" i="4"/>
  <c r="S4035" i="4"/>
  <c r="O4035" i="4"/>
  <c r="S4034" i="4"/>
  <c r="O4034" i="4"/>
  <c r="S4033" i="4"/>
  <c r="O4033" i="4"/>
  <c r="S4032" i="4"/>
  <c r="O4032" i="4"/>
  <c r="S4031" i="4"/>
  <c r="O4031" i="4"/>
  <c r="S4030" i="4"/>
  <c r="O4030" i="4"/>
  <c r="S4029" i="4"/>
  <c r="O4029" i="4"/>
  <c r="S4028" i="4"/>
  <c r="O4028" i="4"/>
  <c r="S4027" i="4"/>
  <c r="O4027" i="4"/>
  <c r="S4026" i="4"/>
  <c r="O4026" i="4"/>
  <c r="S4025" i="4"/>
  <c r="O4025" i="4"/>
  <c r="S4024" i="4"/>
  <c r="O4024" i="4"/>
  <c r="S4023" i="4"/>
  <c r="O4023" i="4"/>
  <c r="S4022" i="4"/>
  <c r="O4022" i="4"/>
  <c r="S4021" i="4"/>
  <c r="O4021" i="4"/>
  <c r="S4020" i="4"/>
  <c r="O4020" i="4"/>
  <c r="S4019" i="4"/>
  <c r="O4019" i="4"/>
  <c r="S4018" i="4"/>
  <c r="O4018" i="4"/>
  <c r="S4017" i="4"/>
  <c r="O4017" i="4"/>
  <c r="S4016" i="4"/>
  <c r="O4016" i="4"/>
  <c r="S4015" i="4"/>
  <c r="O4015" i="4"/>
  <c r="S4014" i="4"/>
  <c r="O4014" i="4"/>
  <c r="S4013" i="4"/>
  <c r="O4013" i="4"/>
  <c r="S4012" i="4"/>
  <c r="O4012" i="4"/>
  <c r="S4011" i="4"/>
  <c r="O4011" i="4"/>
  <c r="S4010" i="4"/>
  <c r="O4010" i="4"/>
  <c r="S4009" i="4"/>
  <c r="O4009" i="4"/>
  <c r="S4008" i="4"/>
  <c r="O4008" i="4"/>
  <c r="S4007" i="4"/>
  <c r="O4007" i="4"/>
  <c r="S4006" i="4"/>
  <c r="O4006" i="4"/>
  <c r="S4005" i="4"/>
  <c r="O4005" i="4"/>
  <c r="S4004" i="4"/>
  <c r="O4004" i="4"/>
  <c r="S4003" i="4"/>
  <c r="O4003" i="4"/>
  <c r="S4002" i="4"/>
  <c r="O4002" i="4"/>
  <c r="S4001" i="4"/>
  <c r="O4001" i="4"/>
  <c r="S4000" i="4"/>
  <c r="O4000" i="4"/>
  <c r="S3999" i="4"/>
  <c r="O3999" i="4"/>
  <c r="S3998" i="4"/>
  <c r="O3998" i="4"/>
  <c r="S3997" i="4"/>
  <c r="O3997" i="4"/>
  <c r="S3996" i="4"/>
  <c r="O3996" i="4"/>
  <c r="S3995" i="4"/>
  <c r="O3995" i="4"/>
  <c r="S3994" i="4"/>
  <c r="O3994" i="4"/>
  <c r="S3993" i="4"/>
  <c r="O3993" i="4"/>
  <c r="S3992" i="4"/>
  <c r="O3992" i="4"/>
  <c r="S3991" i="4"/>
  <c r="O3991" i="4"/>
  <c r="S3990" i="4"/>
  <c r="O3990" i="4"/>
  <c r="S3989" i="4"/>
  <c r="O3989" i="4"/>
  <c r="S3988" i="4"/>
  <c r="O3988" i="4"/>
  <c r="S3987" i="4"/>
  <c r="O3987" i="4"/>
  <c r="S3986" i="4"/>
  <c r="O3986" i="4"/>
  <c r="S3985" i="4"/>
  <c r="O3985" i="4"/>
  <c r="S3984" i="4"/>
  <c r="O3984" i="4"/>
  <c r="S3983" i="4"/>
  <c r="O3983" i="4"/>
  <c r="S3982" i="4"/>
  <c r="O3982" i="4"/>
  <c r="S3981" i="4"/>
  <c r="O3981" i="4"/>
  <c r="S3980" i="4"/>
  <c r="O3980" i="4"/>
  <c r="S3979" i="4"/>
  <c r="O3979" i="4"/>
  <c r="S3978" i="4"/>
  <c r="O3978" i="4"/>
  <c r="S3977" i="4"/>
  <c r="O3977" i="4"/>
  <c r="S3976" i="4"/>
  <c r="O3976" i="4"/>
  <c r="S3975" i="4"/>
  <c r="O3975" i="4"/>
  <c r="S3974" i="4"/>
  <c r="O3974" i="4"/>
  <c r="S3973" i="4"/>
  <c r="O3973" i="4"/>
  <c r="S3972" i="4"/>
  <c r="O3972" i="4"/>
  <c r="S3971" i="4"/>
  <c r="O3971" i="4"/>
  <c r="S3970" i="4"/>
  <c r="O3970" i="4"/>
  <c r="S3969" i="4"/>
  <c r="O3969" i="4"/>
  <c r="S3968" i="4"/>
  <c r="O3968" i="4"/>
  <c r="S3967" i="4"/>
  <c r="O3967" i="4"/>
  <c r="S3966" i="4"/>
  <c r="O3966" i="4"/>
  <c r="S3965" i="4"/>
  <c r="O3965" i="4"/>
  <c r="S3964" i="4"/>
  <c r="O3964" i="4"/>
  <c r="S3963" i="4"/>
  <c r="O3963" i="4"/>
  <c r="S3962" i="4"/>
  <c r="O3962" i="4"/>
  <c r="S3961" i="4"/>
  <c r="O3961" i="4"/>
  <c r="S3960" i="4"/>
  <c r="O3960" i="4"/>
  <c r="S3959" i="4"/>
  <c r="O3959" i="4"/>
  <c r="S3958" i="4"/>
  <c r="O3958" i="4"/>
  <c r="S3957" i="4"/>
  <c r="O3957" i="4"/>
  <c r="S3956" i="4"/>
  <c r="O3956" i="4"/>
  <c r="S3955" i="4"/>
  <c r="O3955" i="4"/>
  <c r="S3954" i="4"/>
  <c r="O3954" i="4"/>
  <c r="S3953" i="4"/>
  <c r="O3953" i="4"/>
  <c r="S3952" i="4"/>
  <c r="O3952" i="4"/>
  <c r="S3951" i="4"/>
  <c r="O3951" i="4"/>
  <c r="S3950" i="4"/>
  <c r="O3950" i="4"/>
  <c r="S3949" i="4"/>
  <c r="O3949" i="4"/>
  <c r="S3948" i="4"/>
  <c r="O3948" i="4"/>
  <c r="S3947" i="4"/>
  <c r="O3947" i="4"/>
  <c r="S3946" i="4"/>
  <c r="O3946" i="4"/>
  <c r="S3945" i="4"/>
  <c r="O3945" i="4"/>
  <c r="S3944" i="4"/>
  <c r="O3944" i="4"/>
  <c r="S3943" i="4"/>
  <c r="O3943" i="4"/>
  <c r="S3942" i="4"/>
  <c r="O3942" i="4"/>
  <c r="S3941" i="4"/>
  <c r="O3941" i="4"/>
  <c r="S3940" i="4"/>
  <c r="O3940" i="4"/>
  <c r="S3939" i="4"/>
  <c r="O3939" i="4"/>
  <c r="S3938" i="4"/>
  <c r="O3938" i="4"/>
  <c r="S3937" i="4"/>
  <c r="O3937" i="4"/>
  <c r="S3936" i="4"/>
  <c r="O3936" i="4"/>
  <c r="S3935" i="4"/>
  <c r="O3935" i="4"/>
  <c r="S3934" i="4"/>
  <c r="O3934" i="4"/>
  <c r="S3933" i="4"/>
  <c r="O3933" i="4"/>
  <c r="S3932" i="4"/>
  <c r="O3932" i="4"/>
  <c r="S3931" i="4"/>
  <c r="O3931" i="4"/>
  <c r="S3930" i="4"/>
  <c r="O3930" i="4"/>
  <c r="S3929" i="4"/>
  <c r="O3929" i="4"/>
  <c r="S3928" i="4"/>
  <c r="O3928" i="4"/>
  <c r="S3927" i="4"/>
  <c r="O3927" i="4"/>
  <c r="S3926" i="4"/>
  <c r="O3926" i="4"/>
  <c r="S3925" i="4"/>
  <c r="O3925" i="4"/>
  <c r="S3924" i="4"/>
  <c r="O3924" i="4"/>
  <c r="S3923" i="4"/>
  <c r="O3923" i="4"/>
  <c r="S3922" i="4"/>
  <c r="O3922" i="4"/>
  <c r="S3921" i="4"/>
  <c r="O3921" i="4"/>
  <c r="S3920" i="4"/>
  <c r="O3920" i="4"/>
  <c r="S3919" i="4"/>
  <c r="O3919" i="4"/>
  <c r="S3918" i="4"/>
  <c r="O3918" i="4"/>
  <c r="S3917" i="4"/>
  <c r="O3917" i="4"/>
  <c r="S3916" i="4"/>
  <c r="O3916" i="4"/>
  <c r="S3915" i="4"/>
  <c r="O3915" i="4"/>
  <c r="S3914" i="4"/>
  <c r="O3914" i="4"/>
  <c r="S3913" i="4"/>
  <c r="O3913" i="4"/>
  <c r="S3912" i="4"/>
  <c r="O3912" i="4"/>
  <c r="S3911" i="4"/>
  <c r="O3911" i="4"/>
  <c r="S3910" i="4"/>
  <c r="O3910" i="4"/>
  <c r="S3909" i="4"/>
  <c r="O3909" i="4"/>
  <c r="S3908" i="4"/>
  <c r="O3908" i="4"/>
  <c r="S3907" i="4"/>
  <c r="O3907" i="4"/>
  <c r="S3906" i="4"/>
  <c r="O3906" i="4"/>
  <c r="S3905" i="4"/>
  <c r="O3905" i="4"/>
  <c r="S3904" i="4"/>
  <c r="O3904" i="4"/>
  <c r="S3903" i="4"/>
  <c r="O3903" i="4"/>
  <c r="S3902" i="4"/>
  <c r="O3902" i="4"/>
  <c r="S3901" i="4"/>
  <c r="O3901" i="4"/>
  <c r="S3900" i="4"/>
  <c r="O3900" i="4"/>
  <c r="S3899" i="4"/>
  <c r="O3899" i="4"/>
  <c r="S3898" i="4"/>
  <c r="O3898" i="4"/>
  <c r="S3897" i="4"/>
  <c r="O3897" i="4"/>
  <c r="S3896" i="4"/>
  <c r="O3896" i="4"/>
  <c r="S3895" i="4"/>
  <c r="O3895" i="4"/>
  <c r="S3894" i="4"/>
  <c r="O3894" i="4"/>
  <c r="S3893" i="4"/>
  <c r="O3893" i="4"/>
  <c r="S3892" i="4"/>
  <c r="O3892" i="4"/>
  <c r="S3891" i="4"/>
  <c r="O3891" i="4"/>
  <c r="S3890" i="4"/>
  <c r="O3890" i="4"/>
  <c r="S3889" i="4"/>
  <c r="O3889" i="4"/>
  <c r="S3888" i="4"/>
  <c r="O3888" i="4"/>
  <c r="S3887" i="4"/>
  <c r="O3887" i="4"/>
  <c r="S3886" i="4"/>
  <c r="O3886" i="4"/>
  <c r="S3885" i="4"/>
  <c r="O3885" i="4"/>
  <c r="S3884" i="4"/>
  <c r="O3884" i="4"/>
  <c r="S3883" i="4"/>
  <c r="O3883" i="4"/>
  <c r="S3882" i="4"/>
  <c r="O3882" i="4"/>
  <c r="S3881" i="4"/>
  <c r="O3881" i="4"/>
  <c r="S3880" i="4"/>
  <c r="O3880" i="4"/>
  <c r="S3879" i="4"/>
  <c r="O3879" i="4"/>
  <c r="S3878" i="4"/>
  <c r="O3878" i="4"/>
  <c r="S3877" i="4"/>
  <c r="O3877" i="4"/>
  <c r="S3876" i="4"/>
  <c r="O3876" i="4"/>
  <c r="S3875" i="4"/>
  <c r="O3875" i="4"/>
  <c r="S3874" i="4"/>
  <c r="O3874" i="4"/>
  <c r="S3873" i="4"/>
  <c r="O3873" i="4"/>
  <c r="S3872" i="4"/>
  <c r="O3872" i="4"/>
  <c r="S3871" i="4"/>
  <c r="O3871" i="4"/>
  <c r="S3870" i="4"/>
  <c r="O3870" i="4"/>
  <c r="S3869" i="4"/>
  <c r="O3869" i="4"/>
  <c r="S3868" i="4"/>
  <c r="O3868" i="4"/>
  <c r="S3867" i="4"/>
  <c r="O3867" i="4"/>
  <c r="S3866" i="4"/>
  <c r="O3866" i="4"/>
  <c r="S3865" i="4"/>
  <c r="O3865" i="4"/>
  <c r="S3864" i="4"/>
  <c r="O3864" i="4"/>
  <c r="S3863" i="4"/>
  <c r="O3863" i="4"/>
  <c r="S3862" i="4"/>
  <c r="O3862" i="4"/>
  <c r="S3861" i="4"/>
  <c r="O3861" i="4"/>
  <c r="S3860" i="4"/>
  <c r="O3860" i="4"/>
  <c r="S3859" i="4"/>
  <c r="O3859" i="4"/>
  <c r="S3858" i="4"/>
  <c r="O3858" i="4"/>
  <c r="S3857" i="4"/>
  <c r="O3857" i="4"/>
  <c r="S3856" i="4"/>
  <c r="O3856" i="4"/>
  <c r="S3855" i="4"/>
  <c r="O3855" i="4"/>
  <c r="S3854" i="4"/>
  <c r="O3854" i="4"/>
  <c r="S3853" i="4"/>
  <c r="O3853" i="4"/>
  <c r="S3852" i="4"/>
  <c r="O3852" i="4"/>
  <c r="S3851" i="4"/>
  <c r="O3851" i="4"/>
  <c r="S3850" i="4"/>
  <c r="O3850" i="4"/>
  <c r="S3849" i="4"/>
  <c r="O3849" i="4"/>
  <c r="S3848" i="4"/>
  <c r="O3848" i="4"/>
  <c r="S3847" i="4"/>
  <c r="O3847" i="4"/>
  <c r="S3846" i="4"/>
  <c r="O3846" i="4"/>
  <c r="S3845" i="4"/>
  <c r="O3845" i="4"/>
  <c r="S3844" i="4"/>
  <c r="O3844" i="4"/>
  <c r="S3843" i="4"/>
  <c r="O3843" i="4"/>
  <c r="S3842" i="4"/>
  <c r="O3842" i="4"/>
  <c r="S3841" i="4"/>
  <c r="O3841" i="4"/>
  <c r="S3840" i="4"/>
  <c r="O3840" i="4"/>
  <c r="S3839" i="4"/>
  <c r="O3839" i="4"/>
  <c r="S3838" i="4"/>
  <c r="O3838" i="4"/>
  <c r="S3837" i="4"/>
  <c r="O3837" i="4"/>
  <c r="S3836" i="4"/>
  <c r="O3836" i="4"/>
  <c r="S3835" i="4"/>
  <c r="O3835" i="4"/>
  <c r="S3834" i="4"/>
  <c r="O3834" i="4"/>
  <c r="S3833" i="4"/>
  <c r="O3833" i="4"/>
  <c r="S3832" i="4"/>
  <c r="O3832" i="4"/>
  <c r="S3831" i="4"/>
  <c r="O3831" i="4"/>
  <c r="S3830" i="4"/>
  <c r="O3830" i="4"/>
  <c r="S3829" i="4"/>
  <c r="O3829" i="4"/>
  <c r="S3828" i="4"/>
  <c r="O3828" i="4"/>
  <c r="S3827" i="4"/>
  <c r="O3827" i="4"/>
  <c r="S3826" i="4"/>
  <c r="O3826" i="4"/>
  <c r="S3825" i="4"/>
  <c r="O3825" i="4"/>
  <c r="S3824" i="4"/>
  <c r="O3824" i="4"/>
  <c r="S3823" i="4"/>
  <c r="O3823" i="4"/>
  <c r="S3822" i="4"/>
  <c r="O3822" i="4"/>
  <c r="S3821" i="4"/>
  <c r="O3821" i="4"/>
  <c r="S3820" i="4"/>
  <c r="O3820" i="4"/>
  <c r="S3819" i="4"/>
  <c r="O3819" i="4"/>
  <c r="S3818" i="4"/>
  <c r="O3818" i="4"/>
  <c r="S3817" i="4"/>
  <c r="O3817" i="4"/>
  <c r="S3816" i="4"/>
  <c r="O3816" i="4"/>
  <c r="S3815" i="4"/>
  <c r="O3815" i="4"/>
  <c r="S3814" i="4"/>
  <c r="O3814" i="4"/>
  <c r="S3813" i="4"/>
  <c r="O3813" i="4"/>
  <c r="S3812" i="4"/>
  <c r="O3812" i="4"/>
  <c r="S3811" i="4"/>
  <c r="O3811" i="4"/>
  <c r="S3810" i="4"/>
  <c r="O3810" i="4"/>
  <c r="S3809" i="4"/>
  <c r="O3809" i="4"/>
  <c r="S3808" i="4"/>
  <c r="O3808" i="4"/>
  <c r="S3807" i="4"/>
  <c r="O3807" i="4"/>
  <c r="S3806" i="4"/>
  <c r="O3806" i="4"/>
  <c r="S3805" i="4"/>
  <c r="O3805" i="4"/>
  <c r="S3804" i="4"/>
  <c r="O3804" i="4"/>
  <c r="S3803" i="4"/>
  <c r="O3803" i="4"/>
  <c r="S3802" i="4"/>
  <c r="O3802" i="4"/>
  <c r="S3801" i="4"/>
  <c r="O3801" i="4"/>
  <c r="S3800" i="4"/>
  <c r="O3800" i="4"/>
  <c r="S3799" i="4"/>
  <c r="O3799" i="4"/>
  <c r="S3798" i="4"/>
  <c r="O3798" i="4"/>
  <c r="S3797" i="4"/>
  <c r="O3797" i="4"/>
  <c r="S3796" i="4"/>
  <c r="O3796" i="4"/>
  <c r="S3795" i="4"/>
  <c r="O3795" i="4"/>
  <c r="S3794" i="4"/>
  <c r="O3794" i="4"/>
  <c r="S3793" i="4"/>
  <c r="O3793" i="4"/>
  <c r="S3792" i="4"/>
  <c r="O3792" i="4"/>
  <c r="S3791" i="4"/>
  <c r="O3791" i="4"/>
  <c r="S3790" i="4"/>
  <c r="O3790" i="4"/>
  <c r="S3789" i="4"/>
  <c r="O3789" i="4"/>
  <c r="S3788" i="4"/>
  <c r="O3788" i="4"/>
  <c r="S3787" i="4"/>
  <c r="O3787" i="4"/>
  <c r="S3786" i="4"/>
  <c r="O3786" i="4"/>
  <c r="S3785" i="4"/>
  <c r="O3785" i="4"/>
  <c r="S3784" i="4"/>
  <c r="O3784" i="4"/>
  <c r="S3783" i="4"/>
  <c r="O3783" i="4"/>
  <c r="S3782" i="4"/>
  <c r="O3782" i="4"/>
  <c r="S3781" i="4"/>
  <c r="O3781" i="4"/>
  <c r="S3780" i="4"/>
  <c r="O3780" i="4"/>
  <c r="S3779" i="4"/>
  <c r="O3779" i="4"/>
  <c r="S3778" i="4"/>
  <c r="O3778" i="4"/>
  <c r="S3777" i="4"/>
  <c r="O3777" i="4"/>
  <c r="S3776" i="4"/>
  <c r="O3776" i="4"/>
  <c r="S3775" i="4"/>
  <c r="O3775" i="4"/>
  <c r="S3774" i="4"/>
  <c r="O3774" i="4"/>
  <c r="S3773" i="4"/>
  <c r="O3773" i="4"/>
  <c r="S3772" i="4"/>
  <c r="O3772" i="4"/>
  <c r="S3771" i="4"/>
  <c r="O3771" i="4"/>
  <c r="S3770" i="4"/>
  <c r="O3770" i="4"/>
  <c r="S3769" i="4"/>
  <c r="O3769" i="4"/>
  <c r="S3768" i="4"/>
  <c r="O3768" i="4"/>
  <c r="S3767" i="4"/>
  <c r="O3767" i="4"/>
  <c r="S3766" i="4"/>
  <c r="O3766" i="4"/>
  <c r="S3765" i="4"/>
  <c r="O3765" i="4"/>
  <c r="S3764" i="4"/>
  <c r="O3764" i="4"/>
  <c r="S3763" i="4"/>
  <c r="O3763" i="4"/>
  <c r="S3762" i="4"/>
  <c r="O3762" i="4"/>
  <c r="S3761" i="4"/>
  <c r="O3761" i="4"/>
  <c r="S3760" i="4"/>
  <c r="O3760" i="4"/>
  <c r="S3759" i="4"/>
  <c r="O3759" i="4"/>
  <c r="S3758" i="4"/>
  <c r="O3758" i="4"/>
  <c r="S3757" i="4"/>
  <c r="O3757" i="4"/>
  <c r="S3756" i="4"/>
  <c r="O3756" i="4"/>
  <c r="S3755" i="4"/>
  <c r="O3755" i="4"/>
  <c r="S3754" i="4"/>
  <c r="O3754" i="4"/>
  <c r="S3753" i="4"/>
  <c r="O3753" i="4"/>
  <c r="S3752" i="4"/>
  <c r="O3752" i="4"/>
  <c r="S3751" i="4"/>
  <c r="O3751" i="4"/>
  <c r="S3750" i="4"/>
  <c r="O3750" i="4"/>
  <c r="S3749" i="4"/>
  <c r="O3749" i="4"/>
  <c r="S3748" i="4"/>
  <c r="O3748" i="4"/>
  <c r="S3747" i="4"/>
  <c r="O3747" i="4"/>
  <c r="S3746" i="4"/>
  <c r="O3746" i="4"/>
  <c r="S3745" i="4"/>
  <c r="O3745" i="4"/>
  <c r="S3744" i="4"/>
  <c r="O3744" i="4"/>
  <c r="S3743" i="4"/>
  <c r="O3743" i="4"/>
  <c r="S3742" i="4"/>
  <c r="O3742" i="4"/>
  <c r="S3741" i="4"/>
  <c r="O3741" i="4"/>
  <c r="S3740" i="4"/>
  <c r="O3740" i="4"/>
  <c r="S3739" i="4"/>
  <c r="O3739" i="4"/>
  <c r="S3738" i="4"/>
  <c r="O3738" i="4"/>
  <c r="S3737" i="4"/>
  <c r="O3737" i="4"/>
  <c r="S3736" i="4"/>
  <c r="O3736" i="4"/>
  <c r="S3735" i="4"/>
  <c r="O3735" i="4"/>
  <c r="S3734" i="4"/>
  <c r="O3734" i="4"/>
  <c r="S3733" i="4"/>
  <c r="O3733" i="4"/>
  <c r="S3732" i="4"/>
  <c r="O3732" i="4"/>
  <c r="S3731" i="4"/>
  <c r="O3731" i="4"/>
  <c r="S3730" i="4"/>
  <c r="O3730" i="4"/>
  <c r="S3729" i="4"/>
  <c r="O3729" i="4"/>
  <c r="S3728" i="4"/>
  <c r="O3728" i="4"/>
  <c r="S3727" i="4"/>
  <c r="O3727" i="4"/>
  <c r="S3726" i="4"/>
  <c r="O3726" i="4"/>
  <c r="S3725" i="4"/>
  <c r="O3725" i="4"/>
  <c r="S3724" i="4"/>
  <c r="O3724" i="4"/>
  <c r="S3723" i="4"/>
  <c r="O3723" i="4"/>
  <c r="S3722" i="4"/>
  <c r="O3722" i="4"/>
  <c r="S3721" i="4"/>
  <c r="O3721" i="4"/>
  <c r="S3720" i="4"/>
  <c r="O3720" i="4"/>
  <c r="S3719" i="4"/>
  <c r="O3719" i="4"/>
  <c r="S3718" i="4"/>
  <c r="O3718" i="4"/>
  <c r="S3717" i="4"/>
  <c r="O3717" i="4"/>
  <c r="S3716" i="4"/>
  <c r="O3716" i="4"/>
  <c r="S3715" i="4"/>
  <c r="O3715" i="4"/>
  <c r="S3714" i="4"/>
  <c r="O3714" i="4"/>
  <c r="S3713" i="4"/>
  <c r="O3713" i="4"/>
  <c r="S3712" i="4"/>
  <c r="O3712" i="4"/>
  <c r="S3711" i="4"/>
  <c r="O3711" i="4"/>
  <c r="S3710" i="4"/>
  <c r="O3710" i="4"/>
  <c r="S3709" i="4"/>
  <c r="O3709" i="4"/>
  <c r="S3708" i="4"/>
  <c r="O3708" i="4"/>
  <c r="S3707" i="4"/>
  <c r="O3707" i="4"/>
  <c r="S3706" i="4"/>
  <c r="O3706" i="4"/>
  <c r="S3705" i="4"/>
  <c r="O3705" i="4"/>
  <c r="S3704" i="4"/>
  <c r="O3704" i="4"/>
  <c r="S3703" i="4"/>
  <c r="O3703" i="4"/>
  <c r="S3702" i="4"/>
  <c r="O3702" i="4"/>
  <c r="S3701" i="4"/>
  <c r="O3701" i="4"/>
  <c r="S3700" i="4"/>
  <c r="O3700" i="4"/>
  <c r="S3699" i="4"/>
  <c r="O3699" i="4"/>
  <c r="S3698" i="4"/>
  <c r="O3698" i="4"/>
  <c r="S3697" i="4"/>
  <c r="O3697" i="4"/>
  <c r="S3696" i="4"/>
  <c r="O3696" i="4"/>
  <c r="S3695" i="4"/>
  <c r="O3695" i="4"/>
  <c r="S3694" i="4"/>
  <c r="O3694" i="4"/>
  <c r="S3693" i="4"/>
  <c r="O3693" i="4"/>
  <c r="S3692" i="4"/>
  <c r="O3692" i="4"/>
  <c r="S3691" i="4"/>
  <c r="O3691" i="4"/>
  <c r="S3690" i="4"/>
  <c r="O3690" i="4"/>
  <c r="S3689" i="4"/>
  <c r="O3689" i="4"/>
  <c r="S3688" i="4"/>
  <c r="O3688" i="4"/>
  <c r="S3687" i="4"/>
  <c r="O3687" i="4"/>
  <c r="S3686" i="4"/>
  <c r="O3686" i="4"/>
  <c r="S3685" i="4"/>
  <c r="O3685" i="4"/>
  <c r="S3684" i="4"/>
  <c r="O3684" i="4"/>
  <c r="S3683" i="4"/>
  <c r="O3683" i="4"/>
  <c r="S3682" i="4"/>
  <c r="O3682" i="4"/>
  <c r="S3681" i="4"/>
  <c r="O3681" i="4"/>
  <c r="S3680" i="4"/>
  <c r="O3680" i="4"/>
  <c r="S3679" i="4"/>
  <c r="O3679" i="4"/>
  <c r="S3678" i="4"/>
  <c r="O3678" i="4"/>
  <c r="S3677" i="4"/>
  <c r="O3677" i="4"/>
  <c r="S3676" i="4"/>
  <c r="O3676" i="4"/>
  <c r="S3675" i="4"/>
  <c r="O3675" i="4"/>
  <c r="S3674" i="4"/>
  <c r="O3674" i="4"/>
  <c r="S3673" i="4"/>
  <c r="O3673" i="4"/>
  <c r="S3672" i="4"/>
  <c r="O3672" i="4"/>
  <c r="S3671" i="4"/>
  <c r="O3671" i="4"/>
  <c r="S3670" i="4"/>
  <c r="O3670" i="4"/>
  <c r="S3669" i="4"/>
  <c r="O3669" i="4"/>
  <c r="S3668" i="4"/>
  <c r="O3668" i="4"/>
  <c r="S3667" i="4"/>
  <c r="O3667" i="4"/>
  <c r="S3666" i="4"/>
  <c r="O3666" i="4"/>
  <c r="S3665" i="4"/>
  <c r="O3665" i="4"/>
  <c r="S3664" i="4"/>
  <c r="O3664" i="4"/>
  <c r="S3663" i="4"/>
  <c r="O3663" i="4"/>
  <c r="S3662" i="4"/>
  <c r="O3662" i="4"/>
  <c r="S3661" i="4"/>
  <c r="O3661" i="4"/>
  <c r="S3660" i="4"/>
  <c r="O3660" i="4"/>
  <c r="S3659" i="4"/>
  <c r="O3659" i="4"/>
  <c r="S3658" i="4"/>
  <c r="O3658" i="4"/>
  <c r="S3657" i="4"/>
  <c r="O3657" i="4"/>
  <c r="S3656" i="4"/>
  <c r="O3656" i="4"/>
  <c r="S3655" i="4"/>
  <c r="O3655" i="4"/>
  <c r="S3654" i="4"/>
  <c r="O3654" i="4"/>
  <c r="S3653" i="4"/>
  <c r="O3653" i="4"/>
  <c r="S3652" i="4"/>
  <c r="O3652" i="4"/>
  <c r="S3651" i="4"/>
  <c r="O3651" i="4"/>
  <c r="S3650" i="4"/>
  <c r="O3650" i="4"/>
  <c r="S3649" i="4"/>
  <c r="O3649" i="4"/>
  <c r="S3648" i="4"/>
  <c r="O3648" i="4"/>
  <c r="S3647" i="4"/>
  <c r="O3647" i="4"/>
  <c r="S3646" i="4"/>
  <c r="O3646" i="4"/>
  <c r="S3645" i="4"/>
  <c r="O3645" i="4"/>
  <c r="S3644" i="4"/>
  <c r="O3644" i="4"/>
  <c r="S3643" i="4"/>
  <c r="O3643" i="4"/>
  <c r="S3642" i="4"/>
  <c r="O3642" i="4"/>
  <c r="S3641" i="4"/>
  <c r="O3641" i="4"/>
  <c r="S3640" i="4"/>
  <c r="O3640" i="4"/>
  <c r="S3639" i="4"/>
  <c r="O3639" i="4"/>
  <c r="S3638" i="4"/>
  <c r="O3638" i="4"/>
  <c r="S3637" i="4"/>
  <c r="O3637" i="4"/>
  <c r="S3636" i="4"/>
  <c r="O3636" i="4"/>
  <c r="S3635" i="4"/>
  <c r="O3635" i="4"/>
  <c r="S3634" i="4"/>
  <c r="O3634" i="4"/>
  <c r="S3633" i="4"/>
  <c r="O3633" i="4"/>
  <c r="S3632" i="4"/>
  <c r="O3632" i="4"/>
  <c r="S3631" i="4"/>
  <c r="O3631" i="4"/>
  <c r="S3630" i="4"/>
  <c r="O3630" i="4"/>
  <c r="S3629" i="4"/>
  <c r="O3629" i="4"/>
  <c r="S3628" i="4"/>
  <c r="O3628" i="4"/>
  <c r="S3627" i="4"/>
  <c r="O3627" i="4"/>
  <c r="S3626" i="4"/>
  <c r="O3626" i="4"/>
  <c r="S3625" i="4"/>
  <c r="O3625" i="4"/>
  <c r="S3624" i="4"/>
  <c r="O3624" i="4"/>
  <c r="S3623" i="4"/>
  <c r="O3623" i="4"/>
  <c r="S3622" i="4"/>
  <c r="O3622" i="4"/>
  <c r="S3621" i="4"/>
  <c r="O3621" i="4"/>
  <c r="S3620" i="4"/>
  <c r="O3620" i="4"/>
  <c r="S3619" i="4"/>
  <c r="O3619" i="4"/>
  <c r="S3618" i="4"/>
  <c r="O3618" i="4"/>
  <c r="S3617" i="4"/>
  <c r="O3617" i="4"/>
  <c r="S3616" i="4"/>
  <c r="O3616" i="4"/>
  <c r="S3615" i="4"/>
  <c r="O3615" i="4"/>
  <c r="S3614" i="4"/>
  <c r="O3614" i="4"/>
  <c r="S3613" i="4"/>
  <c r="O3613" i="4"/>
  <c r="S3612" i="4"/>
  <c r="O3612" i="4"/>
  <c r="S3611" i="4"/>
  <c r="O3611" i="4"/>
  <c r="S3610" i="4"/>
  <c r="O3610" i="4"/>
  <c r="S3609" i="4"/>
  <c r="O3609" i="4"/>
  <c r="S3608" i="4"/>
  <c r="O3608" i="4"/>
  <c r="S3607" i="4"/>
  <c r="O3607" i="4"/>
  <c r="S3606" i="4"/>
  <c r="O3606" i="4"/>
  <c r="S3605" i="4"/>
  <c r="O3605" i="4"/>
  <c r="S3604" i="4"/>
  <c r="O3604" i="4"/>
  <c r="S3603" i="4"/>
  <c r="O3603" i="4"/>
  <c r="S3602" i="4"/>
  <c r="O3602" i="4"/>
  <c r="S3601" i="4"/>
  <c r="O3601" i="4"/>
  <c r="S3600" i="4"/>
  <c r="O3600" i="4"/>
  <c r="S3599" i="4"/>
  <c r="O3599" i="4"/>
  <c r="S3598" i="4"/>
  <c r="O3598" i="4"/>
  <c r="S3597" i="4"/>
  <c r="O3597" i="4"/>
  <c r="S3596" i="4"/>
  <c r="O3596" i="4"/>
  <c r="S3595" i="4"/>
  <c r="O3595" i="4"/>
  <c r="S3594" i="4"/>
  <c r="O3594" i="4"/>
  <c r="S3593" i="4"/>
  <c r="O3593" i="4"/>
  <c r="S3592" i="4"/>
  <c r="O3592" i="4"/>
  <c r="S3591" i="4"/>
  <c r="O3591" i="4"/>
  <c r="S3590" i="4"/>
  <c r="O3590" i="4"/>
  <c r="S3589" i="4"/>
  <c r="O3589" i="4"/>
  <c r="S3588" i="4"/>
  <c r="O3588" i="4"/>
  <c r="S3587" i="4"/>
  <c r="O3587" i="4"/>
  <c r="S3586" i="4"/>
  <c r="O3586" i="4"/>
  <c r="S3585" i="4"/>
  <c r="O3585" i="4"/>
  <c r="S3584" i="4"/>
  <c r="O3584" i="4"/>
  <c r="S3583" i="4"/>
  <c r="O3583" i="4"/>
  <c r="S3582" i="4"/>
  <c r="O3582" i="4"/>
  <c r="S3581" i="4"/>
  <c r="O3581" i="4"/>
  <c r="S3580" i="4"/>
  <c r="O3580" i="4"/>
  <c r="S3579" i="4"/>
  <c r="O3579" i="4"/>
  <c r="S3578" i="4"/>
  <c r="O3578" i="4"/>
  <c r="S3577" i="4"/>
  <c r="O3577" i="4"/>
  <c r="S3576" i="4"/>
  <c r="O3576" i="4"/>
  <c r="S3575" i="4"/>
  <c r="O3575" i="4"/>
  <c r="S3574" i="4"/>
  <c r="O3574" i="4"/>
  <c r="S3573" i="4"/>
  <c r="O3573" i="4"/>
  <c r="S3572" i="4"/>
  <c r="O3572" i="4"/>
  <c r="S3571" i="4"/>
  <c r="O3571" i="4"/>
  <c r="S3570" i="4"/>
  <c r="O3570" i="4"/>
  <c r="S3569" i="4"/>
  <c r="O3569" i="4"/>
  <c r="S3568" i="4"/>
  <c r="O3568" i="4"/>
  <c r="S3567" i="4"/>
  <c r="O3567" i="4"/>
  <c r="S3566" i="4"/>
  <c r="O3566" i="4"/>
  <c r="S3565" i="4"/>
  <c r="O3565" i="4"/>
  <c r="S3564" i="4"/>
  <c r="O3564" i="4"/>
  <c r="S3563" i="4"/>
  <c r="O3563" i="4"/>
  <c r="S3562" i="4"/>
  <c r="O3562" i="4"/>
  <c r="S3561" i="4"/>
  <c r="O3561" i="4"/>
  <c r="S3560" i="4"/>
  <c r="O3560" i="4"/>
  <c r="S3559" i="4"/>
  <c r="O3559" i="4"/>
  <c r="S3558" i="4"/>
  <c r="O3558" i="4"/>
  <c r="S3557" i="4"/>
  <c r="O3557" i="4"/>
  <c r="S3556" i="4"/>
  <c r="O3556" i="4"/>
  <c r="S3555" i="4"/>
  <c r="O3555" i="4"/>
  <c r="S3554" i="4"/>
  <c r="O3554" i="4"/>
  <c r="S3553" i="4"/>
  <c r="O3553" i="4"/>
  <c r="S3552" i="4"/>
  <c r="O3552" i="4"/>
  <c r="S3551" i="4"/>
  <c r="O3551" i="4"/>
  <c r="S3550" i="4"/>
  <c r="O3550" i="4"/>
  <c r="S3549" i="4"/>
  <c r="O3549" i="4"/>
  <c r="S3548" i="4"/>
  <c r="O3548" i="4"/>
  <c r="S3547" i="4"/>
  <c r="O3547" i="4"/>
  <c r="S3546" i="4"/>
  <c r="O3546" i="4"/>
  <c r="S3545" i="4"/>
  <c r="O3545" i="4"/>
  <c r="S3544" i="4"/>
  <c r="O3544" i="4"/>
  <c r="S3543" i="4"/>
  <c r="O3543" i="4"/>
  <c r="S3542" i="4"/>
  <c r="O3542" i="4"/>
  <c r="S3541" i="4"/>
  <c r="O3541" i="4"/>
  <c r="S3540" i="4"/>
  <c r="O3540" i="4"/>
  <c r="S3539" i="4"/>
  <c r="O3539" i="4"/>
  <c r="S3538" i="4"/>
  <c r="O3538" i="4"/>
  <c r="S3537" i="4"/>
  <c r="O3537" i="4"/>
  <c r="S3536" i="4"/>
  <c r="O3536" i="4"/>
  <c r="S3535" i="4"/>
  <c r="O3535" i="4"/>
  <c r="S3534" i="4"/>
  <c r="O3534" i="4"/>
  <c r="S3533" i="4"/>
  <c r="O3533" i="4"/>
  <c r="S3532" i="4"/>
  <c r="O3532" i="4"/>
  <c r="S3531" i="4"/>
  <c r="O3531" i="4"/>
  <c r="S3530" i="4"/>
  <c r="O3530" i="4"/>
  <c r="S3529" i="4"/>
  <c r="O3529" i="4"/>
  <c r="S3528" i="4"/>
  <c r="O3528" i="4"/>
  <c r="S3527" i="4"/>
  <c r="O3527" i="4"/>
  <c r="S3526" i="4"/>
  <c r="O3526" i="4"/>
  <c r="S3525" i="4"/>
  <c r="O3525" i="4"/>
  <c r="S3524" i="4"/>
  <c r="O3524" i="4"/>
  <c r="S3523" i="4"/>
  <c r="O3523" i="4"/>
  <c r="S3522" i="4"/>
  <c r="O3522" i="4"/>
  <c r="S3521" i="4"/>
  <c r="O3521" i="4"/>
  <c r="S3520" i="4"/>
  <c r="O3520" i="4"/>
  <c r="S3519" i="4"/>
  <c r="O3519" i="4"/>
  <c r="S3518" i="4"/>
  <c r="O3518" i="4"/>
  <c r="S3517" i="4"/>
  <c r="O3517" i="4"/>
  <c r="S3516" i="4"/>
  <c r="O3516" i="4"/>
  <c r="S3515" i="4"/>
  <c r="O3515" i="4"/>
  <c r="S3514" i="4"/>
  <c r="O3514" i="4"/>
  <c r="S3513" i="4"/>
  <c r="O3513" i="4"/>
  <c r="S3512" i="4"/>
  <c r="O3512" i="4"/>
  <c r="S3511" i="4"/>
  <c r="O3511" i="4"/>
  <c r="S3510" i="4"/>
  <c r="O3510" i="4"/>
  <c r="S3509" i="4"/>
  <c r="O3509" i="4"/>
  <c r="S3508" i="4"/>
  <c r="O3508" i="4"/>
  <c r="S3507" i="4"/>
  <c r="O3507" i="4"/>
  <c r="S3506" i="4"/>
  <c r="O3506" i="4"/>
  <c r="S3505" i="4"/>
  <c r="O3505" i="4"/>
  <c r="S3504" i="4"/>
  <c r="O3504" i="4"/>
  <c r="S3503" i="4"/>
  <c r="O3503" i="4"/>
  <c r="S3502" i="4"/>
  <c r="O3502" i="4"/>
  <c r="S3501" i="4"/>
  <c r="O3501" i="4"/>
  <c r="S3500" i="4"/>
  <c r="O3500" i="4"/>
  <c r="S3499" i="4"/>
  <c r="O3499" i="4"/>
  <c r="S3498" i="4"/>
  <c r="O3498" i="4"/>
  <c r="S3497" i="4"/>
  <c r="O3497" i="4"/>
  <c r="S3496" i="4"/>
  <c r="O3496" i="4"/>
  <c r="S3495" i="4"/>
  <c r="O3495" i="4"/>
  <c r="S3494" i="4"/>
  <c r="O3494" i="4"/>
  <c r="S3493" i="4"/>
  <c r="O3493" i="4"/>
  <c r="S3492" i="4"/>
  <c r="O3492" i="4"/>
  <c r="S3491" i="4"/>
  <c r="O3491" i="4"/>
  <c r="S3490" i="4"/>
  <c r="O3490" i="4"/>
  <c r="S3489" i="4"/>
  <c r="O3489" i="4"/>
  <c r="S3488" i="4"/>
  <c r="O3488" i="4"/>
  <c r="S3487" i="4"/>
  <c r="O3487" i="4"/>
  <c r="S3486" i="4"/>
  <c r="O3486" i="4"/>
  <c r="S3485" i="4"/>
  <c r="O3485" i="4"/>
  <c r="S3484" i="4"/>
  <c r="O3484" i="4"/>
  <c r="S3483" i="4"/>
  <c r="O3483" i="4"/>
  <c r="S3482" i="4"/>
  <c r="O3482" i="4"/>
  <c r="S3481" i="4"/>
  <c r="O3481" i="4"/>
  <c r="S3480" i="4"/>
  <c r="O3480" i="4"/>
  <c r="S3479" i="4"/>
  <c r="O3479" i="4"/>
  <c r="S3478" i="4"/>
  <c r="O3478" i="4"/>
  <c r="S3477" i="4"/>
  <c r="O3477" i="4"/>
  <c r="S3476" i="4"/>
  <c r="O3476" i="4"/>
  <c r="S3475" i="4"/>
  <c r="O3475" i="4"/>
  <c r="S3474" i="4"/>
  <c r="O3474" i="4"/>
  <c r="S3473" i="4"/>
  <c r="O3473" i="4"/>
  <c r="S3472" i="4"/>
  <c r="O3472" i="4"/>
  <c r="S3471" i="4"/>
  <c r="O3471" i="4"/>
  <c r="S3470" i="4"/>
  <c r="O3470" i="4"/>
  <c r="S3469" i="4"/>
  <c r="O3469" i="4"/>
  <c r="S3468" i="4"/>
  <c r="O3468" i="4"/>
  <c r="S3467" i="4"/>
  <c r="O3467" i="4"/>
  <c r="S3466" i="4"/>
  <c r="O3466" i="4"/>
  <c r="S3465" i="4"/>
  <c r="O3465" i="4"/>
  <c r="S3464" i="4"/>
  <c r="O3464" i="4"/>
  <c r="S3463" i="4"/>
  <c r="O3463" i="4"/>
  <c r="S3462" i="4"/>
  <c r="O3462" i="4"/>
  <c r="S3461" i="4"/>
  <c r="O3461" i="4"/>
  <c r="S3460" i="4"/>
  <c r="O3460" i="4"/>
  <c r="S3459" i="4"/>
  <c r="O3459" i="4"/>
  <c r="S3458" i="4"/>
  <c r="O3458" i="4"/>
  <c r="S3457" i="4"/>
  <c r="O3457" i="4"/>
  <c r="S3456" i="4"/>
  <c r="O3456" i="4"/>
  <c r="S3455" i="4"/>
  <c r="O3455" i="4"/>
  <c r="S3454" i="4"/>
  <c r="O3454" i="4"/>
  <c r="S3453" i="4"/>
  <c r="O3453" i="4"/>
  <c r="S3452" i="4"/>
  <c r="O3452" i="4"/>
  <c r="S3451" i="4"/>
  <c r="O3451" i="4"/>
  <c r="S3450" i="4"/>
  <c r="O3450" i="4"/>
  <c r="S3449" i="4"/>
  <c r="O3449" i="4"/>
  <c r="S3448" i="4"/>
  <c r="O3448" i="4"/>
  <c r="S3447" i="4"/>
  <c r="O3447" i="4"/>
  <c r="S3446" i="4"/>
  <c r="O3446" i="4"/>
  <c r="S3445" i="4"/>
  <c r="O3445" i="4"/>
  <c r="S3444" i="4"/>
  <c r="O3444" i="4"/>
  <c r="S3443" i="4"/>
  <c r="O3443" i="4"/>
  <c r="S3442" i="4"/>
  <c r="O3442" i="4"/>
  <c r="S3441" i="4"/>
  <c r="O3441" i="4"/>
  <c r="S3440" i="4"/>
  <c r="O3440" i="4"/>
  <c r="S3439" i="4"/>
  <c r="O3439" i="4"/>
  <c r="S3438" i="4"/>
  <c r="O3438" i="4"/>
  <c r="S3437" i="4"/>
  <c r="O3437" i="4"/>
  <c r="S3436" i="4"/>
  <c r="O3436" i="4"/>
  <c r="S3435" i="4"/>
  <c r="O3435" i="4"/>
  <c r="S3434" i="4"/>
  <c r="O3434" i="4"/>
  <c r="S3433" i="4"/>
  <c r="O3433" i="4"/>
  <c r="S3432" i="4"/>
  <c r="O3432" i="4"/>
  <c r="S3431" i="4"/>
  <c r="O3431" i="4"/>
  <c r="S3430" i="4"/>
  <c r="O3430" i="4"/>
  <c r="S3429" i="4"/>
  <c r="O3429" i="4"/>
  <c r="S3428" i="4"/>
  <c r="O3428" i="4"/>
  <c r="S3427" i="4"/>
  <c r="O3427" i="4"/>
  <c r="S3426" i="4"/>
  <c r="O3426" i="4"/>
  <c r="S3425" i="4"/>
  <c r="O3425" i="4"/>
  <c r="S3424" i="4"/>
  <c r="O3424" i="4"/>
  <c r="S3423" i="4"/>
  <c r="O3423" i="4"/>
  <c r="S3422" i="4"/>
  <c r="O3422" i="4"/>
  <c r="S3421" i="4"/>
  <c r="O3421" i="4"/>
  <c r="S3420" i="4"/>
  <c r="O3420" i="4"/>
  <c r="S3419" i="4"/>
  <c r="O3419" i="4"/>
  <c r="S3418" i="4"/>
  <c r="O3418" i="4"/>
  <c r="S3417" i="4"/>
  <c r="O3417" i="4"/>
  <c r="S3416" i="4"/>
  <c r="O3416" i="4"/>
  <c r="S3415" i="4"/>
  <c r="O3415" i="4"/>
  <c r="S3414" i="4"/>
  <c r="O3414" i="4"/>
  <c r="S3413" i="4"/>
  <c r="O3413" i="4"/>
  <c r="S3412" i="4"/>
  <c r="O3412" i="4"/>
  <c r="S3411" i="4"/>
  <c r="O3411" i="4"/>
  <c r="S3410" i="4"/>
  <c r="O3410" i="4"/>
  <c r="S3409" i="4"/>
  <c r="O3409" i="4"/>
  <c r="S3408" i="4"/>
  <c r="O3408" i="4"/>
  <c r="S3407" i="4"/>
  <c r="O3407" i="4"/>
  <c r="S3406" i="4"/>
  <c r="O3406" i="4"/>
  <c r="S3405" i="4"/>
  <c r="O3405" i="4"/>
  <c r="S3404" i="4"/>
  <c r="O3404" i="4"/>
  <c r="S3403" i="4"/>
  <c r="O3403" i="4"/>
  <c r="S3402" i="4"/>
  <c r="O3402" i="4"/>
  <c r="S3401" i="4"/>
  <c r="O3401" i="4"/>
  <c r="S3400" i="4"/>
  <c r="O3400" i="4"/>
  <c r="S3399" i="4"/>
  <c r="O3399" i="4"/>
  <c r="S3398" i="4"/>
  <c r="O3398" i="4"/>
  <c r="S3397" i="4"/>
  <c r="O3397" i="4"/>
  <c r="S3396" i="4"/>
  <c r="O3396" i="4"/>
  <c r="S3395" i="4"/>
  <c r="O3395" i="4"/>
  <c r="S3394" i="4"/>
  <c r="O3394" i="4"/>
  <c r="S3393" i="4"/>
  <c r="O3393" i="4"/>
  <c r="S3392" i="4"/>
  <c r="O3392" i="4"/>
  <c r="S3391" i="4"/>
  <c r="O3391" i="4"/>
  <c r="S3390" i="4"/>
  <c r="O3390" i="4"/>
  <c r="S3389" i="4"/>
  <c r="O3389" i="4"/>
  <c r="S3388" i="4"/>
  <c r="O3388" i="4"/>
  <c r="S3387" i="4"/>
  <c r="O3387" i="4"/>
  <c r="S3386" i="4"/>
  <c r="O3386" i="4"/>
  <c r="S3385" i="4"/>
  <c r="O3385" i="4"/>
  <c r="S3384" i="4"/>
  <c r="O3384" i="4"/>
  <c r="S3383" i="4"/>
  <c r="O3383" i="4"/>
  <c r="S3382" i="4"/>
  <c r="O3382" i="4"/>
  <c r="S3381" i="4"/>
  <c r="O3381" i="4"/>
  <c r="S3380" i="4"/>
  <c r="O3380" i="4"/>
  <c r="S3379" i="4"/>
  <c r="O3379" i="4"/>
  <c r="S3378" i="4"/>
  <c r="O3378" i="4"/>
  <c r="S3377" i="4"/>
  <c r="O3377" i="4"/>
  <c r="S3376" i="4"/>
  <c r="O3376" i="4"/>
  <c r="S3375" i="4"/>
  <c r="O3375" i="4"/>
  <c r="S3374" i="4"/>
  <c r="O3374" i="4"/>
  <c r="S3373" i="4"/>
  <c r="O3373" i="4"/>
  <c r="S3372" i="4"/>
  <c r="O3372" i="4"/>
  <c r="S3371" i="4"/>
  <c r="O3371" i="4"/>
  <c r="S3370" i="4"/>
  <c r="O3370" i="4"/>
  <c r="S3369" i="4"/>
  <c r="O3369" i="4"/>
  <c r="S3368" i="4"/>
  <c r="O3368" i="4"/>
  <c r="S3367" i="4"/>
  <c r="O3367" i="4"/>
  <c r="S3366" i="4"/>
  <c r="O3366" i="4"/>
  <c r="S3365" i="4"/>
  <c r="O3365" i="4"/>
  <c r="S3364" i="4"/>
  <c r="O3364" i="4"/>
  <c r="S3363" i="4"/>
  <c r="O3363" i="4"/>
  <c r="S3362" i="4"/>
  <c r="O3362" i="4"/>
  <c r="S3361" i="4"/>
  <c r="O3361" i="4"/>
  <c r="S3360" i="4"/>
  <c r="O3360" i="4"/>
  <c r="S3359" i="4"/>
  <c r="O3359" i="4"/>
  <c r="S3358" i="4"/>
  <c r="O3358" i="4"/>
  <c r="S3357" i="4"/>
  <c r="O3357" i="4"/>
  <c r="S3356" i="4"/>
  <c r="O3356" i="4"/>
  <c r="S3355" i="4"/>
  <c r="O3355" i="4"/>
  <c r="S3354" i="4"/>
  <c r="O3354" i="4"/>
  <c r="S3353" i="4"/>
  <c r="O3353" i="4"/>
  <c r="S3352" i="4"/>
  <c r="O3352" i="4"/>
  <c r="S3351" i="4"/>
  <c r="O3351" i="4"/>
  <c r="S3350" i="4"/>
  <c r="O3350" i="4"/>
  <c r="S3349" i="4"/>
  <c r="O3349" i="4"/>
  <c r="S3348" i="4"/>
  <c r="O3348" i="4"/>
  <c r="S3347" i="4"/>
  <c r="O3347" i="4"/>
  <c r="S3346" i="4"/>
  <c r="O3346" i="4"/>
  <c r="S3345" i="4"/>
  <c r="O3345" i="4"/>
  <c r="S3344" i="4"/>
  <c r="O3344" i="4"/>
  <c r="S3343" i="4"/>
  <c r="O3343" i="4"/>
  <c r="S3342" i="4"/>
  <c r="O3342" i="4"/>
  <c r="S3341" i="4"/>
  <c r="O3341" i="4"/>
  <c r="S3340" i="4"/>
  <c r="O3340" i="4"/>
  <c r="S3339" i="4"/>
  <c r="O3339" i="4"/>
  <c r="S3338" i="4"/>
  <c r="O3338" i="4"/>
  <c r="S3337" i="4"/>
  <c r="O3337" i="4"/>
  <c r="S3336" i="4"/>
  <c r="O3336" i="4"/>
  <c r="S3335" i="4"/>
  <c r="O3335" i="4"/>
  <c r="S3334" i="4"/>
  <c r="O3334" i="4"/>
  <c r="S3333" i="4"/>
  <c r="O3333" i="4"/>
  <c r="S3332" i="4"/>
  <c r="O3332" i="4"/>
  <c r="S3331" i="4"/>
  <c r="O3331" i="4"/>
  <c r="S3330" i="4"/>
  <c r="O3330" i="4"/>
  <c r="S3329" i="4"/>
  <c r="O3329" i="4"/>
  <c r="S3328" i="4"/>
  <c r="O3328" i="4"/>
  <c r="S3327" i="4"/>
  <c r="O3327" i="4"/>
  <c r="S3326" i="4"/>
  <c r="O3326" i="4"/>
  <c r="S3325" i="4"/>
  <c r="O3325" i="4"/>
  <c r="S3324" i="4"/>
  <c r="O3324" i="4"/>
  <c r="S3323" i="4"/>
  <c r="O3323" i="4"/>
  <c r="S3322" i="4"/>
  <c r="O3322" i="4"/>
  <c r="S3321" i="4"/>
  <c r="O3321" i="4"/>
  <c r="S3320" i="4"/>
  <c r="O3320" i="4"/>
  <c r="S3319" i="4"/>
  <c r="O3319" i="4"/>
  <c r="S3318" i="4"/>
  <c r="O3318" i="4"/>
  <c r="S3317" i="4"/>
  <c r="O3317" i="4"/>
  <c r="S3316" i="4"/>
  <c r="O3316" i="4"/>
  <c r="S3315" i="4"/>
  <c r="O3315" i="4"/>
  <c r="S3314" i="4"/>
  <c r="O3314" i="4"/>
  <c r="S3313" i="4"/>
  <c r="O3313" i="4"/>
  <c r="S3312" i="4"/>
  <c r="O3312" i="4"/>
  <c r="S3311" i="4"/>
  <c r="O3311" i="4"/>
  <c r="S3310" i="4"/>
  <c r="O3310" i="4"/>
  <c r="S3309" i="4"/>
  <c r="O3309" i="4"/>
  <c r="S3308" i="4"/>
  <c r="O3308" i="4"/>
  <c r="S3307" i="4"/>
  <c r="O3307" i="4"/>
  <c r="S3306" i="4"/>
  <c r="O3306" i="4"/>
  <c r="S3305" i="4"/>
  <c r="O3305" i="4"/>
  <c r="S3304" i="4"/>
  <c r="O3304" i="4"/>
  <c r="S3303" i="4"/>
  <c r="O3303" i="4"/>
  <c r="S3302" i="4"/>
  <c r="O3302" i="4"/>
  <c r="S3301" i="4"/>
  <c r="O3301" i="4"/>
  <c r="S3300" i="4"/>
  <c r="O3300" i="4"/>
  <c r="S3299" i="4"/>
  <c r="O3299" i="4"/>
  <c r="S3298" i="4"/>
  <c r="O3298" i="4"/>
  <c r="S3297" i="4"/>
  <c r="O3297" i="4"/>
  <c r="S3296" i="4"/>
  <c r="O3296" i="4"/>
  <c r="S3295" i="4"/>
  <c r="O3295" i="4"/>
  <c r="S3294" i="4"/>
  <c r="O3294" i="4"/>
  <c r="S3293" i="4"/>
  <c r="O3293" i="4"/>
  <c r="S3292" i="4"/>
  <c r="O3292" i="4"/>
  <c r="S3291" i="4"/>
  <c r="O3291" i="4"/>
  <c r="S3290" i="4"/>
  <c r="O3290" i="4"/>
  <c r="S3289" i="4"/>
  <c r="O3289" i="4"/>
  <c r="S3288" i="4"/>
  <c r="O3288" i="4"/>
  <c r="S3287" i="4"/>
  <c r="O3287" i="4"/>
  <c r="S3286" i="4"/>
  <c r="O3286" i="4"/>
  <c r="S3285" i="4"/>
  <c r="O3285" i="4"/>
  <c r="S3284" i="4"/>
  <c r="O3284" i="4"/>
  <c r="S3283" i="4"/>
  <c r="O3283" i="4"/>
  <c r="S3282" i="4"/>
  <c r="O3282" i="4"/>
  <c r="S3281" i="4"/>
  <c r="O3281" i="4"/>
  <c r="S3280" i="4"/>
  <c r="O3280" i="4"/>
  <c r="S3279" i="4"/>
  <c r="O3279" i="4"/>
  <c r="S3278" i="4"/>
  <c r="O3278" i="4"/>
  <c r="S3277" i="4"/>
  <c r="O3277" i="4"/>
  <c r="S3276" i="4"/>
  <c r="O3276" i="4"/>
  <c r="S3275" i="4"/>
  <c r="O3275" i="4"/>
  <c r="S3274" i="4"/>
  <c r="O3274" i="4"/>
  <c r="S3273" i="4"/>
  <c r="O3273" i="4"/>
  <c r="S3272" i="4"/>
  <c r="O3272" i="4"/>
  <c r="S3271" i="4"/>
  <c r="O3271" i="4"/>
  <c r="S3270" i="4"/>
  <c r="O3270" i="4"/>
  <c r="S3269" i="4"/>
  <c r="O3269" i="4"/>
  <c r="S3268" i="4"/>
  <c r="O3268" i="4"/>
  <c r="S3267" i="4"/>
  <c r="O3267" i="4"/>
  <c r="S3266" i="4"/>
  <c r="O3266" i="4"/>
  <c r="S3265" i="4"/>
  <c r="O3265" i="4"/>
  <c r="S3264" i="4"/>
  <c r="O3264" i="4"/>
  <c r="S3263" i="4"/>
  <c r="O3263" i="4"/>
  <c r="S3262" i="4"/>
  <c r="O3262" i="4"/>
  <c r="S3261" i="4"/>
  <c r="O3261" i="4"/>
  <c r="S3260" i="4"/>
  <c r="O3260" i="4"/>
  <c r="S3259" i="4"/>
  <c r="O3259" i="4"/>
  <c r="S3258" i="4"/>
  <c r="O3258" i="4"/>
  <c r="S3257" i="4"/>
  <c r="O3257" i="4"/>
  <c r="S3256" i="4"/>
  <c r="O3256" i="4"/>
  <c r="S3255" i="4"/>
  <c r="O3255" i="4"/>
  <c r="S3254" i="4"/>
  <c r="O3254" i="4"/>
  <c r="S3253" i="4"/>
  <c r="O3253" i="4"/>
  <c r="S3252" i="4"/>
  <c r="O3252" i="4"/>
  <c r="S3251" i="4"/>
  <c r="O3251" i="4"/>
  <c r="S3250" i="4"/>
  <c r="O3250" i="4"/>
  <c r="S3249" i="4"/>
  <c r="O3249" i="4"/>
  <c r="S3248" i="4"/>
  <c r="O3248" i="4"/>
  <c r="S3247" i="4"/>
  <c r="O3247" i="4"/>
  <c r="S3246" i="4"/>
  <c r="O3246" i="4"/>
  <c r="S3245" i="4"/>
  <c r="O3245" i="4"/>
  <c r="S3244" i="4"/>
  <c r="O3244" i="4"/>
  <c r="S3243" i="4"/>
  <c r="O3243" i="4"/>
  <c r="S3242" i="4"/>
  <c r="O3242" i="4"/>
  <c r="S3241" i="4"/>
  <c r="O3241" i="4"/>
  <c r="S3240" i="4"/>
  <c r="O3240" i="4"/>
  <c r="S3239" i="4"/>
  <c r="O3239" i="4"/>
  <c r="S3238" i="4"/>
  <c r="O3238" i="4"/>
  <c r="S3237" i="4"/>
  <c r="O3237" i="4"/>
  <c r="S3236" i="4"/>
  <c r="O3236" i="4"/>
  <c r="S3235" i="4"/>
  <c r="O3235" i="4"/>
  <c r="S3234" i="4"/>
  <c r="O3234" i="4"/>
  <c r="S3233" i="4"/>
  <c r="O3233" i="4"/>
  <c r="S3232" i="4"/>
  <c r="O3232" i="4"/>
  <c r="S3231" i="4"/>
  <c r="O3231" i="4"/>
  <c r="S3230" i="4"/>
  <c r="O3230" i="4"/>
  <c r="S3229" i="4"/>
  <c r="O3229" i="4"/>
  <c r="S3228" i="4"/>
  <c r="O3228" i="4"/>
  <c r="S3227" i="4"/>
  <c r="O3227" i="4"/>
  <c r="S3226" i="4"/>
  <c r="O3226" i="4"/>
  <c r="S3225" i="4"/>
  <c r="O3225" i="4"/>
  <c r="S3224" i="4"/>
  <c r="O3224" i="4"/>
  <c r="S3223" i="4"/>
  <c r="O3223" i="4"/>
  <c r="S3222" i="4"/>
  <c r="O3222" i="4"/>
  <c r="S3221" i="4"/>
  <c r="O3221" i="4"/>
  <c r="S3220" i="4"/>
  <c r="O3220" i="4"/>
  <c r="S3219" i="4"/>
  <c r="O3219" i="4"/>
  <c r="S3218" i="4"/>
  <c r="O3218" i="4"/>
  <c r="S3217" i="4"/>
  <c r="O3217" i="4"/>
  <c r="S3216" i="4"/>
  <c r="O3216" i="4"/>
  <c r="S3215" i="4"/>
  <c r="O3215" i="4"/>
  <c r="S3214" i="4"/>
  <c r="O3214" i="4"/>
  <c r="S3213" i="4"/>
  <c r="O3213" i="4"/>
  <c r="S3212" i="4"/>
  <c r="O3212" i="4"/>
  <c r="S3211" i="4"/>
  <c r="O3211" i="4"/>
  <c r="S3210" i="4"/>
  <c r="O3210" i="4"/>
  <c r="S3209" i="4"/>
  <c r="O3209" i="4"/>
  <c r="S3208" i="4"/>
  <c r="O3208" i="4"/>
  <c r="S3207" i="4"/>
  <c r="O3207" i="4"/>
  <c r="S3206" i="4"/>
  <c r="O3206" i="4"/>
  <c r="S3205" i="4"/>
  <c r="O3205" i="4"/>
  <c r="S3204" i="4"/>
  <c r="O3204" i="4"/>
  <c r="S3203" i="4"/>
  <c r="O3203" i="4"/>
  <c r="S3202" i="4"/>
  <c r="O3202" i="4"/>
  <c r="S3201" i="4"/>
  <c r="O3201" i="4"/>
  <c r="S3200" i="4"/>
  <c r="O3200" i="4"/>
  <c r="S3199" i="4"/>
  <c r="O3199" i="4"/>
  <c r="S3198" i="4"/>
  <c r="O3198" i="4"/>
  <c r="S3197" i="4"/>
  <c r="O3197" i="4"/>
  <c r="S3196" i="4"/>
  <c r="O3196" i="4"/>
  <c r="S3195" i="4"/>
  <c r="O3195" i="4"/>
  <c r="S3194" i="4"/>
  <c r="O3194" i="4"/>
  <c r="S3193" i="4"/>
  <c r="O3193" i="4"/>
  <c r="S3192" i="4"/>
  <c r="O3192" i="4"/>
  <c r="S3191" i="4"/>
  <c r="O3191" i="4"/>
  <c r="S3190" i="4"/>
  <c r="O3190" i="4"/>
  <c r="S3189" i="4"/>
  <c r="O3189" i="4"/>
  <c r="S3188" i="4"/>
  <c r="O3188" i="4"/>
  <c r="S3187" i="4"/>
  <c r="O3187" i="4"/>
  <c r="S3186" i="4"/>
  <c r="O3186" i="4"/>
  <c r="S3185" i="4"/>
  <c r="O3185" i="4"/>
  <c r="S3184" i="4"/>
  <c r="O3184" i="4"/>
  <c r="S3183" i="4"/>
  <c r="O3183" i="4"/>
  <c r="S3182" i="4"/>
  <c r="O3182" i="4"/>
  <c r="S3181" i="4"/>
  <c r="O3181" i="4"/>
  <c r="S3180" i="4"/>
  <c r="O3180" i="4"/>
  <c r="S3179" i="4"/>
  <c r="O3179" i="4"/>
  <c r="S3178" i="4"/>
  <c r="O3178" i="4"/>
  <c r="S3177" i="4"/>
  <c r="O3177" i="4"/>
  <c r="S3176" i="4"/>
  <c r="O3176" i="4"/>
  <c r="S3175" i="4"/>
  <c r="O3175" i="4"/>
  <c r="S3174" i="4"/>
  <c r="O3174" i="4"/>
  <c r="S3173" i="4"/>
  <c r="O3173" i="4"/>
  <c r="S3172" i="4"/>
  <c r="O3172" i="4"/>
  <c r="S3171" i="4"/>
  <c r="O3171" i="4"/>
  <c r="S3170" i="4"/>
  <c r="O3170" i="4"/>
  <c r="S3169" i="4"/>
  <c r="O3169" i="4"/>
  <c r="S3168" i="4"/>
  <c r="O3168" i="4"/>
  <c r="S3167" i="4"/>
  <c r="O3167" i="4"/>
  <c r="S3166" i="4"/>
  <c r="O3166" i="4"/>
  <c r="S3165" i="4"/>
  <c r="O3165" i="4"/>
  <c r="S3164" i="4"/>
  <c r="O3164" i="4"/>
  <c r="S3163" i="4"/>
  <c r="O3163" i="4"/>
  <c r="S3162" i="4"/>
  <c r="O3162" i="4"/>
  <c r="S3161" i="4"/>
  <c r="O3161" i="4"/>
  <c r="S3160" i="4"/>
  <c r="O3160" i="4"/>
  <c r="S3159" i="4"/>
  <c r="O3159" i="4"/>
  <c r="S3158" i="4"/>
  <c r="O3158" i="4"/>
  <c r="S3157" i="4"/>
  <c r="O3157" i="4"/>
  <c r="S3156" i="4"/>
  <c r="O3156" i="4"/>
  <c r="S3155" i="4"/>
  <c r="O3155" i="4"/>
  <c r="S3154" i="4"/>
  <c r="O3154" i="4"/>
  <c r="S3153" i="4"/>
  <c r="O3153" i="4"/>
  <c r="S3152" i="4"/>
  <c r="O3152" i="4"/>
  <c r="S3151" i="4"/>
  <c r="O3151" i="4"/>
  <c r="S3150" i="4"/>
  <c r="O3150" i="4"/>
  <c r="S3149" i="4"/>
  <c r="O3149" i="4"/>
  <c r="S3148" i="4"/>
  <c r="O3148" i="4"/>
  <c r="S3147" i="4"/>
  <c r="O3147" i="4"/>
  <c r="S3146" i="4"/>
  <c r="O3146" i="4"/>
  <c r="S3145" i="4"/>
  <c r="O3145" i="4"/>
  <c r="S3144" i="4"/>
  <c r="O3144" i="4"/>
  <c r="S3143" i="4"/>
  <c r="O3143" i="4"/>
  <c r="S3142" i="4"/>
  <c r="O3142" i="4"/>
  <c r="S3141" i="4"/>
  <c r="O3141" i="4"/>
  <c r="S3140" i="4"/>
  <c r="O3140" i="4"/>
  <c r="S3139" i="4"/>
  <c r="O3139" i="4"/>
  <c r="S3138" i="4"/>
  <c r="O3138" i="4"/>
  <c r="S3137" i="4"/>
  <c r="O3137" i="4"/>
  <c r="S3136" i="4"/>
  <c r="O3136" i="4"/>
  <c r="S3135" i="4"/>
  <c r="O3135" i="4"/>
  <c r="S3134" i="4"/>
  <c r="O3134" i="4"/>
  <c r="S3133" i="4"/>
  <c r="O3133" i="4"/>
  <c r="S3132" i="4"/>
  <c r="O3132" i="4"/>
  <c r="S3131" i="4"/>
  <c r="O3131" i="4"/>
  <c r="S3130" i="4"/>
  <c r="O3130" i="4"/>
  <c r="S3129" i="4"/>
  <c r="O3129" i="4"/>
  <c r="S3128" i="4"/>
  <c r="O3128" i="4"/>
  <c r="S3127" i="4"/>
  <c r="O3127" i="4"/>
  <c r="S3126" i="4"/>
  <c r="O3126" i="4"/>
  <c r="S3125" i="4"/>
  <c r="O3125" i="4"/>
  <c r="S3124" i="4"/>
  <c r="O3124" i="4"/>
  <c r="S3123" i="4"/>
  <c r="O3123" i="4"/>
  <c r="S3122" i="4"/>
  <c r="O3122" i="4"/>
  <c r="S3121" i="4"/>
  <c r="O3121" i="4"/>
  <c r="S3120" i="4"/>
  <c r="O3120" i="4"/>
  <c r="S3119" i="4"/>
  <c r="O3119" i="4"/>
  <c r="S3118" i="4"/>
  <c r="O3118" i="4"/>
  <c r="S3117" i="4"/>
  <c r="O3117" i="4"/>
  <c r="S3116" i="4"/>
  <c r="O3116" i="4"/>
  <c r="S3115" i="4"/>
  <c r="O3115" i="4"/>
  <c r="S3114" i="4"/>
  <c r="O3114" i="4"/>
  <c r="S3113" i="4"/>
  <c r="O3113" i="4"/>
  <c r="S3112" i="4"/>
  <c r="O3112" i="4"/>
  <c r="S3111" i="4"/>
  <c r="O3111" i="4"/>
  <c r="S3110" i="4"/>
  <c r="O3110" i="4"/>
  <c r="S3109" i="4"/>
  <c r="O3109" i="4"/>
  <c r="S3108" i="4"/>
  <c r="O3108" i="4"/>
  <c r="S3107" i="4"/>
  <c r="O3107" i="4"/>
  <c r="S3106" i="4"/>
  <c r="O3106" i="4"/>
  <c r="S3105" i="4"/>
  <c r="O3105" i="4"/>
  <c r="S3104" i="4"/>
  <c r="O3104" i="4"/>
  <c r="S3103" i="4"/>
  <c r="O3103" i="4"/>
  <c r="S3102" i="4"/>
  <c r="O3102" i="4"/>
  <c r="S3101" i="4"/>
  <c r="O3101" i="4"/>
  <c r="S3100" i="4"/>
  <c r="O3100" i="4"/>
  <c r="S3099" i="4"/>
  <c r="O3099" i="4"/>
  <c r="S3098" i="4"/>
  <c r="O3098" i="4"/>
  <c r="S3097" i="4"/>
  <c r="O3097" i="4"/>
  <c r="S3096" i="4"/>
  <c r="O3096" i="4"/>
  <c r="S3095" i="4"/>
  <c r="O3095" i="4"/>
  <c r="S3094" i="4"/>
  <c r="O3094" i="4"/>
  <c r="S3093" i="4"/>
  <c r="O3093" i="4"/>
  <c r="S3092" i="4"/>
  <c r="O3092" i="4"/>
  <c r="S3091" i="4"/>
  <c r="O3091" i="4"/>
  <c r="S3090" i="4"/>
  <c r="O3090" i="4"/>
  <c r="S3089" i="4"/>
  <c r="O3089" i="4"/>
  <c r="S3088" i="4"/>
  <c r="O3088" i="4"/>
  <c r="S3087" i="4"/>
  <c r="O3087" i="4"/>
  <c r="S3086" i="4"/>
  <c r="O3086" i="4"/>
  <c r="S3085" i="4"/>
  <c r="O3085" i="4"/>
  <c r="S3084" i="4"/>
  <c r="O3084" i="4"/>
  <c r="S3083" i="4"/>
  <c r="O3083" i="4"/>
  <c r="S3082" i="4"/>
  <c r="O3082" i="4"/>
  <c r="S3081" i="4"/>
  <c r="O3081" i="4"/>
  <c r="S3080" i="4"/>
  <c r="O3080" i="4"/>
  <c r="S3079" i="4"/>
  <c r="O3079" i="4"/>
  <c r="S3078" i="4"/>
  <c r="O3078" i="4"/>
  <c r="S3077" i="4"/>
  <c r="O3077" i="4"/>
  <c r="S3076" i="4"/>
  <c r="O3076" i="4"/>
  <c r="S3075" i="4"/>
  <c r="O3075" i="4"/>
  <c r="S3074" i="4"/>
  <c r="O3074" i="4"/>
  <c r="S3073" i="4"/>
  <c r="O3073" i="4"/>
  <c r="S3072" i="4"/>
  <c r="O3072" i="4"/>
  <c r="S3071" i="4"/>
  <c r="O3071" i="4"/>
  <c r="S3070" i="4"/>
  <c r="O3070" i="4"/>
  <c r="S3069" i="4"/>
  <c r="O3069" i="4"/>
  <c r="S3068" i="4"/>
  <c r="O3068" i="4"/>
  <c r="S3067" i="4"/>
  <c r="O3067" i="4"/>
  <c r="S3066" i="4"/>
  <c r="O3066" i="4"/>
  <c r="S3065" i="4"/>
  <c r="O3065" i="4"/>
  <c r="S3064" i="4"/>
  <c r="O3064" i="4"/>
  <c r="S3063" i="4"/>
  <c r="O3063" i="4"/>
  <c r="S3062" i="4"/>
  <c r="O3062" i="4"/>
  <c r="S3061" i="4"/>
  <c r="O3061" i="4"/>
  <c r="S3060" i="4"/>
  <c r="O3060" i="4"/>
  <c r="S3059" i="4"/>
  <c r="O3059" i="4"/>
  <c r="S3058" i="4"/>
  <c r="O3058" i="4"/>
  <c r="S3057" i="4"/>
  <c r="O3057" i="4"/>
  <c r="S3056" i="4"/>
  <c r="O3056" i="4"/>
  <c r="S3055" i="4"/>
  <c r="O3055" i="4"/>
  <c r="S3054" i="4"/>
  <c r="O3054" i="4"/>
  <c r="S3053" i="4"/>
  <c r="O3053" i="4"/>
  <c r="S3052" i="4"/>
  <c r="O3052" i="4"/>
  <c r="S3051" i="4"/>
  <c r="O3051" i="4"/>
  <c r="S3050" i="4"/>
  <c r="O3050" i="4"/>
  <c r="S3049" i="4"/>
  <c r="O3049" i="4"/>
  <c r="S3048" i="4"/>
  <c r="O3048" i="4"/>
  <c r="S3047" i="4"/>
  <c r="O3047" i="4"/>
  <c r="S3046" i="4"/>
  <c r="O3046" i="4"/>
  <c r="S3045" i="4"/>
  <c r="O3045" i="4"/>
  <c r="S3044" i="4"/>
  <c r="O3044" i="4"/>
  <c r="S3043" i="4"/>
  <c r="O3043" i="4"/>
  <c r="S3042" i="4"/>
  <c r="O3042" i="4"/>
  <c r="S3041" i="4"/>
  <c r="O3041" i="4"/>
  <c r="S3040" i="4"/>
  <c r="O3040" i="4"/>
  <c r="S3039" i="4"/>
  <c r="O3039" i="4"/>
  <c r="S3038" i="4"/>
  <c r="O3038" i="4"/>
  <c r="S3037" i="4"/>
  <c r="O3037" i="4"/>
  <c r="S3036" i="4"/>
  <c r="O3036" i="4"/>
  <c r="S3035" i="4"/>
  <c r="O3035" i="4"/>
  <c r="S3034" i="4"/>
  <c r="O3034" i="4"/>
  <c r="S3033" i="4"/>
  <c r="O3033" i="4"/>
  <c r="S3032" i="4"/>
  <c r="O3032" i="4"/>
  <c r="S3031" i="4"/>
  <c r="O3031" i="4"/>
  <c r="S3030" i="4"/>
  <c r="O3030" i="4"/>
  <c r="S3029" i="4"/>
  <c r="O3029" i="4"/>
  <c r="S3028" i="4"/>
  <c r="O3028" i="4"/>
  <c r="S3027" i="4"/>
  <c r="O3027" i="4"/>
  <c r="S3026" i="4"/>
  <c r="O3026" i="4"/>
  <c r="S3025" i="4"/>
  <c r="O3025" i="4"/>
  <c r="S3024" i="4"/>
  <c r="O3024" i="4"/>
  <c r="S3023" i="4"/>
  <c r="O3023" i="4"/>
  <c r="S3022" i="4"/>
  <c r="O3022" i="4"/>
  <c r="S3021" i="4"/>
  <c r="O3021" i="4"/>
  <c r="S3020" i="4"/>
  <c r="O3020" i="4"/>
  <c r="S3019" i="4"/>
  <c r="O3019" i="4"/>
  <c r="S3018" i="4"/>
  <c r="O3018" i="4"/>
  <c r="S3017" i="4"/>
  <c r="O3017" i="4"/>
  <c r="S3016" i="4"/>
  <c r="O3016" i="4"/>
  <c r="S3015" i="4"/>
  <c r="O3015" i="4"/>
  <c r="S3014" i="4"/>
  <c r="O3014" i="4"/>
  <c r="S3013" i="4"/>
  <c r="O3013" i="4"/>
  <c r="S3012" i="4"/>
  <c r="O3012" i="4"/>
  <c r="S3011" i="4"/>
  <c r="O3011" i="4"/>
  <c r="S3010" i="4"/>
  <c r="O3010" i="4"/>
  <c r="S3009" i="4"/>
  <c r="O3009" i="4"/>
  <c r="S3008" i="4"/>
  <c r="O3008" i="4"/>
  <c r="S3007" i="4"/>
  <c r="O3007" i="4"/>
  <c r="S3006" i="4"/>
  <c r="O3006" i="4"/>
  <c r="S3005" i="4"/>
  <c r="O3005" i="4"/>
  <c r="S3004" i="4"/>
  <c r="O3004" i="4"/>
  <c r="S3003" i="4"/>
  <c r="O3003" i="4"/>
  <c r="S3002" i="4"/>
  <c r="O3002" i="4"/>
  <c r="S3001" i="4"/>
  <c r="O3001" i="4"/>
  <c r="S3000" i="4"/>
  <c r="O3000" i="4"/>
  <c r="S2999" i="4"/>
  <c r="O2999" i="4"/>
  <c r="S2998" i="4"/>
  <c r="O2998" i="4"/>
  <c r="S2997" i="4"/>
  <c r="O2997" i="4"/>
  <c r="S2996" i="4"/>
  <c r="O2996" i="4"/>
  <c r="S2995" i="4"/>
  <c r="O2995" i="4"/>
  <c r="S2994" i="4"/>
  <c r="O2994" i="4"/>
  <c r="S2993" i="4"/>
  <c r="O2993" i="4"/>
  <c r="S2992" i="4"/>
  <c r="O2992" i="4"/>
  <c r="S2991" i="4"/>
  <c r="O2991" i="4"/>
  <c r="S2990" i="4"/>
  <c r="O2990" i="4"/>
  <c r="S2989" i="4"/>
  <c r="O2989" i="4"/>
  <c r="S2988" i="4"/>
  <c r="O2988" i="4"/>
  <c r="S2987" i="4"/>
  <c r="O2987" i="4"/>
  <c r="S2986" i="4"/>
  <c r="O2986" i="4"/>
  <c r="S2985" i="4"/>
  <c r="O2985" i="4"/>
  <c r="S2984" i="4"/>
  <c r="O2984" i="4"/>
  <c r="S2983" i="4"/>
  <c r="O2983" i="4"/>
  <c r="S2982" i="4"/>
  <c r="O2982" i="4"/>
  <c r="S2981" i="4"/>
  <c r="O2981" i="4"/>
  <c r="S2980" i="4"/>
  <c r="O2980" i="4"/>
  <c r="S2979" i="4"/>
  <c r="O2979" i="4"/>
  <c r="S2978" i="4"/>
  <c r="O2978" i="4"/>
  <c r="S2977" i="4"/>
  <c r="O2977" i="4"/>
  <c r="S2976" i="4"/>
  <c r="O2976" i="4"/>
  <c r="S2975" i="4"/>
  <c r="O2975" i="4"/>
  <c r="S2974" i="4"/>
  <c r="O2974" i="4"/>
  <c r="S2973" i="4"/>
  <c r="O2973" i="4"/>
  <c r="S2972" i="4"/>
  <c r="O2972" i="4"/>
  <c r="S2971" i="4"/>
  <c r="O2971" i="4"/>
  <c r="S2970" i="4"/>
  <c r="O2970" i="4"/>
  <c r="S2969" i="4"/>
  <c r="O2969" i="4"/>
  <c r="S2968" i="4"/>
  <c r="O2968" i="4"/>
  <c r="S2967" i="4"/>
  <c r="O2967" i="4"/>
  <c r="S2966" i="4"/>
  <c r="O2966" i="4"/>
  <c r="S2965" i="4"/>
  <c r="O2965" i="4"/>
  <c r="S2964" i="4"/>
  <c r="O2964" i="4"/>
  <c r="S2963" i="4"/>
  <c r="O2963" i="4"/>
  <c r="S2962" i="4"/>
  <c r="O2962" i="4"/>
  <c r="S2961" i="4"/>
  <c r="O2961" i="4"/>
  <c r="S2960" i="4"/>
  <c r="O2960" i="4"/>
  <c r="S2959" i="4"/>
  <c r="O2959" i="4"/>
  <c r="S2958" i="4"/>
  <c r="O2958" i="4"/>
  <c r="S2957" i="4"/>
  <c r="O2957" i="4"/>
  <c r="S2956" i="4"/>
  <c r="O2956" i="4"/>
  <c r="S2955" i="4"/>
  <c r="O2955" i="4"/>
  <c r="S2954" i="4"/>
  <c r="O2954" i="4"/>
  <c r="S2953" i="4"/>
  <c r="O2953" i="4"/>
  <c r="S2952" i="4"/>
  <c r="O2952" i="4"/>
  <c r="S2951" i="4"/>
  <c r="O2951" i="4"/>
  <c r="S2950" i="4"/>
  <c r="O2950" i="4"/>
  <c r="S2949" i="4"/>
  <c r="O2949" i="4"/>
  <c r="S2948" i="4"/>
  <c r="O2948" i="4"/>
  <c r="S2947" i="4"/>
  <c r="O2947" i="4"/>
  <c r="S2946" i="4"/>
  <c r="O2946" i="4"/>
  <c r="S2945" i="4"/>
  <c r="O2945" i="4"/>
  <c r="S2944" i="4"/>
  <c r="O2944" i="4"/>
  <c r="S2943" i="4"/>
  <c r="O2943" i="4"/>
  <c r="S2942" i="4"/>
  <c r="O2942" i="4"/>
  <c r="S2941" i="4"/>
  <c r="O2941" i="4"/>
  <c r="S2940" i="4"/>
  <c r="O2940" i="4"/>
  <c r="S2939" i="4"/>
  <c r="O2939" i="4"/>
  <c r="S2938" i="4"/>
  <c r="O2938" i="4"/>
  <c r="S2937" i="4"/>
  <c r="O2937" i="4"/>
  <c r="S2936" i="4"/>
  <c r="O2936" i="4"/>
  <c r="S2935" i="4"/>
  <c r="O2935" i="4"/>
  <c r="S2934" i="4"/>
  <c r="O2934" i="4"/>
  <c r="S2933" i="4"/>
  <c r="O2933" i="4"/>
  <c r="S2932" i="4"/>
  <c r="O2932" i="4"/>
  <c r="S2931" i="4"/>
  <c r="O2931" i="4"/>
  <c r="S2930" i="4"/>
  <c r="O2930" i="4"/>
  <c r="S2929" i="4"/>
  <c r="O2929" i="4"/>
  <c r="S2928" i="4"/>
  <c r="O2928" i="4"/>
  <c r="S2927" i="4"/>
  <c r="O2927" i="4"/>
  <c r="S2926" i="4"/>
  <c r="O2926" i="4"/>
  <c r="S2925" i="4"/>
  <c r="O2925" i="4"/>
  <c r="S2924" i="4"/>
  <c r="O2924" i="4"/>
  <c r="S2923" i="4"/>
  <c r="O2923" i="4"/>
  <c r="S2922" i="4"/>
  <c r="O2922" i="4"/>
  <c r="S2921" i="4"/>
  <c r="O2921" i="4"/>
  <c r="S2920" i="4"/>
  <c r="O2920" i="4"/>
  <c r="S2919" i="4"/>
  <c r="O2919" i="4"/>
  <c r="S2918" i="4"/>
  <c r="O2918" i="4"/>
  <c r="S2917" i="4"/>
  <c r="O2917" i="4"/>
  <c r="S2916" i="4"/>
  <c r="O2916" i="4"/>
  <c r="S2915" i="4"/>
  <c r="O2915" i="4"/>
  <c r="S2914" i="4"/>
  <c r="O2914" i="4"/>
  <c r="S2913" i="4"/>
  <c r="O2913" i="4"/>
  <c r="S2912" i="4"/>
  <c r="O2912" i="4"/>
  <c r="S2911" i="4"/>
  <c r="O2911" i="4"/>
  <c r="S2910" i="4"/>
  <c r="O2910" i="4"/>
  <c r="S2909" i="4"/>
  <c r="O2909" i="4"/>
  <c r="S2908" i="4"/>
  <c r="O2908" i="4"/>
  <c r="S2907" i="4"/>
  <c r="O2907" i="4"/>
  <c r="S2906" i="4"/>
  <c r="O2906" i="4"/>
  <c r="S2905" i="4"/>
  <c r="O2905" i="4"/>
  <c r="S2904" i="4"/>
  <c r="O2904" i="4"/>
  <c r="S2903" i="4"/>
  <c r="O2903" i="4"/>
  <c r="S2902" i="4"/>
  <c r="O2902" i="4"/>
  <c r="S2901" i="4"/>
  <c r="O2901" i="4"/>
  <c r="S2900" i="4"/>
  <c r="O2900" i="4"/>
  <c r="S2899" i="4"/>
  <c r="O2899" i="4"/>
  <c r="S2898" i="4"/>
  <c r="O2898" i="4"/>
  <c r="S2897" i="4"/>
  <c r="O2897" i="4"/>
  <c r="S2896" i="4"/>
  <c r="O2896" i="4"/>
  <c r="S2895" i="4"/>
  <c r="O2895" i="4"/>
  <c r="S2894" i="4"/>
  <c r="O2894" i="4"/>
  <c r="S2893" i="4"/>
  <c r="O2893" i="4"/>
  <c r="S2892" i="4"/>
  <c r="O2892" i="4"/>
  <c r="S2891" i="4"/>
  <c r="O2891" i="4"/>
  <c r="S2890" i="4"/>
  <c r="O2890" i="4"/>
  <c r="S2889" i="4"/>
  <c r="O2889" i="4"/>
  <c r="S2888" i="4"/>
  <c r="O2888" i="4"/>
  <c r="S2887" i="4"/>
  <c r="O2887" i="4"/>
  <c r="S2886" i="4"/>
  <c r="O2886" i="4"/>
  <c r="S2885" i="4"/>
  <c r="O2885" i="4"/>
  <c r="S2884" i="4"/>
  <c r="O2884" i="4"/>
  <c r="S2883" i="4"/>
  <c r="O2883" i="4"/>
  <c r="S2882" i="4"/>
  <c r="O2882" i="4"/>
  <c r="S2881" i="4"/>
  <c r="O2881" i="4"/>
  <c r="S2880" i="4"/>
  <c r="O2880" i="4"/>
  <c r="S2879" i="4"/>
  <c r="O2879" i="4"/>
  <c r="S2878" i="4"/>
  <c r="O2878" i="4"/>
  <c r="S2877" i="4"/>
  <c r="O2877" i="4"/>
  <c r="S2876" i="4"/>
  <c r="O2876" i="4"/>
  <c r="S2875" i="4"/>
  <c r="O2875" i="4"/>
  <c r="S2874" i="4"/>
  <c r="O2874" i="4"/>
  <c r="S2873" i="4"/>
  <c r="O2873" i="4"/>
  <c r="S2872" i="4"/>
  <c r="O2872" i="4"/>
  <c r="S2871" i="4"/>
  <c r="O2871" i="4"/>
  <c r="S2870" i="4"/>
  <c r="O2870" i="4"/>
  <c r="S2869" i="4"/>
  <c r="O2869" i="4"/>
  <c r="S2868" i="4"/>
  <c r="O2868" i="4"/>
  <c r="S2867" i="4"/>
  <c r="O2867" i="4"/>
  <c r="S2866" i="4"/>
  <c r="O2866" i="4"/>
  <c r="S2865" i="4"/>
  <c r="O2865" i="4"/>
  <c r="S2864" i="4"/>
  <c r="O2864" i="4"/>
  <c r="S2863" i="4"/>
  <c r="O2863" i="4"/>
  <c r="S2862" i="4"/>
  <c r="O2862" i="4"/>
  <c r="S2861" i="4"/>
  <c r="O2861" i="4"/>
  <c r="S2860" i="4"/>
  <c r="O2860" i="4"/>
  <c r="S2859" i="4"/>
  <c r="O2859" i="4"/>
  <c r="S2858" i="4"/>
  <c r="O2858" i="4"/>
  <c r="S2857" i="4"/>
  <c r="O2857" i="4"/>
  <c r="S2856" i="4"/>
  <c r="O2856" i="4"/>
  <c r="S2855" i="4"/>
  <c r="O2855" i="4"/>
  <c r="S2854" i="4"/>
  <c r="O2854" i="4"/>
  <c r="S2853" i="4"/>
  <c r="O2853" i="4"/>
  <c r="S2852" i="4"/>
  <c r="O2852" i="4"/>
  <c r="S2851" i="4"/>
  <c r="O2851" i="4"/>
  <c r="S2850" i="4"/>
  <c r="O2850" i="4"/>
  <c r="S2849" i="4"/>
  <c r="O2849" i="4"/>
  <c r="S2848" i="4"/>
  <c r="O2848" i="4"/>
  <c r="S2847" i="4"/>
  <c r="O2847" i="4"/>
  <c r="S2846" i="4"/>
  <c r="O2846" i="4"/>
  <c r="S2845" i="4"/>
  <c r="O2845" i="4"/>
  <c r="S2844" i="4"/>
  <c r="O2844" i="4"/>
  <c r="S2843" i="4"/>
  <c r="O2843" i="4"/>
  <c r="S2842" i="4"/>
  <c r="O2842" i="4"/>
  <c r="S2841" i="4"/>
  <c r="O2841" i="4"/>
  <c r="S2840" i="4"/>
  <c r="O2840" i="4"/>
  <c r="S2839" i="4"/>
  <c r="O2839" i="4"/>
  <c r="S2838" i="4"/>
  <c r="O2838" i="4"/>
  <c r="S2837" i="4"/>
  <c r="O2837" i="4"/>
  <c r="S2836" i="4"/>
  <c r="O2836" i="4"/>
  <c r="S2835" i="4"/>
  <c r="O2835" i="4"/>
  <c r="S2834" i="4"/>
  <c r="O2834" i="4"/>
  <c r="S2833" i="4"/>
  <c r="O2833" i="4"/>
  <c r="S2832" i="4"/>
  <c r="O2832" i="4"/>
  <c r="S2831" i="4"/>
  <c r="O2831" i="4"/>
  <c r="S2830" i="4"/>
  <c r="O2830" i="4"/>
  <c r="S2829" i="4"/>
  <c r="O2829" i="4"/>
  <c r="S2828" i="4"/>
  <c r="O2828" i="4"/>
  <c r="S2827" i="4"/>
  <c r="O2827" i="4"/>
  <c r="S2826" i="4"/>
  <c r="O2826" i="4"/>
  <c r="S2825" i="4"/>
  <c r="O2825" i="4"/>
  <c r="S2824" i="4"/>
  <c r="O2824" i="4"/>
  <c r="S2823" i="4"/>
  <c r="O2823" i="4"/>
  <c r="S2822" i="4"/>
  <c r="O2822" i="4"/>
  <c r="S2821" i="4"/>
  <c r="O2821" i="4"/>
  <c r="S2820" i="4"/>
  <c r="O2820" i="4"/>
  <c r="S2819" i="4"/>
  <c r="O2819" i="4"/>
  <c r="S2818" i="4"/>
  <c r="O2818" i="4"/>
  <c r="S2817" i="4"/>
  <c r="O2817" i="4"/>
  <c r="S2816" i="4"/>
  <c r="O2816" i="4"/>
  <c r="S2815" i="4"/>
  <c r="O2815" i="4"/>
  <c r="S2814" i="4"/>
  <c r="O2814" i="4"/>
  <c r="S2813" i="4"/>
  <c r="O2813" i="4"/>
  <c r="S2812" i="4"/>
  <c r="O2812" i="4"/>
  <c r="S2811" i="4"/>
  <c r="O2811" i="4"/>
  <c r="S2810" i="4"/>
  <c r="O2810" i="4"/>
  <c r="S2809" i="4"/>
  <c r="O2809" i="4"/>
  <c r="S2808" i="4"/>
  <c r="O2808" i="4"/>
  <c r="S2807" i="4"/>
  <c r="O2807" i="4"/>
  <c r="S2806" i="4"/>
  <c r="O2806" i="4"/>
  <c r="S2805" i="4"/>
  <c r="O2805" i="4"/>
  <c r="S2804" i="4"/>
  <c r="O2804" i="4"/>
  <c r="S2803" i="4"/>
  <c r="O2803" i="4"/>
  <c r="S2802" i="4"/>
  <c r="O2802" i="4"/>
  <c r="S2801" i="4"/>
  <c r="O2801" i="4"/>
  <c r="S2800" i="4"/>
  <c r="O2800" i="4"/>
  <c r="S2799" i="4"/>
  <c r="O2799" i="4"/>
  <c r="S2798" i="4"/>
  <c r="O2798" i="4"/>
  <c r="S2797" i="4"/>
  <c r="O2797" i="4"/>
  <c r="S2796" i="4"/>
  <c r="O2796" i="4"/>
  <c r="S2795" i="4"/>
  <c r="O2795" i="4"/>
  <c r="S2794" i="4"/>
  <c r="O2794" i="4"/>
  <c r="S2793" i="4"/>
  <c r="O2793" i="4"/>
  <c r="S2792" i="4"/>
  <c r="O2792" i="4"/>
  <c r="S2791" i="4"/>
  <c r="O2791" i="4"/>
  <c r="S2790" i="4"/>
  <c r="O2790" i="4"/>
  <c r="S2789" i="4"/>
  <c r="O2789" i="4"/>
  <c r="S2788" i="4"/>
  <c r="O2788" i="4"/>
  <c r="S2787" i="4"/>
  <c r="O2787" i="4"/>
  <c r="S2786" i="4"/>
  <c r="O2786" i="4"/>
  <c r="S2785" i="4"/>
  <c r="O2785" i="4"/>
  <c r="S2784" i="4"/>
  <c r="O2784" i="4"/>
  <c r="S2783" i="4"/>
  <c r="O2783" i="4"/>
  <c r="S2782" i="4"/>
  <c r="O2782" i="4"/>
  <c r="S2781" i="4"/>
  <c r="O2781" i="4"/>
  <c r="S2780" i="4"/>
  <c r="O2780" i="4"/>
  <c r="S2779" i="4"/>
  <c r="O2779" i="4"/>
  <c r="S2778" i="4"/>
  <c r="O2778" i="4"/>
  <c r="S2777" i="4"/>
  <c r="O2777" i="4"/>
  <c r="S2776" i="4"/>
  <c r="O2776" i="4"/>
  <c r="S2775" i="4"/>
  <c r="O2775" i="4"/>
  <c r="S2774" i="4"/>
  <c r="O2774" i="4"/>
  <c r="S2773" i="4"/>
  <c r="O2773" i="4"/>
  <c r="S2772" i="4"/>
  <c r="O2772" i="4"/>
  <c r="S2771" i="4"/>
  <c r="O2771" i="4"/>
  <c r="S2770" i="4"/>
  <c r="O2770" i="4"/>
  <c r="S2769" i="4"/>
  <c r="O2769" i="4"/>
  <c r="S2768" i="4"/>
  <c r="O2768" i="4"/>
  <c r="S2767" i="4"/>
  <c r="O2767" i="4"/>
  <c r="S2766" i="4"/>
  <c r="O2766" i="4"/>
  <c r="S2765" i="4"/>
  <c r="O2765" i="4"/>
  <c r="S2764" i="4"/>
  <c r="O2764" i="4"/>
  <c r="S2763" i="4"/>
  <c r="O2763" i="4"/>
  <c r="S2762" i="4"/>
  <c r="O2762" i="4"/>
  <c r="S2761" i="4"/>
  <c r="O2761" i="4"/>
  <c r="S2760" i="4"/>
  <c r="O2760" i="4"/>
  <c r="S2759" i="4"/>
  <c r="O2759" i="4"/>
  <c r="S2758" i="4"/>
  <c r="O2758" i="4"/>
  <c r="S2757" i="4"/>
  <c r="O2757" i="4"/>
  <c r="S2756" i="4"/>
  <c r="O2756" i="4"/>
  <c r="S2755" i="4"/>
  <c r="O2755" i="4"/>
  <c r="S2754" i="4"/>
  <c r="O2754" i="4"/>
  <c r="S2753" i="4"/>
  <c r="O2753" i="4"/>
  <c r="S2752" i="4"/>
  <c r="O2752" i="4"/>
  <c r="S2751" i="4"/>
  <c r="O2751" i="4"/>
  <c r="S2750" i="4"/>
  <c r="O2750" i="4"/>
  <c r="S2749" i="4"/>
  <c r="O2749" i="4"/>
  <c r="S2748" i="4"/>
  <c r="O2748" i="4"/>
  <c r="S2747" i="4"/>
  <c r="O2747" i="4"/>
  <c r="S2746" i="4"/>
  <c r="O2746" i="4"/>
  <c r="S2745" i="4"/>
  <c r="O2745" i="4"/>
  <c r="S2744" i="4"/>
  <c r="O2744" i="4"/>
  <c r="S2743" i="4"/>
  <c r="O2743" i="4"/>
  <c r="S2742" i="4"/>
  <c r="O2742" i="4"/>
  <c r="S2741" i="4"/>
  <c r="O2741" i="4"/>
  <c r="S2740" i="4"/>
  <c r="O2740" i="4"/>
  <c r="S2739" i="4"/>
  <c r="O2739" i="4"/>
  <c r="S2738" i="4"/>
  <c r="O2738" i="4"/>
  <c r="S2737" i="4"/>
  <c r="O2737" i="4"/>
  <c r="S2736" i="4"/>
  <c r="O2736" i="4"/>
  <c r="S2735" i="4"/>
  <c r="O2735" i="4"/>
  <c r="S2734" i="4"/>
  <c r="O2734" i="4"/>
  <c r="S2733" i="4"/>
  <c r="O2733" i="4"/>
  <c r="S2732" i="4"/>
  <c r="O2732" i="4"/>
  <c r="S2731" i="4"/>
  <c r="O2731" i="4"/>
  <c r="S2730" i="4"/>
  <c r="O2730" i="4"/>
  <c r="S2729" i="4"/>
  <c r="O2729" i="4"/>
  <c r="S2728" i="4"/>
  <c r="O2728" i="4"/>
  <c r="S2727" i="4"/>
  <c r="O2727" i="4"/>
  <c r="S2726" i="4"/>
  <c r="O2726" i="4"/>
  <c r="S2725" i="4"/>
  <c r="O2725" i="4"/>
  <c r="S2724" i="4"/>
  <c r="O2724" i="4"/>
  <c r="S2723" i="4"/>
  <c r="O2723" i="4"/>
  <c r="S2722" i="4"/>
  <c r="O2722" i="4"/>
  <c r="S2721" i="4"/>
  <c r="O2721" i="4"/>
  <c r="S2720" i="4"/>
  <c r="O2720" i="4"/>
  <c r="S2719" i="4"/>
  <c r="O2719" i="4"/>
  <c r="S2718" i="4"/>
  <c r="O2718" i="4"/>
  <c r="S2717" i="4"/>
  <c r="O2717" i="4"/>
  <c r="S2716" i="4"/>
  <c r="O2716" i="4"/>
  <c r="S2715" i="4"/>
  <c r="O2715" i="4"/>
  <c r="S2714" i="4"/>
  <c r="O2714" i="4"/>
  <c r="S2713" i="4"/>
  <c r="O2713" i="4"/>
  <c r="S2712" i="4"/>
  <c r="O2712" i="4"/>
  <c r="S2711" i="4"/>
  <c r="O2711" i="4"/>
  <c r="S2710" i="4"/>
  <c r="O2710" i="4"/>
  <c r="S2709" i="4"/>
  <c r="O2709" i="4"/>
  <c r="S2708" i="4"/>
  <c r="O2708" i="4"/>
  <c r="S2707" i="4"/>
  <c r="O2707" i="4"/>
  <c r="S2706" i="4"/>
  <c r="O2706" i="4"/>
  <c r="S2705" i="4"/>
  <c r="O2705" i="4"/>
  <c r="S2704" i="4"/>
  <c r="O2704" i="4"/>
  <c r="S2703" i="4"/>
  <c r="O2703" i="4"/>
  <c r="S2702" i="4"/>
  <c r="O2702" i="4"/>
  <c r="S2701" i="4"/>
  <c r="O2701" i="4"/>
  <c r="S2700" i="4"/>
  <c r="O2700" i="4"/>
  <c r="S2699" i="4"/>
  <c r="O2699" i="4"/>
  <c r="S2698" i="4"/>
  <c r="O2698" i="4"/>
  <c r="S2697" i="4"/>
  <c r="O2697" i="4"/>
  <c r="S2696" i="4"/>
  <c r="O2696" i="4"/>
  <c r="S2695" i="4"/>
  <c r="O2695" i="4"/>
  <c r="S2694" i="4"/>
  <c r="O2694" i="4"/>
  <c r="S2693" i="4"/>
  <c r="O2693" i="4"/>
  <c r="S2692" i="4"/>
  <c r="O2692" i="4"/>
  <c r="S2691" i="4"/>
  <c r="O2691" i="4"/>
  <c r="S2690" i="4"/>
  <c r="O2690" i="4"/>
  <c r="S2689" i="4"/>
  <c r="O2689" i="4"/>
  <c r="S2688" i="4"/>
  <c r="O2688" i="4"/>
  <c r="S2687" i="4"/>
  <c r="O2687" i="4"/>
  <c r="S2686" i="4"/>
  <c r="O2686" i="4"/>
  <c r="S2685" i="4"/>
  <c r="O2685" i="4"/>
  <c r="S2684" i="4"/>
  <c r="O2684" i="4"/>
  <c r="S2683" i="4"/>
  <c r="O2683" i="4"/>
  <c r="S2682" i="4"/>
  <c r="O2682" i="4"/>
  <c r="S2681" i="4"/>
  <c r="O2681" i="4"/>
  <c r="S2680" i="4"/>
  <c r="O2680" i="4"/>
  <c r="S2679" i="4"/>
  <c r="O2679" i="4"/>
  <c r="S2678" i="4"/>
  <c r="O2678" i="4"/>
  <c r="S2677" i="4"/>
  <c r="O2677" i="4"/>
  <c r="S2676" i="4"/>
  <c r="O2676" i="4"/>
  <c r="S2675" i="4"/>
  <c r="O2675" i="4"/>
  <c r="S2674" i="4"/>
  <c r="O2674" i="4"/>
  <c r="S2673" i="4"/>
  <c r="O2673" i="4"/>
  <c r="S2672" i="4"/>
  <c r="O2672" i="4"/>
  <c r="S2671" i="4"/>
  <c r="O2671" i="4"/>
  <c r="S2670" i="4"/>
  <c r="O2670" i="4"/>
  <c r="S2669" i="4"/>
  <c r="O2669" i="4"/>
  <c r="S2668" i="4"/>
  <c r="O2668" i="4"/>
  <c r="S2667" i="4"/>
  <c r="O2667" i="4"/>
  <c r="S2666" i="4"/>
  <c r="O2666" i="4"/>
  <c r="S2665" i="4"/>
  <c r="O2665" i="4"/>
  <c r="S2664" i="4"/>
  <c r="O2664" i="4"/>
  <c r="S2663" i="4"/>
  <c r="O2663" i="4"/>
  <c r="S2662" i="4"/>
  <c r="O2662" i="4"/>
  <c r="S2661" i="4"/>
  <c r="O2661" i="4"/>
  <c r="S2660" i="4"/>
  <c r="O2660" i="4"/>
  <c r="S2659" i="4"/>
  <c r="O2659" i="4"/>
  <c r="S2658" i="4"/>
  <c r="O2658" i="4"/>
  <c r="S2657" i="4"/>
  <c r="O2657" i="4"/>
  <c r="S2656" i="4"/>
  <c r="O2656" i="4"/>
  <c r="S2655" i="4"/>
  <c r="O2655" i="4"/>
  <c r="S2654" i="4"/>
  <c r="O2654" i="4"/>
  <c r="S2653" i="4"/>
  <c r="O2653" i="4"/>
  <c r="S2652" i="4"/>
  <c r="O2652" i="4"/>
  <c r="S2651" i="4"/>
  <c r="O2651" i="4"/>
  <c r="S2650" i="4"/>
  <c r="O2650" i="4"/>
  <c r="S2649" i="4"/>
  <c r="O2649" i="4"/>
  <c r="S2648" i="4"/>
  <c r="O2648" i="4"/>
  <c r="S2647" i="4"/>
  <c r="O2647" i="4"/>
  <c r="S2646" i="4"/>
  <c r="O2646" i="4"/>
  <c r="S2645" i="4"/>
  <c r="O2645" i="4"/>
  <c r="S2644" i="4"/>
  <c r="O2644" i="4"/>
  <c r="S2643" i="4"/>
  <c r="O2643" i="4"/>
  <c r="S2642" i="4"/>
  <c r="O2642" i="4"/>
  <c r="S2641" i="4"/>
  <c r="O2641" i="4"/>
  <c r="S2640" i="4"/>
  <c r="O2640" i="4"/>
  <c r="S2639" i="4"/>
  <c r="O2639" i="4"/>
  <c r="S2638" i="4"/>
  <c r="O2638" i="4"/>
  <c r="S2637" i="4"/>
  <c r="O2637" i="4"/>
  <c r="S2636" i="4"/>
  <c r="O2636" i="4"/>
  <c r="S2635" i="4"/>
  <c r="O2635" i="4"/>
  <c r="S2634" i="4"/>
  <c r="O2634" i="4"/>
  <c r="S2633" i="4"/>
  <c r="O2633" i="4"/>
  <c r="S2632" i="4"/>
  <c r="O2632" i="4"/>
  <c r="S2631" i="4"/>
  <c r="O2631" i="4"/>
  <c r="S2630" i="4"/>
  <c r="O2630" i="4"/>
  <c r="S2629" i="4"/>
  <c r="O2629" i="4"/>
  <c r="S2628" i="4"/>
  <c r="O2628" i="4"/>
  <c r="S2627" i="4"/>
  <c r="O2627" i="4"/>
  <c r="S2626" i="4"/>
  <c r="O2626" i="4"/>
  <c r="S2625" i="4"/>
  <c r="O2625" i="4"/>
  <c r="S2624" i="4"/>
  <c r="O2624" i="4"/>
  <c r="S2623" i="4"/>
  <c r="O2623" i="4"/>
  <c r="S2622" i="4"/>
  <c r="O2622" i="4"/>
  <c r="S2621" i="4"/>
  <c r="O2621" i="4"/>
  <c r="S2620" i="4"/>
  <c r="O2620" i="4"/>
  <c r="S2619" i="4"/>
  <c r="O2619" i="4"/>
  <c r="S2618" i="4"/>
  <c r="O2618" i="4"/>
  <c r="S2617" i="4"/>
  <c r="O2617" i="4"/>
  <c r="S2616" i="4"/>
  <c r="O2616" i="4"/>
  <c r="S2615" i="4"/>
  <c r="O2615" i="4"/>
  <c r="S2614" i="4"/>
  <c r="O2614" i="4"/>
  <c r="S2613" i="4"/>
  <c r="O2613" i="4"/>
  <c r="S2612" i="4"/>
  <c r="O2612" i="4"/>
  <c r="S2611" i="4"/>
  <c r="O2611" i="4"/>
  <c r="S2610" i="4"/>
  <c r="O2610" i="4"/>
  <c r="S2609" i="4"/>
  <c r="O2609" i="4"/>
  <c r="S2608" i="4"/>
  <c r="O2608" i="4"/>
  <c r="S2607" i="4"/>
  <c r="O2607" i="4"/>
  <c r="S2606" i="4"/>
  <c r="O2606" i="4"/>
  <c r="S2605" i="4"/>
  <c r="O2605" i="4"/>
  <c r="S2604" i="4"/>
  <c r="O2604" i="4"/>
  <c r="S2603" i="4"/>
  <c r="O2603" i="4"/>
  <c r="S2602" i="4"/>
  <c r="O2602" i="4"/>
  <c r="S2601" i="4"/>
  <c r="O2601" i="4"/>
  <c r="S2600" i="4"/>
  <c r="O2600" i="4"/>
  <c r="S2599" i="4"/>
  <c r="O2599" i="4"/>
  <c r="S2598" i="4"/>
  <c r="O2598" i="4"/>
  <c r="S2597" i="4"/>
  <c r="O2597" i="4"/>
  <c r="S2596" i="4"/>
  <c r="O2596" i="4"/>
  <c r="S2595" i="4"/>
  <c r="O2595" i="4"/>
  <c r="S2594" i="4"/>
  <c r="O2594" i="4"/>
  <c r="S2593" i="4"/>
  <c r="O2593" i="4"/>
  <c r="S2592" i="4"/>
  <c r="O2592" i="4"/>
  <c r="S2591" i="4"/>
  <c r="O2591" i="4"/>
  <c r="S2590" i="4"/>
  <c r="O2590" i="4"/>
  <c r="S2589" i="4"/>
  <c r="O2589" i="4"/>
  <c r="S2588" i="4"/>
  <c r="O2588" i="4"/>
  <c r="S2587" i="4"/>
  <c r="O2587" i="4"/>
  <c r="S2586" i="4"/>
  <c r="O2586" i="4"/>
  <c r="S2585" i="4"/>
  <c r="O2585" i="4"/>
  <c r="S2584" i="4"/>
  <c r="O2584" i="4"/>
  <c r="S2583" i="4"/>
  <c r="O2583" i="4"/>
  <c r="S2582" i="4"/>
  <c r="O2582" i="4"/>
  <c r="S2581" i="4"/>
  <c r="O2581" i="4"/>
  <c r="S2580" i="4"/>
  <c r="O2580" i="4"/>
  <c r="S2579" i="4"/>
  <c r="O2579" i="4"/>
  <c r="S2578" i="4"/>
  <c r="O2578" i="4"/>
  <c r="S2577" i="4"/>
  <c r="O2577" i="4"/>
  <c r="S2576" i="4"/>
  <c r="O2576" i="4"/>
  <c r="S2575" i="4"/>
  <c r="O2575" i="4"/>
  <c r="S2574" i="4"/>
  <c r="O2574" i="4"/>
  <c r="S2573" i="4"/>
  <c r="O2573" i="4"/>
  <c r="S2572" i="4"/>
  <c r="O2572" i="4"/>
  <c r="S2571" i="4"/>
  <c r="O2571" i="4"/>
  <c r="S2570" i="4"/>
  <c r="O2570" i="4"/>
  <c r="S2569" i="4"/>
  <c r="O2569" i="4"/>
  <c r="S2568" i="4"/>
  <c r="O2568" i="4"/>
  <c r="S2567" i="4"/>
  <c r="O2567" i="4"/>
  <c r="S2566" i="4"/>
  <c r="O2566" i="4"/>
  <c r="S2565" i="4"/>
  <c r="O2565" i="4"/>
  <c r="S2564" i="4"/>
  <c r="O2564" i="4"/>
  <c r="S2563" i="4"/>
  <c r="O2563" i="4"/>
  <c r="S2562" i="4"/>
  <c r="O2562" i="4"/>
  <c r="S2561" i="4"/>
  <c r="O2561" i="4"/>
  <c r="S2560" i="4"/>
  <c r="O2560" i="4"/>
  <c r="S2559" i="4"/>
  <c r="O2559" i="4"/>
  <c r="S2558" i="4"/>
  <c r="O2558" i="4"/>
  <c r="S2557" i="4"/>
  <c r="O2557" i="4"/>
  <c r="S2556" i="4"/>
  <c r="O2556" i="4"/>
  <c r="S2555" i="4"/>
  <c r="O2555" i="4"/>
  <c r="S2554" i="4"/>
  <c r="O2554" i="4"/>
  <c r="S2553" i="4"/>
  <c r="O2553" i="4"/>
  <c r="S2552" i="4"/>
  <c r="O2552" i="4"/>
  <c r="S2551" i="4"/>
  <c r="O2551" i="4"/>
  <c r="S2550" i="4"/>
  <c r="O2550" i="4"/>
  <c r="S2549" i="4"/>
  <c r="O2549" i="4"/>
  <c r="S2548" i="4"/>
  <c r="O2548" i="4"/>
  <c r="S2547" i="4"/>
  <c r="O2547" i="4"/>
  <c r="S2546" i="4"/>
  <c r="O2546" i="4"/>
  <c r="S2545" i="4"/>
  <c r="O2545" i="4"/>
  <c r="S2544" i="4"/>
  <c r="O2544" i="4"/>
  <c r="S2543" i="4"/>
  <c r="O2543" i="4"/>
  <c r="S2542" i="4"/>
  <c r="O2542" i="4"/>
  <c r="S2541" i="4"/>
  <c r="O2541" i="4"/>
  <c r="S2540" i="4"/>
  <c r="O2540" i="4"/>
  <c r="S2539" i="4"/>
  <c r="O2539" i="4"/>
  <c r="S2538" i="4"/>
  <c r="O2538" i="4"/>
  <c r="S2537" i="4"/>
  <c r="O2537" i="4"/>
  <c r="S2536" i="4"/>
  <c r="O2536" i="4"/>
  <c r="S2535" i="4"/>
  <c r="O2535" i="4"/>
  <c r="S2534" i="4"/>
  <c r="O2534" i="4"/>
  <c r="S2533" i="4"/>
  <c r="O2533" i="4"/>
  <c r="S2532" i="4"/>
  <c r="O2532" i="4"/>
  <c r="S2531" i="4"/>
  <c r="O2531" i="4"/>
  <c r="S2530" i="4"/>
  <c r="O2530" i="4"/>
  <c r="S2529" i="4"/>
  <c r="O2529" i="4"/>
  <c r="S2528" i="4"/>
  <c r="O2528" i="4"/>
  <c r="S2527" i="4"/>
  <c r="O2527" i="4"/>
  <c r="S2526" i="4"/>
  <c r="O2526" i="4"/>
  <c r="S2525" i="4"/>
  <c r="O2525" i="4"/>
  <c r="S2524" i="4"/>
  <c r="O2524" i="4"/>
  <c r="S2523" i="4"/>
  <c r="O2523" i="4"/>
  <c r="S2522" i="4"/>
  <c r="O2522" i="4"/>
  <c r="S2521" i="4"/>
  <c r="O2521" i="4"/>
  <c r="S2520" i="4"/>
  <c r="O2520" i="4"/>
  <c r="S2519" i="4"/>
  <c r="O2519" i="4"/>
  <c r="S2518" i="4"/>
  <c r="O2518" i="4"/>
  <c r="S2517" i="4"/>
  <c r="O2517" i="4"/>
  <c r="S2516" i="4"/>
  <c r="O2516" i="4"/>
  <c r="S2515" i="4"/>
  <c r="O2515" i="4"/>
  <c r="S2514" i="4"/>
  <c r="O2514" i="4"/>
  <c r="S2513" i="4"/>
  <c r="O2513" i="4"/>
  <c r="S2512" i="4"/>
  <c r="O2512" i="4"/>
  <c r="S2511" i="4"/>
  <c r="O2511" i="4"/>
  <c r="S2510" i="4"/>
  <c r="O2510" i="4"/>
  <c r="S2509" i="4"/>
  <c r="O2509" i="4"/>
  <c r="S2508" i="4"/>
  <c r="O2508" i="4"/>
  <c r="S2507" i="4"/>
  <c r="O2507" i="4"/>
  <c r="S2506" i="4"/>
  <c r="O2506" i="4"/>
  <c r="S2505" i="4"/>
  <c r="O2505" i="4"/>
  <c r="S2504" i="4"/>
  <c r="O2504" i="4"/>
  <c r="S2503" i="4"/>
  <c r="O2503" i="4"/>
  <c r="S2502" i="4"/>
  <c r="O2502" i="4"/>
  <c r="S2501" i="4"/>
  <c r="O2501" i="4"/>
  <c r="S2500" i="4"/>
  <c r="O2500" i="4"/>
  <c r="S2499" i="4"/>
  <c r="O2499" i="4"/>
  <c r="S2498" i="4"/>
  <c r="O2498" i="4"/>
  <c r="S2497" i="4"/>
  <c r="O2497" i="4"/>
  <c r="S2496" i="4"/>
  <c r="O2496" i="4"/>
  <c r="S2495" i="4"/>
  <c r="O2495" i="4"/>
  <c r="S2494" i="4"/>
  <c r="O2494" i="4"/>
  <c r="S2493" i="4"/>
  <c r="O2493" i="4"/>
  <c r="S2492" i="4"/>
  <c r="O2492" i="4"/>
  <c r="S2491" i="4"/>
  <c r="O2491" i="4"/>
  <c r="S2490" i="4"/>
  <c r="O2490" i="4"/>
  <c r="S2489" i="4"/>
  <c r="O2489" i="4"/>
  <c r="S2488" i="4"/>
  <c r="O2488" i="4"/>
  <c r="S2487" i="4"/>
  <c r="O2487" i="4"/>
  <c r="S2486" i="4"/>
  <c r="O2486" i="4"/>
  <c r="S2485" i="4"/>
  <c r="O2485" i="4"/>
  <c r="S2484" i="4"/>
  <c r="O2484" i="4"/>
  <c r="S2483" i="4"/>
  <c r="O2483" i="4"/>
  <c r="S2482" i="4"/>
  <c r="O2482" i="4"/>
  <c r="S2481" i="4"/>
  <c r="O2481" i="4"/>
  <c r="S2480" i="4"/>
  <c r="O2480" i="4"/>
  <c r="S2479" i="4"/>
  <c r="O2479" i="4"/>
  <c r="S2478" i="4"/>
  <c r="O2478" i="4"/>
  <c r="S2477" i="4"/>
  <c r="O2477" i="4"/>
  <c r="S2476" i="4"/>
  <c r="O2476" i="4"/>
  <c r="S2475" i="4"/>
  <c r="O2475" i="4"/>
  <c r="S2474" i="4"/>
  <c r="O2474" i="4"/>
  <c r="S2473" i="4"/>
  <c r="O2473" i="4"/>
  <c r="S2472" i="4"/>
  <c r="O2472" i="4"/>
  <c r="S2471" i="4"/>
  <c r="O2471" i="4"/>
  <c r="S2470" i="4"/>
  <c r="O2470" i="4"/>
  <c r="S2469" i="4"/>
  <c r="O2469" i="4"/>
  <c r="S2468" i="4"/>
  <c r="O2468" i="4"/>
  <c r="S2467" i="4"/>
  <c r="O2467" i="4"/>
  <c r="S2466" i="4"/>
  <c r="O2466" i="4"/>
  <c r="S2465" i="4"/>
  <c r="O2465" i="4"/>
  <c r="S2464" i="4"/>
  <c r="O2464" i="4"/>
  <c r="S2463" i="4"/>
  <c r="O2463" i="4"/>
  <c r="S2462" i="4"/>
  <c r="O2462" i="4"/>
  <c r="S2461" i="4"/>
  <c r="O2461" i="4"/>
  <c r="S2460" i="4"/>
  <c r="O2460" i="4"/>
  <c r="S2459" i="4"/>
  <c r="O2459" i="4"/>
  <c r="S2458" i="4"/>
  <c r="O2458" i="4"/>
  <c r="S2457" i="4"/>
  <c r="O2457" i="4"/>
  <c r="S2456" i="4"/>
  <c r="O2456" i="4"/>
  <c r="S2455" i="4"/>
  <c r="O2455" i="4"/>
  <c r="S2454" i="4"/>
  <c r="O2454" i="4"/>
  <c r="S2453" i="4"/>
  <c r="O2453" i="4"/>
  <c r="S2452" i="4"/>
  <c r="O2452" i="4"/>
  <c r="S2451" i="4"/>
  <c r="O2451" i="4"/>
  <c r="S2450" i="4"/>
  <c r="O2450" i="4"/>
  <c r="S2449" i="4"/>
  <c r="O2449" i="4"/>
  <c r="S2448" i="4"/>
  <c r="O2448" i="4"/>
  <c r="S2447" i="4"/>
  <c r="O2447" i="4"/>
  <c r="S2446" i="4"/>
  <c r="O2446" i="4"/>
  <c r="S2445" i="4"/>
  <c r="O2445" i="4"/>
  <c r="S2444" i="4"/>
  <c r="O2444" i="4"/>
  <c r="S2443" i="4"/>
  <c r="O2443" i="4"/>
  <c r="S2442" i="4"/>
  <c r="O2442" i="4"/>
  <c r="S2441" i="4"/>
  <c r="O2441" i="4"/>
  <c r="S2440" i="4"/>
  <c r="O2440" i="4"/>
  <c r="S2439" i="4"/>
  <c r="O2439" i="4"/>
  <c r="S2438" i="4"/>
  <c r="O2438" i="4"/>
  <c r="S2437" i="4"/>
  <c r="O2437" i="4"/>
  <c r="S2436" i="4"/>
  <c r="O2436" i="4"/>
  <c r="S2435" i="4"/>
  <c r="O2435" i="4"/>
  <c r="S2434" i="4"/>
  <c r="O2434" i="4"/>
  <c r="S2433" i="4"/>
  <c r="O2433" i="4"/>
  <c r="S2432" i="4"/>
  <c r="O2432" i="4"/>
  <c r="S2431" i="4"/>
  <c r="O2431" i="4"/>
  <c r="S2430" i="4"/>
  <c r="O2430" i="4"/>
  <c r="S2429" i="4"/>
  <c r="O2429" i="4"/>
  <c r="S2428" i="4"/>
  <c r="O2428" i="4"/>
  <c r="S2427" i="4"/>
  <c r="O2427" i="4"/>
  <c r="S2426" i="4"/>
  <c r="O2426" i="4"/>
  <c r="S2425" i="4"/>
  <c r="O2425" i="4"/>
  <c r="S2424" i="4"/>
  <c r="O2424" i="4"/>
  <c r="S2423" i="4"/>
  <c r="O2423" i="4"/>
  <c r="S2422" i="4"/>
  <c r="O2422" i="4"/>
  <c r="S2421" i="4"/>
  <c r="O2421" i="4"/>
  <c r="S2420" i="4"/>
  <c r="O2420" i="4"/>
  <c r="S2419" i="4"/>
  <c r="O2419" i="4"/>
  <c r="S2418" i="4"/>
  <c r="O2418" i="4"/>
  <c r="S2417" i="4"/>
  <c r="O2417" i="4"/>
  <c r="S2416" i="4"/>
  <c r="O2416" i="4"/>
  <c r="S2415" i="4"/>
  <c r="O2415" i="4"/>
  <c r="S2414" i="4"/>
  <c r="O2414" i="4"/>
  <c r="S2413" i="4"/>
  <c r="O2413" i="4"/>
  <c r="S2412" i="4"/>
  <c r="O2412" i="4"/>
  <c r="S2411" i="4"/>
  <c r="O2411" i="4"/>
  <c r="S2410" i="4"/>
  <c r="O2410" i="4"/>
  <c r="S2409" i="4"/>
  <c r="O2409" i="4"/>
  <c r="S2408" i="4"/>
  <c r="O2408" i="4"/>
  <c r="S2407" i="4"/>
  <c r="O2407" i="4"/>
  <c r="S2406" i="4"/>
  <c r="O2406" i="4"/>
  <c r="S2405" i="4"/>
  <c r="O2405" i="4"/>
  <c r="S2404" i="4"/>
  <c r="O2404" i="4"/>
  <c r="S2403" i="4"/>
  <c r="O2403" i="4"/>
  <c r="S2402" i="4"/>
  <c r="O2402" i="4"/>
  <c r="S2401" i="4"/>
  <c r="O2401" i="4"/>
  <c r="S2400" i="4"/>
  <c r="O2400" i="4"/>
  <c r="S2399" i="4"/>
  <c r="O2399" i="4"/>
  <c r="S2398" i="4"/>
  <c r="O2398" i="4"/>
  <c r="S2397" i="4"/>
  <c r="O2397" i="4"/>
  <c r="S2396" i="4"/>
  <c r="O2396" i="4"/>
  <c r="S2395" i="4"/>
  <c r="O2395" i="4"/>
  <c r="S2394" i="4"/>
  <c r="O2394" i="4"/>
  <c r="S2393" i="4"/>
  <c r="O2393" i="4"/>
  <c r="S2392" i="4"/>
  <c r="O2392" i="4"/>
  <c r="S2391" i="4"/>
  <c r="O2391" i="4"/>
  <c r="S2390" i="4"/>
  <c r="O2390" i="4"/>
  <c r="S2389" i="4"/>
  <c r="O2389" i="4"/>
  <c r="S2388" i="4"/>
  <c r="O2388" i="4"/>
  <c r="S2387" i="4"/>
  <c r="O2387" i="4"/>
  <c r="S2386" i="4"/>
  <c r="O2386" i="4"/>
  <c r="S2385" i="4"/>
  <c r="O2385" i="4"/>
  <c r="S2384" i="4"/>
  <c r="O2384" i="4"/>
  <c r="S2383" i="4"/>
  <c r="O2383" i="4"/>
  <c r="S2382" i="4"/>
  <c r="O2382" i="4"/>
  <c r="S2381" i="4"/>
  <c r="O2381" i="4"/>
  <c r="S2380" i="4"/>
  <c r="O2380" i="4"/>
  <c r="S2379" i="4"/>
  <c r="O2379" i="4"/>
  <c r="S2378" i="4"/>
  <c r="O2378" i="4"/>
  <c r="S2377" i="4"/>
  <c r="O2377" i="4"/>
  <c r="S2376" i="4"/>
  <c r="O2376" i="4"/>
  <c r="S2375" i="4"/>
  <c r="O2375" i="4"/>
  <c r="S2374" i="4"/>
  <c r="O2374" i="4"/>
  <c r="S2373" i="4"/>
  <c r="O2373" i="4"/>
  <c r="S2372" i="4"/>
  <c r="O2372" i="4"/>
  <c r="S2371" i="4"/>
  <c r="O2371" i="4"/>
  <c r="S2370" i="4"/>
  <c r="O2370" i="4"/>
  <c r="S2369" i="4"/>
  <c r="O2369" i="4"/>
  <c r="S2368" i="4"/>
  <c r="O2368" i="4"/>
  <c r="S2367" i="4"/>
  <c r="O2367" i="4"/>
  <c r="S2366" i="4"/>
  <c r="O2366" i="4"/>
  <c r="S2365" i="4"/>
  <c r="O2365" i="4"/>
  <c r="S2364" i="4"/>
  <c r="O2364" i="4"/>
  <c r="S2363" i="4"/>
  <c r="O2363" i="4"/>
  <c r="S2362" i="4"/>
  <c r="O2362" i="4"/>
  <c r="S2361" i="4"/>
  <c r="O2361" i="4"/>
  <c r="S2360" i="4"/>
  <c r="O2360" i="4"/>
  <c r="S2359" i="4"/>
  <c r="O2359" i="4"/>
  <c r="S2358" i="4"/>
  <c r="O2358" i="4"/>
  <c r="S2357" i="4"/>
  <c r="O2357" i="4"/>
  <c r="S2356" i="4"/>
  <c r="O2356" i="4"/>
  <c r="S2355" i="4"/>
  <c r="O2355" i="4"/>
  <c r="S2354" i="4"/>
  <c r="O2354" i="4"/>
  <c r="S2353" i="4"/>
  <c r="O2353" i="4"/>
  <c r="S2352" i="4"/>
  <c r="O2352" i="4"/>
  <c r="S2351" i="4"/>
  <c r="O2351" i="4"/>
  <c r="S2350" i="4"/>
  <c r="O2350" i="4"/>
  <c r="S2349" i="4"/>
  <c r="O2349" i="4"/>
  <c r="S2348" i="4"/>
  <c r="O2348" i="4"/>
  <c r="S2347" i="4"/>
  <c r="O2347" i="4"/>
  <c r="S2346" i="4"/>
  <c r="O2346" i="4"/>
  <c r="S2345" i="4"/>
  <c r="O2345" i="4"/>
  <c r="S2344" i="4"/>
  <c r="O2344" i="4"/>
  <c r="S2343" i="4"/>
  <c r="O2343" i="4"/>
  <c r="S2342" i="4"/>
  <c r="O2342" i="4"/>
  <c r="S2341" i="4"/>
  <c r="O2341" i="4"/>
  <c r="S2340" i="4"/>
  <c r="O2340" i="4"/>
  <c r="S2339" i="4"/>
  <c r="O2339" i="4"/>
  <c r="S2338" i="4"/>
  <c r="O2338" i="4"/>
  <c r="S2337" i="4"/>
  <c r="O2337" i="4"/>
  <c r="S2336" i="4"/>
  <c r="O2336" i="4"/>
  <c r="S2335" i="4"/>
  <c r="O2335" i="4"/>
  <c r="S2334" i="4"/>
  <c r="O2334" i="4"/>
  <c r="S2333" i="4"/>
  <c r="O2333" i="4"/>
  <c r="S2332" i="4"/>
  <c r="O2332" i="4"/>
  <c r="S2331" i="4"/>
  <c r="O2331" i="4"/>
  <c r="S2330" i="4"/>
  <c r="O2330" i="4"/>
  <c r="S2329" i="4"/>
  <c r="O2329" i="4"/>
  <c r="S2328" i="4"/>
  <c r="O2328" i="4"/>
  <c r="S2327" i="4"/>
  <c r="O2327" i="4"/>
  <c r="S2326" i="4"/>
  <c r="O2326" i="4"/>
  <c r="S2325" i="4"/>
  <c r="O2325" i="4"/>
  <c r="S2324" i="4"/>
  <c r="O2324" i="4"/>
  <c r="S2323" i="4"/>
  <c r="O2323" i="4"/>
  <c r="S2322" i="4"/>
  <c r="O2322" i="4"/>
  <c r="S2321" i="4"/>
  <c r="O2321" i="4"/>
  <c r="S2320" i="4"/>
  <c r="O2320" i="4"/>
  <c r="S2319" i="4"/>
  <c r="O2319" i="4"/>
  <c r="S2318" i="4"/>
  <c r="O2318" i="4"/>
  <c r="S2317" i="4"/>
  <c r="O2317" i="4"/>
  <c r="S2316" i="4"/>
  <c r="O2316" i="4"/>
  <c r="S2315" i="4"/>
  <c r="O2315" i="4"/>
  <c r="S2314" i="4"/>
  <c r="O2314" i="4"/>
  <c r="S2313" i="4"/>
  <c r="O2313" i="4"/>
  <c r="S2312" i="4"/>
  <c r="O2312" i="4"/>
  <c r="S2311" i="4"/>
  <c r="O2311" i="4"/>
  <c r="S2310" i="4"/>
  <c r="O2310" i="4"/>
  <c r="S2309" i="4"/>
  <c r="O2309" i="4"/>
  <c r="S2308" i="4"/>
  <c r="O2308" i="4"/>
  <c r="S2307" i="4"/>
  <c r="O2307" i="4"/>
  <c r="S2306" i="4"/>
  <c r="O2306" i="4"/>
  <c r="S2305" i="4"/>
  <c r="O2305" i="4"/>
  <c r="S2304" i="4"/>
  <c r="O2304" i="4"/>
  <c r="S2303" i="4"/>
  <c r="O2303" i="4"/>
  <c r="S2302" i="4"/>
  <c r="O2302" i="4"/>
  <c r="S2301" i="4"/>
  <c r="O2301" i="4"/>
  <c r="S2300" i="4"/>
  <c r="O2300" i="4"/>
  <c r="S2299" i="4"/>
  <c r="O2299" i="4"/>
  <c r="S2298" i="4"/>
  <c r="O2298" i="4"/>
  <c r="S2297" i="4"/>
  <c r="O2297" i="4"/>
  <c r="S2296" i="4"/>
  <c r="O2296" i="4"/>
  <c r="S2295" i="4"/>
  <c r="O2295" i="4"/>
  <c r="S2294" i="4"/>
  <c r="O2294" i="4"/>
  <c r="S2293" i="4"/>
  <c r="O2293" i="4"/>
  <c r="S2292" i="4"/>
  <c r="O2292" i="4"/>
  <c r="S2291" i="4"/>
  <c r="O2291" i="4"/>
  <c r="S2290" i="4"/>
  <c r="O2290" i="4"/>
  <c r="S2289" i="4"/>
  <c r="O2289" i="4"/>
  <c r="S2288" i="4"/>
  <c r="O2288" i="4"/>
  <c r="S2287" i="4"/>
  <c r="O2287" i="4"/>
  <c r="S2286" i="4"/>
  <c r="O2286" i="4"/>
  <c r="S2285" i="4"/>
  <c r="O2285" i="4"/>
  <c r="S2284" i="4"/>
  <c r="O2284" i="4"/>
  <c r="S2283" i="4"/>
  <c r="O2283" i="4"/>
  <c r="S2282" i="4"/>
  <c r="O2282" i="4"/>
  <c r="S2281" i="4"/>
  <c r="O2281" i="4"/>
  <c r="S2280" i="4"/>
  <c r="O2280" i="4"/>
  <c r="S2279" i="4"/>
  <c r="O2279" i="4"/>
  <c r="S2278" i="4"/>
  <c r="O2278" i="4"/>
  <c r="S2277" i="4"/>
  <c r="O2277" i="4"/>
  <c r="S2276" i="4"/>
  <c r="O2276" i="4"/>
  <c r="S2275" i="4"/>
  <c r="O2275" i="4"/>
  <c r="S2274" i="4"/>
  <c r="O2274" i="4"/>
  <c r="S2273" i="4"/>
  <c r="O2273" i="4"/>
  <c r="S2272" i="4"/>
  <c r="O2272" i="4"/>
  <c r="S2271" i="4"/>
  <c r="O2271" i="4"/>
  <c r="S2270" i="4"/>
  <c r="O2270" i="4"/>
  <c r="S2269" i="4"/>
  <c r="O2269" i="4"/>
  <c r="S2268" i="4"/>
  <c r="O2268" i="4"/>
  <c r="S2267" i="4"/>
  <c r="O2267" i="4"/>
  <c r="S2266" i="4"/>
  <c r="O2266" i="4"/>
  <c r="S2265" i="4"/>
  <c r="O2265" i="4"/>
  <c r="S2264" i="4"/>
  <c r="O2264" i="4"/>
  <c r="S2263" i="4"/>
  <c r="O2263" i="4"/>
  <c r="S2262" i="4"/>
  <c r="O2262" i="4"/>
  <c r="S2261" i="4"/>
  <c r="O2261" i="4"/>
  <c r="S2260" i="4"/>
  <c r="O2260" i="4"/>
  <c r="S2259" i="4"/>
  <c r="O2259" i="4"/>
  <c r="S2258" i="4"/>
  <c r="O2258" i="4"/>
  <c r="S2257" i="4"/>
  <c r="O2257" i="4"/>
  <c r="S2256" i="4"/>
  <c r="O2256" i="4"/>
  <c r="S2255" i="4"/>
  <c r="O2255" i="4"/>
  <c r="S2254" i="4"/>
  <c r="O2254" i="4"/>
  <c r="S2253" i="4"/>
  <c r="O2253" i="4"/>
  <c r="S2252" i="4"/>
  <c r="O2252" i="4"/>
  <c r="S2251" i="4"/>
  <c r="O2251" i="4"/>
  <c r="S2250" i="4"/>
  <c r="O2250" i="4"/>
  <c r="S2249" i="4"/>
  <c r="O2249" i="4"/>
  <c r="S2248" i="4"/>
  <c r="O2248" i="4"/>
  <c r="S2247" i="4"/>
  <c r="O2247" i="4"/>
  <c r="S2246" i="4"/>
  <c r="O2246" i="4"/>
  <c r="S2245" i="4"/>
  <c r="O2245" i="4"/>
  <c r="S2244" i="4"/>
  <c r="O2244" i="4"/>
  <c r="S2243" i="4"/>
  <c r="O2243" i="4"/>
  <c r="S2242" i="4"/>
  <c r="O2242" i="4"/>
  <c r="S2241" i="4"/>
  <c r="O2241" i="4"/>
  <c r="S2240" i="4"/>
  <c r="O2240" i="4"/>
  <c r="S2239" i="4"/>
  <c r="O2239" i="4"/>
  <c r="S2238" i="4"/>
  <c r="O2238" i="4"/>
  <c r="S2237" i="4"/>
  <c r="O2237" i="4"/>
  <c r="S2236" i="4"/>
  <c r="O2236" i="4"/>
  <c r="S2235" i="4"/>
  <c r="O2235" i="4"/>
  <c r="S2234" i="4"/>
  <c r="O2234" i="4"/>
  <c r="S2233" i="4"/>
  <c r="O2233" i="4"/>
  <c r="S2232" i="4"/>
  <c r="O2232" i="4"/>
  <c r="S2231" i="4"/>
  <c r="O2231" i="4"/>
  <c r="S2230" i="4"/>
  <c r="O2230" i="4"/>
  <c r="S2229" i="4"/>
  <c r="O2229" i="4"/>
  <c r="S2228" i="4"/>
  <c r="O2228" i="4"/>
  <c r="S2227" i="4"/>
  <c r="O2227" i="4"/>
  <c r="S2226" i="4"/>
  <c r="O2226" i="4"/>
  <c r="S2225" i="4"/>
  <c r="O2225" i="4"/>
  <c r="S2224" i="4"/>
  <c r="O2224" i="4"/>
  <c r="S2223" i="4"/>
  <c r="O2223" i="4"/>
  <c r="S2222" i="4"/>
  <c r="O2222" i="4"/>
  <c r="S2221" i="4"/>
  <c r="O2221" i="4"/>
  <c r="S2220" i="4"/>
  <c r="O2220" i="4"/>
  <c r="S2219" i="4"/>
  <c r="O2219" i="4"/>
  <c r="S2218" i="4"/>
  <c r="O2218" i="4"/>
  <c r="S2217" i="4"/>
  <c r="O2217" i="4"/>
  <c r="S2216" i="4"/>
  <c r="O2216" i="4"/>
  <c r="S2215" i="4"/>
  <c r="O2215" i="4"/>
  <c r="S2214" i="4"/>
  <c r="O2214" i="4"/>
  <c r="S2213" i="4"/>
  <c r="O2213" i="4"/>
  <c r="S2212" i="4"/>
  <c r="O2212" i="4"/>
  <c r="S2211" i="4"/>
  <c r="O2211" i="4"/>
  <c r="S2210" i="4"/>
  <c r="O2210" i="4"/>
  <c r="S2209" i="4"/>
  <c r="O2209" i="4"/>
  <c r="S2208" i="4"/>
  <c r="O2208" i="4"/>
  <c r="S2207" i="4"/>
  <c r="O2207" i="4"/>
  <c r="S2206" i="4"/>
  <c r="O2206" i="4"/>
  <c r="S2205" i="4"/>
  <c r="O2205" i="4"/>
  <c r="S2204" i="4"/>
  <c r="O2204" i="4"/>
  <c r="S2203" i="4"/>
  <c r="O2203" i="4"/>
  <c r="S2202" i="4"/>
  <c r="O2202" i="4"/>
  <c r="S2201" i="4"/>
  <c r="O2201" i="4"/>
  <c r="S2200" i="4"/>
  <c r="O2200" i="4"/>
  <c r="S2199" i="4"/>
  <c r="O2199" i="4"/>
  <c r="S2198" i="4"/>
  <c r="O2198" i="4"/>
  <c r="S2197" i="4"/>
  <c r="O2197" i="4"/>
  <c r="S2196" i="4"/>
  <c r="O2196" i="4"/>
  <c r="S2195" i="4"/>
  <c r="O2195" i="4"/>
  <c r="S2194" i="4"/>
  <c r="O2194" i="4"/>
  <c r="S2193" i="4"/>
  <c r="O2193" i="4"/>
  <c r="S2192" i="4"/>
  <c r="O2192" i="4"/>
  <c r="S2191" i="4"/>
  <c r="O2191" i="4"/>
  <c r="S2190" i="4"/>
  <c r="O2190" i="4"/>
  <c r="S2189" i="4"/>
  <c r="O2189" i="4"/>
  <c r="S2188" i="4"/>
  <c r="O2188" i="4"/>
  <c r="S2187" i="4"/>
  <c r="O2187" i="4"/>
  <c r="S2186" i="4"/>
  <c r="O2186" i="4"/>
  <c r="S2185" i="4"/>
  <c r="O2185" i="4"/>
  <c r="S2184" i="4"/>
  <c r="O2184" i="4"/>
  <c r="S2183" i="4"/>
  <c r="O2183" i="4"/>
  <c r="S2182" i="4"/>
  <c r="O2182" i="4"/>
  <c r="S2181" i="4"/>
  <c r="O2181" i="4"/>
  <c r="S2180" i="4"/>
  <c r="O2180" i="4"/>
  <c r="S2179" i="4"/>
  <c r="O2179" i="4"/>
  <c r="S2178" i="4"/>
  <c r="O2178" i="4"/>
  <c r="S2177" i="4"/>
  <c r="O2177" i="4"/>
  <c r="S2176" i="4"/>
  <c r="O2176" i="4"/>
  <c r="S2175" i="4"/>
  <c r="O2175" i="4"/>
  <c r="S2174" i="4"/>
  <c r="O2174" i="4"/>
  <c r="S2173" i="4"/>
  <c r="O2173" i="4"/>
  <c r="S2172" i="4"/>
  <c r="O2172" i="4"/>
  <c r="S2171" i="4"/>
  <c r="O2171" i="4"/>
  <c r="S2170" i="4"/>
  <c r="O2170" i="4"/>
  <c r="S2169" i="4"/>
  <c r="O2169" i="4"/>
  <c r="S2168" i="4"/>
  <c r="O2168" i="4"/>
  <c r="S2167" i="4"/>
  <c r="O2167" i="4"/>
  <c r="S2166" i="4"/>
  <c r="O2166" i="4"/>
  <c r="S2165" i="4"/>
  <c r="O2165" i="4"/>
  <c r="S2164" i="4"/>
  <c r="O2164" i="4"/>
  <c r="S2163" i="4"/>
  <c r="O2163" i="4"/>
  <c r="S2162" i="4"/>
  <c r="O2162" i="4"/>
  <c r="S2161" i="4"/>
  <c r="O2161" i="4"/>
  <c r="S2160" i="4"/>
  <c r="O2160" i="4"/>
  <c r="S2159" i="4"/>
  <c r="O2159" i="4"/>
  <c r="S2158" i="4"/>
  <c r="O2158" i="4"/>
  <c r="S2157" i="4"/>
  <c r="O2157" i="4"/>
  <c r="S2156" i="4"/>
  <c r="O2156" i="4"/>
  <c r="S2155" i="4"/>
  <c r="O2155" i="4"/>
  <c r="S2154" i="4"/>
  <c r="O2154" i="4"/>
  <c r="S2153" i="4"/>
  <c r="O2153" i="4"/>
  <c r="S2152" i="4"/>
  <c r="O2152" i="4"/>
  <c r="S2151" i="4"/>
  <c r="O2151" i="4"/>
  <c r="S2150" i="4"/>
  <c r="O2150" i="4"/>
  <c r="S2149" i="4"/>
  <c r="O2149" i="4"/>
  <c r="S2148" i="4"/>
  <c r="O2148" i="4"/>
  <c r="S2147" i="4"/>
  <c r="O2147" i="4"/>
  <c r="S2146" i="4"/>
  <c r="O2146" i="4"/>
  <c r="S2145" i="4"/>
  <c r="O2145" i="4"/>
  <c r="S2144" i="4"/>
  <c r="O2144" i="4"/>
  <c r="S2143" i="4"/>
  <c r="O2143" i="4"/>
  <c r="S2142" i="4"/>
  <c r="O2142" i="4"/>
  <c r="S2141" i="4"/>
  <c r="O2141" i="4"/>
  <c r="S2140" i="4"/>
  <c r="O2140" i="4"/>
  <c r="S2139" i="4"/>
  <c r="O2139" i="4"/>
  <c r="S2138" i="4"/>
  <c r="O2138" i="4"/>
  <c r="S2137" i="4"/>
  <c r="O2137" i="4"/>
  <c r="S2136" i="4"/>
  <c r="O2136" i="4"/>
  <c r="S2135" i="4"/>
  <c r="O2135" i="4"/>
  <c r="S2134" i="4"/>
  <c r="O2134" i="4"/>
  <c r="S2133" i="4"/>
  <c r="O2133" i="4"/>
  <c r="S2132" i="4"/>
  <c r="O2132" i="4"/>
  <c r="S2131" i="4"/>
  <c r="O2131" i="4"/>
  <c r="S2130" i="4"/>
  <c r="O2130" i="4"/>
  <c r="S2129" i="4"/>
  <c r="O2129" i="4"/>
  <c r="S2128" i="4"/>
  <c r="O2128" i="4"/>
  <c r="S2127" i="4"/>
  <c r="O2127" i="4"/>
  <c r="S2126" i="4"/>
  <c r="O2126" i="4"/>
  <c r="S2125" i="4"/>
  <c r="O2125" i="4"/>
  <c r="S2124" i="4"/>
  <c r="O2124" i="4"/>
  <c r="S2123" i="4"/>
  <c r="O2123" i="4"/>
  <c r="S2122" i="4"/>
  <c r="O2122" i="4"/>
  <c r="S2121" i="4"/>
  <c r="O2121" i="4"/>
  <c r="S2120" i="4"/>
  <c r="O2120" i="4"/>
  <c r="S2119" i="4"/>
  <c r="O2119" i="4"/>
  <c r="S2118" i="4"/>
  <c r="O2118" i="4"/>
  <c r="S2117" i="4"/>
  <c r="O2117" i="4"/>
  <c r="S2116" i="4"/>
  <c r="O2116" i="4"/>
  <c r="S2115" i="4"/>
  <c r="O2115" i="4"/>
  <c r="S2114" i="4"/>
  <c r="O2114" i="4"/>
  <c r="S2113" i="4"/>
  <c r="O2113" i="4"/>
  <c r="S2112" i="4"/>
  <c r="O2112" i="4"/>
  <c r="S2111" i="4"/>
  <c r="O2111" i="4"/>
  <c r="S2110" i="4"/>
  <c r="O2110" i="4"/>
  <c r="S2109" i="4"/>
  <c r="O2109" i="4"/>
  <c r="S2108" i="4"/>
  <c r="O2108" i="4"/>
  <c r="S2107" i="4"/>
  <c r="O2107" i="4"/>
  <c r="S2106" i="4"/>
  <c r="O2106" i="4"/>
  <c r="S2105" i="4"/>
  <c r="O2105" i="4"/>
  <c r="S2104" i="4"/>
  <c r="O2104" i="4"/>
  <c r="S2103" i="4"/>
  <c r="O2103" i="4"/>
  <c r="S2102" i="4"/>
  <c r="O2102" i="4"/>
  <c r="S2101" i="4"/>
  <c r="O2101" i="4"/>
  <c r="S2100" i="4"/>
  <c r="O2100" i="4"/>
  <c r="S2099" i="4"/>
  <c r="O2099" i="4"/>
  <c r="S2098" i="4"/>
  <c r="O2098" i="4"/>
  <c r="S2097" i="4"/>
  <c r="O2097" i="4"/>
  <c r="S2096" i="4"/>
  <c r="O2096" i="4"/>
  <c r="S2095" i="4"/>
  <c r="O2095" i="4"/>
  <c r="S2094" i="4"/>
  <c r="O2094" i="4"/>
  <c r="S2093" i="4"/>
  <c r="O2093" i="4"/>
  <c r="S2092" i="4"/>
  <c r="O2092" i="4"/>
  <c r="S2091" i="4"/>
  <c r="O2091" i="4"/>
  <c r="S2090" i="4"/>
  <c r="O2090" i="4"/>
  <c r="S2089" i="4"/>
  <c r="O2089" i="4"/>
  <c r="S2088" i="4"/>
  <c r="O2088" i="4"/>
  <c r="S2087" i="4"/>
  <c r="O2087" i="4"/>
  <c r="S2086" i="4"/>
  <c r="O2086" i="4"/>
  <c r="S2085" i="4"/>
  <c r="O2085" i="4"/>
  <c r="S2084" i="4"/>
  <c r="O2084" i="4"/>
  <c r="S2083" i="4"/>
  <c r="O2083" i="4"/>
  <c r="S2082" i="4"/>
  <c r="O2082" i="4"/>
  <c r="S2081" i="4"/>
  <c r="O2081" i="4"/>
  <c r="S2080" i="4"/>
  <c r="O2080" i="4"/>
  <c r="S2079" i="4"/>
  <c r="O2079" i="4"/>
  <c r="S2078" i="4"/>
  <c r="O2078" i="4"/>
  <c r="S2077" i="4"/>
  <c r="O2077" i="4"/>
  <c r="S2076" i="4"/>
  <c r="O2076" i="4"/>
  <c r="S2075" i="4"/>
  <c r="O2075" i="4"/>
  <c r="S2074" i="4"/>
  <c r="O2074" i="4"/>
  <c r="S2073" i="4"/>
  <c r="O2073" i="4"/>
  <c r="S2072" i="4"/>
  <c r="O2072" i="4"/>
  <c r="S2071" i="4"/>
  <c r="O2071" i="4"/>
  <c r="S2070" i="4"/>
  <c r="O2070" i="4"/>
  <c r="S2069" i="4"/>
  <c r="O2069" i="4"/>
  <c r="S2068" i="4"/>
  <c r="O2068" i="4"/>
  <c r="S2067" i="4"/>
  <c r="O2067" i="4"/>
  <c r="S2066" i="4"/>
  <c r="O2066" i="4"/>
  <c r="S2065" i="4"/>
  <c r="O2065" i="4"/>
  <c r="S2064" i="4"/>
  <c r="O2064" i="4"/>
  <c r="S2063" i="4"/>
  <c r="O2063" i="4"/>
  <c r="S2062" i="4"/>
  <c r="O2062" i="4"/>
  <c r="S2061" i="4"/>
  <c r="O2061" i="4"/>
  <c r="S2060" i="4"/>
  <c r="O2060" i="4"/>
  <c r="S2059" i="4"/>
  <c r="O2059" i="4"/>
  <c r="S2058" i="4"/>
  <c r="O2058" i="4"/>
  <c r="S2057" i="4"/>
  <c r="O2057" i="4"/>
  <c r="S2056" i="4"/>
  <c r="O2056" i="4"/>
  <c r="S2055" i="4"/>
  <c r="O2055" i="4"/>
  <c r="S2054" i="4"/>
  <c r="O2054" i="4"/>
  <c r="S2053" i="4"/>
  <c r="O2053" i="4"/>
  <c r="S2052" i="4"/>
  <c r="O2052" i="4"/>
  <c r="S2051" i="4"/>
  <c r="O2051" i="4"/>
  <c r="S2050" i="4"/>
  <c r="O2050" i="4"/>
  <c r="S2049" i="4"/>
  <c r="O2049" i="4"/>
  <c r="S2048" i="4"/>
  <c r="O2048" i="4"/>
  <c r="S2047" i="4"/>
  <c r="O2047" i="4"/>
  <c r="S2046" i="4"/>
  <c r="O2046" i="4"/>
  <c r="S2045" i="4"/>
  <c r="O2045" i="4"/>
  <c r="S2044" i="4"/>
  <c r="O2044" i="4"/>
  <c r="S2043" i="4"/>
  <c r="O2043" i="4"/>
  <c r="S2042" i="4"/>
  <c r="O2042" i="4"/>
  <c r="S2041" i="4"/>
  <c r="O2041" i="4"/>
  <c r="S2040" i="4"/>
  <c r="O2040" i="4"/>
  <c r="S2039" i="4"/>
  <c r="O2039" i="4"/>
  <c r="S2038" i="4"/>
  <c r="O2038" i="4"/>
  <c r="S2037" i="4"/>
  <c r="O2037" i="4"/>
  <c r="S2036" i="4"/>
  <c r="O2036" i="4"/>
  <c r="S2035" i="4"/>
  <c r="O2035" i="4"/>
  <c r="S2034" i="4"/>
  <c r="O2034" i="4"/>
  <c r="S2033" i="4"/>
  <c r="O2033" i="4"/>
  <c r="S2032" i="4"/>
  <c r="O2032" i="4"/>
  <c r="S2031" i="4"/>
  <c r="O2031" i="4"/>
  <c r="S2030" i="4"/>
  <c r="O2030" i="4"/>
  <c r="S2029" i="4"/>
  <c r="O2029" i="4"/>
  <c r="S2028" i="4"/>
  <c r="O2028" i="4"/>
  <c r="S2027" i="4"/>
  <c r="O2027" i="4"/>
  <c r="S2026" i="4"/>
  <c r="O2026" i="4"/>
  <c r="S2025" i="4"/>
  <c r="O2025" i="4"/>
  <c r="S2024" i="4"/>
  <c r="O2024" i="4"/>
  <c r="S2023" i="4"/>
  <c r="O2023" i="4"/>
  <c r="S2022" i="4"/>
  <c r="O2022" i="4"/>
  <c r="S2021" i="4"/>
  <c r="O2021" i="4"/>
  <c r="S2020" i="4"/>
  <c r="O2020" i="4"/>
  <c r="S2019" i="4"/>
  <c r="O2019" i="4"/>
  <c r="S2018" i="4"/>
  <c r="O2018" i="4"/>
  <c r="S2017" i="4"/>
  <c r="O2017" i="4"/>
  <c r="S2016" i="4"/>
  <c r="O2016" i="4"/>
  <c r="S2015" i="4"/>
  <c r="O2015" i="4"/>
  <c r="S2014" i="4"/>
  <c r="O2014" i="4"/>
  <c r="S2013" i="4"/>
  <c r="O2013" i="4"/>
  <c r="S2012" i="4"/>
  <c r="O2012" i="4"/>
  <c r="S2011" i="4"/>
  <c r="O2011" i="4"/>
  <c r="S2010" i="4"/>
  <c r="O2010" i="4"/>
  <c r="S2009" i="4"/>
  <c r="O2009" i="4"/>
  <c r="S2008" i="4"/>
  <c r="O2008" i="4"/>
  <c r="S2007" i="4"/>
  <c r="O2007" i="4"/>
  <c r="S2006" i="4"/>
  <c r="O2006" i="4"/>
  <c r="S2005" i="4"/>
  <c r="O2005" i="4"/>
  <c r="S2004" i="4"/>
  <c r="O2004" i="4"/>
  <c r="S2003" i="4"/>
  <c r="O2003" i="4"/>
  <c r="S2002" i="4"/>
  <c r="O2002" i="4"/>
  <c r="S2001" i="4"/>
  <c r="O2001" i="4"/>
  <c r="S2000" i="4"/>
  <c r="O2000" i="4"/>
  <c r="S1999" i="4"/>
  <c r="O1999" i="4"/>
  <c r="S1998" i="4"/>
  <c r="O1998" i="4"/>
  <c r="S1997" i="4"/>
  <c r="O1997" i="4"/>
  <c r="S1996" i="4"/>
  <c r="O1996" i="4"/>
  <c r="S1995" i="4"/>
  <c r="O1995" i="4"/>
  <c r="S1994" i="4"/>
  <c r="O1994" i="4"/>
  <c r="S1993" i="4"/>
  <c r="O1993" i="4"/>
  <c r="S1992" i="4"/>
  <c r="O1992" i="4"/>
  <c r="S1991" i="4"/>
  <c r="O1991" i="4"/>
  <c r="S1990" i="4"/>
  <c r="O1990" i="4"/>
  <c r="S1989" i="4"/>
  <c r="O1989" i="4"/>
  <c r="S1988" i="4"/>
  <c r="O1988" i="4"/>
  <c r="S1987" i="4"/>
  <c r="O1987" i="4"/>
  <c r="S1986" i="4"/>
  <c r="O1986" i="4"/>
  <c r="S1985" i="4"/>
  <c r="O1985" i="4"/>
  <c r="S1984" i="4"/>
  <c r="O1984" i="4"/>
  <c r="S1983" i="4"/>
  <c r="O1983" i="4"/>
  <c r="S1982" i="4"/>
  <c r="O1982" i="4"/>
  <c r="S1981" i="4"/>
  <c r="O1981" i="4"/>
  <c r="S1980" i="4"/>
  <c r="O1980" i="4"/>
  <c r="S1979" i="4"/>
  <c r="O1979" i="4"/>
  <c r="S1978" i="4"/>
  <c r="O1978" i="4"/>
  <c r="S1977" i="4"/>
  <c r="O1977" i="4"/>
  <c r="S1976" i="4"/>
  <c r="O1976" i="4"/>
  <c r="S1975" i="4"/>
  <c r="O1975" i="4"/>
  <c r="S1974" i="4"/>
  <c r="O1974" i="4"/>
  <c r="S1973" i="4"/>
  <c r="O1973" i="4"/>
  <c r="S1972" i="4"/>
  <c r="O1972" i="4"/>
  <c r="S1971" i="4"/>
  <c r="O1971" i="4"/>
  <c r="S1970" i="4"/>
  <c r="O1970" i="4"/>
  <c r="S1969" i="4"/>
  <c r="O1969" i="4"/>
  <c r="S1968" i="4"/>
  <c r="O1968" i="4"/>
  <c r="S1967" i="4"/>
  <c r="O1967" i="4"/>
  <c r="S1966" i="4"/>
  <c r="O1966" i="4"/>
  <c r="S1965" i="4"/>
  <c r="O1965" i="4"/>
  <c r="S1964" i="4"/>
  <c r="O1964" i="4"/>
  <c r="S1963" i="4"/>
  <c r="O1963" i="4"/>
  <c r="S1962" i="4"/>
  <c r="O1962" i="4"/>
  <c r="S1961" i="4"/>
  <c r="O1961" i="4"/>
  <c r="S1960" i="4"/>
  <c r="O1960" i="4"/>
  <c r="S1959" i="4"/>
  <c r="O1959" i="4"/>
  <c r="S1958" i="4"/>
  <c r="O1958" i="4"/>
  <c r="S1957" i="4"/>
  <c r="O1957" i="4"/>
  <c r="S1956" i="4"/>
  <c r="O1956" i="4"/>
  <c r="S1955" i="4"/>
  <c r="O1955" i="4"/>
  <c r="S1954" i="4"/>
  <c r="O1954" i="4"/>
  <c r="S1953" i="4"/>
  <c r="O1953" i="4"/>
  <c r="S1952" i="4"/>
  <c r="O1952" i="4"/>
  <c r="S1951" i="4"/>
  <c r="O1951" i="4"/>
  <c r="S1950" i="4"/>
  <c r="O1950" i="4"/>
  <c r="S1949" i="4"/>
  <c r="O1949" i="4"/>
  <c r="S1948" i="4"/>
  <c r="O1948" i="4"/>
  <c r="S1947" i="4"/>
  <c r="O1947" i="4"/>
  <c r="S1946" i="4"/>
  <c r="O1946" i="4"/>
  <c r="S1945" i="4"/>
  <c r="O1945" i="4"/>
  <c r="S1944" i="4"/>
  <c r="O1944" i="4"/>
  <c r="S1943" i="4"/>
  <c r="O1943" i="4"/>
  <c r="S1942" i="4"/>
  <c r="O1942" i="4"/>
  <c r="S1941" i="4"/>
  <c r="O1941" i="4"/>
  <c r="S1940" i="4"/>
  <c r="O1940" i="4"/>
  <c r="S1939" i="4"/>
  <c r="O1939" i="4"/>
  <c r="S1938" i="4"/>
  <c r="O1938" i="4"/>
  <c r="S1937" i="4"/>
  <c r="O1937" i="4"/>
  <c r="S1936" i="4"/>
  <c r="O1936" i="4"/>
  <c r="S1935" i="4"/>
  <c r="O1935" i="4"/>
  <c r="S1934" i="4"/>
  <c r="O1934" i="4"/>
  <c r="S1933" i="4"/>
  <c r="O1933" i="4"/>
  <c r="S1932" i="4"/>
  <c r="O1932" i="4"/>
  <c r="S1931" i="4"/>
  <c r="O1931" i="4"/>
  <c r="S1930" i="4"/>
  <c r="O1930" i="4"/>
  <c r="S1929" i="4"/>
  <c r="O1929" i="4"/>
  <c r="S1928" i="4"/>
  <c r="O1928" i="4"/>
  <c r="S1927" i="4"/>
  <c r="O1927" i="4"/>
  <c r="S1926" i="4"/>
  <c r="O1926" i="4"/>
  <c r="S1925" i="4"/>
  <c r="O1925" i="4"/>
  <c r="S1924" i="4"/>
  <c r="O1924" i="4"/>
  <c r="S1923" i="4"/>
  <c r="O1923" i="4"/>
  <c r="S1922" i="4"/>
  <c r="O1922" i="4"/>
  <c r="S1921" i="4"/>
  <c r="O1921" i="4"/>
  <c r="S1920" i="4"/>
  <c r="O1920" i="4"/>
  <c r="S1919" i="4"/>
  <c r="O1919" i="4"/>
  <c r="S1918" i="4"/>
  <c r="O1918" i="4"/>
  <c r="S1917" i="4"/>
  <c r="O1917" i="4"/>
  <c r="S1916" i="4"/>
  <c r="O1916" i="4"/>
  <c r="S1915" i="4"/>
  <c r="O1915" i="4"/>
  <c r="S1914" i="4"/>
  <c r="O1914" i="4"/>
  <c r="S1913" i="4"/>
  <c r="O1913" i="4"/>
  <c r="S1912" i="4"/>
  <c r="O1912" i="4"/>
  <c r="S1911" i="4"/>
  <c r="O1911" i="4"/>
  <c r="S1910" i="4"/>
  <c r="O1910" i="4"/>
  <c r="S1909" i="4"/>
  <c r="O1909" i="4"/>
  <c r="S1908" i="4"/>
  <c r="O1908" i="4"/>
  <c r="S1907" i="4"/>
  <c r="O1907" i="4"/>
  <c r="S1906" i="4"/>
  <c r="O1906" i="4"/>
  <c r="S1905" i="4"/>
  <c r="O1905" i="4"/>
  <c r="S1904" i="4"/>
  <c r="O1904" i="4"/>
  <c r="S1903" i="4"/>
  <c r="O1903" i="4"/>
  <c r="S1902" i="4"/>
  <c r="O1902" i="4"/>
  <c r="S1901" i="4"/>
  <c r="O1901" i="4"/>
  <c r="S1900" i="4"/>
  <c r="O1900" i="4"/>
  <c r="S1899" i="4"/>
  <c r="O1899" i="4"/>
  <c r="S1898" i="4"/>
  <c r="O1898" i="4"/>
  <c r="S1897" i="4"/>
  <c r="O1897" i="4"/>
  <c r="S1896" i="4"/>
  <c r="O1896" i="4"/>
  <c r="S1895" i="4"/>
  <c r="O1895" i="4"/>
  <c r="S1894" i="4"/>
  <c r="O1894" i="4"/>
  <c r="S1893" i="4"/>
  <c r="O1893" i="4"/>
  <c r="S1892" i="4"/>
  <c r="O1892" i="4"/>
  <c r="S1891" i="4"/>
  <c r="O1891" i="4"/>
  <c r="S1890" i="4"/>
  <c r="O1890" i="4"/>
  <c r="S1889" i="4"/>
  <c r="O1889" i="4"/>
  <c r="S1888" i="4"/>
  <c r="O1888" i="4"/>
  <c r="S1887" i="4"/>
  <c r="O1887" i="4"/>
  <c r="S1886" i="4"/>
  <c r="O1886" i="4"/>
  <c r="S1885" i="4"/>
  <c r="O1885" i="4"/>
  <c r="S1884" i="4"/>
  <c r="O1884" i="4"/>
  <c r="S1883" i="4"/>
  <c r="O1883" i="4"/>
  <c r="S1882" i="4"/>
  <c r="O1882" i="4"/>
  <c r="S1881" i="4"/>
  <c r="O1881" i="4"/>
  <c r="S1880" i="4"/>
  <c r="O1880" i="4"/>
  <c r="S1879" i="4"/>
  <c r="O1879" i="4"/>
  <c r="S1878" i="4"/>
  <c r="O1878" i="4"/>
  <c r="S1877" i="4"/>
  <c r="O1877" i="4"/>
  <c r="S1876" i="4"/>
  <c r="O1876" i="4"/>
  <c r="S1875" i="4"/>
  <c r="O1875" i="4"/>
  <c r="S1874" i="4"/>
  <c r="O1874" i="4"/>
  <c r="S1873" i="4"/>
  <c r="O1873" i="4"/>
  <c r="S1872" i="4"/>
  <c r="O1872" i="4"/>
  <c r="S1871" i="4"/>
  <c r="O1871" i="4"/>
  <c r="S1870" i="4"/>
  <c r="O1870" i="4"/>
  <c r="S1869" i="4"/>
  <c r="O1869" i="4"/>
  <c r="S1868" i="4"/>
  <c r="O1868" i="4"/>
  <c r="S1867" i="4"/>
  <c r="O1867" i="4"/>
  <c r="S1866" i="4"/>
  <c r="O1866" i="4"/>
  <c r="S1865" i="4"/>
  <c r="O1865" i="4"/>
  <c r="S1864" i="4"/>
  <c r="O1864" i="4"/>
  <c r="S1863" i="4"/>
  <c r="O1863" i="4"/>
  <c r="S1862" i="4"/>
  <c r="O1862" i="4"/>
  <c r="S1861" i="4"/>
  <c r="O1861" i="4"/>
  <c r="S1860" i="4"/>
  <c r="O1860" i="4"/>
  <c r="S1859" i="4"/>
  <c r="O1859" i="4"/>
  <c r="S1858" i="4"/>
  <c r="O1858" i="4"/>
  <c r="S1857" i="4"/>
  <c r="O1857" i="4"/>
  <c r="S1856" i="4"/>
  <c r="O1856" i="4"/>
  <c r="S1855" i="4"/>
  <c r="O1855" i="4"/>
  <c r="S1854" i="4"/>
  <c r="O1854" i="4"/>
  <c r="S1853" i="4"/>
  <c r="O1853" i="4"/>
  <c r="S1852" i="4"/>
  <c r="O1852" i="4"/>
  <c r="S1851" i="4"/>
  <c r="O1851" i="4"/>
  <c r="S1850" i="4"/>
  <c r="O1850" i="4"/>
  <c r="S1849" i="4"/>
  <c r="O1849" i="4"/>
  <c r="S1848" i="4"/>
  <c r="O1848" i="4"/>
  <c r="S1847" i="4"/>
  <c r="O1847" i="4"/>
  <c r="S1846" i="4"/>
  <c r="O1846" i="4"/>
  <c r="S1845" i="4"/>
  <c r="O1845" i="4"/>
  <c r="S1844" i="4"/>
  <c r="O1844" i="4"/>
  <c r="S1843" i="4"/>
  <c r="O1843" i="4"/>
  <c r="S1842" i="4"/>
  <c r="O1842" i="4"/>
  <c r="S1841" i="4"/>
  <c r="O1841" i="4"/>
  <c r="S1840" i="4"/>
  <c r="O1840" i="4"/>
  <c r="S1839" i="4"/>
  <c r="O1839" i="4"/>
  <c r="S1838" i="4"/>
  <c r="O1838" i="4"/>
  <c r="S1837" i="4"/>
  <c r="O1837" i="4"/>
  <c r="S1836" i="4"/>
  <c r="O1836" i="4"/>
  <c r="S1835" i="4"/>
  <c r="O1835" i="4"/>
  <c r="S1834" i="4"/>
  <c r="O1834" i="4"/>
  <c r="S1833" i="4"/>
  <c r="O1833" i="4"/>
  <c r="S1832" i="4"/>
  <c r="O1832" i="4"/>
  <c r="S1831" i="4"/>
  <c r="O1831" i="4"/>
  <c r="S1830" i="4"/>
  <c r="O1830" i="4"/>
  <c r="S1829" i="4"/>
  <c r="O1829" i="4"/>
  <c r="S1828" i="4"/>
  <c r="O1828" i="4"/>
  <c r="S1827" i="4"/>
  <c r="O1827" i="4"/>
  <c r="S1826" i="4"/>
  <c r="O1826" i="4"/>
  <c r="S1825" i="4"/>
  <c r="O1825" i="4"/>
  <c r="S1824" i="4"/>
  <c r="O1824" i="4"/>
  <c r="S1823" i="4"/>
  <c r="O1823" i="4"/>
  <c r="S1822" i="4"/>
  <c r="O1822" i="4"/>
  <c r="S1821" i="4"/>
  <c r="O1821" i="4"/>
  <c r="S1820" i="4"/>
  <c r="O1820" i="4"/>
  <c r="S1819" i="4"/>
  <c r="O1819" i="4"/>
  <c r="S1818" i="4"/>
  <c r="O1818" i="4"/>
  <c r="S1817" i="4"/>
  <c r="O1817" i="4"/>
  <c r="S1816" i="4"/>
  <c r="O1816" i="4"/>
  <c r="S1815" i="4"/>
  <c r="O1815" i="4"/>
  <c r="S1814" i="4"/>
  <c r="O1814" i="4"/>
  <c r="S1813" i="4"/>
  <c r="O1813" i="4"/>
  <c r="S1812" i="4"/>
  <c r="O1812" i="4"/>
  <c r="S1811" i="4"/>
  <c r="O1811" i="4"/>
  <c r="S1810" i="4"/>
  <c r="O1810" i="4"/>
  <c r="S1809" i="4"/>
  <c r="O1809" i="4"/>
  <c r="S1808" i="4"/>
  <c r="O1808" i="4"/>
  <c r="S1807" i="4"/>
  <c r="O1807" i="4"/>
  <c r="S1806" i="4"/>
  <c r="O1806" i="4"/>
  <c r="S1805" i="4"/>
  <c r="O1805" i="4"/>
  <c r="S1804" i="4"/>
  <c r="O1804" i="4"/>
  <c r="S1803" i="4"/>
  <c r="O1803" i="4"/>
  <c r="S1802" i="4"/>
  <c r="O1802" i="4"/>
  <c r="S1801" i="4"/>
  <c r="O1801" i="4"/>
  <c r="S1800" i="4"/>
  <c r="O1800" i="4"/>
  <c r="S1799" i="4"/>
  <c r="O1799" i="4"/>
  <c r="S1798" i="4"/>
  <c r="O1798" i="4"/>
  <c r="S1797" i="4"/>
  <c r="O1797" i="4"/>
  <c r="S1796" i="4"/>
  <c r="O1796" i="4"/>
  <c r="S1795" i="4"/>
  <c r="O1795" i="4"/>
  <c r="S1794" i="4"/>
  <c r="O1794" i="4"/>
  <c r="S1793" i="4"/>
  <c r="O1793" i="4"/>
  <c r="S1792" i="4"/>
  <c r="O1792" i="4"/>
  <c r="S1791" i="4"/>
  <c r="O1791" i="4"/>
  <c r="S1790" i="4"/>
  <c r="O1790" i="4"/>
  <c r="S1789" i="4"/>
  <c r="O1789" i="4"/>
  <c r="S1788" i="4"/>
  <c r="O1788" i="4"/>
  <c r="S1787" i="4"/>
  <c r="O1787" i="4"/>
  <c r="S1786" i="4"/>
  <c r="O1786" i="4"/>
  <c r="S1785" i="4"/>
  <c r="O1785" i="4"/>
  <c r="S1784" i="4"/>
  <c r="O1784" i="4"/>
  <c r="S1783" i="4"/>
  <c r="O1783" i="4"/>
  <c r="S1782" i="4"/>
  <c r="O1782" i="4"/>
  <c r="S1781" i="4"/>
  <c r="O1781" i="4"/>
  <c r="S1780" i="4"/>
  <c r="O1780" i="4"/>
  <c r="S1779" i="4"/>
  <c r="O1779" i="4"/>
  <c r="S1778" i="4"/>
  <c r="O1778" i="4"/>
  <c r="S1777" i="4"/>
  <c r="O1777" i="4"/>
  <c r="S1776" i="4"/>
  <c r="O1776" i="4"/>
  <c r="S1775" i="4"/>
  <c r="O1775" i="4"/>
  <c r="S1774" i="4"/>
  <c r="O1774" i="4"/>
  <c r="S1773" i="4"/>
  <c r="O1773" i="4"/>
  <c r="S1772" i="4"/>
  <c r="O1772" i="4"/>
  <c r="S1771" i="4"/>
  <c r="O1771" i="4"/>
  <c r="S1770" i="4"/>
  <c r="O1770" i="4"/>
  <c r="S1769" i="4"/>
  <c r="O1769" i="4"/>
  <c r="S1768" i="4"/>
  <c r="O1768" i="4"/>
  <c r="S1767" i="4"/>
  <c r="O1767" i="4"/>
  <c r="S1766" i="4"/>
  <c r="O1766" i="4"/>
  <c r="S1765" i="4"/>
  <c r="O1765" i="4"/>
  <c r="S1764" i="4"/>
  <c r="O1764" i="4"/>
  <c r="S1763" i="4"/>
  <c r="O1763" i="4"/>
  <c r="S1762" i="4"/>
  <c r="O1762" i="4"/>
  <c r="S1761" i="4"/>
  <c r="O1761" i="4"/>
  <c r="S1760" i="4"/>
  <c r="O1760" i="4"/>
  <c r="S1759" i="4"/>
  <c r="O1759" i="4"/>
  <c r="S1758" i="4"/>
  <c r="O1758" i="4"/>
  <c r="S1757" i="4"/>
  <c r="O1757" i="4"/>
  <c r="S1756" i="4"/>
  <c r="O1756" i="4"/>
  <c r="S1755" i="4"/>
  <c r="O1755" i="4"/>
  <c r="S1754" i="4"/>
  <c r="O1754" i="4"/>
  <c r="S1753" i="4"/>
  <c r="O1753" i="4"/>
  <c r="S1752" i="4"/>
  <c r="O1752" i="4"/>
  <c r="S1751" i="4"/>
  <c r="O1751" i="4"/>
  <c r="S1750" i="4"/>
  <c r="O1750" i="4"/>
  <c r="S1749" i="4"/>
  <c r="O1749" i="4"/>
  <c r="S1748" i="4"/>
  <c r="O1748" i="4"/>
  <c r="S1747" i="4"/>
  <c r="O1747" i="4"/>
  <c r="S1746" i="4"/>
  <c r="O1746" i="4"/>
  <c r="S1745" i="4"/>
  <c r="O1745" i="4"/>
  <c r="S1744" i="4"/>
  <c r="O1744" i="4"/>
  <c r="S1743" i="4"/>
  <c r="O1743" i="4"/>
  <c r="S1742" i="4"/>
  <c r="O1742" i="4"/>
  <c r="S1741" i="4"/>
  <c r="O1741" i="4"/>
  <c r="S1740" i="4"/>
  <c r="O1740" i="4"/>
  <c r="S1739" i="4"/>
  <c r="O1739" i="4"/>
  <c r="S1738" i="4"/>
  <c r="O1738" i="4"/>
  <c r="S1737" i="4"/>
  <c r="O1737" i="4"/>
  <c r="S1736" i="4"/>
  <c r="O1736" i="4"/>
  <c r="S1735" i="4"/>
  <c r="O1735" i="4"/>
  <c r="S1734" i="4"/>
  <c r="O1734" i="4"/>
  <c r="S1733" i="4"/>
  <c r="O1733" i="4"/>
  <c r="S1732" i="4"/>
  <c r="O1732" i="4"/>
  <c r="S1731" i="4"/>
  <c r="O1731" i="4"/>
  <c r="S1730" i="4"/>
  <c r="O1730" i="4"/>
  <c r="S1729" i="4"/>
  <c r="O1729" i="4"/>
  <c r="S1728" i="4"/>
  <c r="O1728" i="4"/>
  <c r="S1727" i="4"/>
  <c r="O1727" i="4"/>
  <c r="S1726" i="4"/>
  <c r="O1726" i="4"/>
  <c r="S1725" i="4"/>
  <c r="O1725" i="4"/>
  <c r="S1724" i="4"/>
  <c r="O1724" i="4"/>
  <c r="S1723" i="4"/>
  <c r="O1723" i="4"/>
  <c r="S1722" i="4"/>
  <c r="O1722" i="4"/>
  <c r="S1721" i="4"/>
  <c r="O1721" i="4"/>
  <c r="S1720" i="4"/>
  <c r="O1720" i="4"/>
  <c r="S1719" i="4"/>
  <c r="O1719" i="4"/>
  <c r="S1718" i="4"/>
  <c r="O1718" i="4"/>
  <c r="S1717" i="4"/>
  <c r="O1717" i="4"/>
  <c r="S1716" i="4"/>
  <c r="O1716" i="4"/>
  <c r="S1715" i="4"/>
  <c r="O1715" i="4"/>
  <c r="S1714" i="4"/>
  <c r="O1714" i="4"/>
  <c r="S1713" i="4"/>
  <c r="O1713" i="4"/>
  <c r="S1712" i="4"/>
  <c r="O1712" i="4"/>
  <c r="S1711" i="4"/>
  <c r="O1711" i="4"/>
  <c r="S1710" i="4"/>
  <c r="O1710" i="4"/>
  <c r="S1709" i="4"/>
  <c r="O1709" i="4"/>
  <c r="S1708" i="4"/>
  <c r="O1708" i="4"/>
  <c r="S1707" i="4"/>
  <c r="O1707" i="4"/>
  <c r="S1706" i="4"/>
  <c r="O1706" i="4"/>
  <c r="S1705" i="4"/>
  <c r="O1705" i="4"/>
  <c r="S1704" i="4"/>
  <c r="O1704" i="4"/>
  <c r="S1703" i="4"/>
  <c r="O1703" i="4"/>
  <c r="S1702" i="4"/>
  <c r="O1702" i="4"/>
  <c r="S1701" i="4"/>
  <c r="O1701" i="4"/>
  <c r="S1700" i="4"/>
  <c r="O1700" i="4"/>
  <c r="S1699" i="4"/>
  <c r="O1699" i="4"/>
  <c r="S1698" i="4"/>
  <c r="O1698" i="4"/>
  <c r="S1697" i="4"/>
  <c r="O1697" i="4"/>
  <c r="S1696" i="4"/>
  <c r="O1696" i="4"/>
  <c r="S1695" i="4"/>
  <c r="O1695" i="4"/>
  <c r="S1694" i="4"/>
  <c r="O1694" i="4"/>
  <c r="S1693" i="4"/>
  <c r="O1693" i="4"/>
  <c r="S1692" i="4"/>
  <c r="O1692" i="4"/>
  <c r="S1691" i="4"/>
  <c r="O1691" i="4"/>
  <c r="S1690" i="4"/>
  <c r="O1690" i="4"/>
  <c r="S1689" i="4"/>
  <c r="O1689" i="4"/>
  <c r="S1688" i="4"/>
  <c r="O1688" i="4"/>
  <c r="S1687" i="4"/>
  <c r="O1687" i="4"/>
  <c r="S1686" i="4"/>
  <c r="O1686" i="4"/>
  <c r="S1685" i="4"/>
  <c r="O1685" i="4"/>
  <c r="S1684" i="4"/>
  <c r="O1684" i="4"/>
  <c r="S1683" i="4"/>
  <c r="O1683" i="4"/>
  <c r="S1682" i="4"/>
  <c r="O1682" i="4"/>
  <c r="S1681" i="4"/>
  <c r="O1681" i="4"/>
  <c r="S1680" i="4"/>
  <c r="O1680" i="4"/>
  <c r="S1679" i="4"/>
  <c r="O1679" i="4"/>
  <c r="S1678" i="4"/>
  <c r="O1678" i="4"/>
  <c r="S1677" i="4"/>
  <c r="O1677" i="4"/>
  <c r="S1676" i="4"/>
  <c r="O1676" i="4"/>
  <c r="S1675" i="4"/>
  <c r="O1675" i="4"/>
  <c r="S1674" i="4"/>
  <c r="O1674" i="4"/>
  <c r="S1673" i="4"/>
  <c r="O1673" i="4"/>
  <c r="S1672" i="4"/>
  <c r="O1672" i="4"/>
  <c r="S1671" i="4"/>
  <c r="O1671" i="4"/>
  <c r="S1670" i="4"/>
  <c r="O1670" i="4"/>
  <c r="S1669" i="4"/>
  <c r="O1669" i="4"/>
  <c r="S1668" i="4"/>
  <c r="O1668" i="4"/>
  <c r="S1667" i="4"/>
  <c r="O1667" i="4"/>
  <c r="S1666" i="4"/>
  <c r="O1666" i="4"/>
  <c r="S1665" i="4"/>
  <c r="O1665" i="4"/>
  <c r="S1664" i="4"/>
  <c r="O1664" i="4"/>
  <c r="S1663" i="4"/>
  <c r="O1663" i="4"/>
  <c r="S1662" i="4"/>
  <c r="O1662" i="4"/>
  <c r="S1661" i="4"/>
  <c r="O1661" i="4"/>
  <c r="S1660" i="4"/>
  <c r="O1660" i="4"/>
  <c r="S1659" i="4"/>
  <c r="O1659" i="4"/>
  <c r="S1658" i="4"/>
  <c r="O1658" i="4"/>
  <c r="S1657" i="4"/>
  <c r="O1657" i="4"/>
  <c r="S1656" i="4"/>
  <c r="O1656" i="4"/>
  <c r="S1655" i="4"/>
  <c r="O1655" i="4"/>
  <c r="S1654" i="4"/>
  <c r="O1654" i="4"/>
  <c r="S1653" i="4"/>
  <c r="O1653" i="4"/>
  <c r="S1652" i="4"/>
  <c r="O1652" i="4"/>
  <c r="S1651" i="4"/>
  <c r="O1651" i="4"/>
  <c r="S1650" i="4"/>
  <c r="O1650" i="4"/>
  <c r="S1649" i="4"/>
  <c r="O1649" i="4"/>
  <c r="S1648" i="4"/>
  <c r="O1648" i="4"/>
  <c r="S1647" i="4"/>
  <c r="O1647" i="4"/>
  <c r="S1646" i="4"/>
  <c r="O1646" i="4"/>
  <c r="S1645" i="4"/>
  <c r="O1645" i="4"/>
  <c r="S1644" i="4"/>
  <c r="O1644" i="4"/>
  <c r="S1643" i="4"/>
  <c r="O1643" i="4"/>
  <c r="S1642" i="4"/>
  <c r="O1642" i="4"/>
  <c r="S1641" i="4"/>
  <c r="O1641" i="4"/>
  <c r="S1640" i="4"/>
  <c r="O1640" i="4"/>
  <c r="S1639" i="4"/>
  <c r="O1639" i="4"/>
  <c r="S1638" i="4"/>
  <c r="O1638" i="4"/>
  <c r="S1637" i="4"/>
  <c r="O1637" i="4"/>
  <c r="S1636" i="4"/>
  <c r="O1636" i="4"/>
  <c r="S1635" i="4"/>
  <c r="O1635" i="4"/>
  <c r="S1634" i="4"/>
  <c r="O1634" i="4"/>
  <c r="S1633" i="4"/>
  <c r="O1633" i="4"/>
  <c r="S1632" i="4"/>
  <c r="O1632" i="4"/>
  <c r="S1631" i="4"/>
  <c r="O1631" i="4"/>
  <c r="S1630" i="4"/>
  <c r="O1630" i="4"/>
  <c r="S1629" i="4"/>
  <c r="O1629" i="4"/>
  <c r="S1628" i="4"/>
  <c r="O1628" i="4"/>
  <c r="S1627" i="4"/>
  <c r="O1627" i="4"/>
  <c r="S1626" i="4"/>
  <c r="O1626" i="4"/>
  <c r="S1625" i="4"/>
  <c r="O1625" i="4"/>
  <c r="S1624" i="4"/>
  <c r="O1624" i="4"/>
  <c r="S1623" i="4"/>
  <c r="O1623" i="4"/>
  <c r="S1622" i="4"/>
  <c r="O1622" i="4"/>
  <c r="S1621" i="4"/>
  <c r="O1621" i="4"/>
  <c r="S1620" i="4"/>
  <c r="O1620" i="4"/>
  <c r="S1619" i="4"/>
  <c r="O1619" i="4"/>
  <c r="S1618" i="4"/>
  <c r="O1618" i="4"/>
  <c r="S1617" i="4"/>
  <c r="O1617" i="4"/>
  <c r="S1616" i="4"/>
  <c r="O1616" i="4"/>
  <c r="S1615" i="4"/>
  <c r="O1615" i="4"/>
  <c r="S1614" i="4"/>
  <c r="O1614" i="4"/>
  <c r="S1613" i="4"/>
  <c r="O1613" i="4"/>
  <c r="S1612" i="4"/>
  <c r="O1612" i="4"/>
  <c r="S1611" i="4"/>
  <c r="O1611" i="4"/>
  <c r="S1610" i="4"/>
  <c r="O1610" i="4"/>
  <c r="S1609" i="4"/>
  <c r="O1609" i="4"/>
  <c r="S1608" i="4"/>
  <c r="O1608" i="4"/>
  <c r="S1607" i="4"/>
  <c r="O1607" i="4"/>
  <c r="S1606" i="4"/>
  <c r="O1606" i="4"/>
  <c r="S1605" i="4"/>
  <c r="O1605" i="4"/>
  <c r="S1604" i="4"/>
  <c r="O1604" i="4"/>
  <c r="S1603" i="4"/>
  <c r="O1603" i="4"/>
  <c r="S1602" i="4"/>
  <c r="O1602" i="4"/>
  <c r="S1601" i="4"/>
  <c r="O1601" i="4"/>
  <c r="S1600" i="4"/>
  <c r="O1600" i="4"/>
  <c r="S1599" i="4"/>
  <c r="O1599" i="4"/>
  <c r="S1598" i="4"/>
  <c r="O1598" i="4"/>
  <c r="S1597" i="4"/>
  <c r="O1597" i="4"/>
  <c r="S1596" i="4"/>
  <c r="O1596" i="4"/>
  <c r="S1595" i="4"/>
  <c r="O1595" i="4"/>
  <c r="S1594" i="4"/>
  <c r="O1594" i="4"/>
  <c r="S1593" i="4"/>
  <c r="O1593" i="4"/>
  <c r="S1592" i="4"/>
  <c r="O1592" i="4"/>
  <c r="S1591" i="4"/>
  <c r="O1591" i="4"/>
  <c r="S1590" i="4"/>
  <c r="O1590" i="4"/>
  <c r="S1589" i="4"/>
  <c r="O1589" i="4"/>
  <c r="S1588" i="4"/>
  <c r="O1588" i="4"/>
  <c r="S1587" i="4"/>
  <c r="O1587" i="4"/>
  <c r="S1586" i="4"/>
  <c r="O1586" i="4"/>
  <c r="S1585" i="4"/>
  <c r="O1585" i="4"/>
  <c r="S1584" i="4"/>
  <c r="O1584" i="4"/>
  <c r="S1583" i="4"/>
  <c r="O1583" i="4"/>
  <c r="S1582" i="4"/>
  <c r="O1582" i="4"/>
  <c r="S1581" i="4"/>
  <c r="O1581" i="4"/>
  <c r="S1580" i="4"/>
  <c r="O1580" i="4"/>
  <c r="S1579" i="4"/>
  <c r="O1579" i="4"/>
  <c r="S1578" i="4"/>
  <c r="O1578" i="4"/>
  <c r="S1577" i="4"/>
  <c r="O1577" i="4"/>
  <c r="S1576" i="4"/>
  <c r="O1576" i="4"/>
  <c r="S1575" i="4"/>
  <c r="O1575" i="4"/>
  <c r="S1574" i="4"/>
  <c r="O1574" i="4"/>
  <c r="S1573" i="4"/>
  <c r="O1573" i="4"/>
  <c r="S1572" i="4"/>
  <c r="O1572" i="4"/>
  <c r="S1571" i="4"/>
  <c r="O1571" i="4"/>
  <c r="S1570" i="4"/>
  <c r="O1570" i="4"/>
  <c r="S1569" i="4"/>
  <c r="O1569" i="4"/>
  <c r="S1568" i="4"/>
  <c r="O1568" i="4"/>
  <c r="S1567" i="4"/>
  <c r="O1567" i="4"/>
  <c r="S1566" i="4"/>
  <c r="O1566" i="4"/>
  <c r="S1565" i="4"/>
  <c r="O1565" i="4"/>
  <c r="S1564" i="4"/>
  <c r="O1564" i="4"/>
  <c r="S1563" i="4"/>
  <c r="O1563" i="4"/>
  <c r="S1562" i="4"/>
  <c r="O1562" i="4"/>
  <c r="S1561" i="4"/>
  <c r="O1561" i="4"/>
  <c r="S1560" i="4"/>
  <c r="O1560" i="4"/>
  <c r="S1559" i="4"/>
  <c r="O1559" i="4"/>
  <c r="S1558" i="4"/>
  <c r="O1558" i="4"/>
  <c r="S1557" i="4"/>
  <c r="O1557" i="4"/>
  <c r="S1556" i="4"/>
  <c r="O1556" i="4"/>
  <c r="S1555" i="4"/>
  <c r="O1555" i="4"/>
  <c r="S1554" i="4"/>
  <c r="O1554" i="4"/>
  <c r="S1553" i="4"/>
  <c r="O1553" i="4"/>
  <c r="S1552" i="4"/>
  <c r="O1552" i="4"/>
  <c r="S1551" i="4"/>
  <c r="O1551" i="4"/>
  <c r="S1550" i="4"/>
  <c r="O1550" i="4"/>
  <c r="S1549" i="4"/>
  <c r="O1549" i="4"/>
  <c r="S1548" i="4"/>
  <c r="O1548" i="4"/>
  <c r="S1547" i="4"/>
  <c r="O1547" i="4"/>
  <c r="S1546" i="4"/>
  <c r="O1546" i="4"/>
  <c r="S1545" i="4"/>
  <c r="O1545" i="4"/>
  <c r="S1544" i="4"/>
  <c r="O1544" i="4"/>
  <c r="S1543" i="4"/>
  <c r="O1543" i="4"/>
  <c r="S1542" i="4"/>
  <c r="O1542" i="4"/>
  <c r="S1541" i="4"/>
  <c r="O1541" i="4"/>
  <c r="S1540" i="4"/>
  <c r="O1540" i="4"/>
  <c r="S1539" i="4"/>
  <c r="O1539" i="4"/>
  <c r="S1538" i="4"/>
  <c r="O1538" i="4"/>
  <c r="S1537" i="4"/>
  <c r="O1537" i="4"/>
  <c r="S1536" i="4"/>
  <c r="O1536" i="4"/>
  <c r="S1535" i="4"/>
  <c r="O1535" i="4"/>
  <c r="S1534" i="4"/>
  <c r="O1534" i="4"/>
  <c r="S1533" i="4"/>
  <c r="O1533" i="4"/>
  <c r="S1532" i="4"/>
  <c r="O1532" i="4"/>
  <c r="S1531" i="4"/>
  <c r="O1531" i="4"/>
  <c r="S1530" i="4"/>
  <c r="O1530" i="4"/>
  <c r="S1529" i="4"/>
  <c r="O1529" i="4"/>
  <c r="S1528" i="4"/>
  <c r="O1528" i="4"/>
  <c r="S1527" i="4"/>
  <c r="O1527" i="4"/>
  <c r="S1526" i="4"/>
  <c r="O1526" i="4"/>
  <c r="S1525" i="4"/>
  <c r="O1525" i="4"/>
  <c r="S1524" i="4"/>
  <c r="O1524" i="4"/>
  <c r="S1523" i="4"/>
  <c r="O1523" i="4"/>
  <c r="S1522" i="4"/>
  <c r="O1522" i="4"/>
  <c r="S1521" i="4"/>
  <c r="O1521" i="4"/>
  <c r="S1520" i="4"/>
  <c r="O1520" i="4"/>
  <c r="S1519" i="4"/>
  <c r="O1519" i="4"/>
  <c r="S1518" i="4"/>
  <c r="O1518" i="4"/>
  <c r="S1517" i="4"/>
  <c r="O1517" i="4"/>
  <c r="S1516" i="4"/>
  <c r="O1516" i="4"/>
  <c r="S1515" i="4"/>
  <c r="O1515" i="4"/>
  <c r="S1514" i="4"/>
  <c r="O1514" i="4"/>
  <c r="S1513" i="4"/>
  <c r="O1513" i="4"/>
  <c r="S1512" i="4"/>
  <c r="O1512" i="4"/>
  <c r="S1511" i="4"/>
  <c r="O1511" i="4"/>
  <c r="S1510" i="4"/>
  <c r="O1510" i="4"/>
  <c r="S1509" i="4"/>
  <c r="O1509" i="4"/>
  <c r="S1508" i="4"/>
  <c r="O1508" i="4"/>
  <c r="S1507" i="4"/>
  <c r="O1507" i="4"/>
  <c r="S1506" i="4"/>
  <c r="O1506" i="4"/>
  <c r="S1505" i="4"/>
  <c r="O1505" i="4"/>
  <c r="S1504" i="4"/>
  <c r="O1504" i="4"/>
  <c r="S1503" i="4"/>
  <c r="O1503" i="4"/>
  <c r="S1502" i="4"/>
  <c r="O1502" i="4"/>
  <c r="S1501" i="4"/>
  <c r="O1501" i="4"/>
  <c r="S1500" i="4"/>
  <c r="O1500" i="4"/>
  <c r="S1499" i="4"/>
  <c r="O1499" i="4"/>
  <c r="S1498" i="4"/>
  <c r="O1498" i="4"/>
  <c r="S1497" i="4"/>
  <c r="O1497" i="4"/>
  <c r="S1496" i="4"/>
  <c r="O1496" i="4"/>
  <c r="S1495" i="4"/>
  <c r="O1495" i="4"/>
  <c r="S1494" i="4"/>
  <c r="O1494" i="4"/>
  <c r="S1493" i="4"/>
  <c r="O1493" i="4"/>
  <c r="S1492" i="4"/>
  <c r="O1492" i="4"/>
  <c r="S1491" i="4"/>
  <c r="O1491" i="4"/>
  <c r="S1490" i="4"/>
  <c r="O1490" i="4"/>
  <c r="S1489" i="4"/>
  <c r="O1489" i="4"/>
  <c r="S1488" i="4"/>
  <c r="O1488" i="4"/>
  <c r="S1487" i="4"/>
  <c r="O1487" i="4"/>
  <c r="S1486" i="4"/>
  <c r="O1486" i="4"/>
  <c r="S1485" i="4"/>
  <c r="O1485" i="4"/>
  <c r="S1484" i="4"/>
  <c r="O1484" i="4"/>
  <c r="S1483" i="4"/>
  <c r="O1483" i="4"/>
  <c r="S1482" i="4"/>
  <c r="O1482" i="4"/>
  <c r="S1481" i="4"/>
  <c r="O1481" i="4"/>
  <c r="S1480" i="4"/>
  <c r="O1480" i="4"/>
  <c r="S1479" i="4"/>
  <c r="O1479" i="4"/>
  <c r="S1478" i="4"/>
  <c r="O1478" i="4"/>
  <c r="S1477" i="4"/>
  <c r="O1477" i="4"/>
  <c r="S1476" i="4"/>
  <c r="O1476" i="4"/>
  <c r="S1475" i="4"/>
  <c r="O1475" i="4"/>
  <c r="S1474" i="4"/>
  <c r="O1474" i="4"/>
  <c r="S1473" i="4"/>
  <c r="O1473" i="4"/>
  <c r="S1472" i="4"/>
  <c r="O1472" i="4"/>
  <c r="S1471" i="4"/>
  <c r="O1471" i="4"/>
  <c r="S1470" i="4"/>
  <c r="O1470" i="4"/>
  <c r="S1469" i="4"/>
  <c r="O1469" i="4"/>
  <c r="S1468" i="4"/>
  <c r="O1468" i="4"/>
  <c r="S1467" i="4"/>
  <c r="O1467" i="4"/>
  <c r="S1466" i="4"/>
  <c r="O1466" i="4"/>
  <c r="S1465" i="4"/>
  <c r="O1465" i="4"/>
  <c r="S1464" i="4"/>
  <c r="O1464" i="4"/>
  <c r="S1463" i="4"/>
  <c r="O1463" i="4"/>
  <c r="S1462" i="4"/>
  <c r="O1462" i="4"/>
  <c r="S1461" i="4"/>
  <c r="O1461" i="4"/>
  <c r="S1460" i="4"/>
  <c r="O1460" i="4"/>
  <c r="S1459" i="4"/>
  <c r="O1459" i="4"/>
  <c r="S1458" i="4"/>
  <c r="O1458" i="4"/>
  <c r="S1457" i="4"/>
  <c r="O1457" i="4"/>
  <c r="S1456" i="4"/>
  <c r="O1456" i="4"/>
  <c r="S1455" i="4"/>
  <c r="O1455" i="4"/>
  <c r="S1454" i="4"/>
  <c r="O1454" i="4"/>
  <c r="S1453" i="4"/>
  <c r="O1453" i="4"/>
  <c r="S1452" i="4"/>
  <c r="O1452" i="4"/>
  <c r="S1451" i="4"/>
  <c r="O1451" i="4"/>
  <c r="S1450" i="4"/>
  <c r="O1450" i="4"/>
  <c r="S1449" i="4"/>
  <c r="O1449" i="4"/>
  <c r="S1448" i="4"/>
  <c r="O1448" i="4"/>
  <c r="S1447" i="4"/>
  <c r="O1447" i="4"/>
  <c r="S1446" i="4"/>
  <c r="O1446" i="4"/>
  <c r="S1445" i="4"/>
  <c r="O1445" i="4"/>
  <c r="S1444" i="4"/>
  <c r="O1444" i="4"/>
  <c r="S1443" i="4"/>
  <c r="O1443" i="4"/>
  <c r="S1442" i="4"/>
  <c r="O1442" i="4"/>
  <c r="S1441" i="4"/>
  <c r="O1441" i="4"/>
  <c r="S1440" i="4"/>
  <c r="O1440" i="4"/>
  <c r="S1439" i="4"/>
  <c r="O1439" i="4"/>
  <c r="S1438" i="4"/>
  <c r="O1438" i="4"/>
  <c r="S1437" i="4"/>
  <c r="O1437" i="4"/>
  <c r="S1436" i="4"/>
  <c r="O1436" i="4"/>
  <c r="S1435" i="4"/>
  <c r="O1435" i="4"/>
  <c r="S1434" i="4"/>
  <c r="O1434" i="4"/>
  <c r="S1433" i="4"/>
  <c r="O1433" i="4"/>
  <c r="S1432" i="4"/>
  <c r="O1432" i="4"/>
  <c r="S1431" i="4"/>
  <c r="O1431" i="4"/>
  <c r="S1430" i="4"/>
  <c r="O1430" i="4"/>
  <c r="S1429" i="4"/>
  <c r="O1429" i="4"/>
  <c r="S1428" i="4"/>
  <c r="O1428" i="4"/>
  <c r="S1427" i="4"/>
  <c r="O1427" i="4"/>
  <c r="S1426" i="4"/>
  <c r="O1426" i="4"/>
  <c r="S1425" i="4"/>
  <c r="O1425" i="4"/>
  <c r="S1424" i="4"/>
  <c r="O1424" i="4"/>
  <c r="S1423" i="4"/>
  <c r="O1423" i="4"/>
  <c r="S1422" i="4"/>
  <c r="O1422" i="4"/>
  <c r="S1421" i="4"/>
  <c r="O1421" i="4"/>
  <c r="S1420" i="4"/>
  <c r="O1420" i="4"/>
  <c r="S1419" i="4"/>
  <c r="O1419" i="4"/>
  <c r="S1418" i="4"/>
  <c r="O1418" i="4"/>
  <c r="S1417" i="4"/>
  <c r="O1417" i="4"/>
  <c r="S1416" i="4"/>
  <c r="O1416" i="4"/>
  <c r="S1415" i="4"/>
  <c r="O1415" i="4"/>
  <c r="S1414" i="4"/>
  <c r="O1414" i="4"/>
  <c r="S1413" i="4"/>
  <c r="O1413" i="4"/>
  <c r="S1412" i="4"/>
  <c r="O1412" i="4"/>
  <c r="S1411" i="4"/>
  <c r="O1411" i="4"/>
  <c r="S1410" i="4"/>
  <c r="O1410" i="4"/>
  <c r="S1409" i="4"/>
  <c r="O1409" i="4"/>
  <c r="S1408" i="4"/>
  <c r="O1408" i="4"/>
  <c r="S1407" i="4"/>
  <c r="O1407" i="4"/>
  <c r="S1406" i="4"/>
  <c r="O1406" i="4"/>
  <c r="S1405" i="4"/>
  <c r="O1405" i="4"/>
  <c r="S1404" i="4"/>
  <c r="O1404" i="4"/>
  <c r="S1403" i="4"/>
  <c r="O1403" i="4"/>
  <c r="S1402" i="4"/>
  <c r="O1402" i="4"/>
  <c r="S1401" i="4"/>
  <c r="O1401" i="4"/>
  <c r="S1400" i="4"/>
  <c r="O1400" i="4"/>
  <c r="S1399" i="4"/>
  <c r="O1399" i="4"/>
  <c r="S1398" i="4"/>
  <c r="O1398" i="4"/>
  <c r="S1397" i="4"/>
  <c r="O1397" i="4"/>
  <c r="S1396" i="4"/>
  <c r="O1396" i="4"/>
  <c r="S1395" i="4"/>
  <c r="O1395" i="4"/>
  <c r="S1394" i="4"/>
  <c r="O1394" i="4"/>
  <c r="S1393" i="4"/>
  <c r="O1393" i="4"/>
  <c r="S1392" i="4"/>
  <c r="O1392" i="4"/>
  <c r="S1391" i="4"/>
  <c r="O1391" i="4"/>
  <c r="S1390" i="4"/>
  <c r="O1390" i="4"/>
  <c r="S1389" i="4"/>
  <c r="O1389" i="4"/>
  <c r="S1388" i="4"/>
  <c r="O1388" i="4"/>
  <c r="S1387" i="4"/>
  <c r="O1387" i="4"/>
  <c r="S1386" i="4"/>
  <c r="O1386" i="4"/>
  <c r="S1385" i="4"/>
  <c r="O1385" i="4"/>
  <c r="S1384" i="4"/>
  <c r="O1384" i="4"/>
  <c r="S1383" i="4"/>
  <c r="O1383" i="4"/>
  <c r="S1382" i="4"/>
  <c r="O1382" i="4"/>
  <c r="S1381" i="4"/>
  <c r="O1381" i="4"/>
  <c r="S1380" i="4"/>
  <c r="O1380" i="4"/>
  <c r="S1379" i="4"/>
  <c r="O1379" i="4"/>
  <c r="S1378" i="4"/>
  <c r="O1378" i="4"/>
  <c r="S1377" i="4"/>
  <c r="O1377" i="4"/>
  <c r="S1376" i="4"/>
  <c r="O1376" i="4"/>
  <c r="S1375" i="4"/>
  <c r="O1375" i="4"/>
  <c r="S1374" i="4"/>
  <c r="O1374" i="4"/>
  <c r="S1373" i="4"/>
  <c r="O1373" i="4"/>
  <c r="S1372" i="4"/>
  <c r="O1372" i="4"/>
  <c r="S1371" i="4"/>
  <c r="O1371" i="4"/>
  <c r="S1370" i="4"/>
  <c r="O1370" i="4"/>
  <c r="S1369" i="4"/>
  <c r="O1369" i="4"/>
  <c r="S1368" i="4"/>
  <c r="O1368" i="4"/>
  <c r="S1367" i="4"/>
  <c r="O1367" i="4"/>
  <c r="S1366" i="4"/>
  <c r="O1366" i="4"/>
  <c r="S1365" i="4"/>
  <c r="O1365" i="4"/>
  <c r="S1364" i="4"/>
  <c r="O1364" i="4"/>
  <c r="S1363" i="4"/>
  <c r="O1363" i="4"/>
  <c r="S1362" i="4"/>
  <c r="O1362" i="4"/>
  <c r="S1361" i="4"/>
  <c r="O1361" i="4"/>
  <c r="S1360" i="4"/>
  <c r="O1360" i="4"/>
  <c r="S1359" i="4"/>
  <c r="O1359" i="4"/>
  <c r="S1358" i="4"/>
  <c r="O1358" i="4"/>
  <c r="S1357" i="4"/>
  <c r="O1357" i="4"/>
  <c r="S1356" i="4"/>
  <c r="O1356" i="4"/>
  <c r="S1355" i="4"/>
  <c r="O1355" i="4"/>
  <c r="S1354" i="4"/>
  <c r="O1354" i="4"/>
  <c r="S1353" i="4"/>
  <c r="O1353" i="4"/>
  <c r="S1352" i="4"/>
  <c r="O1352" i="4"/>
  <c r="S1351" i="4"/>
  <c r="O1351" i="4"/>
  <c r="S1350" i="4"/>
  <c r="O1350" i="4"/>
  <c r="S1349" i="4"/>
  <c r="O1349" i="4"/>
  <c r="S1348" i="4"/>
  <c r="O1348" i="4"/>
  <c r="S1347" i="4"/>
  <c r="O1347" i="4"/>
  <c r="S1346" i="4"/>
  <c r="O1346" i="4"/>
  <c r="S1345" i="4"/>
  <c r="O1345" i="4"/>
  <c r="S1344" i="4"/>
  <c r="O1344" i="4"/>
  <c r="S1343" i="4"/>
  <c r="O1343" i="4"/>
  <c r="S1342" i="4"/>
  <c r="O1342" i="4"/>
  <c r="S1341" i="4"/>
  <c r="O1341" i="4"/>
  <c r="S1340" i="4"/>
  <c r="O1340" i="4"/>
  <c r="S1339" i="4"/>
  <c r="O1339" i="4"/>
  <c r="S1338" i="4"/>
  <c r="O1338" i="4"/>
  <c r="S1337" i="4"/>
  <c r="O1337" i="4"/>
  <c r="S1336" i="4"/>
  <c r="O1336" i="4"/>
  <c r="S1335" i="4"/>
  <c r="O1335" i="4"/>
  <c r="S1334" i="4"/>
  <c r="O1334" i="4"/>
  <c r="S1333" i="4"/>
  <c r="O1333" i="4"/>
  <c r="S1332" i="4"/>
  <c r="O1332" i="4"/>
  <c r="S1331" i="4"/>
  <c r="O1331" i="4"/>
  <c r="S1330" i="4"/>
  <c r="O1330" i="4"/>
  <c r="S1329" i="4"/>
  <c r="O1329" i="4"/>
  <c r="S1328" i="4"/>
  <c r="O1328" i="4"/>
  <c r="S1327" i="4"/>
  <c r="O1327" i="4"/>
  <c r="S1326" i="4"/>
  <c r="O1326" i="4"/>
  <c r="S1325" i="4"/>
  <c r="O1325" i="4"/>
  <c r="S1324" i="4"/>
  <c r="O1324" i="4"/>
  <c r="S1323" i="4"/>
  <c r="O1323" i="4"/>
  <c r="S1322" i="4"/>
  <c r="O1322" i="4"/>
  <c r="S1321" i="4"/>
  <c r="O1321" i="4"/>
  <c r="S1320" i="4"/>
  <c r="O1320" i="4"/>
  <c r="S1319" i="4"/>
  <c r="O1319" i="4"/>
  <c r="S1318" i="4"/>
  <c r="O1318" i="4"/>
  <c r="S1317" i="4"/>
  <c r="O1317" i="4"/>
  <c r="S1316" i="4"/>
  <c r="O1316" i="4"/>
  <c r="S1315" i="4"/>
  <c r="O1315" i="4"/>
  <c r="S1314" i="4"/>
  <c r="O1314" i="4"/>
  <c r="S1313" i="4"/>
  <c r="O1313" i="4"/>
  <c r="S1312" i="4"/>
  <c r="O1312" i="4"/>
  <c r="S1311" i="4"/>
  <c r="O1311" i="4"/>
  <c r="S1310" i="4"/>
  <c r="O1310" i="4"/>
  <c r="S1309" i="4"/>
  <c r="O1309" i="4"/>
  <c r="S1308" i="4"/>
  <c r="O1308" i="4"/>
  <c r="S1307" i="4"/>
  <c r="O1307" i="4"/>
  <c r="S1306" i="4"/>
  <c r="O1306" i="4"/>
  <c r="S1305" i="4"/>
  <c r="O1305" i="4"/>
  <c r="S1304" i="4"/>
  <c r="O1304" i="4"/>
  <c r="S1303" i="4"/>
  <c r="O1303" i="4"/>
  <c r="S1302" i="4"/>
  <c r="O1302" i="4"/>
  <c r="S1301" i="4"/>
  <c r="O1301" i="4"/>
  <c r="S1300" i="4"/>
  <c r="O1300" i="4"/>
  <c r="S1299" i="4"/>
  <c r="O1299" i="4"/>
  <c r="S1298" i="4"/>
  <c r="O1298" i="4"/>
  <c r="S1297" i="4"/>
  <c r="O1297" i="4"/>
  <c r="S1296" i="4"/>
  <c r="O1296" i="4"/>
  <c r="S1295" i="4"/>
  <c r="O1295" i="4"/>
  <c r="S1294" i="4"/>
  <c r="O1294" i="4"/>
  <c r="S1293" i="4"/>
  <c r="O1293" i="4"/>
  <c r="S1292" i="4"/>
  <c r="O1292" i="4"/>
  <c r="S1291" i="4"/>
  <c r="O1291" i="4"/>
  <c r="S1290" i="4"/>
  <c r="O1290" i="4"/>
  <c r="S1289" i="4"/>
  <c r="O1289" i="4"/>
  <c r="S1288" i="4"/>
  <c r="O1288" i="4"/>
  <c r="S1287" i="4"/>
  <c r="O1287" i="4"/>
  <c r="S1286" i="4"/>
  <c r="O1286" i="4"/>
  <c r="S1285" i="4"/>
  <c r="O1285" i="4"/>
  <c r="S1284" i="4"/>
  <c r="O1284" i="4"/>
  <c r="S1283" i="4"/>
  <c r="O1283" i="4"/>
  <c r="S1282" i="4"/>
  <c r="O1282" i="4"/>
  <c r="S1281" i="4"/>
  <c r="O1281" i="4"/>
  <c r="S1280" i="4"/>
  <c r="O1280" i="4"/>
  <c r="S1279" i="4"/>
  <c r="O1279" i="4"/>
  <c r="S1278" i="4"/>
  <c r="O1278" i="4"/>
  <c r="S1277" i="4"/>
  <c r="O1277" i="4"/>
  <c r="S1276" i="4"/>
  <c r="O1276" i="4"/>
  <c r="S1275" i="4"/>
  <c r="O1275" i="4"/>
  <c r="S1274" i="4"/>
  <c r="O1274" i="4"/>
  <c r="S1273" i="4"/>
  <c r="O1273" i="4"/>
  <c r="S1272" i="4"/>
  <c r="O1272" i="4"/>
  <c r="S1271" i="4"/>
  <c r="O1271" i="4"/>
  <c r="S1270" i="4"/>
  <c r="O1270" i="4"/>
  <c r="S1269" i="4"/>
  <c r="O1269" i="4"/>
  <c r="S1268" i="4"/>
  <c r="O1268" i="4"/>
  <c r="S1267" i="4"/>
  <c r="O1267" i="4"/>
  <c r="S1266" i="4"/>
  <c r="O1266" i="4"/>
  <c r="S1265" i="4"/>
  <c r="O1265" i="4"/>
  <c r="S1264" i="4"/>
  <c r="O1264" i="4"/>
  <c r="S1263" i="4"/>
  <c r="O1263" i="4"/>
  <c r="S1262" i="4"/>
  <c r="O1262" i="4"/>
  <c r="S1261" i="4"/>
  <c r="O1261" i="4"/>
  <c r="S1260" i="4"/>
  <c r="O1260" i="4"/>
  <c r="S1259" i="4"/>
  <c r="O1259" i="4"/>
  <c r="S1258" i="4"/>
  <c r="O1258" i="4"/>
  <c r="S1257" i="4"/>
  <c r="O1257" i="4"/>
  <c r="S1256" i="4"/>
  <c r="O1256" i="4"/>
  <c r="S1255" i="4"/>
  <c r="O1255" i="4"/>
  <c r="S1254" i="4"/>
  <c r="O1254" i="4"/>
  <c r="S1253" i="4"/>
  <c r="O1253" i="4"/>
  <c r="S1252" i="4"/>
  <c r="O1252" i="4"/>
  <c r="S1251" i="4"/>
  <c r="O1251" i="4"/>
  <c r="S1250" i="4"/>
  <c r="O1250" i="4"/>
  <c r="S1249" i="4"/>
  <c r="O1249" i="4"/>
  <c r="S1248" i="4"/>
  <c r="O1248" i="4"/>
  <c r="S1247" i="4"/>
  <c r="O1247" i="4"/>
  <c r="S1246" i="4"/>
  <c r="O1246" i="4"/>
  <c r="S1245" i="4"/>
  <c r="O1245" i="4"/>
  <c r="S1244" i="4"/>
  <c r="O1244" i="4"/>
  <c r="S1243" i="4"/>
  <c r="O1243" i="4"/>
  <c r="S1242" i="4"/>
  <c r="O1242" i="4"/>
  <c r="S1241" i="4"/>
  <c r="O1241" i="4"/>
  <c r="S1240" i="4"/>
  <c r="O1240" i="4"/>
  <c r="S1239" i="4"/>
  <c r="O1239" i="4"/>
  <c r="S1238" i="4"/>
  <c r="O1238" i="4"/>
  <c r="S1237" i="4"/>
  <c r="O1237" i="4"/>
  <c r="S1236" i="4"/>
  <c r="O1236" i="4"/>
  <c r="S1235" i="4"/>
  <c r="O1235" i="4"/>
  <c r="S1234" i="4"/>
  <c r="O1234" i="4"/>
  <c r="S1233" i="4"/>
  <c r="O1233" i="4"/>
  <c r="S1232" i="4"/>
  <c r="O1232" i="4"/>
  <c r="S1231" i="4"/>
  <c r="O1231" i="4"/>
  <c r="S1230" i="4"/>
  <c r="O1230" i="4"/>
  <c r="S1229" i="4"/>
  <c r="O1229" i="4"/>
  <c r="S1228" i="4"/>
  <c r="O1228" i="4"/>
  <c r="S1227" i="4"/>
  <c r="O1227" i="4"/>
  <c r="S1226" i="4"/>
  <c r="O1226" i="4"/>
  <c r="S1225" i="4"/>
  <c r="O1225" i="4"/>
  <c r="S1224" i="4"/>
  <c r="O1224" i="4"/>
  <c r="S1223" i="4"/>
  <c r="O1223" i="4"/>
  <c r="S1222" i="4"/>
  <c r="O1222" i="4"/>
  <c r="S1221" i="4"/>
  <c r="O1221" i="4"/>
  <c r="S1220" i="4"/>
  <c r="O1220" i="4"/>
  <c r="S1219" i="4"/>
  <c r="O1219" i="4"/>
  <c r="S1218" i="4"/>
  <c r="O1218" i="4"/>
  <c r="S1217" i="4"/>
  <c r="O1217" i="4"/>
  <c r="S1216" i="4"/>
  <c r="O1216" i="4"/>
  <c r="S1215" i="4"/>
  <c r="O1215" i="4"/>
  <c r="S1214" i="4"/>
  <c r="O1214" i="4"/>
  <c r="S1213" i="4"/>
  <c r="O1213" i="4"/>
  <c r="S1212" i="4"/>
  <c r="O1212" i="4"/>
  <c r="S1211" i="4"/>
  <c r="O1211" i="4"/>
  <c r="S1210" i="4"/>
  <c r="O1210" i="4"/>
  <c r="S1209" i="4"/>
  <c r="O1209" i="4"/>
  <c r="S1208" i="4"/>
  <c r="O1208" i="4"/>
  <c r="S1207" i="4"/>
  <c r="O1207" i="4"/>
  <c r="S1206" i="4"/>
  <c r="O1206" i="4"/>
  <c r="S1205" i="4"/>
  <c r="O1205" i="4"/>
  <c r="S1204" i="4"/>
  <c r="O1204" i="4"/>
  <c r="S1203" i="4"/>
  <c r="O1203" i="4"/>
  <c r="S1202" i="4"/>
  <c r="O1202" i="4"/>
  <c r="S1201" i="4"/>
  <c r="O1201" i="4"/>
  <c r="S1200" i="4"/>
  <c r="O1200" i="4"/>
  <c r="S1199" i="4"/>
  <c r="O1199" i="4"/>
  <c r="S1198" i="4"/>
  <c r="O1198" i="4"/>
  <c r="S1197" i="4"/>
  <c r="O1197" i="4"/>
  <c r="S1196" i="4"/>
  <c r="O1196" i="4"/>
  <c r="S1195" i="4"/>
  <c r="O1195" i="4"/>
  <c r="S1194" i="4"/>
  <c r="O1194" i="4"/>
  <c r="S1193" i="4"/>
  <c r="O1193" i="4"/>
  <c r="S1192" i="4"/>
  <c r="O1192" i="4"/>
  <c r="S1191" i="4"/>
  <c r="O1191" i="4"/>
  <c r="S1190" i="4"/>
  <c r="O1190" i="4"/>
  <c r="S1189" i="4"/>
  <c r="O1189" i="4"/>
  <c r="S1188" i="4"/>
  <c r="O1188" i="4"/>
  <c r="S1187" i="4"/>
  <c r="O1187" i="4"/>
  <c r="S1186" i="4"/>
  <c r="O1186" i="4"/>
  <c r="S1185" i="4"/>
  <c r="O1185" i="4"/>
  <c r="S1184" i="4"/>
  <c r="O1184" i="4"/>
  <c r="S1183" i="4"/>
  <c r="O1183" i="4"/>
  <c r="S1182" i="4"/>
  <c r="O1182" i="4"/>
  <c r="S1181" i="4"/>
  <c r="O1181" i="4"/>
  <c r="S1180" i="4"/>
  <c r="O1180" i="4"/>
  <c r="S1179" i="4"/>
  <c r="O1179" i="4"/>
  <c r="S1178" i="4"/>
  <c r="O1178" i="4"/>
  <c r="S1177" i="4"/>
  <c r="O1177" i="4"/>
  <c r="S1176" i="4"/>
  <c r="O1176" i="4"/>
  <c r="S1175" i="4"/>
  <c r="O1175" i="4"/>
  <c r="S1174" i="4"/>
  <c r="O1174" i="4"/>
  <c r="S1173" i="4"/>
  <c r="O1173" i="4"/>
  <c r="S1172" i="4"/>
  <c r="O1172" i="4"/>
  <c r="S1171" i="4"/>
  <c r="O1171" i="4"/>
  <c r="S1170" i="4"/>
  <c r="O1170" i="4"/>
  <c r="S1169" i="4"/>
  <c r="O1169" i="4"/>
  <c r="S1168" i="4"/>
  <c r="O1168" i="4"/>
  <c r="S1167" i="4"/>
  <c r="O1167" i="4"/>
  <c r="S1166" i="4"/>
  <c r="O1166" i="4"/>
  <c r="S1165" i="4"/>
  <c r="O1165" i="4"/>
  <c r="S1164" i="4"/>
  <c r="O1164" i="4"/>
  <c r="S1163" i="4"/>
  <c r="O1163" i="4"/>
  <c r="S1162" i="4"/>
  <c r="O1162" i="4"/>
  <c r="S1161" i="4"/>
  <c r="O1161" i="4"/>
  <c r="S1160" i="4"/>
  <c r="O1160" i="4"/>
  <c r="S1159" i="4"/>
  <c r="O1159" i="4"/>
  <c r="S1158" i="4"/>
  <c r="O1158" i="4"/>
  <c r="S1157" i="4"/>
  <c r="O1157" i="4"/>
  <c r="S1156" i="4"/>
  <c r="O1156" i="4"/>
  <c r="S1155" i="4"/>
  <c r="O1155" i="4"/>
  <c r="S1154" i="4"/>
  <c r="O1154" i="4"/>
  <c r="S1153" i="4"/>
  <c r="O1153" i="4"/>
  <c r="S1152" i="4"/>
  <c r="O1152" i="4"/>
  <c r="S1151" i="4"/>
  <c r="O1151" i="4"/>
  <c r="S1150" i="4"/>
  <c r="O1150" i="4"/>
  <c r="S1149" i="4"/>
  <c r="O1149" i="4"/>
  <c r="S1148" i="4"/>
  <c r="O1148" i="4"/>
  <c r="S1147" i="4"/>
  <c r="O1147" i="4"/>
  <c r="S1146" i="4"/>
  <c r="O1146" i="4"/>
  <c r="S1145" i="4"/>
  <c r="O1145" i="4"/>
  <c r="S1144" i="4"/>
  <c r="O1144" i="4"/>
  <c r="S1143" i="4"/>
  <c r="O1143" i="4"/>
  <c r="S1142" i="4"/>
  <c r="O1142" i="4"/>
  <c r="S1141" i="4"/>
  <c r="O1141" i="4"/>
  <c r="S1140" i="4"/>
  <c r="O1140" i="4"/>
  <c r="S1139" i="4"/>
  <c r="O1139" i="4"/>
  <c r="S1138" i="4"/>
  <c r="O1138" i="4"/>
  <c r="S1137" i="4"/>
  <c r="O1137" i="4"/>
  <c r="S1136" i="4"/>
  <c r="O1136" i="4"/>
  <c r="S1135" i="4"/>
  <c r="O1135" i="4"/>
  <c r="S1134" i="4"/>
  <c r="O1134" i="4"/>
  <c r="S1133" i="4"/>
  <c r="O1133" i="4"/>
  <c r="S1132" i="4"/>
  <c r="O1132" i="4"/>
  <c r="S1131" i="4"/>
  <c r="O1131" i="4"/>
  <c r="S1130" i="4"/>
  <c r="O1130" i="4"/>
  <c r="S1129" i="4"/>
  <c r="O1129" i="4"/>
  <c r="S1128" i="4"/>
  <c r="O1128" i="4"/>
  <c r="S1127" i="4"/>
  <c r="O1127" i="4"/>
  <c r="S1126" i="4"/>
  <c r="O1126" i="4"/>
  <c r="S1125" i="4"/>
  <c r="O1125" i="4"/>
  <c r="S1124" i="4"/>
  <c r="O1124" i="4"/>
  <c r="S1123" i="4"/>
  <c r="O1123" i="4"/>
  <c r="S1122" i="4"/>
  <c r="O1122" i="4"/>
  <c r="S1121" i="4"/>
  <c r="O1121" i="4"/>
  <c r="S1120" i="4"/>
  <c r="O1120" i="4"/>
  <c r="S1119" i="4"/>
  <c r="O1119" i="4"/>
  <c r="S1118" i="4"/>
  <c r="O1118" i="4"/>
  <c r="S1117" i="4"/>
  <c r="O1117" i="4"/>
  <c r="S1116" i="4"/>
  <c r="O1116" i="4"/>
  <c r="S1115" i="4"/>
  <c r="O1115" i="4"/>
  <c r="S1114" i="4"/>
  <c r="O1114" i="4"/>
  <c r="S1113" i="4"/>
  <c r="O1113" i="4"/>
  <c r="S1112" i="4"/>
  <c r="O1112" i="4"/>
  <c r="S1111" i="4"/>
  <c r="O1111" i="4"/>
  <c r="S1110" i="4"/>
  <c r="O1110" i="4"/>
  <c r="S1109" i="4"/>
  <c r="O1109" i="4"/>
  <c r="S1108" i="4"/>
  <c r="O1108" i="4"/>
  <c r="S1107" i="4"/>
  <c r="O1107" i="4"/>
  <c r="S1106" i="4"/>
  <c r="O1106" i="4"/>
  <c r="S1105" i="4"/>
  <c r="O1105" i="4"/>
  <c r="S1104" i="4"/>
  <c r="O1104" i="4"/>
  <c r="S1103" i="4"/>
  <c r="O1103" i="4"/>
  <c r="S1102" i="4"/>
  <c r="O1102" i="4"/>
  <c r="S1101" i="4"/>
  <c r="O1101" i="4"/>
  <c r="S1100" i="4"/>
  <c r="O1100" i="4"/>
  <c r="S1099" i="4"/>
  <c r="O1099" i="4"/>
  <c r="S1098" i="4"/>
  <c r="O1098" i="4"/>
  <c r="S1097" i="4"/>
  <c r="O1097" i="4"/>
  <c r="S1096" i="4"/>
  <c r="O1096" i="4"/>
  <c r="S1095" i="4"/>
  <c r="O1095" i="4"/>
  <c r="S1094" i="4"/>
  <c r="O1094" i="4"/>
  <c r="S1093" i="4"/>
  <c r="O1093" i="4"/>
  <c r="S1092" i="4"/>
  <c r="O1092" i="4"/>
  <c r="S1091" i="4"/>
  <c r="O1091" i="4"/>
  <c r="S1090" i="4"/>
  <c r="O1090" i="4"/>
  <c r="S1089" i="4"/>
  <c r="O1089" i="4"/>
  <c r="S1088" i="4"/>
  <c r="O1088" i="4"/>
  <c r="S1087" i="4"/>
  <c r="O1087" i="4"/>
  <c r="S1086" i="4"/>
  <c r="O1086" i="4"/>
  <c r="S1085" i="4"/>
  <c r="O1085" i="4"/>
  <c r="S1084" i="4"/>
  <c r="O1084" i="4"/>
  <c r="S1083" i="4"/>
  <c r="O1083" i="4"/>
  <c r="S1082" i="4"/>
  <c r="O1082" i="4"/>
  <c r="S1081" i="4"/>
  <c r="O1081" i="4"/>
  <c r="S1080" i="4"/>
  <c r="O1080" i="4"/>
  <c r="S1079" i="4"/>
  <c r="O1079" i="4"/>
  <c r="S1078" i="4"/>
  <c r="O1078" i="4"/>
  <c r="S1077" i="4"/>
  <c r="O1077" i="4"/>
  <c r="S1076" i="4"/>
  <c r="O1076" i="4"/>
  <c r="S1075" i="4"/>
  <c r="O1075" i="4"/>
  <c r="S1074" i="4"/>
  <c r="O1074" i="4"/>
  <c r="S1073" i="4"/>
  <c r="O1073" i="4"/>
  <c r="S1072" i="4"/>
  <c r="O1072" i="4"/>
  <c r="S1071" i="4"/>
  <c r="O1071" i="4"/>
  <c r="S1070" i="4"/>
  <c r="O1070" i="4"/>
  <c r="S1069" i="4"/>
  <c r="O1069" i="4"/>
  <c r="S1068" i="4"/>
  <c r="O1068" i="4"/>
  <c r="S1067" i="4"/>
  <c r="O1067" i="4"/>
  <c r="S1066" i="4"/>
  <c r="O1066" i="4"/>
  <c r="S1065" i="4"/>
  <c r="O1065" i="4"/>
  <c r="S1064" i="4"/>
  <c r="O1064" i="4"/>
  <c r="S1063" i="4"/>
  <c r="O1063" i="4"/>
  <c r="S1062" i="4"/>
  <c r="O1062" i="4"/>
  <c r="S1061" i="4"/>
  <c r="O1061" i="4"/>
  <c r="S1060" i="4"/>
  <c r="O1060" i="4"/>
  <c r="S1059" i="4"/>
  <c r="O1059" i="4"/>
  <c r="S1058" i="4"/>
  <c r="O1058" i="4"/>
  <c r="S1057" i="4"/>
  <c r="O1057" i="4"/>
  <c r="S1056" i="4"/>
  <c r="O1056" i="4"/>
  <c r="S1055" i="4"/>
  <c r="O1055" i="4"/>
  <c r="S1054" i="4"/>
  <c r="O1054" i="4"/>
  <c r="S1053" i="4"/>
  <c r="O1053" i="4"/>
  <c r="S1052" i="4"/>
  <c r="O1052" i="4"/>
  <c r="S1051" i="4"/>
  <c r="O1051" i="4"/>
  <c r="S1050" i="4"/>
  <c r="O1050" i="4"/>
  <c r="S1049" i="4"/>
  <c r="O1049" i="4"/>
  <c r="S1048" i="4"/>
  <c r="O1048" i="4"/>
  <c r="S1047" i="4"/>
  <c r="O1047" i="4"/>
  <c r="S1046" i="4"/>
  <c r="O1046" i="4"/>
  <c r="S1045" i="4"/>
  <c r="O1045" i="4"/>
  <c r="S1044" i="4"/>
  <c r="O1044" i="4"/>
  <c r="S1043" i="4"/>
  <c r="O1043" i="4"/>
  <c r="S1042" i="4"/>
  <c r="O1042" i="4"/>
  <c r="S1041" i="4"/>
  <c r="O1041" i="4"/>
  <c r="S1040" i="4"/>
  <c r="O1040" i="4"/>
  <c r="S1039" i="4"/>
  <c r="O1039" i="4"/>
  <c r="S1038" i="4"/>
  <c r="O1038" i="4"/>
  <c r="S1037" i="4"/>
  <c r="O1037" i="4"/>
  <c r="S1036" i="4"/>
  <c r="O1036" i="4"/>
  <c r="S1035" i="4"/>
  <c r="O1035" i="4"/>
  <c r="S1034" i="4"/>
  <c r="O1034" i="4"/>
  <c r="S1033" i="4"/>
  <c r="O1033" i="4"/>
  <c r="S1032" i="4"/>
  <c r="O1032" i="4"/>
  <c r="S1031" i="4"/>
  <c r="O1031" i="4"/>
  <c r="S1030" i="4"/>
  <c r="O1030" i="4"/>
  <c r="S1029" i="4"/>
  <c r="O1029" i="4"/>
  <c r="S1028" i="4"/>
  <c r="O1028" i="4"/>
  <c r="S1027" i="4"/>
  <c r="O1027" i="4"/>
  <c r="S1026" i="4"/>
  <c r="O1026" i="4"/>
  <c r="S1025" i="4"/>
  <c r="O1025" i="4"/>
  <c r="S1024" i="4"/>
  <c r="O1024" i="4"/>
  <c r="S1023" i="4"/>
  <c r="O1023" i="4"/>
  <c r="S1022" i="4"/>
  <c r="O1022" i="4"/>
  <c r="S1021" i="4"/>
  <c r="O1021" i="4"/>
  <c r="S1020" i="4"/>
  <c r="O1020" i="4"/>
  <c r="S1019" i="4"/>
  <c r="O1019" i="4"/>
  <c r="S1018" i="4"/>
  <c r="O1018" i="4"/>
  <c r="S1017" i="4"/>
  <c r="O1017" i="4"/>
  <c r="S1016" i="4"/>
  <c r="O1016" i="4"/>
  <c r="S1015" i="4"/>
  <c r="O1015" i="4"/>
  <c r="S1014" i="4"/>
  <c r="O1014" i="4"/>
  <c r="S1013" i="4"/>
  <c r="O1013" i="4"/>
  <c r="S1012" i="4"/>
  <c r="O1012" i="4"/>
  <c r="S1011" i="4"/>
  <c r="O1011" i="4"/>
  <c r="S1010" i="4"/>
  <c r="O1010" i="4"/>
  <c r="S1009" i="4"/>
  <c r="O1009" i="4"/>
  <c r="S1008" i="4"/>
  <c r="O1008" i="4"/>
  <c r="S1007" i="4"/>
  <c r="O1007" i="4"/>
  <c r="S1006" i="4"/>
  <c r="O1006" i="4"/>
  <c r="S1005" i="4"/>
  <c r="O1005" i="4"/>
  <c r="S1004" i="4"/>
  <c r="O1004" i="4"/>
  <c r="S1003" i="4"/>
  <c r="O1003" i="4"/>
  <c r="S1002" i="4"/>
  <c r="O1002" i="4"/>
  <c r="S1001" i="4"/>
  <c r="O1001" i="4"/>
  <c r="S1000" i="4"/>
  <c r="O1000" i="4"/>
  <c r="S999" i="4"/>
  <c r="O999" i="4"/>
  <c r="S998" i="4"/>
  <c r="O998" i="4"/>
  <c r="S997" i="4"/>
  <c r="O997" i="4"/>
  <c r="S996" i="4"/>
  <c r="O996" i="4"/>
  <c r="S995" i="4"/>
  <c r="O995" i="4"/>
  <c r="S994" i="4"/>
  <c r="O994" i="4"/>
  <c r="S993" i="4"/>
  <c r="O993" i="4"/>
  <c r="S992" i="4"/>
  <c r="O992" i="4"/>
  <c r="S991" i="4"/>
  <c r="O991" i="4"/>
  <c r="S990" i="4"/>
  <c r="O990" i="4"/>
  <c r="S989" i="4"/>
  <c r="O989" i="4"/>
  <c r="S988" i="4"/>
  <c r="O988" i="4"/>
  <c r="S987" i="4"/>
  <c r="O987" i="4"/>
  <c r="S986" i="4"/>
  <c r="O986" i="4"/>
  <c r="S985" i="4"/>
  <c r="O985" i="4"/>
  <c r="S984" i="4"/>
  <c r="O984" i="4"/>
  <c r="S983" i="4"/>
  <c r="O983" i="4"/>
  <c r="S982" i="4"/>
  <c r="O982" i="4"/>
  <c r="S981" i="4"/>
  <c r="O981" i="4"/>
  <c r="S980" i="4"/>
  <c r="O980" i="4"/>
  <c r="S979" i="4"/>
  <c r="O979" i="4"/>
  <c r="S978" i="4"/>
  <c r="O978" i="4"/>
  <c r="S977" i="4"/>
  <c r="O977" i="4"/>
  <c r="S976" i="4"/>
  <c r="O976" i="4"/>
  <c r="S975" i="4"/>
  <c r="O975" i="4"/>
  <c r="S974" i="4"/>
  <c r="O974" i="4"/>
  <c r="S973" i="4"/>
  <c r="O973" i="4"/>
  <c r="S972" i="4"/>
  <c r="O972" i="4"/>
  <c r="S971" i="4"/>
  <c r="O971" i="4"/>
  <c r="S970" i="4"/>
  <c r="O970" i="4"/>
  <c r="S969" i="4"/>
  <c r="O969" i="4"/>
  <c r="S968" i="4"/>
  <c r="O968" i="4"/>
  <c r="S967" i="4"/>
  <c r="O967" i="4"/>
  <c r="S966" i="4"/>
  <c r="O966" i="4"/>
  <c r="S965" i="4"/>
  <c r="O965" i="4"/>
  <c r="S964" i="4"/>
  <c r="O964" i="4"/>
  <c r="S963" i="4"/>
  <c r="O963" i="4"/>
  <c r="S962" i="4"/>
  <c r="O962" i="4"/>
  <c r="S961" i="4"/>
  <c r="O961" i="4"/>
  <c r="S960" i="4"/>
  <c r="O960" i="4"/>
  <c r="S959" i="4"/>
  <c r="O959" i="4"/>
  <c r="S958" i="4"/>
  <c r="O958" i="4"/>
  <c r="S957" i="4"/>
  <c r="O957" i="4"/>
  <c r="S956" i="4"/>
  <c r="O956" i="4"/>
  <c r="S955" i="4"/>
  <c r="O955" i="4"/>
  <c r="S954" i="4"/>
  <c r="O954" i="4"/>
  <c r="S953" i="4"/>
  <c r="O953" i="4"/>
  <c r="S952" i="4"/>
  <c r="O952" i="4"/>
  <c r="S951" i="4"/>
  <c r="O951" i="4"/>
  <c r="S950" i="4"/>
  <c r="O950" i="4"/>
  <c r="S949" i="4"/>
  <c r="O949" i="4"/>
  <c r="S948" i="4"/>
  <c r="O948" i="4"/>
  <c r="S947" i="4"/>
  <c r="O947" i="4"/>
  <c r="S946" i="4"/>
  <c r="O946" i="4"/>
  <c r="S945" i="4"/>
  <c r="O945" i="4"/>
  <c r="S944" i="4"/>
  <c r="O944" i="4"/>
  <c r="S943" i="4"/>
  <c r="O943" i="4"/>
  <c r="S942" i="4"/>
  <c r="O942" i="4"/>
  <c r="S941" i="4"/>
  <c r="O941" i="4"/>
  <c r="S940" i="4"/>
  <c r="O940" i="4"/>
  <c r="S939" i="4"/>
  <c r="O939" i="4"/>
  <c r="S938" i="4"/>
  <c r="O938" i="4"/>
  <c r="S937" i="4"/>
  <c r="O937" i="4"/>
  <c r="S936" i="4"/>
  <c r="O936" i="4"/>
  <c r="S935" i="4"/>
  <c r="O935" i="4"/>
  <c r="S934" i="4"/>
  <c r="O934" i="4"/>
  <c r="S933" i="4"/>
  <c r="O933" i="4"/>
  <c r="S932" i="4"/>
  <c r="O932" i="4"/>
  <c r="S931" i="4"/>
  <c r="O931" i="4"/>
  <c r="S930" i="4"/>
  <c r="O930" i="4"/>
  <c r="S929" i="4"/>
  <c r="O929" i="4"/>
  <c r="S928" i="4"/>
  <c r="O928" i="4"/>
  <c r="S927" i="4"/>
  <c r="O927" i="4"/>
  <c r="S926" i="4"/>
  <c r="O926" i="4"/>
  <c r="S925" i="4"/>
  <c r="O925" i="4"/>
  <c r="S924" i="4"/>
  <c r="O924" i="4"/>
  <c r="S923" i="4"/>
  <c r="O923" i="4"/>
  <c r="S922" i="4"/>
  <c r="O922" i="4"/>
  <c r="S921" i="4"/>
  <c r="O921" i="4"/>
  <c r="S920" i="4"/>
  <c r="O920" i="4"/>
  <c r="S919" i="4"/>
  <c r="O919" i="4"/>
  <c r="S918" i="4"/>
  <c r="O918" i="4"/>
  <c r="S917" i="4"/>
  <c r="O917" i="4"/>
  <c r="S916" i="4"/>
  <c r="O916" i="4"/>
  <c r="S915" i="4"/>
  <c r="O915" i="4"/>
  <c r="S914" i="4"/>
  <c r="O914" i="4"/>
  <c r="S913" i="4"/>
  <c r="O913" i="4"/>
  <c r="S912" i="4"/>
  <c r="O912" i="4"/>
  <c r="S911" i="4"/>
  <c r="O911" i="4"/>
  <c r="S910" i="4"/>
  <c r="O910" i="4"/>
  <c r="S909" i="4"/>
  <c r="O909" i="4"/>
  <c r="S908" i="4"/>
  <c r="O908" i="4"/>
  <c r="S907" i="4"/>
  <c r="O907" i="4"/>
  <c r="S906" i="4"/>
  <c r="O906" i="4"/>
  <c r="S905" i="4"/>
  <c r="O905" i="4"/>
  <c r="S904" i="4"/>
  <c r="O904" i="4"/>
  <c r="S903" i="4"/>
  <c r="O903" i="4"/>
  <c r="S902" i="4"/>
  <c r="O902" i="4"/>
  <c r="S901" i="4"/>
  <c r="O901" i="4"/>
  <c r="S900" i="4"/>
  <c r="O900" i="4"/>
  <c r="S899" i="4"/>
  <c r="O899" i="4"/>
  <c r="S898" i="4"/>
  <c r="O898" i="4"/>
  <c r="S897" i="4"/>
  <c r="O897" i="4"/>
  <c r="S896" i="4"/>
  <c r="O896" i="4"/>
  <c r="S895" i="4"/>
  <c r="O895" i="4"/>
  <c r="S894" i="4"/>
  <c r="O894" i="4"/>
  <c r="S893" i="4"/>
  <c r="O893" i="4"/>
  <c r="S892" i="4"/>
  <c r="O892" i="4"/>
  <c r="S891" i="4"/>
  <c r="O891" i="4"/>
  <c r="S890" i="4"/>
  <c r="O890" i="4"/>
  <c r="S889" i="4"/>
  <c r="O889" i="4"/>
  <c r="S888" i="4"/>
  <c r="O888" i="4"/>
  <c r="S887" i="4"/>
  <c r="O887" i="4"/>
  <c r="S886" i="4"/>
  <c r="O886" i="4"/>
  <c r="S885" i="4"/>
  <c r="O885" i="4"/>
  <c r="S884" i="4"/>
  <c r="O884" i="4"/>
  <c r="S883" i="4"/>
  <c r="O883" i="4"/>
  <c r="S882" i="4"/>
  <c r="O882" i="4"/>
  <c r="S881" i="4"/>
  <c r="O881" i="4"/>
  <c r="S880" i="4"/>
  <c r="O880" i="4"/>
  <c r="S879" i="4"/>
  <c r="O879" i="4"/>
  <c r="S878" i="4"/>
  <c r="O878" i="4"/>
  <c r="S877" i="4"/>
  <c r="O877" i="4"/>
  <c r="S876" i="4"/>
  <c r="O876" i="4"/>
  <c r="S875" i="4"/>
  <c r="O875" i="4"/>
  <c r="S874" i="4"/>
  <c r="O874" i="4"/>
  <c r="S873" i="4"/>
  <c r="O873" i="4"/>
  <c r="S872" i="4"/>
  <c r="O872" i="4"/>
  <c r="S871" i="4"/>
  <c r="O871" i="4"/>
  <c r="S870" i="4"/>
  <c r="O870" i="4"/>
  <c r="S869" i="4"/>
  <c r="O869" i="4"/>
  <c r="S868" i="4"/>
  <c r="O868" i="4"/>
  <c r="S867" i="4"/>
  <c r="O867" i="4"/>
  <c r="S866" i="4"/>
  <c r="O866" i="4"/>
  <c r="S865" i="4"/>
  <c r="O865" i="4"/>
  <c r="S864" i="4"/>
  <c r="O864" i="4"/>
  <c r="S863" i="4"/>
  <c r="O863" i="4"/>
  <c r="S862" i="4"/>
  <c r="O862" i="4"/>
  <c r="S861" i="4"/>
  <c r="O861" i="4"/>
  <c r="S860" i="4"/>
  <c r="O860" i="4"/>
  <c r="S859" i="4"/>
  <c r="O859" i="4"/>
  <c r="S858" i="4"/>
  <c r="O858" i="4"/>
  <c r="S857" i="4"/>
  <c r="O857" i="4"/>
  <c r="S856" i="4"/>
  <c r="O856" i="4"/>
  <c r="S855" i="4"/>
  <c r="O855" i="4"/>
  <c r="S854" i="4"/>
  <c r="O854" i="4"/>
  <c r="S853" i="4"/>
  <c r="O853" i="4"/>
  <c r="S852" i="4"/>
  <c r="O852" i="4"/>
  <c r="S851" i="4"/>
  <c r="O851" i="4"/>
  <c r="S850" i="4"/>
  <c r="O850" i="4"/>
  <c r="S849" i="4"/>
  <c r="O849" i="4"/>
  <c r="S848" i="4"/>
  <c r="O848" i="4"/>
  <c r="S847" i="4"/>
  <c r="O847" i="4"/>
  <c r="S846" i="4"/>
  <c r="O846" i="4"/>
  <c r="S845" i="4"/>
  <c r="O845" i="4"/>
  <c r="S844" i="4"/>
  <c r="O844" i="4"/>
  <c r="S843" i="4"/>
  <c r="O843" i="4"/>
  <c r="S842" i="4"/>
  <c r="O842" i="4"/>
  <c r="S841" i="4"/>
  <c r="O841" i="4"/>
  <c r="S840" i="4"/>
  <c r="O840" i="4"/>
  <c r="S839" i="4"/>
  <c r="O839" i="4"/>
  <c r="S838" i="4"/>
  <c r="O838" i="4"/>
  <c r="S837" i="4"/>
  <c r="O837" i="4"/>
  <c r="S836" i="4"/>
  <c r="O836" i="4"/>
  <c r="S835" i="4"/>
  <c r="O835" i="4"/>
  <c r="S834" i="4"/>
  <c r="O834" i="4"/>
  <c r="S833" i="4"/>
  <c r="O833" i="4"/>
  <c r="S832" i="4"/>
  <c r="O832" i="4"/>
  <c r="S831" i="4"/>
  <c r="O831" i="4"/>
  <c r="S830" i="4"/>
  <c r="O830" i="4"/>
  <c r="S829" i="4"/>
  <c r="O829" i="4"/>
  <c r="S828" i="4"/>
  <c r="O828" i="4"/>
  <c r="S827" i="4"/>
  <c r="O827" i="4"/>
  <c r="S826" i="4"/>
  <c r="O826" i="4"/>
  <c r="S825" i="4"/>
  <c r="O825" i="4"/>
  <c r="S824" i="4"/>
  <c r="O824" i="4"/>
  <c r="S823" i="4"/>
  <c r="O823" i="4"/>
  <c r="S822" i="4"/>
  <c r="O822" i="4"/>
  <c r="S821" i="4"/>
  <c r="O821" i="4"/>
  <c r="S820" i="4"/>
  <c r="O820" i="4"/>
  <c r="S819" i="4"/>
  <c r="O819" i="4"/>
  <c r="S818" i="4"/>
  <c r="O818" i="4"/>
  <c r="S817" i="4"/>
  <c r="O817" i="4"/>
  <c r="S816" i="4"/>
  <c r="O816" i="4"/>
  <c r="S815" i="4"/>
  <c r="O815" i="4"/>
  <c r="S814" i="4"/>
  <c r="O814" i="4"/>
  <c r="S813" i="4"/>
  <c r="O813" i="4"/>
  <c r="S812" i="4"/>
  <c r="O812" i="4"/>
  <c r="S811" i="4"/>
  <c r="O811" i="4"/>
  <c r="S810" i="4"/>
  <c r="O810" i="4"/>
  <c r="S809" i="4"/>
  <c r="O809" i="4"/>
  <c r="S808" i="4"/>
  <c r="O808" i="4"/>
  <c r="S807" i="4"/>
  <c r="O807" i="4"/>
  <c r="S806" i="4"/>
  <c r="O806" i="4"/>
  <c r="S805" i="4"/>
  <c r="O805" i="4"/>
  <c r="S804" i="4"/>
  <c r="O804" i="4"/>
  <c r="S803" i="4"/>
  <c r="O803" i="4"/>
  <c r="S802" i="4"/>
  <c r="O802" i="4"/>
  <c r="S801" i="4"/>
  <c r="O801" i="4"/>
  <c r="S800" i="4"/>
  <c r="O800" i="4"/>
  <c r="S799" i="4"/>
  <c r="O799" i="4"/>
  <c r="S798" i="4"/>
  <c r="O798" i="4"/>
  <c r="S797" i="4"/>
  <c r="O797" i="4"/>
  <c r="S796" i="4"/>
  <c r="O796" i="4"/>
  <c r="S795" i="4"/>
  <c r="O795" i="4"/>
  <c r="S794" i="4"/>
  <c r="O794" i="4"/>
  <c r="S793" i="4"/>
  <c r="O793" i="4"/>
  <c r="S792" i="4"/>
  <c r="O792" i="4"/>
  <c r="S791" i="4"/>
  <c r="O791" i="4"/>
  <c r="S790" i="4"/>
  <c r="O790" i="4"/>
  <c r="S789" i="4"/>
  <c r="O789" i="4"/>
  <c r="S788" i="4"/>
  <c r="O788" i="4"/>
  <c r="S787" i="4"/>
  <c r="O787" i="4"/>
  <c r="S786" i="4"/>
  <c r="O786" i="4"/>
  <c r="S785" i="4"/>
  <c r="O785" i="4"/>
  <c r="S784" i="4"/>
  <c r="O784" i="4"/>
  <c r="S783" i="4"/>
  <c r="O783" i="4"/>
  <c r="S782" i="4"/>
  <c r="O782" i="4"/>
  <c r="S781" i="4"/>
  <c r="O781" i="4"/>
  <c r="S780" i="4"/>
  <c r="O780" i="4"/>
  <c r="S779" i="4"/>
  <c r="O779" i="4"/>
  <c r="S778" i="4"/>
  <c r="O778" i="4"/>
  <c r="S777" i="4"/>
  <c r="O777" i="4"/>
  <c r="S776" i="4"/>
  <c r="O776" i="4"/>
  <c r="S775" i="4"/>
  <c r="O775" i="4"/>
  <c r="S774" i="4"/>
  <c r="O774" i="4"/>
  <c r="S773" i="4"/>
  <c r="O773" i="4"/>
  <c r="S772" i="4"/>
  <c r="O772" i="4"/>
  <c r="S771" i="4"/>
  <c r="O771" i="4"/>
  <c r="S770" i="4"/>
  <c r="O770" i="4"/>
  <c r="S769" i="4"/>
  <c r="O769" i="4"/>
  <c r="S768" i="4"/>
  <c r="O768" i="4"/>
  <c r="S767" i="4"/>
  <c r="O767" i="4"/>
  <c r="S766" i="4"/>
  <c r="O766" i="4"/>
  <c r="S765" i="4"/>
  <c r="O765" i="4"/>
  <c r="S764" i="4"/>
  <c r="O764" i="4"/>
  <c r="S763" i="4"/>
  <c r="O763" i="4"/>
  <c r="S762" i="4"/>
  <c r="O762" i="4"/>
  <c r="S761" i="4"/>
  <c r="O761" i="4"/>
  <c r="S760" i="4"/>
  <c r="O760" i="4"/>
  <c r="S759" i="4"/>
  <c r="O759" i="4"/>
  <c r="S758" i="4"/>
  <c r="O758" i="4"/>
  <c r="S757" i="4"/>
  <c r="O757" i="4"/>
  <c r="S756" i="4"/>
  <c r="O756" i="4"/>
  <c r="S755" i="4"/>
  <c r="O755" i="4"/>
  <c r="S754" i="4"/>
  <c r="O754" i="4"/>
  <c r="S753" i="4"/>
  <c r="O753" i="4"/>
  <c r="S752" i="4"/>
  <c r="O752" i="4"/>
  <c r="S751" i="4"/>
  <c r="O751" i="4"/>
  <c r="S750" i="4"/>
  <c r="O750" i="4"/>
  <c r="S749" i="4"/>
  <c r="O749" i="4"/>
  <c r="S748" i="4"/>
  <c r="O748" i="4"/>
  <c r="S747" i="4"/>
  <c r="O747" i="4"/>
  <c r="S746" i="4"/>
  <c r="O746" i="4"/>
  <c r="S745" i="4"/>
  <c r="O745" i="4"/>
  <c r="S744" i="4"/>
  <c r="O744" i="4"/>
  <c r="S743" i="4"/>
  <c r="O743" i="4"/>
  <c r="S742" i="4"/>
  <c r="O742" i="4"/>
  <c r="S741" i="4"/>
  <c r="O741" i="4"/>
  <c r="S740" i="4"/>
  <c r="O740" i="4"/>
  <c r="S739" i="4"/>
  <c r="O739" i="4"/>
  <c r="S738" i="4"/>
  <c r="O738" i="4"/>
  <c r="S737" i="4"/>
  <c r="O737" i="4"/>
  <c r="S736" i="4"/>
  <c r="O736" i="4"/>
  <c r="S735" i="4"/>
  <c r="O735" i="4"/>
  <c r="S734" i="4"/>
  <c r="O734" i="4"/>
  <c r="S733" i="4"/>
  <c r="O733" i="4"/>
  <c r="S732" i="4"/>
  <c r="O732" i="4"/>
  <c r="S731" i="4"/>
  <c r="O731" i="4"/>
  <c r="S730" i="4"/>
  <c r="O730" i="4"/>
  <c r="S729" i="4"/>
  <c r="O729" i="4"/>
  <c r="S728" i="4"/>
  <c r="O728" i="4"/>
  <c r="S727" i="4"/>
  <c r="O727" i="4"/>
  <c r="S726" i="4"/>
  <c r="O726" i="4"/>
  <c r="S725" i="4"/>
  <c r="O725" i="4"/>
  <c r="S724" i="4"/>
  <c r="O724" i="4"/>
  <c r="S723" i="4"/>
  <c r="O723" i="4"/>
  <c r="S722" i="4"/>
  <c r="O722" i="4"/>
  <c r="S721" i="4"/>
  <c r="O721" i="4"/>
  <c r="S720" i="4"/>
  <c r="O720" i="4"/>
  <c r="S719" i="4"/>
  <c r="O719" i="4"/>
  <c r="S718" i="4"/>
  <c r="O718" i="4"/>
  <c r="S717" i="4"/>
  <c r="O717" i="4"/>
  <c r="S716" i="4"/>
  <c r="O716" i="4"/>
  <c r="S715" i="4"/>
  <c r="O715" i="4"/>
  <c r="S714" i="4"/>
  <c r="O714" i="4"/>
  <c r="S713" i="4"/>
  <c r="O713" i="4"/>
  <c r="S712" i="4"/>
  <c r="O712" i="4"/>
  <c r="S711" i="4"/>
  <c r="O711" i="4"/>
  <c r="S710" i="4"/>
  <c r="O710" i="4"/>
  <c r="S709" i="4"/>
  <c r="O709" i="4"/>
  <c r="S708" i="4"/>
  <c r="O708" i="4"/>
  <c r="S707" i="4"/>
  <c r="O707" i="4"/>
  <c r="S706" i="4"/>
  <c r="O706" i="4"/>
  <c r="S705" i="4"/>
  <c r="O705" i="4"/>
  <c r="S704" i="4"/>
  <c r="O704" i="4"/>
  <c r="S703" i="4"/>
  <c r="O703" i="4"/>
  <c r="S702" i="4"/>
  <c r="O702" i="4"/>
  <c r="S701" i="4"/>
  <c r="O701" i="4"/>
  <c r="S700" i="4"/>
  <c r="O700" i="4"/>
  <c r="S699" i="4"/>
  <c r="O699" i="4"/>
  <c r="S698" i="4"/>
  <c r="O698" i="4"/>
  <c r="S697" i="4"/>
  <c r="O697" i="4"/>
  <c r="S696" i="4"/>
  <c r="O696" i="4"/>
  <c r="S695" i="4"/>
  <c r="O695" i="4"/>
  <c r="S694" i="4"/>
  <c r="O694" i="4"/>
  <c r="S693" i="4"/>
  <c r="O693" i="4"/>
  <c r="S692" i="4"/>
  <c r="O692" i="4"/>
  <c r="S691" i="4"/>
  <c r="O691" i="4"/>
  <c r="S690" i="4"/>
  <c r="O690" i="4"/>
  <c r="S689" i="4"/>
  <c r="O689" i="4"/>
  <c r="S688" i="4"/>
  <c r="O688" i="4"/>
  <c r="S687" i="4"/>
  <c r="O687" i="4"/>
  <c r="S686" i="4"/>
  <c r="O686" i="4"/>
  <c r="S685" i="4"/>
  <c r="O685" i="4"/>
  <c r="S684" i="4"/>
  <c r="O684" i="4"/>
  <c r="S683" i="4"/>
  <c r="O683" i="4"/>
  <c r="S682" i="4"/>
  <c r="O682" i="4"/>
  <c r="S681" i="4"/>
  <c r="O681" i="4"/>
  <c r="S680" i="4"/>
  <c r="O680" i="4"/>
  <c r="S679" i="4"/>
  <c r="O679" i="4"/>
  <c r="S678" i="4"/>
  <c r="O678" i="4"/>
  <c r="S677" i="4"/>
  <c r="O677" i="4"/>
  <c r="S676" i="4"/>
  <c r="O676" i="4"/>
  <c r="S675" i="4"/>
  <c r="O675" i="4"/>
  <c r="S674" i="4"/>
  <c r="O674" i="4"/>
  <c r="S673" i="4"/>
  <c r="O673" i="4"/>
  <c r="S672" i="4"/>
  <c r="O672" i="4"/>
  <c r="S671" i="4"/>
  <c r="O671" i="4"/>
  <c r="S670" i="4"/>
  <c r="O670" i="4"/>
  <c r="S669" i="4"/>
  <c r="O669" i="4"/>
  <c r="S668" i="4"/>
  <c r="O668" i="4"/>
  <c r="S667" i="4"/>
  <c r="O667" i="4"/>
  <c r="S666" i="4"/>
  <c r="O666" i="4"/>
  <c r="S665" i="4"/>
  <c r="O665" i="4"/>
  <c r="S664" i="4"/>
  <c r="O664" i="4"/>
  <c r="S663" i="4"/>
  <c r="O663" i="4"/>
  <c r="S662" i="4"/>
  <c r="O662" i="4"/>
  <c r="S661" i="4"/>
  <c r="O661" i="4"/>
  <c r="S660" i="4"/>
  <c r="O660" i="4"/>
  <c r="S659" i="4"/>
  <c r="O659" i="4"/>
  <c r="S658" i="4"/>
  <c r="O658" i="4"/>
  <c r="S657" i="4"/>
  <c r="O657" i="4"/>
  <c r="S656" i="4"/>
  <c r="O656" i="4"/>
  <c r="S655" i="4"/>
  <c r="O655" i="4"/>
  <c r="S654" i="4"/>
  <c r="O654" i="4"/>
  <c r="S653" i="4"/>
  <c r="O653" i="4"/>
  <c r="S652" i="4"/>
  <c r="O652" i="4"/>
  <c r="S651" i="4"/>
  <c r="O651" i="4"/>
  <c r="S650" i="4"/>
  <c r="O650" i="4"/>
  <c r="S649" i="4"/>
  <c r="O649" i="4"/>
  <c r="S648" i="4"/>
  <c r="O648" i="4"/>
  <c r="S647" i="4"/>
  <c r="O647" i="4"/>
  <c r="S646" i="4"/>
  <c r="O646" i="4"/>
  <c r="S645" i="4"/>
  <c r="O645" i="4"/>
  <c r="S644" i="4"/>
  <c r="O644" i="4"/>
  <c r="S643" i="4"/>
  <c r="O643" i="4"/>
  <c r="S642" i="4"/>
  <c r="O642" i="4"/>
  <c r="S641" i="4"/>
  <c r="O641" i="4"/>
  <c r="S640" i="4"/>
  <c r="O640" i="4"/>
  <c r="S639" i="4"/>
  <c r="O639" i="4"/>
  <c r="S638" i="4"/>
  <c r="O638" i="4"/>
  <c r="S637" i="4"/>
  <c r="O637" i="4"/>
  <c r="S636" i="4"/>
  <c r="O636" i="4"/>
  <c r="S635" i="4"/>
  <c r="O635" i="4"/>
  <c r="S634" i="4"/>
  <c r="O634" i="4"/>
  <c r="S633" i="4"/>
  <c r="O633" i="4"/>
  <c r="S632" i="4"/>
  <c r="O632" i="4"/>
  <c r="S631" i="4"/>
  <c r="O631" i="4"/>
  <c r="S630" i="4"/>
  <c r="O630" i="4"/>
  <c r="S629" i="4"/>
  <c r="O629" i="4"/>
  <c r="S628" i="4"/>
  <c r="O628" i="4"/>
  <c r="S627" i="4"/>
  <c r="O627" i="4"/>
  <c r="S626" i="4"/>
  <c r="O626" i="4"/>
  <c r="S625" i="4"/>
  <c r="O625" i="4"/>
  <c r="S624" i="4"/>
  <c r="O624" i="4"/>
  <c r="S623" i="4"/>
  <c r="O623" i="4"/>
  <c r="S622" i="4"/>
  <c r="O622" i="4"/>
  <c r="S621" i="4"/>
  <c r="O621" i="4"/>
  <c r="S620" i="4"/>
  <c r="O620" i="4"/>
  <c r="S619" i="4"/>
  <c r="O619" i="4"/>
  <c r="S618" i="4"/>
  <c r="O618" i="4"/>
  <c r="S617" i="4"/>
  <c r="O617" i="4"/>
  <c r="S616" i="4"/>
  <c r="O616" i="4"/>
  <c r="S615" i="4"/>
  <c r="O615" i="4"/>
  <c r="S614" i="4"/>
  <c r="O614" i="4"/>
  <c r="S613" i="4"/>
  <c r="O613" i="4"/>
  <c r="S612" i="4"/>
  <c r="O612" i="4"/>
  <c r="S611" i="4"/>
  <c r="O611" i="4"/>
  <c r="S610" i="4"/>
  <c r="O610" i="4"/>
  <c r="S609" i="4"/>
  <c r="O609" i="4"/>
  <c r="S608" i="4"/>
  <c r="O608" i="4"/>
  <c r="S607" i="4"/>
  <c r="O607" i="4"/>
  <c r="S606" i="4"/>
  <c r="O606" i="4"/>
  <c r="S605" i="4"/>
  <c r="O605" i="4"/>
  <c r="S604" i="4"/>
  <c r="O604" i="4"/>
  <c r="S603" i="4"/>
  <c r="O603" i="4"/>
  <c r="S602" i="4"/>
  <c r="O602" i="4"/>
  <c r="S601" i="4"/>
  <c r="O601" i="4"/>
  <c r="S600" i="4"/>
  <c r="O600" i="4"/>
  <c r="S599" i="4"/>
  <c r="O599" i="4"/>
  <c r="S598" i="4"/>
  <c r="O598" i="4"/>
  <c r="S597" i="4"/>
  <c r="O597" i="4"/>
  <c r="S596" i="4"/>
  <c r="O596" i="4"/>
  <c r="S595" i="4"/>
  <c r="O595" i="4"/>
  <c r="S594" i="4"/>
  <c r="O594" i="4"/>
  <c r="S593" i="4"/>
  <c r="O593" i="4"/>
  <c r="S592" i="4"/>
  <c r="O592" i="4"/>
  <c r="S591" i="4"/>
  <c r="O591" i="4"/>
  <c r="S590" i="4"/>
  <c r="O590" i="4"/>
  <c r="S589" i="4"/>
  <c r="O589" i="4"/>
  <c r="S588" i="4"/>
  <c r="O588" i="4"/>
  <c r="S587" i="4"/>
  <c r="O587" i="4"/>
  <c r="S586" i="4"/>
  <c r="O586" i="4"/>
  <c r="S585" i="4"/>
  <c r="O585" i="4"/>
  <c r="S584" i="4"/>
  <c r="O584" i="4"/>
  <c r="S583" i="4"/>
  <c r="O583" i="4"/>
  <c r="S582" i="4"/>
  <c r="O582" i="4"/>
  <c r="S581" i="4"/>
  <c r="O581" i="4"/>
  <c r="S580" i="4"/>
  <c r="O580" i="4"/>
  <c r="S579" i="4"/>
  <c r="O579" i="4"/>
  <c r="S578" i="4"/>
  <c r="O578" i="4"/>
  <c r="S577" i="4"/>
  <c r="O577" i="4"/>
  <c r="S576" i="4"/>
  <c r="O576" i="4"/>
  <c r="S575" i="4"/>
  <c r="O575" i="4"/>
  <c r="S574" i="4"/>
  <c r="O574" i="4"/>
  <c r="S573" i="4"/>
  <c r="O573" i="4"/>
  <c r="S572" i="4"/>
  <c r="O572" i="4"/>
  <c r="S571" i="4"/>
  <c r="O571" i="4"/>
  <c r="S570" i="4"/>
  <c r="O570" i="4"/>
  <c r="S569" i="4"/>
  <c r="O569" i="4"/>
  <c r="S568" i="4"/>
  <c r="O568" i="4"/>
  <c r="S567" i="4"/>
  <c r="O567" i="4"/>
  <c r="S566" i="4"/>
  <c r="O566" i="4"/>
  <c r="S565" i="4"/>
  <c r="O565" i="4"/>
  <c r="S564" i="4"/>
  <c r="O564" i="4"/>
  <c r="S563" i="4"/>
  <c r="O563" i="4"/>
  <c r="S562" i="4"/>
  <c r="O562" i="4"/>
  <c r="S561" i="4"/>
  <c r="O561" i="4"/>
  <c r="S560" i="4"/>
  <c r="O560" i="4"/>
  <c r="S559" i="4"/>
  <c r="O559" i="4"/>
  <c r="S558" i="4"/>
  <c r="O558" i="4"/>
  <c r="S557" i="4"/>
  <c r="O557" i="4"/>
  <c r="S556" i="4"/>
  <c r="O556" i="4"/>
  <c r="S555" i="4"/>
  <c r="O555" i="4"/>
  <c r="S554" i="4"/>
  <c r="O554" i="4"/>
  <c r="S553" i="4"/>
  <c r="O553" i="4"/>
  <c r="S552" i="4"/>
  <c r="O552" i="4"/>
  <c r="S551" i="4"/>
  <c r="O551" i="4"/>
  <c r="S550" i="4"/>
  <c r="O550" i="4"/>
  <c r="S549" i="4"/>
  <c r="O549" i="4"/>
  <c r="S548" i="4"/>
  <c r="O548" i="4"/>
  <c r="S547" i="4"/>
  <c r="O547" i="4"/>
  <c r="S546" i="4"/>
  <c r="O546" i="4"/>
  <c r="S545" i="4"/>
  <c r="O545" i="4"/>
  <c r="S544" i="4"/>
  <c r="O544" i="4"/>
  <c r="S543" i="4"/>
  <c r="O543" i="4"/>
  <c r="S542" i="4"/>
  <c r="O542" i="4"/>
  <c r="S541" i="4"/>
  <c r="O541" i="4"/>
  <c r="S540" i="4"/>
  <c r="O540" i="4"/>
  <c r="S539" i="4"/>
  <c r="O539" i="4"/>
  <c r="S538" i="4"/>
  <c r="O538" i="4"/>
  <c r="S537" i="4"/>
  <c r="O537" i="4"/>
  <c r="S536" i="4"/>
  <c r="O536" i="4"/>
  <c r="S535" i="4"/>
  <c r="O535" i="4"/>
  <c r="S534" i="4"/>
  <c r="O534" i="4"/>
  <c r="S533" i="4"/>
  <c r="O533" i="4"/>
  <c r="S532" i="4"/>
  <c r="O532" i="4"/>
  <c r="S531" i="4"/>
  <c r="O531" i="4"/>
  <c r="S530" i="4"/>
  <c r="O530" i="4"/>
  <c r="S529" i="4"/>
  <c r="O529" i="4"/>
  <c r="S528" i="4"/>
  <c r="O528" i="4"/>
  <c r="S527" i="4"/>
  <c r="O527" i="4"/>
  <c r="S526" i="4"/>
  <c r="O526" i="4"/>
  <c r="S525" i="4"/>
  <c r="O525" i="4"/>
  <c r="S524" i="4"/>
  <c r="O524" i="4"/>
  <c r="S523" i="4"/>
  <c r="O523" i="4"/>
  <c r="S522" i="4"/>
  <c r="O522" i="4"/>
  <c r="S521" i="4"/>
  <c r="O521" i="4"/>
  <c r="S520" i="4"/>
  <c r="O520" i="4"/>
  <c r="S519" i="4"/>
  <c r="O519" i="4"/>
  <c r="S518" i="4"/>
  <c r="O518" i="4"/>
  <c r="S517" i="4"/>
  <c r="O517" i="4"/>
  <c r="S516" i="4"/>
  <c r="O516" i="4"/>
  <c r="S515" i="4"/>
  <c r="O515" i="4"/>
  <c r="S514" i="4"/>
  <c r="O514" i="4"/>
  <c r="S513" i="4"/>
  <c r="O513" i="4"/>
  <c r="S512" i="4"/>
  <c r="O512" i="4"/>
  <c r="S511" i="4"/>
  <c r="O511" i="4"/>
  <c r="S510" i="4"/>
  <c r="O510" i="4"/>
  <c r="S509" i="4"/>
  <c r="O509" i="4"/>
  <c r="S508" i="4"/>
  <c r="O508" i="4"/>
  <c r="S507" i="4"/>
  <c r="O507" i="4"/>
  <c r="S506" i="4"/>
  <c r="O506" i="4"/>
  <c r="S505" i="4"/>
  <c r="O505" i="4"/>
  <c r="S504" i="4"/>
  <c r="O504" i="4"/>
  <c r="S503" i="4"/>
  <c r="O503" i="4"/>
  <c r="S502" i="4"/>
  <c r="O502" i="4"/>
  <c r="S501" i="4"/>
  <c r="O501" i="4"/>
  <c r="S500" i="4"/>
  <c r="O500" i="4"/>
  <c r="S499" i="4"/>
  <c r="O499" i="4"/>
  <c r="S498" i="4"/>
  <c r="O498" i="4"/>
  <c r="S497" i="4"/>
  <c r="O497" i="4"/>
  <c r="S496" i="4"/>
  <c r="O496" i="4"/>
  <c r="S495" i="4"/>
  <c r="O495" i="4"/>
  <c r="S494" i="4"/>
  <c r="O494" i="4"/>
  <c r="S493" i="4"/>
  <c r="O493" i="4"/>
  <c r="S492" i="4"/>
  <c r="O492" i="4"/>
  <c r="S491" i="4"/>
  <c r="O491" i="4"/>
  <c r="S490" i="4"/>
  <c r="O490" i="4"/>
  <c r="S489" i="4"/>
  <c r="O489" i="4"/>
  <c r="S488" i="4"/>
  <c r="O488" i="4"/>
  <c r="S487" i="4"/>
  <c r="O487" i="4"/>
  <c r="S486" i="4"/>
  <c r="O486" i="4"/>
  <c r="S485" i="4"/>
  <c r="O485" i="4"/>
  <c r="S484" i="4"/>
  <c r="O484" i="4"/>
  <c r="S483" i="4"/>
  <c r="O483" i="4"/>
  <c r="S482" i="4"/>
  <c r="O482" i="4"/>
  <c r="S481" i="4"/>
  <c r="O481" i="4"/>
  <c r="S480" i="4"/>
  <c r="O480" i="4"/>
  <c r="S479" i="4"/>
  <c r="O479" i="4"/>
  <c r="S478" i="4"/>
  <c r="O478" i="4"/>
  <c r="S477" i="4"/>
  <c r="O477" i="4"/>
  <c r="S476" i="4"/>
  <c r="O476" i="4"/>
  <c r="S475" i="4"/>
  <c r="O475" i="4"/>
  <c r="S474" i="4"/>
  <c r="O474" i="4"/>
  <c r="S473" i="4"/>
  <c r="O473" i="4"/>
  <c r="S472" i="4"/>
  <c r="O472" i="4"/>
  <c r="S471" i="4"/>
  <c r="O471" i="4"/>
  <c r="S470" i="4"/>
  <c r="O470" i="4"/>
  <c r="S469" i="4"/>
  <c r="O469" i="4"/>
  <c r="S468" i="4"/>
  <c r="O468" i="4"/>
  <c r="S467" i="4"/>
  <c r="O467" i="4"/>
  <c r="S466" i="4"/>
  <c r="O466" i="4"/>
  <c r="S465" i="4"/>
  <c r="O465" i="4"/>
  <c r="S464" i="4"/>
  <c r="O464" i="4"/>
  <c r="S463" i="4"/>
  <c r="O463" i="4"/>
  <c r="S462" i="4"/>
  <c r="O462" i="4"/>
  <c r="S461" i="4"/>
  <c r="O461" i="4"/>
  <c r="S460" i="4"/>
  <c r="O460" i="4"/>
  <c r="S459" i="4"/>
  <c r="O459" i="4"/>
  <c r="S458" i="4"/>
  <c r="O458" i="4"/>
  <c r="S457" i="4"/>
  <c r="O457" i="4"/>
  <c r="S456" i="4"/>
  <c r="O456" i="4"/>
  <c r="S455" i="4"/>
  <c r="O455" i="4"/>
  <c r="S454" i="4"/>
  <c r="O454" i="4"/>
  <c r="S453" i="4"/>
  <c r="O453" i="4"/>
  <c r="S452" i="4"/>
  <c r="O452" i="4"/>
  <c r="S451" i="4"/>
  <c r="O451" i="4"/>
  <c r="S450" i="4"/>
  <c r="O450" i="4"/>
  <c r="S449" i="4"/>
  <c r="O449" i="4"/>
  <c r="S448" i="4"/>
  <c r="O448" i="4"/>
  <c r="S447" i="4"/>
  <c r="O447" i="4"/>
  <c r="S446" i="4"/>
  <c r="O446" i="4"/>
  <c r="S445" i="4"/>
  <c r="O445" i="4"/>
  <c r="S444" i="4"/>
  <c r="O444" i="4"/>
  <c r="S443" i="4"/>
  <c r="O443" i="4"/>
  <c r="S442" i="4"/>
  <c r="O442" i="4"/>
  <c r="S441" i="4"/>
  <c r="O441" i="4"/>
  <c r="S440" i="4"/>
  <c r="O440" i="4"/>
  <c r="S439" i="4"/>
  <c r="O439" i="4"/>
  <c r="S438" i="4"/>
  <c r="O438" i="4"/>
  <c r="S437" i="4"/>
  <c r="O437" i="4"/>
  <c r="S436" i="4"/>
  <c r="O436" i="4"/>
  <c r="S435" i="4"/>
  <c r="O435" i="4"/>
  <c r="S434" i="4"/>
  <c r="O434" i="4"/>
  <c r="S433" i="4"/>
  <c r="O433" i="4"/>
  <c r="S432" i="4"/>
  <c r="O432" i="4"/>
  <c r="S431" i="4"/>
  <c r="O431" i="4"/>
  <c r="S430" i="4"/>
  <c r="O430" i="4"/>
  <c r="S429" i="4"/>
  <c r="O429" i="4"/>
  <c r="S428" i="4"/>
  <c r="O428" i="4"/>
  <c r="S427" i="4"/>
  <c r="O427" i="4"/>
  <c r="S426" i="4"/>
  <c r="O426" i="4"/>
  <c r="S425" i="4"/>
  <c r="O425" i="4"/>
  <c r="S424" i="4"/>
  <c r="O424" i="4"/>
  <c r="S423" i="4"/>
  <c r="O423" i="4"/>
  <c r="S422" i="4"/>
  <c r="O422" i="4"/>
  <c r="S421" i="4"/>
  <c r="O421" i="4"/>
  <c r="S420" i="4"/>
  <c r="O420" i="4"/>
  <c r="S419" i="4"/>
  <c r="O419" i="4"/>
  <c r="S418" i="4"/>
  <c r="O418" i="4"/>
  <c r="S417" i="4"/>
  <c r="O417" i="4"/>
  <c r="S416" i="4"/>
  <c r="O416" i="4"/>
  <c r="S415" i="4"/>
  <c r="O415" i="4"/>
  <c r="S414" i="4"/>
  <c r="O414" i="4"/>
  <c r="S413" i="4"/>
  <c r="O413" i="4"/>
  <c r="S412" i="4"/>
  <c r="O412" i="4"/>
  <c r="S411" i="4"/>
  <c r="O411" i="4"/>
  <c r="S410" i="4"/>
  <c r="O410" i="4"/>
  <c r="S409" i="4"/>
  <c r="O409" i="4"/>
  <c r="S408" i="4"/>
  <c r="O408" i="4"/>
  <c r="S407" i="4"/>
  <c r="O407" i="4"/>
  <c r="S406" i="4"/>
  <c r="O406" i="4"/>
  <c r="S405" i="4"/>
  <c r="O405" i="4"/>
  <c r="S404" i="4"/>
  <c r="O404" i="4"/>
  <c r="S403" i="4"/>
  <c r="O403" i="4"/>
  <c r="S402" i="4"/>
  <c r="O402" i="4"/>
  <c r="S401" i="4"/>
  <c r="O401" i="4"/>
  <c r="S400" i="4"/>
  <c r="O400" i="4"/>
  <c r="S399" i="4"/>
  <c r="O399" i="4"/>
  <c r="S398" i="4"/>
  <c r="O398" i="4"/>
  <c r="S397" i="4"/>
  <c r="O397" i="4"/>
  <c r="S396" i="4"/>
  <c r="O396" i="4"/>
  <c r="S395" i="4"/>
  <c r="O395" i="4"/>
  <c r="S394" i="4"/>
  <c r="O394" i="4"/>
  <c r="S393" i="4"/>
  <c r="O393" i="4"/>
  <c r="S392" i="4"/>
  <c r="O392" i="4"/>
  <c r="S391" i="4"/>
  <c r="O391" i="4"/>
  <c r="S390" i="4"/>
  <c r="O390" i="4"/>
  <c r="S389" i="4"/>
  <c r="O389" i="4"/>
  <c r="S388" i="4"/>
  <c r="O388" i="4"/>
  <c r="S387" i="4"/>
  <c r="O387" i="4"/>
  <c r="S386" i="4"/>
  <c r="O386" i="4"/>
  <c r="S385" i="4"/>
  <c r="O385" i="4"/>
  <c r="S384" i="4"/>
  <c r="O384" i="4"/>
  <c r="S383" i="4"/>
  <c r="O383" i="4"/>
  <c r="S382" i="4"/>
  <c r="O382" i="4"/>
  <c r="S381" i="4"/>
  <c r="O381" i="4"/>
  <c r="S380" i="4"/>
  <c r="O380" i="4"/>
  <c r="S379" i="4"/>
  <c r="O379" i="4"/>
  <c r="S378" i="4"/>
  <c r="O378" i="4"/>
  <c r="S377" i="4"/>
  <c r="O377" i="4"/>
  <c r="S376" i="4"/>
  <c r="O376" i="4"/>
  <c r="S375" i="4"/>
  <c r="O375" i="4"/>
  <c r="S374" i="4"/>
  <c r="O374" i="4"/>
  <c r="S373" i="4"/>
  <c r="O373" i="4"/>
  <c r="S372" i="4"/>
  <c r="O372" i="4"/>
  <c r="S371" i="4"/>
  <c r="O371" i="4"/>
  <c r="S370" i="4"/>
  <c r="O370" i="4"/>
  <c r="S369" i="4"/>
  <c r="O369" i="4"/>
  <c r="S368" i="4"/>
  <c r="O368" i="4"/>
  <c r="S367" i="4"/>
  <c r="O367" i="4"/>
  <c r="S366" i="4"/>
  <c r="O366" i="4"/>
  <c r="S365" i="4"/>
  <c r="O365" i="4"/>
  <c r="S364" i="4"/>
  <c r="O364" i="4"/>
  <c r="S363" i="4"/>
  <c r="O363" i="4"/>
  <c r="S362" i="4"/>
  <c r="O362" i="4"/>
  <c r="S361" i="4"/>
  <c r="O361" i="4"/>
  <c r="S360" i="4"/>
  <c r="O360" i="4"/>
  <c r="S359" i="4"/>
  <c r="O359" i="4"/>
  <c r="S358" i="4"/>
  <c r="O358" i="4"/>
  <c r="S357" i="4"/>
  <c r="O357" i="4"/>
  <c r="S356" i="4"/>
  <c r="O356" i="4"/>
  <c r="S355" i="4"/>
  <c r="O355" i="4"/>
  <c r="S354" i="4"/>
  <c r="O354" i="4"/>
  <c r="S353" i="4"/>
  <c r="O353" i="4"/>
  <c r="S352" i="4"/>
  <c r="O352" i="4"/>
  <c r="S351" i="4"/>
  <c r="O351" i="4"/>
  <c r="S350" i="4"/>
  <c r="O350" i="4"/>
  <c r="S349" i="4"/>
  <c r="O349" i="4"/>
  <c r="S348" i="4"/>
  <c r="O348" i="4"/>
  <c r="S347" i="4"/>
  <c r="O347" i="4"/>
  <c r="S346" i="4"/>
  <c r="O346" i="4"/>
  <c r="S345" i="4"/>
  <c r="O345" i="4"/>
  <c r="S344" i="4"/>
  <c r="O344" i="4"/>
  <c r="S343" i="4"/>
  <c r="O343" i="4"/>
  <c r="S342" i="4"/>
  <c r="O342" i="4"/>
  <c r="S341" i="4"/>
  <c r="O341" i="4"/>
  <c r="S340" i="4"/>
  <c r="O340" i="4"/>
  <c r="S339" i="4"/>
  <c r="O339" i="4"/>
  <c r="S338" i="4"/>
  <c r="O338" i="4"/>
  <c r="S337" i="4"/>
  <c r="O337" i="4"/>
  <c r="S336" i="4"/>
  <c r="O336" i="4"/>
  <c r="S335" i="4"/>
  <c r="O335" i="4"/>
  <c r="S334" i="4"/>
  <c r="O334" i="4"/>
  <c r="S333" i="4"/>
  <c r="O333" i="4"/>
  <c r="S332" i="4"/>
  <c r="O332" i="4"/>
  <c r="S331" i="4"/>
  <c r="O331" i="4"/>
  <c r="S330" i="4"/>
  <c r="O330" i="4"/>
  <c r="S329" i="4"/>
  <c r="O329" i="4"/>
  <c r="S328" i="4"/>
  <c r="O328" i="4"/>
  <c r="S327" i="4"/>
  <c r="O327" i="4"/>
  <c r="S326" i="4"/>
  <c r="O326" i="4"/>
  <c r="S325" i="4"/>
  <c r="O325" i="4"/>
  <c r="S324" i="4"/>
  <c r="O324" i="4"/>
  <c r="S323" i="4"/>
  <c r="O323" i="4"/>
  <c r="S322" i="4"/>
  <c r="O322" i="4"/>
  <c r="S321" i="4"/>
  <c r="O321" i="4"/>
  <c r="S320" i="4"/>
  <c r="O320" i="4"/>
  <c r="S319" i="4"/>
  <c r="O319" i="4"/>
  <c r="S318" i="4"/>
  <c r="O318" i="4"/>
  <c r="S317" i="4"/>
  <c r="O317" i="4"/>
  <c r="S316" i="4"/>
  <c r="O316" i="4"/>
  <c r="S315" i="4"/>
  <c r="O315" i="4"/>
  <c r="S314" i="4"/>
  <c r="O314" i="4"/>
  <c r="S313" i="4"/>
  <c r="O313" i="4"/>
  <c r="S312" i="4"/>
  <c r="O312" i="4"/>
  <c r="S311" i="4"/>
  <c r="O311" i="4"/>
  <c r="S310" i="4"/>
  <c r="O310" i="4"/>
  <c r="S309" i="4"/>
  <c r="O309" i="4"/>
  <c r="S308" i="4"/>
  <c r="O308" i="4"/>
  <c r="S307" i="4"/>
  <c r="O307" i="4"/>
  <c r="S306" i="4"/>
  <c r="O306" i="4"/>
  <c r="S305" i="4"/>
  <c r="O305" i="4"/>
  <c r="S304" i="4"/>
  <c r="O304" i="4"/>
  <c r="S303" i="4"/>
  <c r="O303" i="4"/>
  <c r="S302" i="4"/>
  <c r="O302" i="4"/>
  <c r="S301" i="4"/>
  <c r="O301" i="4"/>
  <c r="S300" i="4"/>
  <c r="O300" i="4"/>
  <c r="S299" i="4"/>
  <c r="O299" i="4"/>
  <c r="S298" i="4"/>
  <c r="O298" i="4"/>
  <c r="S297" i="4"/>
  <c r="O297" i="4"/>
  <c r="S296" i="4"/>
  <c r="O296" i="4"/>
  <c r="S295" i="4"/>
  <c r="O295" i="4"/>
  <c r="S294" i="4"/>
  <c r="O294" i="4"/>
  <c r="S293" i="4"/>
  <c r="O293" i="4"/>
  <c r="S292" i="4"/>
  <c r="O292" i="4"/>
  <c r="S291" i="4"/>
  <c r="O291" i="4"/>
  <c r="S290" i="4"/>
  <c r="O290" i="4"/>
  <c r="S289" i="4"/>
  <c r="O289" i="4"/>
  <c r="S288" i="4"/>
  <c r="O288" i="4"/>
  <c r="S287" i="4"/>
  <c r="O287" i="4"/>
  <c r="S286" i="4"/>
  <c r="O286" i="4"/>
  <c r="S285" i="4"/>
  <c r="O285" i="4"/>
  <c r="S284" i="4"/>
  <c r="O284" i="4"/>
  <c r="S283" i="4"/>
  <c r="O283" i="4"/>
  <c r="S282" i="4"/>
  <c r="O282" i="4"/>
  <c r="S281" i="4"/>
  <c r="O281" i="4"/>
  <c r="S280" i="4"/>
  <c r="O280" i="4"/>
  <c r="S279" i="4"/>
  <c r="O279" i="4"/>
  <c r="S278" i="4"/>
  <c r="O278" i="4"/>
  <c r="S277" i="4"/>
  <c r="O277" i="4"/>
  <c r="S276" i="4"/>
  <c r="O276" i="4"/>
  <c r="S275" i="4"/>
  <c r="O275" i="4"/>
  <c r="S274" i="4"/>
  <c r="O274" i="4"/>
  <c r="S273" i="4"/>
  <c r="O273" i="4"/>
  <c r="S272" i="4"/>
  <c r="O272" i="4"/>
  <c r="S271" i="4"/>
  <c r="O271" i="4"/>
  <c r="S270" i="4"/>
  <c r="O270" i="4"/>
  <c r="S269" i="4"/>
  <c r="O269" i="4"/>
  <c r="S268" i="4"/>
  <c r="O268" i="4"/>
  <c r="S267" i="4"/>
  <c r="O267" i="4"/>
  <c r="S266" i="4"/>
  <c r="O266" i="4"/>
  <c r="S265" i="4"/>
  <c r="O265" i="4"/>
  <c r="S264" i="4"/>
  <c r="O264" i="4"/>
  <c r="S263" i="4"/>
  <c r="O263" i="4"/>
  <c r="S262" i="4"/>
  <c r="O262" i="4"/>
  <c r="S261" i="4"/>
  <c r="O261" i="4"/>
  <c r="S260" i="4"/>
  <c r="O260" i="4"/>
  <c r="S259" i="4"/>
  <c r="O259" i="4"/>
  <c r="S258" i="4"/>
  <c r="O258" i="4"/>
  <c r="S257" i="4"/>
  <c r="O257" i="4"/>
  <c r="S256" i="4"/>
  <c r="O256" i="4"/>
  <c r="S255" i="4"/>
  <c r="O255" i="4"/>
  <c r="S254" i="4"/>
  <c r="O254" i="4"/>
  <c r="S253" i="4"/>
  <c r="O253" i="4"/>
  <c r="S252" i="4"/>
  <c r="O252" i="4"/>
  <c r="S251" i="4"/>
  <c r="O251" i="4"/>
  <c r="S250" i="4"/>
  <c r="O250" i="4"/>
  <c r="S249" i="4"/>
  <c r="O249" i="4"/>
  <c r="S248" i="4"/>
  <c r="O248" i="4"/>
  <c r="S247" i="4"/>
  <c r="O247" i="4"/>
  <c r="S246" i="4"/>
  <c r="O246" i="4"/>
  <c r="S245" i="4"/>
  <c r="O245" i="4"/>
  <c r="S244" i="4"/>
  <c r="O244" i="4"/>
  <c r="S243" i="4"/>
  <c r="O243" i="4"/>
  <c r="S242" i="4"/>
  <c r="O242" i="4"/>
  <c r="S241" i="4"/>
  <c r="O241" i="4"/>
  <c r="S240" i="4"/>
  <c r="O240" i="4"/>
  <c r="S239" i="4"/>
  <c r="O239" i="4"/>
  <c r="S238" i="4"/>
  <c r="O238" i="4"/>
  <c r="S237" i="4"/>
  <c r="O237" i="4"/>
  <c r="S236" i="4"/>
  <c r="O236" i="4"/>
  <c r="S235" i="4"/>
  <c r="O235" i="4"/>
  <c r="S234" i="4"/>
  <c r="O234" i="4"/>
  <c r="S233" i="4"/>
  <c r="O233" i="4"/>
  <c r="S232" i="4"/>
  <c r="O232" i="4"/>
  <c r="S231" i="4"/>
  <c r="O231" i="4"/>
  <c r="S230" i="4"/>
  <c r="O230" i="4"/>
  <c r="S229" i="4"/>
  <c r="O229" i="4"/>
  <c r="S228" i="4"/>
  <c r="O228" i="4"/>
  <c r="S227" i="4"/>
  <c r="O227" i="4"/>
  <c r="S226" i="4"/>
  <c r="O226" i="4"/>
  <c r="S225" i="4"/>
  <c r="O225" i="4"/>
  <c r="S224" i="4"/>
  <c r="O224" i="4"/>
  <c r="S223" i="4"/>
  <c r="O223" i="4"/>
  <c r="S222" i="4"/>
  <c r="O222" i="4"/>
  <c r="S221" i="4"/>
  <c r="O221" i="4"/>
  <c r="S220" i="4"/>
  <c r="O220" i="4"/>
  <c r="S219" i="4"/>
  <c r="O219" i="4"/>
  <c r="S218" i="4"/>
  <c r="O218" i="4"/>
  <c r="S217" i="4"/>
  <c r="O217" i="4"/>
  <c r="S216" i="4"/>
  <c r="O216" i="4"/>
  <c r="S215" i="4"/>
  <c r="O215" i="4"/>
  <c r="S214" i="4"/>
  <c r="O214" i="4"/>
  <c r="S213" i="4"/>
  <c r="O213" i="4"/>
  <c r="S212" i="4"/>
  <c r="O212" i="4"/>
  <c r="S211" i="4"/>
  <c r="O211" i="4"/>
  <c r="S210" i="4"/>
  <c r="O210" i="4"/>
  <c r="S209" i="4"/>
  <c r="O209" i="4"/>
  <c r="S208" i="4"/>
  <c r="O208" i="4"/>
  <c r="S207" i="4"/>
  <c r="O207" i="4"/>
  <c r="S206" i="4"/>
  <c r="O206" i="4"/>
  <c r="S205" i="4"/>
  <c r="O205" i="4"/>
  <c r="S204" i="4"/>
  <c r="O204" i="4"/>
  <c r="S203" i="4"/>
  <c r="O203" i="4"/>
  <c r="S202" i="4"/>
  <c r="O202" i="4"/>
  <c r="S201" i="4"/>
  <c r="O201" i="4"/>
  <c r="S200" i="4"/>
  <c r="O200" i="4"/>
  <c r="S199" i="4"/>
  <c r="O199" i="4"/>
  <c r="S198" i="4"/>
  <c r="O198" i="4"/>
  <c r="S197" i="4"/>
  <c r="O197" i="4"/>
  <c r="S196" i="4"/>
  <c r="O196" i="4"/>
  <c r="S195" i="4"/>
  <c r="O195" i="4"/>
  <c r="S194" i="4"/>
  <c r="O194" i="4"/>
  <c r="S193" i="4"/>
  <c r="O193" i="4"/>
  <c r="S192" i="4"/>
  <c r="O192" i="4"/>
  <c r="S191" i="4"/>
  <c r="O191" i="4"/>
  <c r="S190" i="4"/>
  <c r="O190" i="4"/>
  <c r="S189" i="4"/>
  <c r="O189" i="4"/>
  <c r="S188" i="4"/>
  <c r="O188" i="4"/>
  <c r="S187" i="4"/>
  <c r="O187" i="4"/>
  <c r="S186" i="4"/>
  <c r="O186" i="4"/>
  <c r="S185" i="4"/>
  <c r="O185" i="4"/>
  <c r="S184" i="4"/>
  <c r="O184" i="4"/>
  <c r="S183" i="4"/>
  <c r="O183" i="4"/>
  <c r="S182" i="4"/>
  <c r="O182" i="4"/>
  <c r="S181" i="4"/>
  <c r="O181" i="4"/>
  <c r="S180" i="4"/>
  <c r="O180" i="4"/>
  <c r="S179" i="4"/>
  <c r="O179" i="4"/>
  <c r="S178" i="4"/>
  <c r="O178" i="4"/>
  <c r="S177" i="4"/>
  <c r="O177" i="4"/>
  <c r="S176" i="4"/>
  <c r="O176" i="4"/>
  <c r="S175" i="4"/>
  <c r="O175" i="4"/>
  <c r="S174" i="4"/>
  <c r="O174" i="4"/>
  <c r="S173" i="4"/>
  <c r="O173" i="4"/>
  <c r="S172" i="4"/>
  <c r="O172" i="4"/>
  <c r="S171" i="4"/>
  <c r="O171" i="4"/>
  <c r="S170" i="4"/>
  <c r="O170" i="4"/>
  <c r="S169" i="4"/>
  <c r="O169" i="4"/>
  <c r="S168" i="4"/>
  <c r="O168" i="4"/>
  <c r="S167" i="4"/>
  <c r="O167" i="4"/>
  <c r="S166" i="4"/>
  <c r="O166" i="4"/>
  <c r="S165" i="4"/>
  <c r="O165" i="4"/>
  <c r="S164" i="4"/>
  <c r="O164" i="4"/>
  <c r="S163" i="4"/>
  <c r="O163" i="4"/>
  <c r="S162" i="4"/>
  <c r="O162" i="4"/>
  <c r="S161" i="4"/>
  <c r="O161" i="4"/>
  <c r="S160" i="4"/>
  <c r="O160" i="4"/>
  <c r="S159" i="4"/>
  <c r="O159" i="4"/>
  <c r="S158" i="4"/>
  <c r="O158" i="4"/>
  <c r="S157" i="4"/>
  <c r="O157" i="4"/>
  <c r="S156" i="4"/>
  <c r="O156" i="4"/>
  <c r="S155" i="4"/>
  <c r="O155" i="4"/>
  <c r="S154" i="4"/>
  <c r="O154" i="4"/>
  <c r="S153" i="4"/>
  <c r="O153" i="4"/>
  <c r="S152" i="4"/>
  <c r="O152" i="4"/>
  <c r="S151" i="4"/>
  <c r="O151" i="4"/>
  <c r="S150" i="4"/>
  <c r="O150" i="4"/>
  <c r="S149" i="4"/>
  <c r="O149" i="4"/>
  <c r="S148" i="4"/>
  <c r="O148" i="4"/>
  <c r="S147" i="4"/>
  <c r="O147" i="4"/>
  <c r="S146" i="4"/>
  <c r="O146" i="4"/>
  <c r="S145" i="4"/>
  <c r="O145" i="4"/>
  <c r="S144" i="4"/>
  <c r="O144" i="4"/>
  <c r="S143" i="4"/>
  <c r="O143" i="4"/>
  <c r="S142" i="4"/>
  <c r="O142" i="4"/>
  <c r="S141" i="4"/>
  <c r="O141" i="4"/>
  <c r="S140" i="4"/>
  <c r="O140" i="4"/>
  <c r="S139" i="4"/>
  <c r="O139" i="4"/>
  <c r="S138" i="4"/>
  <c r="O138" i="4"/>
  <c r="S137" i="4"/>
  <c r="O137" i="4"/>
  <c r="S136" i="4"/>
  <c r="O136" i="4"/>
  <c r="S135" i="4"/>
  <c r="O135" i="4"/>
  <c r="S134" i="4"/>
  <c r="O134" i="4"/>
  <c r="S133" i="4"/>
  <c r="O133" i="4"/>
  <c r="S132" i="4"/>
  <c r="O132" i="4"/>
  <c r="S131" i="4"/>
  <c r="O131" i="4"/>
  <c r="S130" i="4"/>
  <c r="O130" i="4"/>
  <c r="S129" i="4"/>
  <c r="O129" i="4"/>
  <c r="S128" i="4"/>
  <c r="O128" i="4"/>
  <c r="S127" i="4"/>
  <c r="O127" i="4"/>
  <c r="S126" i="4"/>
  <c r="O126" i="4"/>
  <c r="S125" i="4"/>
  <c r="O125" i="4"/>
  <c r="S124" i="4"/>
  <c r="O124" i="4"/>
  <c r="S123" i="4"/>
  <c r="O123" i="4"/>
  <c r="S122" i="4"/>
  <c r="O122" i="4"/>
  <c r="S121" i="4"/>
  <c r="O121" i="4"/>
  <c r="S120" i="4"/>
  <c r="O120" i="4"/>
  <c r="S119" i="4"/>
  <c r="O119" i="4"/>
  <c r="S118" i="4"/>
  <c r="O118" i="4"/>
  <c r="S117" i="4"/>
  <c r="O117" i="4"/>
  <c r="S116" i="4"/>
  <c r="O116" i="4"/>
  <c r="S115" i="4"/>
  <c r="O115" i="4"/>
  <c r="S114" i="4"/>
  <c r="O114" i="4"/>
  <c r="S113" i="4"/>
  <c r="O113" i="4"/>
  <c r="S112" i="4"/>
  <c r="O112" i="4"/>
  <c r="S111" i="4"/>
  <c r="O111" i="4"/>
  <c r="S110" i="4"/>
  <c r="O110" i="4"/>
  <c r="S109" i="4"/>
  <c r="O109" i="4"/>
  <c r="S108" i="4"/>
  <c r="O108" i="4"/>
  <c r="S107" i="4"/>
  <c r="O107" i="4"/>
  <c r="S106" i="4"/>
  <c r="O106" i="4"/>
  <c r="S105" i="4"/>
  <c r="O105" i="4"/>
  <c r="S104" i="4"/>
  <c r="O104" i="4"/>
  <c r="S103" i="4"/>
  <c r="O103" i="4"/>
  <c r="S102" i="4"/>
  <c r="O102" i="4"/>
  <c r="S101" i="4"/>
  <c r="O101" i="4"/>
  <c r="S100" i="4"/>
  <c r="O100" i="4"/>
  <c r="S99" i="4"/>
  <c r="O99" i="4"/>
  <c r="S98" i="4"/>
  <c r="O98" i="4"/>
  <c r="S97" i="4"/>
  <c r="O97" i="4"/>
  <c r="S96" i="4"/>
  <c r="O96" i="4"/>
  <c r="S95" i="4"/>
  <c r="O95" i="4"/>
  <c r="S94" i="4"/>
  <c r="O94" i="4"/>
  <c r="S93" i="4"/>
  <c r="O93" i="4"/>
  <c r="S92" i="4"/>
  <c r="O92" i="4"/>
  <c r="S91" i="4"/>
  <c r="O91" i="4"/>
  <c r="S90" i="4"/>
  <c r="O90" i="4"/>
  <c r="S89" i="4"/>
  <c r="O89" i="4"/>
  <c r="S88" i="4"/>
  <c r="O88" i="4"/>
  <c r="S87" i="4"/>
  <c r="O87" i="4"/>
  <c r="S86" i="4"/>
  <c r="O86" i="4"/>
  <c r="S85" i="4"/>
  <c r="O85" i="4"/>
  <c r="S84" i="4"/>
  <c r="O84" i="4"/>
  <c r="S83" i="4"/>
  <c r="O83" i="4"/>
  <c r="S82" i="4"/>
  <c r="O82" i="4"/>
  <c r="S81" i="4"/>
  <c r="O81" i="4"/>
  <c r="S80" i="4"/>
  <c r="O80" i="4"/>
  <c r="S79" i="4"/>
  <c r="O79" i="4"/>
  <c r="S78" i="4"/>
  <c r="O78" i="4"/>
  <c r="S77" i="4"/>
  <c r="O77" i="4"/>
  <c r="S76" i="4"/>
  <c r="O76" i="4"/>
  <c r="S75" i="4"/>
  <c r="O75" i="4"/>
  <c r="S74" i="4"/>
  <c r="O74" i="4"/>
  <c r="S73" i="4"/>
  <c r="O73" i="4"/>
  <c r="S72" i="4"/>
  <c r="O72" i="4"/>
  <c r="S71" i="4"/>
  <c r="O71" i="4"/>
  <c r="S70" i="4"/>
  <c r="O70" i="4"/>
  <c r="S69" i="4"/>
  <c r="O69" i="4"/>
  <c r="S68" i="4"/>
  <c r="O68" i="4"/>
  <c r="S67" i="4"/>
  <c r="O67" i="4"/>
  <c r="S66" i="4"/>
  <c r="O66" i="4"/>
  <c r="S65" i="4"/>
  <c r="O65" i="4"/>
  <c r="S64" i="4"/>
  <c r="O64" i="4"/>
  <c r="S63" i="4"/>
  <c r="O63" i="4"/>
  <c r="S62" i="4"/>
  <c r="O62" i="4"/>
  <c r="S61" i="4"/>
  <c r="O61" i="4"/>
  <c r="S60" i="4"/>
  <c r="O60" i="4"/>
  <c r="S59" i="4"/>
  <c r="O59" i="4"/>
  <c r="S58" i="4"/>
  <c r="O58" i="4"/>
  <c r="S57" i="4"/>
  <c r="O57" i="4"/>
  <c r="S56" i="4"/>
  <c r="O56" i="4"/>
  <c r="S55" i="4"/>
  <c r="O55" i="4"/>
  <c r="S54" i="4"/>
  <c r="O54" i="4"/>
  <c r="S53" i="4"/>
  <c r="O53" i="4"/>
  <c r="S52" i="4"/>
  <c r="O52" i="4"/>
  <c r="S51" i="4"/>
  <c r="O51" i="4"/>
  <c r="S50" i="4"/>
  <c r="O50" i="4"/>
  <c r="S49" i="4"/>
  <c r="O49" i="4"/>
  <c r="S48" i="4"/>
  <c r="O48" i="4"/>
  <c r="S47" i="4"/>
  <c r="O47" i="4"/>
  <c r="S46" i="4"/>
  <c r="O46" i="4"/>
  <c r="S45" i="4"/>
  <c r="O45" i="4"/>
  <c r="S44" i="4"/>
  <c r="O44" i="4"/>
  <c r="S43" i="4"/>
  <c r="O43" i="4"/>
  <c r="S42" i="4"/>
  <c r="O42" i="4"/>
  <c r="S41" i="4"/>
  <c r="O41" i="4"/>
  <c r="S40" i="4"/>
  <c r="O40" i="4"/>
  <c r="S39" i="4"/>
  <c r="O39" i="4"/>
  <c r="S38" i="4"/>
  <c r="O38" i="4"/>
  <c r="S37" i="4"/>
  <c r="O37" i="4"/>
  <c r="S36" i="4"/>
  <c r="O36" i="4"/>
  <c r="S35" i="4"/>
  <c r="O35" i="4"/>
  <c r="S34" i="4"/>
  <c r="O34" i="4"/>
  <c r="S33" i="4"/>
  <c r="O33" i="4"/>
  <c r="S32" i="4"/>
  <c r="O32" i="4"/>
  <c r="S31" i="4"/>
  <c r="O31" i="4"/>
  <c r="S30" i="4"/>
  <c r="O30" i="4"/>
  <c r="S29" i="4"/>
  <c r="O29" i="4"/>
  <c r="S28" i="4"/>
  <c r="O28" i="4"/>
  <c r="S27" i="4"/>
  <c r="O27" i="4"/>
  <c r="S26" i="4"/>
  <c r="O26" i="4"/>
  <c r="S25" i="4"/>
  <c r="O25" i="4"/>
  <c r="S24" i="4"/>
  <c r="O24" i="4"/>
  <c r="S23" i="4"/>
  <c r="O23" i="4"/>
  <c r="S22" i="4"/>
  <c r="O22" i="4"/>
  <c r="S21" i="4"/>
  <c r="O21" i="4"/>
  <c r="S20" i="4"/>
  <c r="O20" i="4"/>
  <c r="S19" i="4"/>
  <c r="O19" i="4"/>
  <c r="S18" i="4"/>
  <c r="O18" i="4"/>
  <c r="S17" i="4"/>
  <c r="O17" i="4"/>
  <c r="S16" i="4"/>
  <c r="O16" i="4"/>
  <c r="S15" i="4"/>
  <c r="O15" i="4"/>
  <c r="S14" i="4"/>
  <c r="O14" i="4"/>
  <c r="S13" i="4"/>
  <c r="O13" i="4"/>
  <c r="S12" i="4"/>
  <c r="O12" i="4"/>
  <c r="S11" i="4"/>
  <c r="O11" i="4"/>
  <c r="S10" i="4"/>
  <c r="O10" i="4"/>
  <c r="S9" i="4"/>
  <c r="O9" i="4"/>
  <c r="S8" i="4"/>
  <c r="O8" i="4"/>
  <c r="S7" i="4"/>
  <c r="O7" i="4"/>
  <c r="S6" i="4"/>
  <c r="O6" i="4"/>
  <c r="S5" i="4"/>
  <c r="O5" i="4"/>
  <c r="S4" i="4"/>
  <c r="O4" i="4"/>
  <c r="S3" i="4"/>
  <c r="O3" i="4"/>
  <c r="S2" i="4"/>
  <c r="O2" i="4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<sst xmlns="http://schemas.openxmlformats.org/spreadsheetml/2006/main" count="45640" uniqueCount="1628">
  <si>
    <t>Remessa</t>
  </si>
  <si>
    <t>Nota fiscal</t>
  </si>
  <si>
    <t>Data de emissão NF</t>
  </si>
  <si>
    <t>Código CD</t>
  </si>
  <si>
    <t>Centro</t>
  </si>
  <si>
    <t>Escritório de Vendas</t>
  </si>
  <si>
    <t>Regional</t>
  </si>
  <si>
    <t>Transportadora</t>
  </si>
  <si>
    <t>Nome do cliente</t>
  </si>
  <si>
    <t>Cidade de destino</t>
  </si>
  <si>
    <t>Estado</t>
  </si>
  <si>
    <t>SLA</t>
  </si>
  <si>
    <t>Status de Atraso</t>
  </si>
  <si>
    <t>Status Expedição</t>
  </si>
  <si>
    <t>Status</t>
  </si>
  <si>
    <t>Comentários</t>
  </si>
  <si>
    <t>Num. Chamado</t>
  </si>
  <si>
    <t>MWA0</t>
  </si>
  <si>
    <t>DC Cuiaba CP</t>
  </si>
  <si>
    <t>MWKC</t>
  </si>
  <si>
    <t>KAM CUIABA</t>
  </si>
  <si>
    <t>BRAVO</t>
  </si>
  <si>
    <t>BRAVO ARMAZENS GERAIS LTDA</t>
  </si>
  <si>
    <t>CUIABÁ</t>
  </si>
  <si>
    <t>MT</t>
  </si>
  <si>
    <t>ENTREGUE</t>
  </si>
  <si>
    <t>AG</t>
  </si>
  <si>
    <t>MWTU</t>
  </si>
  <si>
    <t>PRIMAVERA DO LESTE</t>
  </si>
  <si>
    <t>AGROP LOCKS LTDA</t>
  </si>
  <si>
    <t>NORTELÂNDIA</t>
  </si>
  <si>
    <t>NOVA MARINGÁ</t>
  </si>
  <si>
    <t>MWTP</t>
  </si>
  <si>
    <t>TANGARA DA SERRA</t>
  </si>
  <si>
    <t>G. BORGIO &amp; CIA LTDA</t>
  </si>
  <si>
    <t>ARIQUEMES</t>
  </si>
  <si>
    <t>RO</t>
  </si>
  <si>
    <t>AGROPECUARIA MAGGI LTDA</t>
  </si>
  <si>
    <t>SAPEZAL</t>
  </si>
  <si>
    <t>MWTQ</t>
  </si>
  <si>
    <t>KAM VALE DO ARAGUAIA</t>
  </si>
  <si>
    <t>QUERÊNCIA</t>
  </si>
  <si>
    <t>ITIQUIRA</t>
  </si>
  <si>
    <t>RONDONÓPOLIS</t>
  </si>
  <si>
    <t>MWTO</t>
  </si>
  <si>
    <t>SORRISO</t>
  </si>
  <si>
    <t>PLANTAGRO PLANEJ ASSIST TECNICA PLANTAGRO PLANEJ ASSIST TECNICA</t>
  </si>
  <si>
    <t>NOVA MUTUM</t>
  </si>
  <si>
    <t>IPIRANGA DO NORTE</t>
  </si>
  <si>
    <t>GUIRATINGA</t>
  </si>
  <si>
    <t>ALTO GARÇAS</t>
  </si>
  <si>
    <t>MWA1</t>
  </si>
  <si>
    <t>DC Uberaba CP</t>
  </si>
  <si>
    <t>MWCC</t>
  </si>
  <si>
    <t>RIBEIRAO PRETO-CP</t>
  </si>
  <si>
    <t>ACERO AGRONEGOCIOS LTDA.</t>
  </si>
  <si>
    <t>LAGOA DOURADA</t>
  </si>
  <si>
    <t>MG</t>
  </si>
  <si>
    <t>MWCF</t>
  </si>
  <si>
    <t>F&amp;V</t>
  </si>
  <si>
    <t>ACERO PRODUTOS AGRICOLAS LTDA.</t>
  </si>
  <si>
    <t>CONTAGEM</t>
  </si>
  <si>
    <t>COMAPE COMERCIAL AGRICOLA PECUARIA LTDA</t>
  </si>
  <si>
    <t>OLIVEIRA</t>
  </si>
  <si>
    <t>COOPERCITRUS COOPERATIVA DE PRODUTO RES RURAIS</t>
  </si>
  <si>
    <t>UBERABA</t>
  </si>
  <si>
    <t>MWC1</t>
  </si>
  <si>
    <t>CAFE</t>
  </si>
  <si>
    <t>VARGINHA</t>
  </si>
  <si>
    <t>MWC3</t>
  </si>
  <si>
    <t>CANA CENTRO-NORTE</t>
  </si>
  <si>
    <t>COOPERATIVA DE AGRONEGOCIOS DO CERR ADO BRASILEIRO LTDA. - COOPACER</t>
  </si>
  <si>
    <t>SÃO GOTARDO</t>
  </si>
  <si>
    <t>APROVAR AGROPECUARIA COMERCIO E REP RESENTACOES LTDA</t>
  </si>
  <si>
    <t>PMG COMERCIAL EXPORTADORA LTDA</t>
  </si>
  <si>
    <t>PASSOS</t>
  </si>
  <si>
    <t>PIMENTA</t>
  </si>
  <si>
    <t>COOPERCITRUS COOP PRODT RURAIS</t>
  </si>
  <si>
    <t>SÃO SEBASTIÃO DO PARAÍSO</t>
  </si>
  <si>
    <t>MWTI</t>
  </si>
  <si>
    <t>MS</t>
  </si>
  <si>
    <t>SAO GABRIEL DO OESTE</t>
  </si>
  <si>
    <t>COOPERATIVA AGRICOLA MISTA DE ADAMA NTINA</t>
  </si>
  <si>
    <t>COROMANDEL</t>
  </si>
  <si>
    <t>MWKO</t>
  </si>
  <si>
    <t>KAM OESTE</t>
  </si>
  <si>
    <t>SERGIO AZEVEDO INTROVINI</t>
  </si>
  <si>
    <t>SONORA</t>
  </si>
  <si>
    <t>COOPERATIVA AGROPECUARIA DO ALTO PARANAIBA</t>
  </si>
  <si>
    <t>FERTISOLO AGRO LTDA</t>
  </si>
  <si>
    <t>MANHUMIRIM</t>
  </si>
  <si>
    <t>MWA4</t>
  </si>
  <si>
    <t>DC LEM CP</t>
  </si>
  <si>
    <t>FAZ PROGRESSO LTDA</t>
  </si>
  <si>
    <t>MUCUGE</t>
  </si>
  <si>
    <t>BA</t>
  </si>
  <si>
    <t>MWTZ</t>
  </si>
  <si>
    <t>LEM</t>
  </si>
  <si>
    <t>SEQUEIRO COML AGR LTDA</t>
  </si>
  <si>
    <t>LUIS EDUARDO MAGALHAES</t>
  </si>
  <si>
    <t>CASEARA</t>
  </si>
  <si>
    <t>TO</t>
  </si>
  <si>
    <t>GUARAI</t>
  </si>
  <si>
    <t>MWUD</t>
  </si>
  <si>
    <t>MAPI</t>
  </si>
  <si>
    <t>PA</t>
  </si>
  <si>
    <t>MWA5</t>
  </si>
  <si>
    <t>DC Paulinia CP</t>
  </si>
  <si>
    <t>TONIATO</t>
  </si>
  <si>
    <t>CAPAO BONITO</t>
  </si>
  <si>
    <t>SP</t>
  </si>
  <si>
    <t>MWC6</t>
  </si>
  <si>
    <t>CITROS &amp; RUP</t>
  </si>
  <si>
    <t>NOVA ERA AGRICOLA PIRANGI LTDA</t>
  </si>
  <si>
    <t>BEBEDOURO</t>
  </si>
  <si>
    <t>CIMOAGRO-COMERCIO E REPRESENTACAO A GROPECUARIA LTDA.</t>
  </si>
  <si>
    <t>BAURU</t>
  </si>
  <si>
    <t>PIRASSUNUNGA</t>
  </si>
  <si>
    <t>COOPERCITRUS COOP DE PRODT RURAIS</t>
  </si>
  <si>
    <t>RJ</t>
  </si>
  <si>
    <t>CITROSUCO S/A AGRO INDL</t>
  </si>
  <si>
    <t>ITAPETININGA</t>
  </si>
  <si>
    <t>TAQUARITINGA</t>
  </si>
  <si>
    <t>RIO ALTA-COMERCIO DE PRODUTOS AGROPECUARIOS LTDA.</t>
  </si>
  <si>
    <t>SAO JOSE DO RIO PRETO</t>
  </si>
  <si>
    <t>MOGI MIRIM</t>
  </si>
  <si>
    <t>TOMATEC AGRO COMERCIAL LTDA</t>
  </si>
  <si>
    <t>CAMPINAS</t>
  </si>
  <si>
    <t>COOPERATIVA DOS PLANTADORES DE CANA  DO ESTADO SAO PAULO</t>
  </si>
  <si>
    <t>COOP PL CANA ESTD S PAULO</t>
  </si>
  <si>
    <t>COOPERATIVA AGROPECUARIA DE INSUMOS  HOLAMBRA</t>
  </si>
  <si>
    <t>HOLAMBRA</t>
  </si>
  <si>
    <t>AGROMEC JALES AGRICOLA LTDA AGROMEC</t>
  </si>
  <si>
    <t>JALES</t>
  </si>
  <si>
    <t>MONTE MOR</t>
  </si>
  <si>
    <t>GUAIRA</t>
  </si>
  <si>
    <t>MWTG</t>
  </si>
  <si>
    <t>PONTA GROSSA</t>
  </si>
  <si>
    <t>COOPERMOTA COOPERATIVA AGROINDUSTRI AL</t>
  </si>
  <si>
    <t>CANDIDO MOTA</t>
  </si>
  <si>
    <t>MODARC EXPANSAO AGRONEGOCIOS LTDA UNIAGRO PAULINIA</t>
  </si>
  <si>
    <t>PAULINIA</t>
  </si>
  <si>
    <t>PIRANGI</t>
  </si>
  <si>
    <t>ITAPOLIS</t>
  </si>
  <si>
    <t>GT SOLUCOES LOGISTICAS SA EBAMAG LOGIST</t>
  </si>
  <si>
    <t>RECUSADA</t>
  </si>
  <si>
    <t>SAO JOAQUIM DA BARRA</t>
  </si>
  <si>
    <t>MWC5</t>
  </si>
  <si>
    <t>CANA CENTRO-SUL</t>
  </si>
  <si>
    <t>SANTA FE DO SUL</t>
  </si>
  <si>
    <t>ARACATUBA</t>
  </si>
  <si>
    <t>ANDRADINA</t>
  </si>
  <si>
    <t>CASA DO CAFE COMERCIO E REPRESENTACOES DE PRODUTOS</t>
  </si>
  <si>
    <t>FRANCA</t>
  </si>
  <si>
    <t>DEFAGRO DEFENSIVOS AGRICOLAS LTDA</t>
  </si>
  <si>
    <t>VIANA</t>
  </si>
  <si>
    <t>ES</t>
  </si>
  <si>
    <t>COOPERCITRUS COOP DE PRODUTORES RURAIS</t>
  </si>
  <si>
    <t>MWA3</t>
  </si>
  <si>
    <t>DC Ibipora CP</t>
  </si>
  <si>
    <t>MWTJ</t>
  </si>
  <si>
    <t>PASSO FUNDO</t>
  </si>
  <si>
    <t>COOPERATIVA AGROINDUSTRIAL ALFA</t>
  </si>
  <si>
    <t>DOURADOS</t>
  </si>
  <si>
    <t>COAMO AGROINDUSTRIAL COOPERATIVA</t>
  </si>
  <si>
    <t>MARACAJU</t>
  </si>
  <si>
    <t>LAR COOPERATIVA AGROINDUSTRIAL</t>
  </si>
  <si>
    <t>MWTF</t>
  </si>
  <si>
    <t>MARINGA</t>
  </si>
  <si>
    <t>PARANAVAI</t>
  </si>
  <si>
    <t>PR</t>
  </si>
  <si>
    <t>MWTE</t>
  </si>
  <si>
    <t>CASCAVEL</t>
  </si>
  <si>
    <t>DISPAR ATACADO DE INSUMOS LTDA DISPAR - GALVAO</t>
  </si>
  <si>
    <t>GALVÃO</t>
  </si>
  <si>
    <t>SC</t>
  </si>
  <si>
    <t>MWTL</t>
  </si>
  <si>
    <t>PORTO ALEGRE</t>
  </si>
  <si>
    <t>BIG SAFRA S/A</t>
  </si>
  <si>
    <t>MAFRA</t>
  </si>
  <si>
    <t>AGRO DIRECTA PRODUTOS AGRICOLAS LTD A</t>
  </si>
  <si>
    <t>PONTA PORA</t>
  </si>
  <si>
    <t>C.VALE - COOPERATIVA AGROINDUSTRIAL</t>
  </si>
  <si>
    <t>RIO BRILHANTE</t>
  </si>
  <si>
    <t>TRASSI &amp; CIA LTDA.</t>
  </si>
  <si>
    <t>ROLANDIA</t>
  </si>
  <si>
    <t>LONDRINA</t>
  </si>
  <si>
    <t>COOPERATIVA DE PRODUCAO E CONSUMO C ONCORDIA</t>
  </si>
  <si>
    <t>CONCÓRDIA</t>
  </si>
  <si>
    <t>INSUAGRO INSUMOS AGRICOLAS LTDA</t>
  </si>
  <si>
    <t>VERE</t>
  </si>
  <si>
    <t>COOPERATIVA AGROPECUARIA VIDEIRENSE</t>
  </si>
  <si>
    <t>VIDEIRA</t>
  </si>
  <si>
    <t>CAMPO MOURAO</t>
  </si>
  <si>
    <t>MWC0</t>
  </si>
  <si>
    <t>DC Rio Verde CP</t>
  </si>
  <si>
    <t>MWKL</t>
  </si>
  <si>
    <t>KAM LESTE</t>
  </si>
  <si>
    <t>GO</t>
  </si>
  <si>
    <t>MWTX</t>
  </si>
  <si>
    <t>GOIANIA</t>
  </si>
  <si>
    <t>VERDELOG - LOGISTICA E TRANSPORTES S/A</t>
  </si>
  <si>
    <t>APARECIDA DE GOIANIA</t>
  </si>
  <si>
    <t>SLC AGR S/A</t>
  </si>
  <si>
    <t>CHAPADAO DO CEU</t>
  </si>
  <si>
    <t>CRISTALINA</t>
  </si>
  <si>
    <t>BRASÍLIA</t>
  </si>
  <si>
    <t>DF</t>
  </si>
  <si>
    <t>FORMOSA</t>
  </si>
  <si>
    <t>AGRORURAL PROD AGROP LTDA EPP AGRORURAL</t>
  </si>
  <si>
    <t>GOIANIRA</t>
  </si>
  <si>
    <t>MWA6</t>
  </si>
  <si>
    <t>WH Belford Roxo CP</t>
  </si>
  <si>
    <t>AGRO COM PEC LTDA</t>
  </si>
  <si>
    <t>NOVA FRIBURGO</t>
  </si>
  <si>
    <t>GUARAPUAVA</t>
  </si>
  <si>
    <t>COOPERATIVA AGRICOLA MISTA SAO CRIS TOVAO</t>
  </si>
  <si>
    <t>MARIOPOLIS</t>
  </si>
  <si>
    <t>LUFT</t>
  </si>
  <si>
    <t>PLANTEBEM COM TECNOL PROD AGR LTDA</t>
  </si>
  <si>
    <t>PETROLINA</t>
  </si>
  <si>
    <t>PE</t>
  </si>
  <si>
    <t>CLAUDIANA DE ALMEIDA RODRIGUES IMPORTACAO E EXPORTACAO DE</t>
  </si>
  <si>
    <t>ST PROD AGR EIRELI</t>
  </si>
  <si>
    <t>CABROBO</t>
  </si>
  <si>
    <t>TERRA FERTIL COM E REPRES LTDA</t>
  </si>
  <si>
    <t>PB</t>
  </si>
  <si>
    <t>SEMEAR COM E REPR LTDA</t>
  </si>
  <si>
    <t>ARAPIRACA</t>
  </si>
  <si>
    <t>AL</t>
  </si>
  <si>
    <t>SEMEAR COMERCIO E REPRESENTACOES LTDA</t>
  </si>
  <si>
    <t>ITABAIANA</t>
  </si>
  <si>
    <t>SE</t>
  </si>
  <si>
    <t>CE</t>
  </si>
  <si>
    <t>CARPINA</t>
  </si>
  <si>
    <t>SEMEAR COM REPR LTDA SEMEAR COM REPR LTDA</t>
  </si>
  <si>
    <t>MACEIO</t>
  </si>
  <si>
    <t>VERDAO COM REPR PROD AGR LTDA</t>
  </si>
  <si>
    <t>RN</t>
  </si>
  <si>
    <t>MWA2</t>
  </si>
  <si>
    <t>DC Carazinho CP</t>
  </si>
  <si>
    <t>RS</t>
  </si>
  <si>
    <t>MWTM</t>
  </si>
  <si>
    <t>IJUI</t>
  </si>
  <si>
    <t>ERECHIM</t>
  </si>
  <si>
    <t>COPAGRIL INDUSTRIAL E COMERCIAL AGR ICOLA PICCOLI LTDA</t>
  </si>
  <si>
    <t>SAO LUIZ GONZAGA</t>
  </si>
  <si>
    <t>COOPERATIVA TRITICOLA MISTA VACARIE NSE LTDA</t>
  </si>
  <si>
    <t>VACARIA</t>
  </si>
  <si>
    <t>COOPERATIVA TRITICOLA SANTA ROSA LT DA</t>
  </si>
  <si>
    <t>SANTA ROSA</t>
  </si>
  <si>
    <t>COOPERATIVA TRITICOLA MISTA CAMPO N OVO LTDA</t>
  </si>
  <si>
    <t>CAMPO NOVO</t>
  </si>
  <si>
    <t>AGROFUTURA COMERCIO E REPRESENTACOE S DE INSUMOS AGRICOLAS LTDA.</t>
  </si>
  <si>
    <t>SANTO ANGELO</t>
  </si>
  <si>
    <t>KSB AGRIBUSINESS COMERCIO LTDA</t>
  </si>
  <si>
    <t>LUCAS DO RIO VERDE</t>
  </si>
  <si>
    <t>DEFENDER INSUMOS AGRICOLAS LTDA</t>
  </si>
  <si>
    <t>VIA FERTIL PRODUTOS AGROPECUARIOS L TDA</t>
  </si>
  <si>
    <t>CAMPOS DE JÚLIO</t>
  </si>
  <si>
    <t>SÃO FÉLIX DO ARAGUAIA</t>
  </si>
  <si>
    <t>HORTSOY COMERCIO E REPRESENTACOES LTDA</t>
  </si>
  <si>
    <t>SANTA JULIANA</t>
  </si>
  <si>
    <t>SANSAO &amp; FLORINDO LTDA</t>
  </si>
  <si>
    <t>BARRA DO BUGRES</t>
  </si>
  <si>
    <t>CHAPADAO DO SUL</t>
  </si>
  <si>
    <t>CIMOAGRO - COMÉRCIO E REPRESENTAÇÃO AGROPECUÁRIA LTDA.</t>
  </si>
  <si>
    <t>UBERLÂNDIA</t>
  </si>
  <si>
    <t>TRÊS PONTAS</t>
  </si>
  <si>
    <t>SYAGE AGRONEGOCIOS LTDA</t>
  </si>
  <si>
    <t>MANHUAÇU</t>
  </si>
  <si>
    <t>PATROCÍNIO</t>
  </si>
  <si>
    <t>KOTHE LOGISTICA LTDA</t>
  </si>
  <si>
    <t>BALSAS</t>
  </si>
  <si>
    <t>MA</t>
  </si>
  <si>
    <t>JUAZEIRO</t>
  </si>
  <si>
    <t>COPACOL-COOPERATIVA AGROINDUSTRIAL CONSOLATA</t>
  </si>
  <si>
    <t>CAFELANDIA</t>
  </si>
  <si>
    <t>COOP PL CANA OESTE ESTD SP COPERCANA</t>
  </si>
  <si>
    <t>SERTAOZINHO</t>
  </si>
  <si>
    <t>COPLANA - COOPERATIVA AGROINDUSTRIA L</t>
  </si>
  <si>
    <t>GUARIBA</t>
  </si>
  <si>
    <t>ADAMANTINA</t>
  </si>
  <si>
    <t>AVARE</t>
  </si>
  <si>
    <t>SAO MARTINHO SA</t>
  </si>
  <si>
    <t>AMERICO BRASILIENSE</t>
  </si>
  <si>
    <t>PRADOPOLIS</t>
  </si>
  <si>
    <t>BROTAS</t>
  </si>
  <si>
    <t>SANTA CRUZ DO RIO PARDO</t>
  </si>
  <si>
    <t>CATANDUVA</t>
  </si>
  <si>
    <t>JATAI</t>
  </si>
  <si>
    <t>QUIRINOPOLIS</t>
  </si>
  <si>
    <t>FAZENDA COLORADO</t>
  </si>
  <si>
    <t>ARARAS</t>
  </si>
  <si>
    <t>COOPERCITRUS COOP DE PROD RURAIS</t>
  </si>
  <si>
    <t>LIMEIRA</t>
  </si>
  <si>
    <t>NOVA ANDRADINA</t>
  </si>
  <si>
    <t>PIRACICABA</t>
  </si>
  <si>
    <t>BARRA BONITA</t>
  </si>
  <si>
    <t>SANTERRA COM DIST PROD AGR LTDA</t>
  </si>
  <si>
    <t>CRICIÚMA</t>
  </si>
  <si>
    <t>PAPANDUVA</t>
  </si>
  <si>
    <t>COOPERATIVA A1</t>
  </si>
  <si>
    <t>PALMITOS</t>
  </si>
  <si>
    <t>MODARC EXPANSAO AGRONEGOCIOS LTDA</t>
  </si>
  <si>
    <t>IBIPORA</t>
  </si>
  <si>
    <t>BANDEIRANTES</t>
  </si>
  <si>
    <t>PLANTAR COMERCIO DE INSUMOS LTDA</t>
  </si>
  <si>
    <t>JOAÇABA</t>
  </si>
  <si>
    <t>RIO DO SUL</t>
  </si>
  <si>
    <t>CAMPOS NOVOS</t>
  </si>
  <si>
    <t>COOPERCITRUS COOPERATIVA DE PRODUTORES RURAIS</t>
  </si>
  <si>
    <t>MENDES E BERBERT COMERCIAL AGRICOLA DE BOM JARDIM LTDA</t>
  </si>
  <si>
    <t>BOM JARDIM</t>
  </si>
  <si>
    <t>PALOTINA</t>
  </si>
  <si>
    <t>AGROPECUARIA SAO GABRIEL LTDA VENAGRO LINHARES</t>
  </si>
  <si>
    <t>LINHARES</t>
  </si>
  <si>
    <t>CROP AGRICOLA LTDA</t>
  </si>
  <si>
    <t>TREVISO &amp; CIA LTDA</t>
  </si>
  <si>
    <t>SERTAO</t>
  </si>
  <si>
    <t>BOCCHI INDUSTRIA E COMERCIO DE CERE AIS LTDA</t>
  </si>
  <si>
    <t>IBIRAIARAS</t>
  </si>
  <si>
    <t>COOPERATIVA SANTA CLARA LTDA</t>
  </si>
  <si>
    <t>NOVA PRATA</t>
  </si>
  <si>
    <t>AGRO MULLER PRODUTOS AGRICOLAS LTDA</t>
  </si>
  <si>
    <t>CANGUCU</t>
  </si>
  <si>
    <t>C VACCARO &amp; CIA LTDA</t>
  </si>
  <si>
    <t>AGROMAVE INSUMOS AGRICOLA LTDA</t>
  </si>
  <si>
    <t>IMPACTPVA II AGRICOLA SEMENTES E FERTILIZANTES LTDA</t>
  </si>
  <si>
    <t>MWCM</t>
  </si>
  <si>
    <t>UBERLANDIA</t>
  </si>
  <si>
    <t>TRISOLO COMERCIO E REPRESENTACAO DE  PRODUTOS AGRICOLAS LTDA</t>
  </si>
  <si>
    <t>GUARDAMOR</t>
  </si>
  <si>
    <t>SEMEAR - COMERCIO E REPRESENTACOES LTDA</t>
  </si>
  <si>
    <t>SAO MARTINHO SA FAZ BOA VISTA</t>
  </si>
  <si>
    <t>COOPERATIVA DOS PLANTADORES DE CANA DO ESTADO SAO PAULO</t>
  </si>
  <si>
    <t>GOIATUBA</t>
  </si>
  <si>
    <t>JDB DIST E REPR LTDA</t>
  </si>
  <si>
    <t>MARILIA</t>
  </si>
  <si>
    <t>JABOTICABAL</t>
  </si>
  <si>
    <t>MOGI GUACU</t>
  </si>
  <si>
    <t>COOPERATIVA AGRICOLA DE CAPAO BONIT O</t>
  </si>
  <si>
    <t>BURI</t>
  </si>
  <si>
    <t>ITAJOBI</t>
  </si>
  <si>
    <t>IBITINGA</t>
  </si>
  <si>
    <t>NOVO HORIZONTE</t>
  </si>
  <si>
    <t>ARARAQUARA</t>
  </si>
  <si>
    <t>COOPERATIVA REGIONAL AGROPECUARIA D E CAMPOS NOVOS - COPERCAMPOS</t>
  </si>
  <si>
    <t>CANOINHAS</t>
  </si>
  <si>
    <t>PATO BRANCO</t>
  </si>
  <si>
    <t>COOP PL CANA OESTE ESTD S PAULO COOP PL CANA OESTE ESTD SP LTDA</t>
  </si>
  <si>
    <t>TUPACIGUARA</t>
  </si>
  <si>
    <t>COOPERATIVA AGRICOLA TUPANCIRETA LT DA</t>
  </si>
  <si>
    <t>TUPANCIRETA</t>
  </si>
  <si>
    <t>PRODUZA COMERCIO DE INSUMOS AGRICOL AS LTDA</t>
  </si>
  <si>
    <t>CARAZINHO</t>
  </si>
  <si>
    <t>RURALTEC COMERCIO E REPRESENTACOES LTDA</t>
  </si>
  <si>
    <t>SAO JOSE DO OURO</t>
  </si>
  <si>
    <t>MARTINS &amp; KISSMANN COMERCIO DE PROD UTOS AGRICOLAS LTDA</t>
  </si>
  <si>
    <t>PALMEIRA DAS MISSOES</t>
  </si>
  <si>
    <t>ARLA COOPERATIVA LTDA</t>
  </si>
  <si>
    <t>LAJEADO</t>
  </si>
  <si>
    <t>JACIARA</t>
  </si>
  <si>
    <t>NF recusada/ Cancelada</t>
  </si>
  <si>
    <t>CAMPO VERDE</t>
  </si>
  <si>
    <t>DIAMANTINO</t>
  </si>
  <si>
    <t>AGROUNIDOS PROD AGROP LTDA</t>
  </si>
  <si>
    <t>RUMO AGRONEGOCIOS LTDA</t>
  </si>
  <si>
    <t>CAMPO NOVO DO PARECIS</t>
  </si>
  <si>
    <t>COMODORO</t>
  </si>
  <si>
    <t>PORTO DOS GAÚCHOS</t>
  </si>
  <si>
    <t>VERDELOG LOGIST E TRANS SA</t>
  </si>
  <si>
    <t>SINOP</t>
  </si>
  <si>
    <t>POXORÉU</t>
  </si>
  <si>
    <t>PONTES E LACERDA</t>
  </si>
  <si>
    <t>VILA BELA DA SANTÍSSIMA TRINDADE</t>
  </si>
  <si>
    <t>L A CEZAR INS AGR</t>
  </si>
  <si>
    <t>MUNHOZ</t>
  </si>
  <si>
    <t>UNAÍ</t>
  </si>
  <si>
    <t>COOPERATIVA DE AGRONEGOCIOS DO CERRADO BRASILEIRO LTDA</t>
  </si>
  <si>
    <t>COOP AGROP DE BOA ESPERANCA LTDA</t>
  </si>
  <si>
    <t>BOA ESPERANÇA</t>
  </si>
  <si>
    <t>MWA8</t>
  </si>
  <si>
    <t>FORMOSO</t>
  </si>
  <si>
    <t>AGM COMERCIO ATACADISTA DE PRODUTOS AGROPECUARIOS LTDA</t>
  </si>
  <si>
    <t>VITORIA DA CONQUISTA</t>
  </si>
  <si>
    <t>RONDON DO PARA</t>
  </si>
  <si>
    <t>PARAISO DO TOCANTINS</t>
  </si>
  <si>
    <t>ROBUSTA AGRO LTDA ROBUSTA AGRO LTDA.</t>
  </si>
  <si>
    <t>EUNAPOLIS</t>
  </si>
  <si>
    <t>VOTUPORANGA</t>
  </si>
  <si>
    <t>FERNANDOPOLIS</t>
  </si>
  <si>
    <t>PORTO FERREIRA</t>
  </si>
  <si>
    <t>PIRAJU</t>
  </si>
  <si>
    <t>ORCINI COMERCIO DE INSUMOS AGRICOLAS</t>
  </si>
  <si>
    <t>ESPIRITO SANTO DO PINHAL</t>
  </si>
  <si>
    <t>COOPERATIVA AGROPECUARIA DE PARAPUA</t>
  </si>
  <si>
    <t>PARAPUA</t>
  </si>
  <si>
    <t>COOPERATIVA AGRARIA DOS CAFEICULTORES DE SAO GABRIEL</t>
  </si>
  <si>
    <t>SAO GABRIEL DA PALHA</t>
  </si>
  <si>
    <t>MANGUEIRINHA</t>
  </si>
  <si>
    <t>COPASUL COOPERATIVA AGRICOLA SUL MA TOGROSSENSE</t>
  </si>
  <si>
    <t>NAVIRAI</t>
  </si>
  <si>
    <t>SIDROLANDIA</t>
  </si>
  <si>
    <t>COOPERATIVA AGROINDUSTRIAL BOM JESU S</t>
  </si>
  <si>
    <t>LAPA</t>
  </si>
  <si>
    <t>MWUB</t>
  </si>
  <si>
    <t>RIO VERDE</t>
  </si>
  <si>
    <t>SANTA HELENA DE GOIAS</t>
  </si>
  <si>
    <t>VEGETAL AGRONEGOCIOS LTDA</t>
  </si>
  <si>
    <t>A SEMENTEIRA PRODUTOS AGROPECUARIOS LIMITADA</t>
  </si>
  <si>
    <t>ANAPOLIS</t>
  </si>
  <si>
    <t>CROP AGR LTDA</t>
  </si>
  <si>
    <t>PARNAMIRIM</t>
  </si>
  <si>
    <t>COMERCIO DE PRODUTOS AGRICOLAS B.F. G. LTDA.</t>
  </si>
  <si>
    <t>COOPERFIBRA - COOPERATIVA DOS COTONICULTORES DE CAMPO VERDE</t>
  </si>
  <si>
    <t>AROLDO GUIZZO E OUTRO</t>
  </si>
  <si>
    <t>CEREJEIRAS</t>
  </si>
  <si>
    <t>CLAIDES LAZARETTI MASUTTI</t>
  </si>
  <si>
    <t>PIMENTEIRAS DO OESTE</t>
  </si>
  <si>
    <t>ÁGUA BOA</t>
  </si>
  <si>
    <t>MARCOS AURELIO DALLAGNESE FAZENDA SAO PEDRO</t>
  </si>
  <si>
    <t>SANTA FILOMENA</t>
  </si>
  <si>
    <t>PI</t>
  </si>
  <si>
    <t>BARREIRAS</t>
  </si>
  <si>
    <t>AGROPOLLO COMERCIAL AGRICOLA LTDA</t>
  </si>
  <si>
    <t>CORRENTINA</t>
  </si>
  <si>
    <t>COOPERATIVA AGRICOLA MISTA NOVA PAL MA LTDA</t>
  </si>
  <si>
    <t>NOVA PALMA</t>
  </si>
  <si>
    <t>MODARC AGRONEGOCIOS LTDA</t>
  </si>
  <si>
    <t>GARIBALDI</t>
  </si>
  <si>
    <t>S. C. COMERCIO E REPRESENTACOES DE PRODUTOS AGRICOLAS LTDA</t>
  </si>
  <si>
    <t>AGROPECUARIA MASUTTI LTDA</t>
  </si>
  <si>
    <t>PERDIZES</t>
  </si>
  <si>
    <t>PLANTAR SOLUCOES AGR LTDA</t>
  </si>
  <si>
    <t>OURO FINO</t>
  </si>
  <si>
    <t>ITUIUTABA</t>
  </si>
  <si>
    <t>FRUTAL</t>
  </si>
  <si>
    <t>CAMPO VERDE AGRONEGOCIOS LTDA.</t>
  </si>
  <si>
    <t>MONTE CARMELO</t>
  </si>
  <si>
    <t>COOP CAF DA REG DE LAJINHA LTDA COOCAFE LTDA</t>
  </si>
  <si>
    <t>LAJINHA</t>
  </si>
  <si>
    <t>PIUMHI</t>
  </si>
  <si>
    <t>COOPERATIVA AGROPECUARIA DO OESTE D A BAHIA</t>
  </si>
  <si>
    <t>UNICERES - COOPERATIVA DE PRODUT ORES RURAIS</t>
  </si>
  <si>
    <t>UNICERES - COOPERATIVA DE PRODUTORE S RURAIS</t>
  </si>
  <si>
    <t>MONTE AZUL PAULISTA</t>
  </si>
  <si>
    <t>COOPERATIVA AGRO-INDUSTRIAL HOLAMBR A</t>
  </si>
  <si>
    <t>PARANAPANEMA</t>
  </si>
  <si>
    <t>ASSIS</t>
  </si>
  <si>
    <t>SUL DEFENSIVOS AGRICOLAS LTDA</t>
  </si>
  <si>
    <t>ARAUCARIA</t>
  </si>
  <si>
    <t>FACCO &amp; MATOS LTDA</t>
  </si>
  <si>
    <t>PONTAGRO AGRONEGOCIOS LTDA</t>
  </si>
  <si>
    <t>TOLEDO</t>
  </si>
  <si>
    <t>ITUPORANGA</t>
  </si>
  <si>
    <t>COOPAVEL COOP AGRO INDL</t>
  </si>
  <si>
    <t>SARANDI</t>
  </si>
  <si>
    <t>CULTIVAR AGRONEGOCIOS LTDA</t>
  </si>
  <si>
    <t>GIRUA</t>
  </si>
  <si>
    <t>COTRIPAL AGROPECUARIA COOPERATIVA</t>
  </si>
  <si>
    <t>PANAMBI</t>
  </si>
  <si>
    <t>PALUDO COMERCIO DE PRODUTOS AGRICOL AS LTDA</t>
  </si>
  <si>
    <t>TAPURAH</t>
  </si>
  <si>
    <t>VERDELOG LOGISTICA E TRANSPORTES SA</t>
  </si>
  <si>
    <t>QUERENCIA</t>
  </si>
  <si>
    <t>CANARANA</t>
  </si>
  <si>
    <t>ITURAMA</t>
  </si>
  <si>
    <t>CARMO DO PARANAÍBA</t>
  </si>
  <si>
    <t>JABORANDI</t>
  </si>
  <si>
    <t>LAGOA DA CONFUSAO</t>
  </si>
  <si>
    <t>IBICOARA</t>
  </si>
  <si>
    <t>FORMOSA DO RIO PRETO</t>
  </si>
  <si>
    <t>COOPERATIVA AGROPECUARIA DE PEDRINH AS PAULISTA</t>
  </si>
  <si>
    <t>PEDRINHAS PAULISTA</t>
  </si>
  <si>
    <t>AGROPEC CP PROD AGR VET LTDA</t>
  </si>
  <si>
    <t>CRISTAIS PAULISTA</t>
  </si>
  <si>
    <t>DOIS CORREGOS</t>
  </si>
  <si>
    <t>COASUL COOPERATIVA AGROINDUSTRIAL</t>
  </si>
  <si>
    <t>SAO JOAO</t>
  </si>
  <si>
    <t>COOPERATIVA AGRICOLA MISTA DE ADAMANTINA</t>
  </si>
  <si>
    <t>FISTAROL &amp; CIA LTDA</t>
  </si>
  <si>
    <t>AMPERE</t>
  </si>
  <si>
    <t>PALMEIRAS DE GOIAS</t>
  </si>
  <si>
    <t>NOVA ARCOZELO COM DE MAT P/ CONSTR PROD AGRIC E AGROPEC LTDA</t>
  </si>
  <si>
    <t>PATY DO ALFERES</t>
  </si>
  <si>
    <t>CONQUISTA SERRANA AGR LTDA</t>
  </si>
  <si>
    <t>BAYEUX</t>
  </si>
  <si>
    <t>COTRIJUC - COOPERATIVA AGROPECUARIA  JULIO DE CASTILHOS</t>
  </si>
  <si>
    <t>JULIO DE CASTILHOS</t>
  </si>
  <si>
    <t>COTRIJAL COOPERATIVA AGROPECUARIA E  INDUSTRIAL</t>
  </si>
  <si>
    <t>CHAPADA DOS GUIMARÃES</t>
  </si>
  <si>
    <t>BOM FUTURO AGR LTDA</t>
  </si>
  <si>
    <t>COOAPRIMA - COOPERATIVA AGROPECUARI A PRIMAVERENSE</t>
  </si>
  <si>
    <t>RUMO AGROCOMERCIO DE INSUMOS LTDA</t>
  </si>
  <si>
    <t>SÃO JOSÉ DO XINGU</t>
  </si>
  <si>
    <t>PRESIDENTE OLEGÁRIO</t>
  </si>
  <si>
    <t>JADER MARTINHO DIAS &amp; FILHAS LTDA AGROTATA</t>
  </si>
  <si>
    <t>IPUIÚNA</t>
  </si>
  <si>
    <t>STA COLOMBA AGROP SA</t>
  </si>
  <si>
    <t>COCOS</t>
  </si>
  <si>
    <t>H R F DE M E SILVA AGRICOLA</t>
  </si>
  <si>
    <t>GUARATINGUETA</t>
  </si>
  <si>
    <t>CASA BRANCA</t>
  </si>
  <si>
    <t>JOSE NELSON MALLMANN</t>
  </si>
  <si>
    <t>PRESIDENTE PRUDENTE</t>
  </si>
  <si>
    <t>LOUIS DREYFUS COMPANY SUCOS SA</t>
  </si>
  <si>
    <t>PENAPOLIS</t>
  </si>
  <si>
    <t>COOPERATIVA DE CAFEICULTORES E AGROPECUARISTAS</t>
  </si>
  <si>
    <t>COOP AGR M ADAMANTINA</t>
  </si>
  <si>
    <t>PLANTAR COM INS LTDA</t>
  </si>
  <si>
    <t>AGRICOLA SUDOESTE LTDA</t>
  </si>
  <si>
    <t>DOIS VIZINHOS</t>
  </si>
  <si>
    <t>CAIAPONIA</t>
  </si>
  <si>
    <t>AGROVERDE J G COM E REP DE PROD AGR OPECUARIOS LTDA</t>
  </si>
  <si>
    <t>CARMO DO RIO VERDE</t>
  </si>
  <si>
    <t>PIRACANJUBA</t>
  </si>
  <si>
    <t>CENTRAL CAMPO INSUMOS AGRICOLAS LTDA</t>
  </si>
  <si>
    <t>LIMOEIRO DO NORTE</t>
  </si>
  <si>
    <t>AGRICOLA FAMOSA S.A.</t>
  </si>
  <si>
    <t>CROP AGRICOLA LTDA CROP</t>
  </si>
  <si>
    <t>NAO-ME-TOQUE</t>
  </si>
  <si>
    <t>SAO FELIX DO ARAGUAIA</t>
  </si>
  <si>
    <t>R D COM E REPRESENTACOES LTDA</t>
  </si>
  <si>
    <t>BENTEVI AGRO COMERCIO E REPRESENTAC AO LTDA</t>
  </si>
  <si>
    <t>TABAPORÃ</t>
  </si>
  <si>
    <t>FAZ PERDIZES EMPREEND AGR LTDA</t>
  </si>
  <si>
    <t>COOPERCITRUS COOP DE PRODT RUR</t>
  </si>
  <si>
    <t>COOP CAF Z TRES PONTAS LTDA</t>
  </si>
  <si>
    <t>PARACATU</t>
  </si>
  <si>
    <t>CAMPO FLORIDO</t>
  </si>
  <si>
    <t>COSTA RICA</t>
  </si>
  <si>
    <t>SULGOIANO AGRONEGOCIO LTDA</t>
  </si>
  <si>
    <t>GURUPI</t>
  </si>
  <si>
    <t>LOJAS GEOCOMERCIAL LTDA LOJAS GEOCOMERCIAL LTDA</t>
  </si>
  <si>
    <t>IRECE</t>
  </si>
  <si>
    <t>PORTO NACIONAL</t>
  </si>
  <si>
    <t>BARRETOS</t>
  </si>
  <si>
    <t>C VALE COOP AGRO INDL</t>
  </si>
  <si>
    <t>TURIM FERTILIZANTES PLANALTO LTDA</t>
  </si>
  <si>
    <t>PLANALTO</t>
  </si>
  <si>
    <t>SEMENTES BARREIRAO LTDA</t>
  </si>
  <si>
    <t>KGM COMERCIO E REPRESENTACAO DE PRO DUTOS AGROPECUARIOS LTDA</t>
  </si>
  <si>
    <t>AGUA FRIA DE GOIAS</t>
  </si>
  <si>
    <t>BRAVO ARM GERAIS LTDA</t>
  </si>
  <si>
    <t>TRANSPORTES LUFT LTDA</t>
  </si>
  <si>
    <t>AGROFEL AGRO COMERCIAL S.A.</t>
  </si>
  <si>
    <t>MULTI-RURAL COMERCIO E REPRESENTACO ES LTDA</t>
  </si>
  <si>
    <t>FRIBON</t>
  </si>
  <si>
    <t>ALFENAS</t>
  </si>
  <si>
    <t>PATOS DE MINAS</t>
  </si>
  <si>
    <t>IRAÍ DE MINAS</t>
  </si>
  <si>
    <t>SUPER SAFRA COMERCIO E REPRESENTACA O LTDA</t>
  </si>
  <si>
    <t>CONCEIÇÃO DA APARECIDA</t>
  </si>
  <si>
    <t>TERRA DO BRASIL PRODUTOS AGROPECUARIOS LTDA</t>
  </si>
  <si>
    <t>ACERO AGRONEGOCIOS LTDA. ACERO AGRONEGOCIOS</t>
  </si>
  <si>
    <t>CARMÓPOLIS DE MINAS</t>
  </si>
  <si>
    <t>SANTANA DO ARAGUAIA</t>
  </si>
  <si>
    <t>MARABA</t>
  </si>
  <si>
    <t>MODULO INS AGROP LTDA</t>
  </si>
  <si>
    <t>FEIRA DE SANTANA</t>
  </si>
  <si>
    <t>MAX SEEDS COMERCIO DE INSUMOS AGRIC OLAS LTDA</t>
  </si>
  <si>
    <t>SUPREMA INSUMOS AGRICOLAS LTDA</t>
  </si>
  <si>
    <t>LAGOA VERMELHA</t>
  </si>
  <si>
    <t>VIERA AGROCEREAIS LTDA</t>
  </si>
  <si>
    <t>SAO MIGUEL DAS MISSOES</t>
  </si>
  <si>
    <t>PARANATINGA</t>
  </si>
  <si>
    <t>RIBEIRÃO CASCALHEIRA</t>
  </si>
  <si>
    <t>BURITIS</t>
  </si>
  <si>
    <t>AGRO SHOP LTDA</t>
  </si>
  <si>
    <t>MONTES CLAROS</t>
  </si>
  <si>
    <t>MADRE DE DEUS DE MINAS</t>
  </si>
  <si>
    <t>S EPP AGRICOLA LTDA FAZENDA VITORIA</t>
  </si>
  <si>
    <t>S EPP AGRICOLA LTDA FAZENDA CHAPADAO</t>
  </si>
  <si>
    <t>S EPP AGRICOLA LTDA FAZENDA ALVORADA</t>
  </si>
  <si>
    <t>URUÇUÍ</t>
  </si>
  <si>
    <t>BRASILAGRO CIA BRAS PROPR AGR</t>
  </si>
  <si>
    <t>SLC AGRICOLA SA</t>
  </si>
  <si>
    <t>TASSO FRAGOSO</t>
  </si>
  <si>
    <t>DIVINOPOLIS DO TOCANTINS</t>
  </si>
  <si>
    <t>TERRA FORTE AGROSHOPPING LTDA</t>
  </si>
  <si>
    <t>IGARAPAVA</t>
  </si>
  <si>
    <t>BIRIGUI</t>
  </si>
  <si>
    <t>COOP AGR MISTA DE ADAMANTINA</t>
  </si>
  <si>
    <t>TUPA</t>
  </si>
  <si>
    <t>COMERCIAL PRODUTIVA AGROPECUARIA LT DA</t>
  </si>
  <si>
    <t>SOCORRO</t>
  </si>
  <si>
    <t>AGROMECHI AGRICOLA LTDA</t>
  </si>
  <si>
    <t>MINEIROS</t>
  </si>
  <si>
    <t>SELVINO E OTILIA GONZATTI ARM LTDA</t>
  </si>
  <si>
    <t>IPAMERI</t>
  </si>
  <si>
    <t>DOM AQUINO</t>
  </si>
  <si>
    <t>PEDRA PRETA</t>
  </si>
  <si>
    <t>UNICOTTON COOP PROD ALGODAO</t>
  </si>
  <si>
    <t>VERA</t>
  </si>
  <si>
    <t>HUGO DE OLIVEIRA BARBOSA E OUTRO</t>
  </si>
  <si>
    <t>SLC AGR S/A SLC AGRICOLA S.A.</t>
  </si>
  <si>
    <t>COOPERATIVA AGROPECUARIA E INDUSTRI AL CELEIRO DO NORTE - COACEN</t>
  </si>
  <si>
    <t>NOVA UBIRATÃ</t>
  </si>
  <si>
    <t>TORIXORÉU</t>
  </si>
  <si>
    <t>GAÚCHA DO NORTE</t>
  </si>
  <si>
    <t>CONFRESA</t>
  </si>
  <si>
    <t>GAUCHA DO NORTE</t>
  </si>
  <si>
    <t>BOM JESUS DO ARAGUAIA</t>
  </si>
  <si>
    <t>BRASNORTE</t>
  </si>
  <si>
    <t>AUREO EDUARDO CARVALHO FREITAS</t>
  </si>
  <si>
    <t>MATUPÁ</t>
  </si>
  <si>
    <t>AUREO EDUARDO CARVALHO FREITAS E OUTRO</t>
  </si>
  <si>
    <t>CANABRAVA DO NORTE</t>
  </si>
  <si>
    <t>JOSE MARCOLINI JUNIOR FAZ MACARE</t>
  </si>
  <si>
    <t>BIOSFERA AGROPECUARIA LTDA</t>
  </si>
  <si>
    <t>ARAGUARI</t>
  </si>
  <si>
    <t>SLC AGRICOLA S.A.</t>
  </si>
  <si>
    <t>FAXINAL</t>
  </si>
  <si>
    <t>CB AGRO INSUMOS AGRICOLAS LTDA</t>
  </si>
  <si>
    <t>MAMBORE</t>
  </si>
  <si>
    <t>MONTIVIDIU</t>
  </si>
  <si>
    <t>TRÂNSITO</t>
  </si>
  <si>
    <t>C.VALE COOP AGRO INDL</t>
  </si>
  <si>
    <t>SÃO JOSÉ DO RIO CLARO</t>
  </si>
  <si>
    <t>PARÁ DE MINAS</t>
  </si>
  <si>
    <t>ROGERIO LUIS DAL AGNOL</t>
  </si>
  <si>
    <t>MONTE SANTO DO TOCANTINS</t>
  </si>
  <si>
    <t>LAGUNA CARAPA</t>
  </si>
  <si>
    <t>TURIM FERTILIZANTES BELTRAO LTDA</t>
  </si>
  <si>
    <t>FRANCISCO BELTRAO</t>
  </si>
  <si>
    <t>COOPSEMA - COOPERATIVA AGRICOLA MIS TA SERRA DE MARACAJU</t>
  </si>
  <si>
    <t>TANGARÁ</t>
  </si>
  <si>
    <t>CATALAO</t>
  </si>
  <si>
    <t>CANCELADA</t>
  </si>
  <si>
    <t>COOPERATIVA TRITICOLA CACAPAVANA LT DA</t>
  </si>
  <si>
    <t>CACAPAVA DO SUL</t>
  </si>
  <si>
    <t>MIRANORTE</t>
  </si>
  <si>
    <t>CJS DIST AGRO E TRANSPORTES LTDA</t>
  </si>
  <si>
    <t>REZENDE AGR LTDA</t>
  </si>
  <si>
    <t>NBS COMERCIO E REPRESENTACOES LTDA</t>
  </si>
  <si>
    <t>SAO DESIDERIO</t>
  </si>
  <si>
    <t>BAIXA GRANDE DO RIBEIRO</t>
  </si>
  <si>
    <t>ALTO PARNAIBA</t>
  </si>
  <si>
    <t>RIACHAO</t>
  </si>
  <si>
    <t>ICAPUI</t>
  </si>
  <si>
    <t>BOA VISTA DO INCRA</t>
  </si>
  <si>
    <t>NLRS COMERCIO DE INSUMOS AGRICOLAS LTDA</t>
  </si>
  <si>
    <t>ABCN COMERCIO E REPRESENTACOES LTDA</t>
  </si>
  <si>
    <t>NAVA E SIMON LTDA</t>
  </si>
  <si>
    <t>AGRICOLA ROQUE LTDA</t>
  </si>
  <si>
    <t>NAVA, PARIZOTTO &amp; SIMON LTDA</t>
  </si>
  <si>
    <t>NUCLEO AGRICOLA MG PRODUTOS AGROPEC UARIOS LTDA</t>
  </si>
  <si>
    <t>COIMBRA</t>
  </si>
  <si>
    <t>AGRONEGOCIOS OKADA E OLIVEIRA LTDA</t>
  </si>
  <si>
    <t>BARBACENA</t>
  </si>
  <si>
    <t>CARATINGA</t>
  </si>
  <si>
    <t>COAGRU COOP AGRO INDL UNIAO COAGRU COOP AGROINDL UNIAO</t>
  </si>
  <si>
    <t>UBIRATA</t>
  </si>
  <si>
    <t>COOPERATIVA AGROPECUARIA PASSO DA FELICIDADE</t>
  </si>
  <si>
    <t>SAO SEPE</t>
  </si>
  <si>
    <t>CORONEL BARROS</t>
  </si>
  <si>
    <t>SAO JOSE DO XINGU</t>
  </si>
  <si>
    <t>RIACHAO DAS NEVES</t>
  </si>
  <si>
    <t>SLC AGR SA</t>
  </si>
  <si>
    <t>AMAMBAI</t>
  </si>
  <si>
    <t>TURVELANDIA</t>
  </si>
  <si>
    <t>ALEX BARTH</t>
  </si>
  <si>
    <t>MILTON SCHELESKI DE SOUZA FILHO</t>
  </si>
  <si>
    <t>FAZ NORTON LTDA</t>
  </si>
  <si>
    <t>PONTUAL AGRONEGOCIOS COMERCIO E REP RESENTACOES LTDA</t>
  </si>
  <si>
    <t>VIANOPOLIS</t>
  </si>
  <si>
    <t>PEIXE</t>
  </si>
  <si>
    <t>CRUZ ALTA</t>
  </si>
  <si>
    <t>COOPERATIVA REGIONAL DE CAFEICULTOR ES EM GUAXUPE LTDA COOXUPE</t>
  </si>
  <si>
    <t>SIERENTZ AGRO BRASIL LTDA</t>
  </si>
  <si>
    <t>PARAUNA</t>
  </si>
  <si>
    <t>COOPERATIVA AGRICOLA TAPEJARA LTDA</t>
  </si>
  <si>
    <t>TAPEJARA</t>
  </si>
  <si>
    <t>SANTA MARIA DAS BARREIRAS</t>
  </si>
  <si>
    <t>AGRORESENDE COMERCIO E REPRESENTACO ES LTDA</t>
  </si>
  <si>
    <t>NOVA PONTE</t>
  </si>
  <si>
    <t>ESTREITO</t>
  </si>
  <si>
    <t>AGROTERENAS SA CANA</t>
  </si>
  <si>
    <t>MARACAI</t>
  </si>
  <si>
    <t>COOPERATIVA DE PRODUTORES DE SEMENT ES COPROSSEL</t>
  </si>
  <si>
    <t>LARANJEIRAS DO SUL</t>
  </si>
  <si>
    <t>LUIZ SIMIAO DO AMARAL LOUREIRO</t>
  </si>
  <si>
    <t>SLC-MIT EMPREENDIMENTOS AGRICOLAS S.A.</t>
  </si>
  <si>
    <t>MOSSORO</t>
  </si>
  <si>
    <t>COTRIJAL COOPERATIVA AGROPECUARIA E INDUSTRIAL</t>
  </si>
  <si>
    <t>SOLEDADE</t>
  </si>
  <si>
    <t>COOP AGRICOLA AGUA SANTA LTDA</t>
  </si>
  <si>
    <t>AGUA SANTA</t>
  </si>
  <si>
    <t>ANDRE &amp; ANDRE LTDA</t>
  </si>
  <si>
    <t>URUACU</t>
  </si>
  <si>
    <t>CACU</t>
  </si>
  <si>
    <t>AGROFARM - PRODUTOS AGROQUIMICOS LTDA</t>
  </si>
  <si>
    <t>SLC AGR CENTRO OESTE SA</t>
  </si>
  <si>
    <t>TESOURO</t>
  </si>
  <si>
    <t>CAROLINA</t>
  </si>
  <si>
    <t>MONTE ALEGRE DO PIAUÍ</t>
  </si>
  <si>
    <t>FAZENDA PIONEIRA EMPREENDIMENTOS AG RICOLAS S.A.</t>
  </si>
  <si>
    <t>NOVO SÃO JOAQUIM</t>
  </si>
  <si>
    <t>BONOPOLIS</t>
  </si>
  <si>
    <t>IRACEMAPOLIS</t>
  </si>
  <si>
    <t>CIMOAGRO - COMERCIO E REPRESENTACAO AGROPECUARIA LTDA.</t>
  </si>
  <si>
    <t>DIRCEU JOSE RAGAGNIN</t>
  </si>
  <si>
    <t>JOSE EDUARDO GUIMARAES MOTTA</t>
  </si>
  <si>
    <t>PAULO ANDREIS</t>
  </si>
  <si>
    <t>GUAXUPÉ</t>
  </si>
  <si>
    <t>JB RIBAS COMERCIO DE DEFENSIVOS AGR ICOLAS LTDA</t>
  </si>
  <si>
    <t>CAIBATE</t>
  </si>
  <si>
    <t>ORLANDO MARIA KOK FAZ FLAMBOYANT</t>
  </si>
  <si>
    <t>COLONOS COMERCIO DE PRODUTOS AGROPECUARIOS LTDA</t>
  </si>
  <si>
    <t>SERTANOPOLIS</t>
  </si>
  <si>
    <t>GRAJAU</t>
  </si>
  <si>
    <t>LUIZ WALKER</t>
  </si>
  <si>
    <t>TANGARÁ DA SERRA</t>
  </si>
  <si>
    <t>IBIRACI</t>
  </si>
  <si>
    <t>UNIAGRO - UNIAO COMERCIAL AGRICOLA LTDA</t>
  </si>
  <si>
    <t>BOM JESUS</t>
  </si>
  <si>
    <t>BRASILIA</t>
  </si>
  <si>
    <t>Seberi</t>
  </si>
  <si>
    <t>SLC AGRICOLA CENTRO OESTE S.A. FAZENDA PAMPEIRA I</t>
  </si>
  <si>
    <t>SILVA REPRESENTACAO E COMERCIO PRODUTOS AGROPECUARIOS LTDA</t>
  </si>
  <si>
    <t>BOA VISTA</t>
  </si>
  <si>
    <t>RR</t>
  </si>
  <si>
    <t>MWA9</t>
  </si>
  <si>
    <t>MWLR</t>
  </si>
  <si>
    <t>LOJA RIO VERDE</t>
  </si>
  <si>
    <t>EXPEDIÇÃO</t>
  </si>
  <si>
    <t>PEROLA INSUMOS AGRICOLAS LTDA</t>
  </si>
  <si>
    <t>CAMPO GRANDE</t>
  </si>
  <si>
    <t>INTEGRADA COOP AGRO INDL</t>
  </si>
  <si>
    <t>MKM AGRO ARMAZENAGEM LTDA</t>
  </si>
  <si>
    <t>AGS COMERCIO E REPRESENTACAO DE PRODUTOS AGRICOLAS LTDA</t>
  </si>
  <si>
    <t>FRANCISCO ROBERTO TOMAZINI FAZENDA BURITIZAL</t>
  </si>
  <si>
    <t>COOPERATIVA AGROINDUSTRIAL DOS PROD UTORES RURAIS DO SUDOESTE GOIANO</t>
  </si>
  <si>
    <t>LUZIANIA</t>
  </si>
  <si>
    <t>PORTELANDIA</t>
  </si>
  <si>
    <t>PORTO ALEGRE DO NORTE</t>
  </si>
  <si>
    <t>VILA RICA</t>
  </si>
  <si>
    <t>GERALDO ANTONIO DELAI FAZ TANGURO</t>
  </si>
  <si>
    <t>RODRIGO ZUANAZZI</t>
  </si>
  <si>
    <t>UNIÃO DO SUL</t>
  </si>
  <si>
    <t>EGON ALOISIO JUNG</t>
  </si>
  <si>
    <t>NADIANA AGRONEGOCIOS LTDA</t>
  </si>
  <si>
    <t>WIENFRIED MATTHIAS LEH FAZ JATOBA/FAZ BRUNA I II E III</t>
  </si>
  <si>
    <t>HILARIO RENATO PICCINI E OUTROS</t>
  </si>
  <si>
    <t>FOSPLAN COMERCIO E INDUSTRIA DE PRODUTOS AGROPECUARIOS LTDA</t>
  </si>
  <si>
    <t>ARAGUAÍNA</t>
  </si>
  <si>
    <t>EDMAR WITTER FAZ WITTER</t>
  </si>
  <si>
    <t>AGRO SHOP LTDA AGRO SHOP</t>
  </si>
  <si>
    <t>OLARA GIOVANNA BARBARA TEIXEIRA ROCHA</t>
  </si>
  <si>
    <t>GRATO AGROP LTDA</t>
  </si>
  <si>
    <t>COPRASUL COOPERATIVA AGROINDUSTRIAL</t>
  </si>
  <si>
    <t>OPCAO AGRONEGOCIOS LTDA</t>
  </si>
  <si>
    <t>MARCOS CESAR JORDAO FAZ GALIOTA</t>
  </si>
  <si>
    <t>RIBEIRO GONÇALVES</t>
  </si>
  <si>
    <t>BELMIRO CATELAN</t>
  </si>
  <si>
    <t>São Desidério</t>
  </si>
  <si>
    <t>ILO POZZOBON E OUTRO</t>
  </si>
  <si>
    <t>MARCIO MAZIERO POZZOBON</t>
  </si>
  <si>
    <t>NOVO MUNDO</t>
  </si>
  <si>
    <t>SAO FELIX DE BALSAS</t>
  </si>
  <si>
    <t>LARISSA MARIA RIVALTA E SILVA E OUTROS</t>
  </si>
  <si>
    <t>GHVN AGROPECUARIA LTDA</t>
  </si>
  <si>
    <t>RUDIMAR GIACOMIN</t>
  </si>
  <si>
    <t>NELSI POZZOBON</t>
  </si>
  <si>
    <t>FERNANDO MAZIERO POZZOBON</t>
  </si>
  <si>
    <t>AGROPASTORIL JOTABASSO LTDA</t>
  </si>
  <si>
    <t>AGROPASTORIL JOTABASSO LTDA FAZENDA JOTABASSO GLEBAS I-II-III</t>
  </si>
  <si>
    <t>ROBSON CATELLAN ROBSON CATELLAN</t>
  </si>
  <si>
    <t>COOPERATIVA AGRICOLA DE UNAI LTDA</t>
  </si>
  <si>
    <t>BARAUNA</t>
  </si>
  <si>
    <t>FABRICIO BERNARDI</t>
  </si>
  <si>
    <t>LAERCIO ERNANI BUSATO E OUTROS FAZ DILEZAN</t>
  </si>
  <si>
    <t>WALTER SCHLATTER E OUTROS FAZ REUNIDAS ESPIGAO DO LESTE II</t>
  </si>
  <si>
    <t>MARILANDIA DO SUL</t>
  </si>
  <si>
    <t>COOPERCITRUS COOP DE PRODUT RURAIS</t>
  </si>
  <si>
    <t>TABAPORA</t>
  </si>
  <si>
    <t>PERCI HENRIQUE SMANIOTTO E OUTROS</t>
  </si>
  <si>
    <t>CAJUPI ADM PARTICIP LTDA E PARTICIPAÇÕES</t>
  </si>
  <si>
    <t>SANTA CARMEM</t>
  </si>
  <si>
    <t>OZORIO DA LUZ DINIZ E OUTROS FAZENDA SANTA TEREZA</t>
  </si>
  <si>
    <t>OZORIO DA LUZ DINIZ FAZENDA ADAMANTINA</t>
  </si>
  <si>
    <t>COCAMAR COOPERATIVA AGROINDUSTRIAL</t>
  </si>
  <si>
    <t>CAMPOS DE JULIO</t>
  </si>
  <si>
    <t>PEABIRU</t>
  </si>
  <si>
    <t>NIQUELANDIA</t>
  </si>
  <si>
    <t>NSDM COMERCIO E INSUMOS AGRICOLAS LTDA</t>
  </si>
  <si>
    <t>Dias atraso</t>
  </si>
  <si>
    <t>TERRA FORTE SERVICOS LTDA GRUPO TERRA FORTE</t>
  </si>
  <si>
    <t>ROGERIO LUIS HOFFMMANN FAZENDA CRIATIVA</t>
  </si>
  <si>
    <t>JOAO ANTONIO FRANCIOSI FAZENDA SANTO ANTONIO I</t>
  </si>
  <si>
    <t>UBIRATAN FRANCISCO FRANCIOSI FAZ SANTANA I</t>
  </si>
  <si>
    <t>JOAO ANTONIO FRANCIOSI FAZENDA CONFIANCA</t>
  </si>
  <si>
    <t>Dentro do Prazo</t>
  </si>
  <si>
    <t>OZORIO DA LUZ DINIZ</t>
  </si>
  <si>
    <t>VALDEMAR OSVALDO GONCALVES FAZ CACHOEIRA DO MONTIVIDIU MONTE</t>
  </si>
  <si>
    <t>VIRGINIA BARCELOS VELOSO</t>
  </si>
  <si>
    <t>SANTA CRUZ DO SUL</t>
  </si>
  <si>
    <t>ANA CRISTINA FREITAS RUST ANA CRISTINA FREITAS RUST</t>
  </si>
  <si>
    <t>RUDIMAR BORGHETTI</t>
  </si>
  <si>
    <t>ALVORADA</t>
  </si>
  <si>
    <t>PIOTRE LAGINSKI FAZ SERRA GRANDE I</t>
  </si>
  <si>
    <t>EDSON CORRAL BORILLE FAZ AGUA MANSA RIO DOCE</t>
  </si>
  <si>
    <t>AG na Bravo</t>
  </si>
  <si>
    <t>DELOCI RAGAGNIN FAZENDA CEREAL OURO</t>
  </si>
  <si>
    <t>CELSO WERNER</t>
  </si>
  <si>
    <t>SLC AGRICOLA S.A. FAZENDA PLANESTE</t>
  </si>
  <si>
    <t>HELIO FERREIRA LIMA FAZ SANTA BARBARA</t>
  </si>
  <si>
    <t>SLC AGRICOLA S A</t>
  </si>
  <si>
    <t>AGENDADO</t>
  </si>
  <si>
    <t>Atraso na descarga anterior outras empresas</t>
  </si>
  <si>
    <t>NO PRAZO</t>
  </si>
  <si>
    <t>FORA DO PRAZO</t>
  </si>
  <si>
    <t>THAIS MICHELE GULART E OUTRAS</t>
  </si>
  <si>
    <t>GUINORVAN FERREIRA BUENO</t>
  </si>
  <si>
    <t>JOANES HERMANUS VAN VLIET</t>
  </si>
  <si>
    <t>DANIEL KONAGESKI FAZENDA SAGRADA FAMILIA</t>
  </si>
  <si>
    <t>FERNANDO ALVES PEREIRA</t>
  </si>
  <si>
    <t>INDIANA AGROP LTDA</t>
  </si>
  <si>
    <t>SUZANE MARI PIANA</t>
  </si>
  <si>
    <t>Atraso Operacional</t>
  </si>
  <si>
    <t>BMJ COMERCIO DE PRODUTOS AGRICOLAS LTDA</t>
  </si>
  <si>
    <t>CARLOS ALBERTO POLATO</t>
  </si>
  <si>
    <t>CARLOS ALBERTO POLATO E OUTRO</t>
  </si>
  <si>
    <t>FOB</t>
  </si>
  <si>
    <t>VIRADOURO</t>
  </si>
  <si>
    <t>ATTO AGRICOLA LTDA</t>
  </si>
  <si>
    <t>CIRO PROCOPIO JUNIOR</t>
  </si>
  <si>
    <t>SUCUPIRA</t>
  </si>
  <si>
    <t>FABRICIO LORITE DE ALMEIDA CLARO E OUTROS</t>
  </si>
  <si>
    <t>LUFT LOGISTICS LTDA</t>
  </si>
  <si>
    <t>CURRAIS</t>
  </si>
  <si>
    <t>MAURO CELIO DE ANDRADE FAZ PINDAIBAS BOA ESPERANCA</t>
  </si>
  <si>
    <t>JOAO JOSE CARASSATO</t>
  </si>
  <si>
    <t>MICHELIN COMÉRCIO E REPRESENTAÇÕES DE PRODUTOS AGROPECUARIOS LTDA</t>
  </si>
  <si>
    <t>GERALDO MENDONCA CRUVINEL FAZENDA ESTREITO E PONTE DE PEDRAS</t>
  </si>
  <si>
    <t>MWB0</t>
  </si>
  <si>
    <t>DC Querencia CP</t>
  </si>
  <si>
    <t>PABLO SILVA LIMA FAZ CABELEIRA BAUZINHO</t>
  </si>
  <si>
    <t>JOAO MANOEL MESQUITA COUTO FAZ RIOVERDINHO BARRA GRANDE</t>
  </si>
  <si>
    <t>CIMOAGRO COM REPR AGROP LTDA CIMOAGRO-COM E REPRES AGROPEC LTDA</t>
  </si>
  <si>
    <t>MACLEITON PRIESTER</t>
  </si>
  <si>
    <t>AFB AGROP FAZ BRASIL LTDA</t>
  </si>
  <si>
    <t>NOVA XAVANTINA</t>
  </si>
  <si>
    <t>JOSE IZIDORO CORSO JOSE IZIDORO CORSO E OUTRO</t>
  </si>
  <si>
    <t>JOSE IZIDORO CORSO OUTRO JOSE IZIDORO CORSO E OUTROS</t>
  </si>
  <si>
    <t>PAULO DALTO NETO</t>
  </si>
  <si>
    <t>SEBASTIÃO LEAL</t>
  </si>
  <si>
    <t>BARRA DO GARÇAS</t>
  </si>
  <si>
    <t>AFB AGROPECUARIA FAZENDA BRASIL LTDA</t>
  </si>
  <si>
    <t>ACREUNA</t>
  </si>
  <si>
    <t>SIQUEIRA, NOGUEIRA &amp; SILVA - COMERC IO E REPRESENTACAO DE PRODUTOS AGRI</t>
  </si>
  <si>
    <t>LENCOIS PAULISTA</t>
  </si>
  <si>
    <t>JURANDIR OSVALDO GONCALVES</t>
  </si>
  <si>
    <t>CLAUDIO JOSE RAVANINI E OUTROS</t>
  </si>
  <si>
    <t>MONTE ALEGRE DE MINAS</t>
  </si>
  <si>
    <t>CONNTACTA AGRONEGOCIOS LTDA CONNTACTA AGRONEGOCIOS</t>
  </si>
  <si>
    <t>SANTO ANTÔNIO DO LESTE</t>
  </si>
  <si>
    <t>CAMPO ALEGRE DE GOIAS</t>
  </si>
  <si>
    <t>CARLOS ALBERTO MORESCO</t>
  </si>
  <si>
    <t>DAVINO GALLO E OUTROS</t>
  </si>
  <si>
    <t>PAULO SERGIO FRANZ FAZ ENTRE RIOS</t>
  </si>
  <si>
    <t>FERNANDO PRANTE E OUTROS</t>
  </si>
  <si>
    <t>RALF KARLY</t>
  </si>
  <si>
    <t>PRATA</t>
  </si>
  <si>
    <t>SILVIO DE CASTRO CUNHA NETO FAZENDA JUANITA</t>
  </si>
  <si>
    <t>CASA DA LAVOURA COM PROD AGRICOLAS LTDA</t>
  </si>
  <si>
    <t>LISANDRA ZAMBONI</t>
  </si>
  <si>
    <t>LUCIANO ALMEIDA DA SILVA FAZ VARJAO DEN CORREGO</t>
  </si>
  <si>
    <t>HORTSOY COM REPR LTDA</t>
  </si>
  <si>
    <t>ARAXÁ</t>
  </si>
  <si>
    <t>IVANOR JOSE GUERRA</t>
  </si>
  <si>
    <t>SANTA QUITERIA DO MARANHAO</t>
  </si>
  <si>
    <t>S EPP AGRICOLA LTDA FAZENDA GALILEIA II</t>
  </si>
  <si>
    <t>ALMAS</t>
  </si>
  <si>
    <t>NOVA MARINGA</t>
  </si>
  <si>
    <t>SERGIO AZEVEDO INTROVINI E OUTROS</t>
  </si>
  <si>
    <t>IBIÁ</t>
  </si>
  <si>
    <t>RAFAEL TOLEDO DE MORAES ANTONIOLLI</t>
  </si>
  <si>
    <t>CIRLEI ANA FAVARETTO SMANIOTTO E OUTROS</t>
  </si>
  <si>
    <t>MOISES PATRICIO FAZENDA NOVA ERA</t>
  </si>
  <si>
    <t>AGROPECUARIA CRESTANI LTDA</t>
  </si>
  <si>
    <t>NERI JOSE CHIARELLO E OUTROS FAZ 220 NERI JOSE CHIARELLO E</t>
  </si>
  <si>
    <t>BOA VENTURA DE SÃO ROQUE</t>
  </si>
  <si>
    <t>SONIA LEIDA PEREIRA RESENDE E OUTROS</t>
  </si>
  <si>
    <t>BRASILAGRO - COMPANHIA BRASILEIRA DE PROPRIEDADES AGRICOLAS</t>
  </si>
  <si>
    <t>JOAO ANTONIO FRANCIOSI FAZENDA SANTA ISABEL I</t>
  </si>
  <si>
    <t>VALE DO VERDE EMPREENDIMENTOS AGRIC OLAS LTDA</t>
  </si>
  <si>
    <t>COCARI - COOPERATIVA AGROPECUARIA E  INDUSTRIAL</t>
  </si>
  <si>
    <t>MANDAGUARI</t>
  </si>
  <si>
    <t>AGROPECUARIA AGUA AZUL LTDA</t>
  </si>
  <si>
    <t>BOM JESUS AGROP LTDA EM RECUPERACAO JUDICIAL</t>
  </si>
  <si>
    <t>BOM JESUS AGROPECUARIA LTDA EM RECUPERACAO JUDICIAL</t>
  </si>
  <si>
    <t>COOPERATIVA TRITICOLA SARANDI LTDA</t>
  </si>
  <si>
    <t>ALLIANCE ONE BR EXPO TABACOS LTDA</t>
  </si>
  <si>
    <t>ARARANGUÁ</t>
  </si>
  <si>
    <t>Atraso na descarga vigente / anterior Bayer</t>
  </si>
  <si>
    <t>Agendado</t>
  </si>
  <si>
    <t>Lei do motorista</t>
  </si>
  <si>
    <t>Atraso operacional</t>
  </si>
  <si>
    <t>NF sem transporte (AG)</t>
  </si>
  <si>
    <t>S EPP AGRICOLA LTDA FAZENDA GALILEIA I</t>
  </si>
  <si>
    <t>LASARO ANTONIO ALMEIDA FAZENDA CAMARAO</t>
  </si>
  <si>
    <t>JORGE BACHA BUSTAMANTE OUTRO</t>
  </si>
  <si>
    <t>KLEVERSON SCHEFFER E OUTRO</t>
  </si>
  <si>
    <t>NOVA AMERICA AGR LTDA NOVA AMERICA AGR</t>
  </si>
  <si>
    <t>TARUMA</t>
  </si>
  <si>
    <t>PHILIP MORRIS BRASIL IND E COM LTDA</t>
  </si>
  <si>
    <t>RIO AZUL</t>
  </si>
  <si>
    <t>ALLIANCE ONE BRASIL EXPORTADORA DE TABACOS LTDA</t>
  </si>
  <si>
    <t>HILARIO SCHULZ</t>
  </si>
  <si>
    <t>PARALELO OITO AGROPECUARIA LTDA.</t>
  </si>
  <si>
    <t>CIRINEU DE AGUIAR E OUTRO FAZENDA XINGU</t>
  </si>
  <si>
    <t>GIRASSOL AGRICOLA LTDA FAZENDA ATUAL</t>
  </si>
  <si>
    <t>Aguardando agendamento</t>
  </si>
  <si>
    <t>UNIVERSAL LEAF TABACOS LTDA</t>
  </si>
  <si>
    <t>COPERAGUAS COOPERATIVA AGROINDUSTRI AL</t>
  </si>
  <si>
    <t>LAVOURA E PECUARIA IGARASHI LTDA EM RECUPERACAO JUDICIAL</t>
  </si>
  <si>
    <t>FRANCISCO DE PAULA ASSIS RIBEIRO FILHO E OUTROS</t>
  </si>
  <si>
    <t>AGRONORTE PRODUTOS AGROPECUARIOS LTDA</t>
  </si>
  <si>
    <t>CARLOS FREITAS DE PAULA FAZ BOA ESPERANCA I</t>
  </si>
  <si>
    <t>Veículo chegou na data limite</t>
  </si>
  <si>
    <t>RAIZEN ENERGIA SA FAZ STO ANTONIO DO RIO DOCE</t>
  </si>
  <si>
    <t>CIRINEU DE AGUIAR FAZENDA ESTRELA DALVA</t>
  </si>
  <si>
    <t>MARCO ANTONIO MAURICIO</t>
  </si>
  <si>
    <t>COOPERATIVA DE AGRONEGOCIOS DE SAO GABRIEL DO OESTE MS</t>
  </si>
  <si>
    <t>Frete dedicado</t>
  </si>
  <si>
    <t>Previsão/Data de entrega</t>
  </si>
  <si>
    <t>BOM FUTURO AGR LTDA FAZENDA FILADELFIA</t>
  </si>
  <si>
    <t>PHILIP MORRIS BRASIL IND E COM COMERCIO LTDA</t>
  </si>
  <si>
    <t>ALUISIO DE AGUIAR FAZENDA PORTO FELIZ</t>
  </si>
  <si>
    <t>JOANILDO OLIVEIRA FAZENDA PRIMAVERA</t>
  </si>
  <si>
    <t>CIMOAGRO COM E E REPRES AGROPECUARIA LTDA</t>
  </si>
  <si>
    <t>AGROPECUARIA LAVORO LTDA AGROPECUARIA LAVORO</t>
  </si>
  <si>
    <t>GEMIRO CARAFINI</t>
  </si>
  <si>
    <t>VENAGRO LINHARES LTDA</t>
  </si>
  <si>
    <t>CLODOVEU FRANCIOSI E OUTROS FAZ CEU AZUL</t>
  </si>
  <si>
    <t>Devido ao alto fluxo impactou o SLA</t>
  </si>
  <si>
    <t>JOSE ABILIO JUNGES FAZENDA JUNGES</t>
  </si>
  <si>
    <t>RICARDO HIDECAZU UEMURA FAZENDA TUPI IV</t>
  </si>
  <si>
    <t>MARCELO CARASSA</t>
  </si>
  <si>
    <t>DIANOPOLIS</t>
  </si>
  <si>
    <t>*</t>
  </si>
  <si>
    <t>FERNANDO VIEIRA PERES</t>
  </si>
  <si>
    <t>OSCAR LUIZ CERVI</t>
  </si>
  <si>
    <t>COXIM</t>
  </si>
  <si>
    <t>GARCA</t>
  </si>
  <si>
    <t>GROWER PESQUISA E EXPERIMENTACAO AGRICOLA LTDA</t>
  </si>
  <si>
    <t>AGROP ITAQUERE DO ARAGUAIA LTDA FAZ PIRAGUASSU</t>
  </si>
  <si>
    <t>REGIS FRANCISCO CEOLIN</t>
  </si>
  <si>
    <t>JOSE ZENDIRO MIADA FAZ SAO JOSE</t>
  </si>
  <si>
    <t>KARIN KRAUSE BONETI</t>
  </si>
  <si>
    <t>OSMAR MARTIGNAGO JUNIOR E CAROLYNE M PRIETO</t>
  </si>
  <si>
    <t>AMILTON PEDRO CAMBREA.</t>
  </si>
  <si>
    <t>OSMAR MARTIGNAGO E VALENTIN MARTIGNAGO</t>
  </si>
  <si>
    <t>EDUARDO RISSATE BORGES</t>
  </si>
  <si>
    <t>RIO DO COCO AGROPECUARIA LTDA</t>
  </si>
  <si>
    <t>SITIO NOVO</t>
  </si>
  <si>
    <t>LUIZ SIMIAO AMARAL LOUREIRO</t>
  </si>
  <si>
    <t>JOSE ALTAIR LAZAROTTO FAZ SOSSEGO</t>
  </si>
  <si>
    <t>GELCI ZANCANARO</t>
  </si>
  <si>
    <t>HUGO DE OLIVEIRA BARBOSA</t>
  </si>
  <si>
    <t>LUIZA DA ROCHA TEIXEIRA NEVES</t>
  </si>
  <si>
    <t>MILTON CESAR ZANCANARO FAZ SÃO MIGUEL</t>
  </si>
  <si>
    <t>ADEMIR SCHMITT</t>
  </si>
  <si>
    <t>SAMUEL MAGGI LOCKS FAZENDA SIRIEMA</t>
  </si>
  <si>
    <t>AGROPECUARIA SM3 LTDA</t>
  </si>
  <si>
    <t>FLAVIO AUGUSTO PILAU</t>
  </si>
  <si>
    <t>JEFERSON LUIZ ZEPPONE</t>
  </si>
  <si>
    <t>AGROP TRES ESTRELAS LTDA AGROP TRES ESTRELAS LTDA</t>
  </si>
  <si>
    <t>DMO AGRICOLA LTDA</t>
  </si>
  <si>
    <t>JOSE CARLOS LEAO FAZ PINDAIBAS MONTE ALEGRE</t>
  </si>
  <si>
    <t>BOM FUTURO AGR LTDA SANTA LUZIA</t>
  </si>
  <si>
    <t>BOM FUTURO AGRICOLA LTDA</t>
  </si>
  <si>
    <t>DIRCEU JOSE RAGAGNIN E OUTROS</t>
  </si>
  <si>
    <t>BOM FUTURO AGR LTDA FAZENDA MALU</t>
  </si>
  <si>
    <t>COOPERATIVA REGIONAL DE CAFEICULTORES EM GUAXUPE LTDA</t>
  </si>
  <si>
    <t>ROSIMERY TEREZINHA MIRANDA FAZENDA SANTA EMILIA</t>
  </si>
  <si>
    <t>DANILO AIMI</t>
  </si>
  <si>
    <t>IRENEU RENATO DA SILVEIRA</t>
  </si>
  <si>
    <t>VALDIR ROQUE JACOBOWSKI E OUTROS</t>
  </si>
  <si>
    <t>USINA STA ADELIA S/A</t>
  </si>
  <si>
    <t>PAULO KEIJI MATSUMOTO FAZ MIDA</t>
  </si>
  <si>
    <t>ACERO AGRONEGOCIOS LTDA</t>
  </si>
  <si>
    <t>PORTEIRAO</t>
  </si>
  <si>
    <t>RODRIGO MOLLER E OUTRA</t>
  </si>
  <si>
    <t>JALMAR VARGAS</t>
  </si>
  <si>
    <t>PITANGA</t>
  </si>
  <si>
    <t>MANOEL RIBAS</t>
  </si>
  <si>
    <t>COOPERATIVA REGIONAL AGROPECUARIA VALE DO ITAJAI - CRAVIL</t>
  </si>
  <si>
    <t>NF NÃO LOCALIZADA</t>
  </si>
  <si>
    <t>DARIO LUIZ TURRA</t>
  </si>
  <si>
    <t>LOILA FERREIRA DE ALMEIDA MORAES</t>
  </si>
  <si>
    <t>ISRAELANDIA</t>
  </si>
  <si>
    <t>DARSI FRITZEN &amp; OUTROS FAZENDA RODA DE FERRO</t>
  </si>
  <si>
    <t>GILBUES</t>
  </si>
  <si>
    <t>GURINHATÃ</t>
  </si>
  <si>
    <t>MODULO CHAPADA INSUMOS AGROPECUARIO S LTDA</t>
  </si>
  <si>
    <t>BONITO</t>
  </si>
  <si>
    <t>MILTON BAZILA FAZ CATARINENSE</t>
  </si>
  <si>
    <t>JOÃO DOS SANTOS CANCIANO FAZENDA BOM JESUS</t>
  </si>
  <si>
    <t>JULIANO BISCO PANICE</t>
  </si>
  <si>
    <t>SIDNEI PAULO PIOVESAN</t>
  </si>
  <si>
    <t>COOPERATIVA TRITICOLA TAPEREN LTDA</t>
  </si>
  <si>
    <t>TAPERA</t>
  </si>
  <si>
    <t>JAIME COELHO</t>
  </si>
  <si>
    <t>MARCOS ANTONIO BUSATO FAZ RIO BRILHANTE</t>
  </si>
  <si>
    <t>FAZENDAS BIANCON LTDA</t>
  </si>
  <si>
    <t>CAIO CEZAR DIAS FAZENDA CRUZEIRO DO SUL II</t>
  </si>
  <si>
    <t>BRASILANDIA DO TOCANTINS</t>
  </si>
  <si>
    <t>SIDNEY LUIZ DE MATIAS HAAS</t>
  </si>
  <si>
    <t>STELIO DARCI CERQUEIRA DE ALBUQUERQUE</t>
  </si>
  <si>
    <t>PAULO ALMEIDA SCHMIDT FAZENDA DAS ORQUIDEAS</t>
  </si>
  <si>
    <t>MARIANE PEREIRA DIAS LEAO FAZENDA CRUZEIRO DO SUL III</t>
  </si>
  <si>
    <t>TUPIRATINS</t>
  </si>
  <si>
    <t>PLANTEC AGR COM E REPR EIRELI PLANTEC AGR</t>
  </si>
  <si>
    <t>RICARDO BRIZOT NICARETTA FAZENDA MONTE CRISTO</t>
  </si>
  <si>
    <t>PAULO CEZAR DIAS</t>
  </si>
  <si>
    <t>PAULO CEZAR DIAS FAZENDA PONTAL</t>
  </si>
  <si>
    <t>LUIZ CARLOS JUNQUEIRA DE CARVALHO FILHO</t>
  </si>
  <si>
    <t>DARSI FRITZEN &amp; OUTROS FAZENDA AMERICA</t>
  </si>
  <si>
    <t>PLANALTINA</t>
  </si>
  <si>
    <t>MANUEL LOPES DE CAMPOS NETO E OUTRA</t>
  </si>
  <si>
    <t>SERGIO MARCOS LERMEN FAZ QUERENCIA DO VELHO</t>
  </si>
  <si>
    <t>S EPP AGRICOLA LTDA FAZENDA CANAA</t>
  </si>
  <si>
    <t>DIRCEU MONTANI FAZ STA MARIA</t>
  </si>
  <si>
    <t>JOSE CARLOS DOLPHINE OUTRO JOSE CARLOS DOLPHINE OUTRO</t>
  </si>
  <si>
    <t>ERIKA HILDEGARD DUCH ILLICH FAZ ESTIVA</t>
  </si>
  <si>
    <t>DU GREGORIO AGROPECUARIA LTDA</t>
  </si>
  <si>
    <t>RONALDO VENCESLAU CUNHA OUTROS</t>
  </si>
  <si>
    <t>ANTONIO RONALDO RODRIGUES DA CUNHA FAZENDA TRIANGULO</t>
  </si>
  <si>
    <t>RONALDO VENCESLAU ROD CUNHA OUTROS</t>
  </si>
  <si>
    <t>Veículo aguardando descarga</t>
  </si>
  <si>
    <t>LUCAS RAFFAELLI LOCKS E OUTROS FAZ LOCKS</t>
  </si>
  <si>
    <t>GILMAR NOGUEIRA SCHEFFER FAZ TOLEDO</t>
  </si>
  <si>
    <t>ERIKA HILDEGARD DUCH ILLICH FAZ PIONEIRA</t>
  </si>
  <si>
    <t>BARTIRA AGROPECUARIA S/A</t>
  </si>
  <si>
    <t>MARCO AURELIO DE CARVALHO RIBEIRO</t>
  </si>
  <si>
    <t>MATEUS CROZARIOL MANETA</t>
  </si>
  <si>
    <t>Perdizes</t>
  </si>
  <si>
    <t>SIDNEI ELVIS WILLMS FAZENDA TRADICAO VI</t>
  </si>
  <si>
    <t>VERDELOG LOGIST TRANS S/A</t>
  </si>
  <si>
    <t>GABRIEL GUIZZO E OUTRO FAZ BOM JESUS</t>
  </si>
  <si>
    <t>ITANHANGÁ</t>
  </si>
  <si>
    <t>AURIO ROSSATO</t>
  </si>
  <si>
    <t>ALTAMIRA</t>
  </si>
  <si>
    <t>HAROLDO BARCELOS VELOSO FAZENDA SAO LOURENCO</t>
  </si>
  <si>
    <t>OSMAR AVELINO DOS SANTOS FAZ PRATINHA</t>
  </si>
  <si>
    <t>CAMBARA</t>
  </si>
  <si>
    <t>IBATIBA</t>
  </si>
  <si>
    <t>XANXERÊ</t>
  </si>
  <si>
    <t>Problemas mecânicos</t>
  </si>
  <si>
    <t>ELISVAN MOSCONI FAZENDA SANTA ROSA E GOIANA</t>
  </si>
  <si>
    <t>AGNALDO SOUSA RESENDE FAZ CONQUISTA</t>
  </si>
  <si>
    <t>COOPERATIVA DOS BATATICULTORES DA REGIAO DE VARGEM GRANDE DO SUL</t>
  </si>
  <si>
    <t>SÃO GONÇALO DO SAPUCAÍ</t>
  </si>
  <si>
    <t>TAQUARITUBA</t>
  </si>
  <si>
    <t>ITAPEVA</t>
  </si>
  <si>
    <t>ESTEIO RURAL LTDA.</t>
  </si>
  <si>
    <t>GEISA FERREIRA SOUSA CRUVINEL FAZENDA OURO VERDE</t>
  </si>
  <si>
    <t>MARCELÂNDIA</t>
  </si>
  <si>
    <t>PERCI HENRIQUE SMANIOTTO E OUTROS FAZENDA ESTRELA DO NORTE</t>
  </si>
  <si>
    <t>WILSON FRANCISCO ROTTA</t>
  </si>
  <si>
    <t>SYNAGRO COMERCIAL AGRICOLA S.A.</t>
  </si>
  <si>
    <t>PEROLANDIA</t>
  </si>
  <si>
    <t>AGROFARM - PRODUTOS AGROQUIMICOS LT DA</t>
  </si>
  <si>
    <t>ACAILANDIA</t>
  </si>
  <si>
    <t>CAPAL COOPERATIVA AGROINDUSTRIAL</t>
  </si>
  <si>
    <t>ITARARE</t>
  </si>
  <si>
    <t>JUAREZ AGOSTINHO FROHLICH</t>
  </si>
  <si>
    <t>DIRCEU DI DOMENICO</t>
  </si>
  <si>
    <t>DIRCEU DI DOMENICO FAZ DI DOMENICO 19</t>
  </si>
  <si>
    <t>JOAO VITOR DENARDIN</t>
  </si>
  <si>
    <t>SIDNEY HIDEO FUJIVARA</t>
  </si>
  <si>
    <t>EWALDO MENDES FAZ ESTRELA</t>
  </si>
  <si>
    <t>JOSE OSVALDO MENDES FAZ ESTRELA</t>
  </si>
  <si>
    <t>VINICIUS MUNARETTO NICOLI</t>
  </si>
  <si>
    <t>LEONARDO CARAFFINI FAZ FLOR DA MATA</t>
  </si>
  <si>
    <t>VERDELOG LOGIST TRANS SA</t>
  </si>
  <si>
    <t>JAMES MANFIO UITDEWILLIGEN</t>
  </si>
  <si>
    <t>AGROP LOCKS LTDA FAZ GLOBO</t>
  </si>
  <si>
    <t>ROSELY MARIA SCAPINELLO BROCH E OUTROS</t>
  </si>
  <si>
    <t>LUZ</t>
  </si>
  <si>
    <t>BOM FUTURO AGRICOLA LTDA PR TUPI BARAO</t>
  </si>
  <si>
    <t>PERCI HENRIQUE SMANIOTTO E OUTROS FAZENDA SAO JOSE</t>
  </si>
  <si>
    <t>DANIEL PINHEIRO BARRETO</t>
  </si>
  <si>
    <t>MARCIO LONGOBARDI BETT</t>
  </si>
  <si>
    <t>DOUGLAS MICHELS E OUTROS FAZENDA BELEZA E ALEGRIA</t>
  </si>
  <si>
    <t>COOPERATIVA REGIONAL AGROPECUARIA S UL CATARINENSE</t>
  </si>
  <si>
    <t>TURVO</t>
  </si>
  <si>
    <t>AGRICOLA WEHRMANN LTDA FAZENDA SANTA BARBARA</t>
  </si>
  <si>
    <t>GERSON BIANCON E OUTROS FAZENDA COLORADO</t>
  </si>
  <si>
    <t>ITAÚBA</t>
  </si>
  <si>
    <t>JOSE LAERTE CARDOSO GODOI FAZ REUNIDAS PAPAGAIO</t>
  </si>
  <si>
    <t>SITIO D'ABADIA</t>
  </si>
  <si>
    <t>OLI ANTONIO FIORESE</t>
  </si>
  <si>
    <t>VERDELOG ARMAZENS GERAIS LTDA VERDELOG ARMAZENS GERAIS</t>
  </si>
  <si>
    <t>CLAUDIO ALBERTO TOMM FAZ FAMILIAR GLEBA A</t>
  </si>
  <si>
    <t>Cliente fechado</t>
  </si>
  <si>
    <t>RUSSAS</t>
  </si>
  <si>
    <t>AGROMETA COMERCIO DE PRODUTOS AGRIC OLAS LTDA</t>
  </si>
  <si>
    <t>JARCEDI JOAO CEREZER</t>
  </si>
  <si>
    <t>EVERALDO BARBOZA PEREIRA FAZ BOA VISTA DA FELICIDADE</t>
  </si>
  <si>
    <t>VALDIR ROQUE JACOBOWSKI E OUTR</t>
  </si>
  <si>
    <t>NEURO MATTE FAZENDA PERDIZES</t>
  </si>
  <si>
    <t>SANTA RITA DO TOCANTINS</t>
  </si>
  <si>
    <t>EDUARDO BRUNO RAMPELOTTO GATTO FAZENDA CABECEIRA I</t>
  </si>
  <si>
    <t>SHUICHI HAYASHI FAZ AREIAO</t>
  </si>
  <si>
    <t>ARINOS</t>
  </si>
  <si>
    <t>JOVANI MINUZI CHACARA MINUZI</t>
  </si>
  <si>
    <t>LUIZ CARLOS FIGUEIREDO</t>
  </si>
  <si>
    <t>CHINA BRASIL TABACOS EXPORTADORA S.A</t>
  </si>
  <si>
    <t>GUILHERME ILLICH FAZ ESTIVA I II III IV</t>
  </si>
  <si>
    <t>ESWALTER ZANETTI JUNIOR E OUTROS FAZ BEIJA FLOR</t>
  </si>
  <si>
    <t>ARIOVALDO J CASTANHARO E OUTRO FAZ DALLAS</t>
  </si>
  <si>
    <t>COOPERATIVA AGROINDUSTRIAL ALFA COOPERALFA</t>
  </si>
  <si>
    <t>NONOAI</t>
  </si>
  <si>
    <t>CARLOPOLIS</t>
  </si>
  <si>
    <t>ROBERTO RAUPP LANG</t>
  </si>
  <si>
    <t>JOSE CARLOS PONTIERI</t>
  </si>
  <si>
    <t>MARILENE PERES VIEIRA FAZENDA ESTREITO PONTE PEDRAS</t>
  </si>
  <si>
    <t>GELSO CARAFFINI FAZ COQUEIROS</t>
  </si>
  <si>
    <t>BRUNO SERGIO ZANUZZI BRUNO SERGIO ZANUZZI</t>
  </si>
  <si>
    <t>ERLI AIMI FAZENDA SANTA FÉ</t>
  </si>
  <si>
    <t>ERLI AIMI</t>
  </si>
  <si>
    <t>CELSO FRIES</t>
  </si>
  <si>
    <t>FABRICIO FRIES</t>
  </si>
  <si>
    <t>DIOGENES FRIES</t>
  </si>
  <si>
    <t>UTC BRASIL INDL E COM DE TABACO LTDA</t>
  </si>
  <si>
    <t>VENANCIO AIRES</t>
  </si>
  <si>
    <t>COOPERATIVA TRITICOLA REGIONAL SAOL UIZENSE LTDA</t>
  </si>
  <si>
    <t>RAFAEL BORTOLI E OUTRAS</t>
  </si>
  <si>
    <t>JOSE LUIS DE MORAES CREVELARO FAZENDA ESTRELA</t>
  </si>
  <si>
    <t>JOVENEI LUIS SPERLUK</t>
  </si>
  <si>
    <t>JAMILE GOELLNER ZAMBARDINO</t>
  </si>
  <si>
    <t>GEORGE LONGO FAZENDA TRIFLORA</t>
  </si>
  <si>
    <t>RONALDO VENCESLAU RODRIGUES CUNHA</t>
  </si>
  <si>
    <t>APOIO DIST AGR LTDA</t>
  </si>
  <si>
    <t>MARATAIZES</t>
  </si>
  <si>
    <t>APOIO DISTRIBUIDORA AGRICOLA LTDA</t>
  </si>
  <si>
    <t>CAMPOS DOS GOYTACAZES</t>
  </si>
  <si>
    <t>APOIO DIST AGR LTDA APOIO DIST AGR LTDA</t>
  </si>
  <si>
    <t>SÃO FRANCISCO DE ITABAPOANA</t>
  </si>
  <si>
    <t>FABIO JOSE NICOLETTO E OUTROS</t>
  </si>
  <si>
    <t>SOUZA CRUZ SA</t>
  </si>
  <si>
    <t>RIO NEGRO</t>
  </si>
  <si>
    <t>NOVA ALVORADA DO SUL</t>
  </si>
  <si>
    <t>FAZ VEREDA GRANDE LTDA</t>
  </si>
  <si>
    <t>BARRACAO</t>
  </si>
  <si>
    <t>JUNQUEIROPOLIS</t>
  </si>
  <si>
    <t>ANDRE ANGELO BOTTAN</t>
  </si>
  <si>
    <t>VANIA M. AUGUSTIN KRELING OUTROS</t>
  </si>
  <si>
    <t>ARNALDO PANZA E OUTRO</t>
  </si>
  <si>
    <t>WALDECI BARGA ROSA WALDECI BARGA ROSA</t>
  </si>
  <si>
    <t>CHARLES ARLAN CRESTANI FAZ IDAUGUSTA</t>
  </si>
  <si>
    <t>ROGIS GIACOBBO</t>
  </si>
  <si>
    <t>OTAVIO SCHUHL E OUTRA</t>
  </si>
  <si>
    <t>RICARDO AFONSO SCHOLTEN FAZENDA SÃO JORGE</t>
  </si>
  <si>
    <t>ROBSON CARAFFINI FAZ CERVO E BOMFIM LD RAIOS DE SOL</t>
  </si>
  <si>
    <t>DIEGO LOBON JIMENEZ FILHO FAZ DIAMANTE II</t>
  </si>
  <si>
    <t>DIEGO LOBON JIMENEZ FAZ PINDAIBAS</t>
  </si>
  <si>
    <t>CHINA BRASIL TABACOS EXPORTADORA S.A.</t>
  </si>
  <si>
    <t>POUSO REDONDO</t>
  </si>
  <si>
    <t>PREMIUM TABACOS DO BRASIL S/A</t>
  </si>
  <si>
    <t>CHINA BRASIL TABACOS EXPORTADORA SA CHINA BRASIL TABACOS</t>
  </si>
  <si>
    <t>ALLIANCE ONE BRASIL EXPRA DE TABACOS LTDA</t>
  </si>
  <si>
    <t>CTA CONTINENTAL TOBACCOS ALLIANCE S/A</t>
  </si>
  <si>
    <t>NILSON ERWINO LOTTERMANN FAZ FAZ MATEIRA OU BAUZINHO</t>
  </si>
  <si>
    <t>EDRIANY MARTINS DA SILVA PERES FAZ PINDAIBA SAO SEBASTIAO</t>
  </si>
  <si>
    <t>CARLOS AUGUSTO MORAES PORFIRIO FAZENDA CACHOEIRA</t>
  </si>
  <si>
    <t>AGREX DO BRASIL LTDA.</t>
  </si>
  <si>
    <t>SLC AGRICOLA S.A. FAZENDA PLANESTE II</t>
  </si>
  <si>
    <t>AROLDO GUIZZO</t>
  </si>
  <si>
    <t>EDEZIO ANTONIO MINETTO FAZENDA PONTINHA</t>
  </si>
  <si>
    <t>COOPERATIVA AGRO PECUARIA DO VALE D O SAPUCAI LTDA</t>
  </si>
  <si>
    <t>COOPERATIVA AGROPECUARIA CAMPONOVEN SE</t>
  </si>
  <si>
    <t>EXP RBP</t>
  </si>
  <si>
    <t>aguardando descarga</t>
  </si>
  <si>
    <t>Demora na entrega anterior - chamado: 03067942</t>
  </si>
  <si>
    <t>Entrega agendada via portal Verde Log - 13/01/2025</t>
  </si>
  <si>
    <t>Aguardando descarga no cliente - chamado: 03067942</t>
  </si>
  <si>
    <t>Agendado 13/01 - Cliente não recebe em sextas feiras</t>
  </si>
  <si>
    <t>RE: AGENDAMENTO NF'S 18809/18810</t>
  </si>
  <si>
    <t>NAYARA MODOLON SCHEFFER LISBOA E OUTRO</t>
  </si>
  <si>
    <t>CHAPADA DOS GUIMARAES</t>
  </si>
  <si>
    <t>MILTON GARBUGIO FAZENDA PARANA</t>
  </si>
  <si>
    <t>FERRARI AGROPECUARIA S/A</t>
  </si>
  <si>
    <t>JOSÉ HOFFMANN E OUTROS</t>
  </si>
  <si>
    <t>CELSO DEDA E OUTROS</t>
  </si>
  <si>
    <t>HALISSON BITTENCOURT FERNANDES</t>
  </si>
  <si>
    <t>MARCELO RIBEIRO DE MENDONCA E OUTROS</t>
  </si>
  <si>
    <t>CASSIANO ESTEVES FERREIRA FAZENDA NOSSA SENHORA APARECIDA</t>
  </si>
  <si>
    <t>KLEVERSON SCHEFFER</t>
  </si>
  <si>
    <t>MARISTELA ROSA VALIM DE NORONHA FAZENDA SAO JOSE</t>
  </si>
  <si>
    <t>GEISA FERREIRA SOUSA CRUVINEL FAZENDA INVERNADA E RIO VERDE</t>
  </si>
  <si>
    <t>RICARDO HIDECAZU UEMURA RICARDO UEMURA</t>
  </si>
  <si>
    <t>INST GOIANO AGRICL-IGA</t>
  </si>
  <si>
    <t>VARRE-SAI</t>
  </si>
  <si>
    <t>ANTONIO TRENTO KIHARA SCHEFFER E OUTROS</t>
  </si>
  <si>
    <t>EBERSON GOLDONI</t>
  </si>
  <si>
    <t>PEDRO LUIS STUANI E OUTRO</t>
  </si>
  <si>
    <t>DIEGO FRANCA MENDES FAZENDA ESTREITO</t>
  </si>
  <si>
    <t>IVOLANDIA</t>
  </si>
  <si>
    <t>RENATA ALVES PEREIRA RIBEIRO</t>
  </si>
  <si>
    <t>GILVAN TOMASI FAZ RIOVERDINHO</t>
  </si>
  <si>
    <t>SANDRO DE OLIVEIRA JUNIOR FAZ MATRINCHA</t>
  </si>
  <si>
    <t>MARCEL CARLOS MARTELLI</t>
  </si>
  <si>
    <t>Campo Novo do Parecis</t>
  </si>
  <si>
    <t>ARI AUGUSTO SCHMIDT</t>
  </si>
  <si>
    <t>MARIA APARECIDA GOUVEIA BATISTA E OUTROS</t>
  </si>
  <si>
    <t>RIBEIRAO BRANCO</t>
  </si>
  <si>
    <t>CEZAR CASALI</t>
  </si>
  <si>
    <t>VALCIR SCARIOTE E OUTROS FAZENDA SAO VALENTIN</t>
  </si>
  <si>
    <t>DELCIO SASSERON JUNIOR E OUTRO</t>
  </si>
  <si>
    <t>LUCIANDRO BARBOSA FAZ SANTO ANTAO</t>
  </si>
  <si>
    <t>JTI PROCESSADORA DE TABACO BR LTDA</t>
  </si>
  <si>
    <t>SAO MATEUS DO SUL</t>
  </si>
  <si>
    <t>JOAO BOSCO ALTOE JUNIOR E OUTROS JOAO BOSCO ALTOE JUNIOR E OUTROS</t>
  </si>
  <si>
    <t>ALTO ALEGRE DOS PARECIS</t>
  </si>
  <si>
    <t>LUCIANO LAMAISON FERRAZ</t>
  </si>
  <si>
    <t>APRIGIO JARDA LIMA APRIGIO JARDA LIMA</t>
  </si>
  <si>
    <t>SONIA TEREZINHA LIMA SONIA TEREZINHA LIMA</t>
  </si>
  <si>
    <t>ORIZONA</t>
  </si>
  <si>
    <t>MARIO TANABE</t>
  </si>
  <si>
    <t>ADAIR ANTONIO BOLDRIN FAZ RIO DOCE AGUA MANSA</t>
  </si>
  <si>
    <t>DENISE CONCEICAO ZOTTIS BOSCOLI FAZENDA BRAGANCA</t>
  </si>
  <si>
    <t>COOP PL CANA OESTE ESTD S PAULO</t>
  </si>
  <si>
    <t>CULTIVAR AGRICOLA COMERCIO IMPORTACAO E EXPORTACAO SA</t>
  </si>
  <si>
    <t>AGRO NEGOCIO IRMAOS GOMES LTDA</t>
  </si>
  <si>
    <t>ITAOCARA</t>
  </si>
  <si>
    <t>SÉRGIO LUIS MATTEI E OUTROS FAZENDA MATTEI</t>
  </si>
  <si>
    <t>PEDRO MARCOS SPANHOL E OUTROS FAZENDA SPANHOL</t>
  </si>
  <si>
    <t>COOP REGL CAF GUAXUPE LTDA</t>
  </si>
  <si>
    <t>RIO PARANAÍBA</t>
  </si>
  <si>
    <t>MIRADOR</t>
  </si>
  <si>
    <t>GERALDO RIBEIRO DE MENDONCA JUNIOR E OUTROS</t>
  </si>
  <si>
    <t>ADRIANO MARCELO NORA</t>
  </si>
  <si>
    <t>NOVA MARILÂNDIA</t>
  </si>
  <si>
    <t>FABIO LUIS DOS SANTOS BOVI E OUTRO</t>
  </si>
  <si>
    <t>SAO CARLOS</t>
  </si>
  <si>
    <t>FILIAL BAU</t>
  </si>
  <si>
    <t>SEGUINDO FILIAL BAU</t>
  </si>
  <si>
    <t>Veiculo atolado - Chamado: 03073567</t>
  </si>
  <si>
    <t>Entrega agendada via portal Bravo Armazém - 09/01/2025</t>
  </si>
  <si>
    <t>Agendamento via portal Bravo Armazém dia 10/01/25</t>
  </si>
  <si>
    <t>Agendamento via portal Verde Log dia 14/01/25</t>
  </si>
  <si>
    <t>Em processo de emissão de cte</t>
  </si>
  <si>
    <t>RES: AGENDAMENTO NF 18728</t>
  </si>
  <si>
    <t>ELMIRO VIEIRA BORGES</t>
  </si>
  <si>
    <t>USINA ALTO ALEGRE S/A ACUCAR ALCOOL</t>
  </si>
  <si>
    <t>FLORESTOPOLIS</t>
  </si>
  <si>
    <t>FABRICIO ALVES BARBOSA FAZ ENGENHO BOM JARDIM</t>
  </si>
  <si>
    <t>SAO DOMINGOS DO AZEITAO</t>
  </si>
  <si>
    <t>DIONISIO JOAO ZANOTTO AGROPECUARIA REMANSO</t>
  </si>
  <si>
    <t>DIONISIO JOAO ZANOTTO</t>
  </si>
  <si>
    <t>VALMIR FORMAGIO</t>
  </si>
  <si>
    <t>ENGEAGRO AGROPECUARIA LTDA</t>
  </si>
  <si>
    <t>BEATRIZ COSTA FRANCO</t>
  </si>
  <si>
    <t>FARO CAPITAL COML AGR LTDA ME</t>
  </si>
  <si>
    <t>ROBERTO SESTARI</t>
  </si>
  <si>
    <t>SIVANILDO FERREIRA RODRIGUES</t>
  </si>
  <si>
    <t>ANDRE LUIS TACCA</t>
  </si>
  <si>
    <t>Tapurah</t>
  </si>
  <si>
    <t>EDSON ANTONIO TREBESCHI</t>
  </si>
  <si>
    <t>BOM JESUS AGROP LTDA</t>
  </si>
  <si>
    <t>MATIAS JOHANES HENRIQUE MICHELS</t>
  </si>
  <si>
    <t>ROMARIA</t>
  </si>
  <si>
    <t>CASSIANO ESTEVES FERREIRA</t>
  </si>
  <si>
    <t>REZENDE AGR LTDA REZENDE AGR LTDA</t>
  </si>
  <si>
    <t>RIO DE JANEIRO</t>
  </si>
  <si>
    <t>GFP AGRICOLA LTDA</t>
  </si>
  <si>
    <t>PIRAJUBA</t>
  </si>
  <si>
    <t>ITU AGRO LTDA</t>
  </si>
  <si>
    <t>AGROP CAVALCA MT LTDA</t>
  </si>
  <si>
    <t>CARLOS ANTONIO CASALI</t>
  </si>
  <si>
    <t>BATATAIS</t>
  </si>
  <si>
    <t>IPAUSSU</t>
  </si>
  <si>
    <t>S A USINA CORURIPE ACUCAR ALCOOL</t>
  </si>
  <si>
    <t>LUIZ FERNANDO GONCALVES E OUTRO(S)</t>
  </si>
  <si>
    <t>LUIZ FERNANDO GONCALVES</t>
  </si>
  <si>
    <t>SANTA FÉ DE MINAS</t>
  </si>
  <si>
    <t>PAULO RODRIGUES DA CUNHA FAZENDA SANTANA II</t>
  </si>
  <si>
    <t>MARCO ANTONIO SOARES DE ARAUJO</t>
  </si>
  <si>
    <t>CIRO PROCOPIO JUNIOR CONDOMINIO RURAL</t>
  </si>
  <si>
    <t>CLEITON GIACOMIN</t>
  </si>
  <si>
    <t>LORETO</t>
  </si>
  <si>
    <t>CAPAO DO LEAO</t>
  </si>
  <si>
    <t>IVO LUIZ RUARO</t>
  </si>
  <si>
    <t>ALTO GARCAS</t>
  </si>
  <si>
    <t>EVANDRO CARLOS DA SILVA CIRINO FAZ ESTRELA</t>
  </si>
  <si>
    <t>BOSSOROCA</t>
  </si>
  <si>
    <t>FABIO BORDIGNON</t>
  </si>
  <si>
    <t>ROGERIO TOBIAS DE ANDRADE</t>
  </si>
  <si>
    <t>SEMEAR COM REPR LTDA</t>
  </si>
  <si>
    <t>IMPERATRIZ</t>
  </si>
  <si>
    <t>HENRIQUE CENCI FAZ MATAO AREA B</t>
  </si>
  <si>
    <t>DALIRIO GROSS</t>
  </si>
  <si>
    <t>CARNEIRINHO</t>
  </si>
  <si>
    <t>HENRIQUE CENCI FAZ SUCUPIRA</t>
  </si>
  <si>
    <t>CACHOEIRA DO SUL</t>
  </si>
  <si>
    <t>GUSTAVO VIGANO PICCOLI FAZENDA SAO JOAO IV</t>
  </si>
  <si>
    <t>DELIR NADIN E OUTRO FAZ NADIN</t>
  </si>
  <si>
    <t>EMERSON STIPP</t>
  </si>
  <si>
    <t>DIRCEU LUIZ FLUMIAN FAZ GRANADA</t>
  </si>
  <si>
    <t>COAPA COOPERATIVA AGROINDUSTRIAL DO  TOCANTINS</t>
  </si>
  <si>
    <t>PEDRO AFONSO</t>
  </si>
  <si>
    <t>COOP DOS CAFEIC DE CAMPOS GERAIS E CAMPO DO MEIO LTDA</t>
  </si>
  <si>
    <t>CAMPOS GERAIS</t>
  </si>
  <si>
    <t>EXP VNA</t>
  </si>
  <si>
    <t>Devolução acordo comercial</t>
  </si>
  <si>
    <t>GUILHERME GALVANE BATISTA</t>
  </si>
  <si>
    <t>PORTO VELHO</t>
  </si>
  <si>
    <t>JEAN CARLO CARPENEDO FAZ SEAGRO AGRICOLA IV</t>
  </si>
  <si>
    <t>CLAUDIO DOMINGOS CESCA FAZENDA PARAISO</t>
  </si>
  <si>
    <t>ROBERTO VIANA DE ABREU FAZ SANTA RITA</t>
  </si>
  <si>
    <t>EMERSON BRINA FAZENDA FORMOSA</t>
  </si>
  <si>
    <t>JOAO FLAVIO LOPES</t>
  </si>
  <si>
    <t>SALTO DO CEU</t>
  </si>
  <si>
    <t>PEDRO BASSO</t>
  </si>
  <si>
    <t>MUITOS CAPOES</t>
  </si>
  <si>
    <t>NARCISO BARISON NETO</t>
  </si>
  <si>
    <t>JAMIL JOAO SAMARA</t>
  </si>
  <si>
    <t>PASTOS BONS</t>
  </si>
  <si>
    <t>FAZ REAL LTDA</t>
  </si>
  <si>
    <t>ARQUIMEDES PICOLOTTO</t>
  </si>
  <si>
    <t>RINCAO</t>
  </si>
  <si>
    <t>ANDERSSON MARIUSSI FAZENDA MARIUSSI</t>
  </si>
  <si>
    <t>NETOS AGROPECUARIA LTDA</t>
  </si>
  <si>
    <t>VISLEI DIORGINIS SERON E OUTROS FAZ PIRAMON</t>
  </si>
  <si>
    <t>JAIME DE OLIVEIRA LOGRADO</t>
  </si>
  <si>
    <t>O TELHAR AGROP LTDA FAZ INDEPENDENCIA</t>
  </si>
  <si>
    <t>O TELHAR AGROP LTDA FAZ LEONARDO</t>
  </si>
  <si>
    <t>RAFAEL ZAMBAN FAZ OESTE - PARTE 2-F</t>
  </si>
  <si>
    <t>FABIO PROCOPIO DE QUEIROZ FAZENDAS AGUAS CLARAS</t>
  </si>
  <si>
    <t>REONILDO DANIEL PRANTE E OUTRO</t>
  </si>
  <si>
    <t>Sorriso</t>
  </si>
  <si>
    <t>MAURO ALBERTO RIEDI</t>
  </si>
  <si>
    <t>COOPERATIVA CENTRAL DE CAFEICULTORES E AGROPECUARISTAS</t>
  </si>
  <si>
    <t>DANILO ZAGO ALMEIDA FAZ BOM JARDIM</t>
  </si>
  <si>
    <t>ITUMBIARA</t>
  </si>
  <si>
    <t>FERNANDO WENTZ CHACARA WENTZ</t>
  </si>
  <si>
    <t>JTI PROCESSADORA DE TABACO DO BRASIL LTDA</t>
  </si>
  <si>
    <t>GCS AGROP SA FAZ CELEIRO</t>
  </si>
  <si>
    <t>MAX PEREIRA BARBOSA</t>
  </si>
  <si>
    <t>PONTALINA</t>
  </si>
  <si>
    <t>IZAIR CARLOS DALPICIO IZAIR CARLOS DALPICIO</t>
  </si>
  <si>
    <t>FORTALEZA SANTA TERESINHA AGRICU LTURA E PECUARIA S.A.</t>
  </si>
  <si>
    <t>SÃO JOÃO DA PONTE</t>
  </si>
  <si>
    <t>JOAO CORNELIO HENRIQUE MICHELS</t>
  </si>
  <si>
    <t>JOAO CORNELIO HENRIQUE MICHELS FAZ POSSE OU PORCOS GLEBAS C E D</t>
  </si>
  <si>
    <t>ALTO PARAISO DE GOIAS</t>
  </si>
  <si>
    <t>CLAUDIO AMBROZETO FURLAN FAZ VALIOSA SANTO ONOFRE</t>
  </si>
  <si>
    <t>BRASILÂNDIA DE MINAS</t>
  </si>
  <si>
    <t>ALY GRAEBIN OLIVEIRA</t>
  </si>
  <si>
    <t>MILTON RESENDE OLIVEIRA</t>
  </si>
  <si>
    <t>JOAO CORNELIO HENRIQUE MICHELS FAZENDA VEREDA DOS BURITIS</t>
  </si>
  <si>
    <t>JOAO CORNELIO HENRIQUE MICHELS FAZENDA SAO JORGE</t>
  </si>
  <si>
    <t>RIO REAL</t>
  </si>
  <si>
    <t>COOPERATIVA DE AGRONEGOCIOS DO CERRADO BRASILEIRO LTDA. - COOPACER</t>
  </si>
  <si>
    <t xml:space="preserve">AGUARDANDO DESCARGA NO CLIENTE </t>
  </si>
  <si>
    <t>SLA CORRETO 17/01</t>
  </si>
  <si>
    <t>Agendado via e-mail com o cliente dia 16/01/25</t>
  </si>
  <si>
    <t>Entrega agendada via portal Bravo - 16/01/25</t>
  </si>
  <si>
    <t>Entrega agendado via e-mail com cliente - 16/01/25</t>
  </si>
  <si>
    <t>Entrega agendada via e-mail com cliente - 16/01/25</t>
  </si>
  <si>
    <t>Atraso na entrega anterior - chamado: 03087600</t>
  </si>
  <si>
    <t>Entrega agendado via portal Bravo - 16/01/25</t>
  </si>
  <si>
    <t>ANA LUCIA CORDESCHI DONEGA E OUTRO</t>
  </si>
  <si>
    <t>COMPANHIA SUL AMERICANA DE PECUARIA LTDA</t>
  </si>
  <si>
    <t>MATEUS PASSINATTO FAZ SANTA INES</t>
  </si>
  <si>
    <t>DIEGO CARAFFINI</t>
  </si>
  <si>
    <t>ETTORE FLAVIO RICARDI</t>
  </si>
  <si>
    <t>ITAPIRATINS</t>
  </si>
  <si>
    <t>MAURO YOSHITERU TAKAHASHI</t>
  </si>
  <si>
    <t>EDGAR VALENTIM RAGAGNIN</t>
  </si>
  <si>
    <t>MONTES CLAROS DE GOIAS</t>
  </si>
  <si>
    <t>BRUNO VILELA SANDOVAL MOREIRA FAZ PARAISO</t>
  </si>
  <si>
    <t>SERGIO ANTONIO MARCON</t>
  </si>
  <si>
    <t>MARILANDI ZANCANARO GALINA E OUTRO FAZENDA MARIA EIDE</t>
  </si>
  <si>
    <t>OLEVIO BRANCALIONE &amp; CIA LTDA</t>
  </si>
  <si>
    <t>VOLNEI COSTA BEBER</t>
  </si>
  <si>
    <t>JOSE CARLOS PEDRASSANI E OUTRO JOSE CARLOS PEDRASSANI E OUTRO</t>
  </si>
  <si>
    <t>AGROP LOCKS LTDA FAZ GUAPIRAMA</t>
  </si>
  <si>
    <t>JULIANA GOULART WILLIAMSON E OUTRAS</t>
  </si>
  <si>
    <t>OSNIVALDO CARRIEL CORDEIRO</t>
  </si>
  <si>
    <t>APIAI</t>
  </si>
  <si>
    <t>AGRESTE COTTON AGROP LTDA</t>
  </si>
  <si>
    <t>ANDRE APARECIDO CORADINI</t>
  </si>
  <si>
    <t>MAURO FERNANDO SCHAEDLER</t>
  </si>
  <si>
    <t>AGROPECUARIA SAO GABRIEL LTDA</t>
  </si>
  <si>
    <t>MARISE KAYOKO TAKAHASHI</t>
  </si>
  <si>
    <t>ADRIEL PASQUALLI</t>
  </si>
  <si>
    <t>BREJINHO DE NAZARE</t>
  </si>
  <si>
    <t>ESPERA FELIZ</t>
  </si>
  <si>
    <t>DECIO BRUXEL OUTROS FAZ CHUA</t>
  </si>
  <si>
    <t>SILVANDRO BARCHET FAZENDA SÃO DOMINGOS I</t>
  </si>
  <si>
    <t>PALMAS</t>
  </si>
  <si>
    <t>ADAIR ANTONIO BOLDRIN FAZENDA RIOVERDINHO ALVORADA</t>
  </si>
  <si>
    <t>CAMPOS ALTOS</t>
  </si>
  <si>
    <t>ERIC JAN ROORDA</t>
  </si>
  <si>
    <t>HEITOR MARTIN RICHTER JUNIOR</t>
  </si>
  <si>
    <t>TARSISSIO SCHNORR</t>
  </si>
  <si>
    <t>JEAN CESAR MOREIRA FERREIRA</t>
  </si>
  <si>
    <t>ARUANA</t>
  </si>
  <si>
    <t>BIOGENESE SEMENTES E NUTRICAO VEGET AL LTDA</t>
  </si>
  <si>
    <t>PHILIP MORRIS BRASIL IND E COM</t>
  </si>
  <si>
    <t>COOPERATIVA AGROPECUARIA TRADICAO</t>
  </si>
  <si>
    <t>O TELHAR AGROP LTDA O TELHAR AGROPECUARIA LTDA</t>
  </si>
  <si>
    <t>ADILSON JOSE REGNIER CASTRO</t>
  </si>
  <si>
    <t>ALEXANDRO PEREIRA OLIVEIRA</t>
  </si>
  <si>
    <t>SEBASTIAO CABRAL MOREIRA GUIMARAES</t>
  </si>
  <si>
    <t>BARRO ALTO</t>
  </si>
  <si>
    <t>SEBASTIAO GUIMARAES JUNIOR</t>
  </si>
  <si>
    <t>AGROPECUARIA ITAQUERE DO ARAGUAIA LTDA</t>
  </si>
  <si>
    <t>Cancelada</t>
  </si>
  <si>
    <t>Veiculo atolado aguardando guincho - Chamado: 03097043</t>
  </si>
  <si>
    <t>Entrega agendada via WhatsApp com o cliente - 21/01/25</t>
  </si>
  <si>
    <t>filial spa</t>
  </si>
  <si>
    <t>Atraso no início de viagem</t>
  </si>
  <si>
    <t xml:space="preserve">1683011/03090451 </t>
  </si>
  <si>
    <t>Demora descarga anterior</t>
  </si>
  <si>
    <t>03080677 </t>
  </si>
  <si>
    <t>Agendamento tardio  - Re: AGENDAMENTO NF 14199-26360-26359 - CTVA X BAYER X COCARI MANDAGUARI</t>
  </si>
  <si>
    <t>RES: **** URGENTE **** RES: RES: Previsão de entrega NF 19038-2  ALION 3.500 L Bebedouro</t>
  </si>
  <si>
    <t>RES: URGENTE!!!!!! RES: AGENDAMENTO NF 19084</t>
  </si>
  <si>
    <t>RES: Cancelar faturamento NF 000019253-2 - Cliente Fabio Bovi</t>
  </si>
  <si>
    <t>SAO JOAQUIM EMPREENDIMENTOS RURAIS LTDA</t>
  </si>
  <si>
    <t>IZABELE ANTUNES DE FIGUEIREDO</t>
  </si>
  <si>
    <t>ALTA FLORESTA</t>
  </si>
  <si>
    <t>MARLI MARIA CAMBRI E OUTROS FAZENDA SÃO LUIZ II</t>
  </si>
  <si>
    <t>AGROP STA MARIA AGR LTDA FAZ SANTA MARIA</t>
  </si>
  <si>
    <t>CALDAS NOVAS</t>
  </si>
  <si>
    <t>ORLANDO MARIA KOK FAZENDA BOM JARDIM</t>
  </si>
  <si>
    <t>ADAIR ANTONIO BOLDRIN</t>
  </si>
  <si>
    <t>BR PORTO AGRICOLA LTDA</t>
  </si>
  <si>
    <t>DANIEL RICARDO TEIXEIRA</t>
  </si>
  <si>
    <t>MARCOS ROGERIO BOSCHINI MARCOS ROGERIO BOSCHINI</t>
  </si>
  <si>
    <t>ALECIO BRUNETTA</t>
  </si>
  <si>
    <t>S EPP AGRICOLA LTDA FAZENDA PLANALTO</t>
  </si>
  <si>
    <t>MARVALDI GORGEN E OUTRO</t>
  </si>
  <si>
    <t>VENIR JOSE JUNGES</t>
  </si>
  <si>
    <t>ANDRE BONMANN FAZ AGROMANN</t>
  </si>
  <si>
    <t>JOSE ROBERTO SIQUEIRA TROVO</t>
  </si>
  <si>
    <t>SEMPRE AGTECH LTDA</t>
  </si>
  <si>
    <t>EUSTAQUIO DE RESENDE FAZ SANTA LUZIA</t>
  </si>
  <si>
    <t>CARLOS LUIZ CESCA FAZ PARAISO</t>
  </si>
  <si>
    <t>CLAUDEMIR RUIZ MARTINELLI E OUTRA</t>
  </si>
  <si>
    <t>IGOR GONCALVES CAMBREA FAZ S JERONIMO</t>
  </si>
  <si>
    <t>PALMELO</t>
  </si>
  <si>
    <t>DOUGLAS MICHELS FAZ ESPERANÇA</t>
  </si>
  <si>
    <t>NSS COMERCIO E REPRESENTACOES LTDA</t>
  </si>
  <si>
    <t>FELIPE ADROALDO RAMPELOTTO GATTO FAZ SANTA CARMEM II</t>
  </si>
  <si>
    <t>BEM BRASIL ALIMENTOS SA</t>
  </si>
  <si>
    <t>USINA CAETE S/A USINA CAETE S/A</t>
  </si>
  <si>
    <t>PAULICEIA</t>
  </si>
  <si>
    <t>CASSIO SITTA</t>
  </si>
  <si>
    <t>SUSANA RIBEIRO DE MENDONCA PIRES DE CAMPOS</t>
  </si>
  <si>
    <t>LISANGELA ZAMBONI LISANGELA ZAMBONI</t>
  </si>
  <si>
    <t>UILSIMAR DAGNONI GASPA E FILHAS</t>
  </si>
  <si>
    <t>PIVOT 30 INDUSTRIA DE VINHOS LTDA FAZENDA PROGRESSO LTDA</t>
  </si>
  <si>
    <t>AUGUSTO JOSE MONTANI</t>
  </si>
  <si>
    <t>RONAN FRANKEN BOLDRIN</t>
  </si>
  <si>
    <t>ITAPIRAPUA</t>
  </si>
  <si>
    <t>FERNANDO SHIGUERU OGAWA</t>
  </si>
  <si>
    <t>NOVA ROSALANDIA</t>
  </si>
  <si>
    <t>OLIVERIO ALVES MELO</t>
  </si>
  <si>
    <t>MAURO PINZETTA</t>
  </si>
  <si>
    <t>INEU ALBERTO SCHOENBERGER JUNIOR</t>
  </si>
  <si>
    <t>SAULO MACHADO CHAPADAO DA ESTIVA</t>
  </si>
  <si>
    <t>AVENOR MELO RODRIGUES</t>
  </si>
  <si>
    <t>MILTON AKIO IDE</t>
  </si>
  <si>
    <t>MARILENE DE CASTRO QUEIROZ</t>
  </si>
  <si>
    <t>AGROP ITAQUERE ARAGUAIA LTDA</t>
  </si>
  <si>
    <t>GILMAR DOMINGOS PASCOAL FAZ S CRISTOVAO</t>
  </si>
  <si>
    <t>MARCELO SOUZA DE BARROS</t>
  </si>
  <si>
    <t>COOPERATIVA AGROPECUARIA DO PLANALT O SERRANO COOPERPLAN</t>
  </si>
  <si>
    <t>LAGES</t>
  </si>
  <si>
    <t>WILSON BRENO ELGER</t>
  </si>
  <si>
    <t>THOMAS KUDIESS FAZENDA CRUZEIRO DO SUL</t>
  </si>
  <si>
    <t>JOHN KUDIESS FAZENDA BELA VISTA</t>
  </si>
  <si>
    <t>CAPAO DO CIPO</t>
  </si>
  <si>
    <t>SANTIAGO</t>
  </si>
  <si>
    <t>COOP AGRIC MISTA DE ADAMANTINA CAMDA</t>
  </si>
  <si>
    <t>PACAEMBU</t>
  </si>
  <si>
    <t>IRETAMA</t>
  </si>
  <si>
    <t>ENGENHEIRO BELTRAO</t>
  </si>
  <si>
    <t>RONCADOR</t>
  </si>
  <si>
    <t>BARBOSA FERRAZ</t>
  </si>
  <si>
    <t>QUINTA DO SOL</t>
  </si>
  <si>
    <t>MARCELO SOUZA DUARTE</t>
  </si>
  <si>
    <t>EXPEDIÇÃO VNA</t>
  </si>
  <si>
    <t xml:space="preserve">SLA INCORRETO </t>
  </si>
  <si>
    <t>03095212 </t>
  </si>
  <si>
    <t>Entrega agendada via portal Verde Log - 24/01/25</t>
  </si>
  <si>
    <t>Entrega agendada via whats com cliente - 24/01/25</t>
  </si>
  <si>
    <t>Entrega agendada via portal Verde Log - 23/01/25</t>
  </si>
  <si>
    <t>Entrega agendada via portal Bravo Armazém - 23/01/25</t>
  </si>
  <si>
    <t>Entrega agendada via e-mail com cliente - 23/01/25</t>
  </si>
  <si>
    <t>1689562 </t>
  </si>
  <si>
    <t>FRANCIS SANINI WEBER</t>
  </si>
  <si>
    <t>ATVOS BIOENERGIA BRENCO S.A.</t>
  </si>
  <si>
    <t>PRODUSOL AGRICOLA EXPORTADORA LTDA</t>
  </si>
  <si>
    <t>GUILHERME AUGUSTO AMBAR DO AMARAL FAZENDA TRES IRMAO</t>
  </si>
  <si>
    <t>LUIZ FERNANDO HOMEM DE CARVALHO E OUTROS</t>
  </si>
  <si>
    <t>JUSCIMEIRA</t>
  </si>
  <si>
    <t>SANTIEL ALVES VIEIRA NETO FAZ ESTREITO PONTE DE PEDRAS</t>
  </si>
  <si>
    <t>CANAPOLIS ACUCAR E ETANOL SA</t>
  </si>
  <si>
    <t>CANÁPOLIS</t>
  </si>
  <si>
    <t>JORGE BACHA BUSTAMANTE E OUTRO FAZ DONA INACIA</t>
  </si>
  <si>
    <t>JEFFERSON MOLON BENEDET</t>
  </si>
  <si>
    <t>SAO JOSE DOS AUSENTES</t>
  </si>
  <si>
    <t>VALDIR ZAGO FAZ BOM JARDIM</t>
  </si>
  <si>
    <t>ANTONIO PIMENTA MARTINS FAZ LIMADAN</t>
  </si>
  <si>
    <t>SANTA ROSA DO TOCANTINS</t>
  </si>
  <si>
    <t>AGROPECUARIA LOCKS LTDA</t>
  </si>
  <si>
    <t>MBB AGRO LTDA</t>
  </si>
  <si>
    <t>CLEZIO DANIEL GONCALVES FILHO FAZ RIO VERDINHO BARRA GRANDE</t>
  </si>
  <si>
    <t>STUHR AGROP LTDA</t>
  </si>
  <si>
    <t>SANTA MARIA DE JETIBA</t>
  </si>
  <si>
    <t>AGUA QUENTE SERRANA AGR LTDA</t>
  </si>
  <si>
    <t>SAPUCAIA</t>
  </si>
  <si>
    <t>NORTHON VIEIRA SILVA FAZ RETIRO</t>
  </si>
  <si>
    <t>RES: Cancelar NF/DT CP MWA5    [ ref:!00D610f8NS.!500UQ0McgEV:ref ]</t>
  </si>
  <si>
    <t>ADRIANO DE SOUZA CRUZ</t>
  </si>
  <si>
    <t>SERGIO BEAL FAZ TOLEDO</t>
  </si>
  <si>
    <t>REINALDO CAETANO SILVA FAZ PARAISO</t>
  </si>
  <si>
    <t>EVERALDO CASTELLI</t>
  </si>
  <si>
    <t>LIZARDA</t>
  </si>
  <si>
    <t>SANTO ANTONIO DA BARRA</t>
  </si>
  <si>
    <t>PALMITAL</t>
  </si>
  <si>
    <t>DEISE TASSIANA MARCHIORO PRATES</t>
  </si>
  <si>
    <t>ALEXANDRE RIZZI</t>
  </si>
  <si>
    <t>JOAO BEUTER JUNIOR</t>
  </si>
  <si>
    <t>ARIEDAM AGROP LTDA</t>
  </si>
  <si>
    <t>REGENERAÇÃO</t>
  </si>
  <si>
    <t>GUSTAVO ALVES VIEIRA FAZ ESTREITO PONTE DE PEDRAS</t>
  </si>
  <si>
    <t>BOA ESPERANCA</t>
  </si>
  <si>
    <t>IVAIPORA</t>
  </si>
  <si>
    <t>FENIX</t>
  </si>
  <si>
    <t>RESERVA</t>
  </si>
  <si>
    <t>ILDO JOSE KRUPP</t>
  </si>
  <si>
    <t>LUCAS PIMENTA AZEVEDO</t>
  </si>
  <si>
    <t>THIAGO LUIZ VALENTE TONIAZZO</t>
  </si>
  <si>
    <t>SERTANEJA</t>
  </si>
  <si>
    <t>FELIPE NEIS</t>
  </si>
  <si>
    <t>GUILHERME PINEZZI HONÓRIO FAZENDA NOVA CONQUISTA I</t>
  </si>
  <si>
    <t>SERRA NOVA DOURADA</t>
  </si>
  <si>
    <t>MAFRA AGRONEGOCIOS LTDA</t>
  </si>
  <si>
    <t>JOSE ALTAIR LAZAROTTO FAZ LAZAROTTO</t>
  </si>
  <si>
    <t>JULIANO CUNHA DE ASSUNÇÃO PINTO E OUTRO</t>
  </si>
  <si>
    <t>COOPERATIVA AGROINDUSTRIAL DE VARGI NHA LTDA</t>
  </si>
  <si>
    <t>VALE TIJUCO ACUCAR ALCOOL SA</t>
  </si>
  <si>
    <t>SOUZA CRUZ LTDA</t>
  </si>
  <si>
    <t>ADRIANO JUNGES FAZ. ARARA AZUL</t>
  </si>
  <si>
    <t>BRUNO LEONARDO POCAS FERNANDES</t>
  </si>
  <si>
    <t>CANISIO FROELICH</t>
  </si>
  <si>
    <t>General Carneiro</t>
  </si>
  <si>
    <t>NILVA THEREZINHA RANDON</t>
  </si>
  <si>
    <t>JURANDA</t>
  </si>
  <si>
    <t>ANTONIO CARLOS FERREIRA RHODEN</t>
  </si>
  <si>
    <t>RENE FERDINANDO DE GEUS</t>
  </si>
  <si>
    <t>ALEXANDRE MELO ALVES PEREIRA</t>
  </si>
  <si>
    <t>MARCIEL DOS SANTOS DE SA E OUTRO</t>
  </si>
  <si>
    <t>DORAIR ANDRE DOGNANI</t>
  </si>
  <si>
    <t>JOAO CARLOS VIAN FAZ RIO VERDINHO</t>
  </si>
  <si>
    <t>LUCIANE FRANCIO E OUTRA FAZ BARREIRO</t>
  </si>
  <si>
    <t>LUCIANE FRANCIO E OUTRA FAZ JABOTICABA</t>
  </si>
  <si>
    <t>FABIANO FERREIRA VASCONCELOS FAZ CANGUCU</t>
  </si>
  <si>
    <t>AGRO AVILA AGRICULTURA E PECUARIA LTDA</t>
  </si>
  <si>
    <t>JANDAIA</t>
  </si>
  <si>
    <t>MARLON FEDRIZZI</t>
  </si>
  <si>
    <t>Atraso na entrega anterior - Chamado: 03110200</t>
  </si>
  <si>
    <t>Entrega agendada via portal Bravo Armazém - 27/01/25</t>
  </si>
  <si>
    <t>Entrega agendada via portal Verde Log - 28/01/25</t>
  </si>
  <si>
    <t>Acompanha NF de conta e ordem</t>
  </si>
  <si>
    <t>NF 32884 - CT-e 117153</t>
  </si>
  <si>
    <t>Em processo de emissão CT-e</t>
  </si>
  <si>
    <t>03109941 </t>
  </si>
  <si>
    <t>Feriado municipal</t>
  </si>
  <si>
    <t>Cancelado</t>
  </si>
  <si>
    <t>Agendado via telefone</t>
  </si>
  <si>
    <t>AGUARDANDO O RETORNO DE RJA</t>
  </si>
  <si>
    <t>LEONARDO OLIVEIRA VIDIGAL</t>
  </si>
  <si>
    <t>S EPP AGRICOLA LTDA MANTO VERDE</t>
  </si>
  <si>
    <t>BRUNNA BARBOZA SOUZA PRADO FAZ AGROP ADELIO PRADO</t>
  </si>
  <si>
    <t>JOSE DIOGO LACERDA PARTATA</t>
  </si>
  <si>
    <t>GUSTAVO JAYME DE CASTRO RIBEIRO FAZENDA PAI JOAO II</t>
  </si>
  <si>
    <t>VILA PROPICIO</t>
  </si>
  <si>
    <t>VANIR POTRICH FAZ SAO JOAO BATISTA LUG BABILONIA</t>
  </si>
  <si>
    <t>LAURA PORTO DE DEUS VIEIRA BRANQUINHO</t>
  </si>
  <si>
    <t>JOSE RIBEIRO DE MENDONCA</t>
  </si>
  <si>
    <t>CAMBUHY AGR LTDA CAMBUHY AGRICOLA LTDA.</t>
  </si>
  <si>
    <t>MATAO</t>
  </si>
  <si>
    <t>GEISON SCARIOT</t>
  </si>
  <si>
    <t>FELIPE SANTOS SAITO FAZ PARAISO RIO PRETO</t>
  </si>
  <si>
    <t>MILTON GARBUGIO E OUTROS FAZENDA OLHO D</t>
  </si>
  <si>
    <t>NORMA TEREZINHA RAMPELOTTO GATTO</t>
  </si>
  <si>
    <t>ADALBERTO ROSSATTO RUBIN E OUTROS FAZ SAO MIGUEL</t>
  </si>
  <si>
    <t>LINDOMAR VIEIRA CRUVINEL FAZ MONTIVIDIU RANCHO VELHO</t>
  </si>
  <si>
    <t>DERMEVAL RODRIGUES CUNHA JUNIOR</t>
  </si>
  <si>
    <t>CSAP - COMPANHIA SUL AMERICANA DE PECUARIA S.A.</t>
  </si>
  <si>
    <t>PARECIS</t>
  </si>
  <si>
    <t>KARL EDUARD MILLA FAZ HORIZONTINA LESTE</t>
  </si>
  <si>
    <t>CAIO NOGUEIRA BATTISTETTI FAZENDA BOA SANTANA I E II</t>
  </si>
  <si>
    <t>MARCOS VINICIUS LIMA NASCIMENTO</t>
  </si>
  <si>
    <t>PAULO ANDREIS E OUTRO</t>
  </si>
  <si>
    <t>CARLOS IVAN MISSEL BIANCON E OUTROS</t>
  </si>
  <si>
    <t>EMERSON ZANCANARO E OUTROS</t>
  </si>
  <si>
    <t>AGROP FRANCISCUS LTDA</t>
  </si>
  <si>
    <t>ROGERIO ENGEL AGRONEGOCIO LTDA AGREN AGRONEGOCIO</t>
  </si>
  <si>
    <t>TRES DE MAIO</t>
  </si>
  <si>
    <t>LUIZ CARLOS BERGAMASCHI</t>
  </si>
  <si>
    <t>EDILAINE ASSIS NUNES FAZENDA PANORAMA</t>
  </si>
  <si>
    <t>SÃO MIGUEL DO ARAGUAIA</t>
  </si>
  <si>
    <t>GDM GENETICA DO BRASIL S. A.</t>
  </si>
  <si>
    <t>GUILHERME PINEZZI HONORIO FAZENDA AGRO-OESTE I</t>
  </si>
  <si>
    <t>RES: AGENDAMENTO NF'S 19519/19520/19521/19522</t>
  </si>
  <si>
    <t>Demora na entrega anterior - Chamado: 03117083</t>
  </si>
  <si>
    <t xml:space="preserve">Em processo de transferência para Camaçari </t>
  </si>
  <si>
    <t>seguindo filial viana</t>
  </si>
  <si>
    <t>seguindo filial viana/SLA incorreto</t>
  </si>
  <si>
    <t>Re: AGENDAMENTO 19589/19590</t>
  </si>
  <si>
    <t>Entrega agendada via e-mail cliente - 31/01/2025</t>
  </si>
  <si>
    <t>Filial Guarulhos</t>
  </si>
  <si>
    <t>Entrega agendada via e-mail com cliente - 31/01/25</t>
  </si>
  <si>
    <t>Agendado via WhatsApp cliente</t>
  </si>
  <si>
    <t>Entrega agendada via WhatsApp cliente - 31/01/25</t>
  </si>
  <si>
    <t>Seguindo filial Ibiporã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</si>
</sst>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0"/>
      <color rgb="FFFFFFFF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6"/>
      <color rgb="FF181818"/>
      <name val="Segoe UI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rgb="FF00000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0" borderId="0" xfId="0" applyFont="1"/>
    <xf numFmtId="0" fontId="7" fillId="3" borderId="0" xfId="0" applyFont="1" applyFill="1" applyAlignment="1">
      <alignment horizontal="center"/>
    </xf>
  </cellXfs>
  <cellStyles count="2">
    <cellStyle name="Normal" xfId="0" builtinId="0"/>
    <cellStyle name="Normal 3" xfId="1" xr:uid="{B053E9D3-9360-425B-8C17-D848FD1E3E52}"/>
  </cellStyles>
  <dxfs count="351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33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23/09/relationships/Python" Target="python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</xdr:row>
          <xdr:rowOff>0</xdr:rowOff>
        </xdr:from>
        <xdr:to>
          <xdr:col>3</xdr:col>
          <xdr:colOff>19050</xdr:colOff>
          <xdr:row>3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4</xdr:row>
          <xdr:rowOff>31750</xdr:rowOff>
        </xdr:from>
        <xdr:to>
          <xdr:col>3</xdr:col>
          <xdr:colOff>0</xdr:colOff>
          <xdr:row>6</xdr:row>
          <xdr:rowOff>165100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explodir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3</xdr:row>
          <xdr:rowOff>12700</xdr:rowOff>
        </xdr:from>
        <xdr:to>
          <xdr:col>7</xdr:col>
          <xdr:colOff>31750</xdr:colOff>
          <xdr:row>5</xdr:row>
          <xdr:rowOff>31750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Log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9D1B4-DDA8-4E5B-AE99-B3F1D6CEAAAB}">
  <sheetPr codeName="Planilha15"/>
  <dimension ref="A1"/>
  <sheetViews>
    <sheetView workbookViewId="0">
      <pane ySplit="1" topLeftCell="A2" activePane="bottomLeft" state="frozen"/>
      <selection pane="bottomLeft" activeCell="F15" sqref="F15"/>
    </sheetView>
  </sheetViews>
  <sheetFormatPr defaultRowHeight="14.5" x14ac:dyDescent="0.35"/>
  <cols>
    <col min="2" max="2" width="8.54296875" customWidth="1"/>
  </cols>
  <sheetData/>
  <pageMargins left="0.511811024" right="0.511811024" top="0.78740157499999996" bottom="0.78740157499999996" header="0.31496062000000002" footer="0.31496062000000002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cro_Boa">
                <anchor moveWithCells="1" sizeWithCells="1">
                  <from>
                    <xdr:col>1</xdr:col>
                    <xdr:colOff>31750</xdr:colOff>
                    <xdr:row>1</xdr:row>
                    <xdr:rowOff>0</xdr:rowOff>
                  </from>
                  <to>
                    <xdr:col>3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cro_suprema">
                <anchor moveWithCells="1" sizeWithCells="1">
                  <from>
                    <xdr:col>1</xdr:col>
                    <xdr:colOff>31750</xdr:colOff>
                    <xdr:row>4</xdr:row>
                    <xdr:rowOff>31750</xdr:rowOff>
                  </from>
                  <to>
                    <xdr:col>3</xdr:col>
                    <xdr:colOff>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Macro_Botão6_Clique">
                <anchor moveWithCells="1" sizeWithCells="1">
                  <from>
                    <xdr:col>5</xdr:col>
                    <xdr:colOff>12700</xdr:colOff>
                    <xdr:row>3</xdr:row>
                    <xdr:rowOff>12700</xdr:rowOff>
                  </from>
                  <to>
                    <xdr:col>7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DA9D-D7CC-4C0F-9B27-DC6F12766E6D}">
  <sheetPr codeName="Planilha2"/>
  <dimension ref="A1:T4080"/>
  <sheetViews>
    <sheetView tabSelected="1" zoomScale="70" zoomScaleNormal="70" workbookViewId="0">
      <pane ySplit="1" topLeftCell="A4056" activePane="bottomLeft" state="frozen"/>
      <selection activeCell="A155" sqref="A1:U12234"/>
      <selection pane="bottomLeft" activeCell="A4080" sqref="A4080"/>
    </sheetView>
  </sheetViews>
  <sheetFormatPr defaultColWidth="62.1796875" defaultRowHeight="14.5" x14ac:dyDescent="0.35"/>
  <cols>
    <col min="1" max="1" width="10.81640625" style="5" bestFit="1" customWidth="1"/>
    <col min="2" max="2" width="8.81640625" style="5" bestFit="1" customWidth="1"/>
    <col min="3" max="3" width="16.08984375" style="5" bestFit="1" customWidth="1"/>
    <col min="4" max="4" width="8.7265625" style="5" bestFit="1" customWidth="1"/>
    <col min="5" max="5" width="17" style="5" bestFit="1" customWidth="1"/>
    <col min="6" max="6" width="16.81640625" style="5" bestFit="1" customWidth="1"/>
    <col min="7" max="7" width="20.81640625" style="5" bestFit="1" customWidth="1"/>
    <col min="8" max="8" width="13.90625" style="5" bestFit="1" customWidth="1"/>
    <col min="9" max="9" width="75.08984375" style="5" bestFit="1" customWidth="1"/>
    <col min="10" max="10" width="30.81640625" style="5" bestFit="1" customWidth="1"/>
    <col min="11" max="11" width="6.1796875" style="5" bestFit="1" customWidth="1"/>
    <col min="12" max="12" width="10.08984375" style="6" bestFit="1" customWidth="1"/>
    <col min="13" max="13" width="20.90625" style="6" bestFit="1" customWidth="1"/>
    <col min="14" max="14" width="14.36328125" style="6" bestFit="1" customWidth="1"/>
    <col min="15" max="15" width="14.08984375" style="5" bestFit="1" customWidth="1"/>
    <col min="16" max="16" width="11.08984375" style="5" bestFit="1" customWidth="1"/>
    <col min="17" max="17" width="22.453125" style="5" customWidth="1"/>
    <col min="18" max="18" width="19.90625" style="5" customWidth="1"/>
    <col min="19" max="19" width="22.81640625" style="5" bestFit="1" customWidth="1"/>
    <col min="20" max="20" width="1.81640625" style="5" bestFit="1" customWidth="1"/>
    <col min="21" max="16384" width="62.1796875" style="5"/>
  </cols>
  <sheetData>
    <row r="1" spans="1:20" x14ac:dyDescent="0.3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1" t="s">
        <v>10</v>
      </c>
      <c r="L1" s="2" t="s">
        <v>11</v>
      </c>
      <c r="M1" s="2" t="s">
        <v>927</v>
      </c>
      <c r="N1" s="1" t="s">
        <v>12</v>
      </c>
      <c r="O1" s="4" t="s">
        <v>13</v>
      </c>
      <c r="P1" s="1" t="s">
        <v>14</v>
      </c>
      <c r="Q1" s="1" t="s">
        <v>15</v>
      </c>
      <c r="R1" s="4" t="s">
        <v>16</v>
      </c>
      <c r="S1" s="4" t="s">
        <v>787</v>
      </c>
    </row>
    <row r="2" spans="1:20" x14ac:dyDescent="0.35">
      <c r="A2" s="5">
        <v>8100269309</v>
      </c>
      <c r="B2" s="5">
        <v>17151</v>
      </c>
      <c r="C2" s="6">
        <v>45659</v>
      </c>
      <c r="D2" s="5" t="s">
        <v>51</v>
      </c>
      <c r="E2" s="5" t="s">
        <v>52</v>
      </c>
      <c r="F2" s="5" t="s">
        <v>66</v>
      </c>
      <c r="G2" s="5" t="s">
        <v>67</v>
      </c>
      <c r="H2" s="5" t="s">
        <v>21</v>
      </c>
      <c r="I2" s="5" t="s">
        <v>74</v>
      </c>
      <c r="J2" s="5" t="s">
        <v>76</v>
      </c>
      <c r="K2" s="5" t="s">
        <v>57</v>
      </c>
      <c r="L2" s="6">
        <v>45666</v>
      </c>
      <c r="M2" s="6">
        <v>45663</v>
      </c>
      <c r="N2" s="5" t="s">
        <v>811</v>
      </c>
      <c r="O2" s="5" t="str">
        <f ca="1">IF(P2&lt;&gt;"EXPEDIÇÃO","Expedido",IF(NETWORKDAYS(C2,TODAY())&gt;=5,"Risco Alto",IF(NETWORKDAYS(C2,TODAY())&gt;=3,IF(NETWORKDAYS(C2,TODAY())&lt;5,"Risco Médio",""),IF(NETWORKDAYS(C2,TODAY())&lt;=2,"Risco Baixo",""))))</f>
        <v>Expedido</v>
      </c>
      <c r="P2" s="5" t="s">
        <v>25</v>
      </c>
      <c r="S2" s="7">
        <f>IF(ISBLANK(M2),"Aguardando Previsão/Data",NETWORKDAYS(L2,M2)-1)</f>
        <v>-5</v>
      </c>
      <c r="T2" s="5" t="s">
        <v>942</v>
      </c>
    </row>
    <row r="3" spans="1:20" x14ac:dyDescent="0.35">
      <c r="A3" s="5">
        <v>8100269310</v>
      </c>
      <c r="B3" s="5">
        <v>17155</v>
      </c>
      <c r="C3" s="6">
        <v>45659</v>
      </c>
      <c r="D3" s="5" t="s">
        <v>51</v>
      </c>
      <c r="E3" s="5" t="s">
        <v>52</v>
      </c>
      <c r="F3" s="5" t="s">
        <v>58</v>
      </c>
      <c r="G3" s="5" t="s">
        <v>59</v>
      </c>
      <c r="H3" s="5" t="s">
        <v>21</v>
      </c>
      <c r="I3" s="5" t="s">
        <v>62</v>
      </c>
      <c r="J3" s="5" t="s">
        <v>63</v>
      </c>
      <c r="K3" s="5" t="s">
        <v>57</v>
      </c>
      <c r="L3" s="6">
        <v>45667</v>
      </c>
      <c r="M3" s="6">
        <v>45663</v>
      </c>
      <c r="N3" s="5" t="s">
        <v>811</v>
      </c>
      <c r="O3" s="5" t="str">
        <f ca="1">IF(P3&lt;&gt;"EXPEDIÇÃO","Expedido",IF(NETWORKDAYS(C3,TODAY())&gt;=5,"Risco Alto",IF(NETWORKDAYS(C3,TODAY())&gt;=3,IF(NETWORKDAYS(C3,TODAY())&lt;5,"Risco Médio",""),IF(NETWORKDAYS(C3,TODAY())&lt;=2,"Risco Baixo",""))))</f>
        <v>Expedido</v>
      </c>
      <c r="P3" s="5" t="s">
        <v>25</v>
      </c>
      <c r="S3" s="7">
        <f>IF(ISBLANK(M3),"Aguardando Previsão/Data",NETWORKDAYS(L3,M3)-1)</f>
        <v>-6</v>
      </c>
      <c r="T3" s="5" t="s">
        <v>942</v>
      </c>
    </row>
    <row r="4" spans="1:20" x14ac:dyDescent="0.35">
      <c r="A4" s="5">
        <v>8100269311</v>
      </c>
      <c r="B4" s="5">
        <v>17156</v>
      </c>
      <c r="C4" s="6">
        <v>45659</v>
      </c>
      <c r="D4" s="5" t="s">
        <v>51</v>
      </c>
      <c r="E4" s="5" t="s">
        <v>52</v>
      </c>
      <c r="F4" s="5" t="s">
        <v>58</v>
      </c>
      <c r="G4" s="5" t="s">
        <v>59</v>
      </c>
      <c r="H4" s="5" t="s">
        <v>21</v>
      </c>
      <c r="I4" s="5" t="s">
        <v>62</v>
      </c>
      <c r="J4" s="5" t="s">
        <v>63</v>
      </c>
      <c r="K4" s="5" t="s">
        <v>57</v>
      </c>
      <c r="L4" s="6">
        <v>45667</v>
      </c>
      <c r="M4" s="6">
        <v>45663</v>
      </c>
      <c r="N4" s="5" t="s">
        <v>811</v>
      </c>
      <c r="O4" s="5" t="str">
        <f ca="1">IF(P4&lt;&gt;"EXPEDIÇÃO","Expedido",IF(NETWORKDAYS(C4,TODAY())&gt;=5,"Risco Alto",IF(NETWORKDAYS(C4,TODAY())&gt;=3,IF(NETWORKDAYS(C4,TODAY())&lt;5,"Risco Médio",""),IF(NETWORKDAYS(C4,TODAY())&lt;=2,"Risco Baixo",""))))</f>
        <v>Expedido</v>
      </c>
      <c r="P4" s="5" t="s">
        <v>25</v>
      </c>
      <c r="S4" s="7">
        <f>IF(ISBLANK(M4),"Aguardando Previsão/Data",NETWORKDAYS(L4,M4)-1)</f>
        <v>-6</v>
      </c>
      <c r="T4" s="5" t="s">
        <v>942</v>
      </c>
    </row>
    <row r="5" spans="1:20" x14ac:dyDescent="0.35">
      <c r="A5" s="5">
        <v>8100269312</v>
      </c>
      <c r="B5" s="5">
        <v>17152</v>
      </c>
      <c r="C5" s="6">
        <v>45659</v>
      </c>
      <c r="D5" s="5" t="s">
        <v>51</v>
      </c>
      <c r="E5" s="5" t="s">
        <v>52</v>
      </c>
      <c r="F5" s="5" t="s">
        <v>79</v>
      </c>
      <c r="G5" s="5" t="s">
        <v>80</v>
      </c>
      <c r="H5" s="5" t="s">
        <v>21</v>
      </c>
      <c r="I5" s="5" t="s">
        <v>925</v>
      </c>
      <c r="J5" s="5" t="s">
        <v>81</v>
      </c>
      <c r="K5" s="5" t="s">
        <v>80</v>
      </c>
      <c r="L5" s="6">
        <v>45667</v>
      </c>
      <c r="M5" s="6">
        <v>45664</v>
      </c>
      <c r="N5" s="5" t="s">
        <v>811</v>
      </c>
      <c r="O5" s="5" t="str">
        <f ca="1">IF(P5&lt;&gt;"EXPEDIÇÃO","Expedido",IF(NETWORKDAYS(C5,TODAY())&gt;=5,"Risco Alto",IF(NETWORKDAYS(C5,TODAY())&gt;=3,IF(NETWORKDAYS(C5,TODAY())&lt;5,"Risco Médio",""),IF(NETWORKDAYS(C5,TODAY())&lt;=2,"Risco Baixo",""))))</f>
        <v>Expedido</v>
      </c>
      <c r="P5" s="5" t="s">
        <v>25</v>
      </c>
      <c r="S5" s="7">
        <f>IF(ISBLANK(M5),"Aguardando Previsão/Data",NETWORKDAYS(L5,M5)-1)</f>
        <v>-5</v>
      </c>
      <c r="T5" s="5" t="s">
        <v>942</v>
      </c>
    </row>
    <row r="6" spans="1:20" x14ac:dyDescent="0.35">
      <c r="A6" s="5">
        <v>8100269313</v>
      </c>
      <c r="B6" s="5">
        <v>17154</v>
      </c>
      <c r="C6" s="6">
        <v>45659</v>
      </c>
      <c r="D6" s="5" t="s">
        <v>51</v>
      </c>
      <c r="E6" s="5" t="s">
        <v>52</v>
      </c>
      <c r="F6" s="5" t="s">
        <v>69</v>
      </c>
      <c r="G6" s="5" t="s">
        <v>70</v>
      </c>
      <c r="H6" s="5" t="s">
        <v>21</v>
      </c>
      <c r="I6" s="5" t="s">
        <v>82</v>
      </c>
      <c r="J6" s="5" t="s">
        <v>996</v>
      </c>
      <c r="K6" s="5" t="s">
        <v>57</v>
      </c>
      <c r="L6" s="6">
        <v>45666</v>
      </c>
      <c r="M6" s="6">
        <v>45665</v>
      </c>
      <c r="N6" s="5" t="s">
        <v>811</v>
      </c>
      <c r="O6" s="5" t="str">
        <f ca="1">IF(P6&lt;&gt;"EXPEDIÇÃO","Expedido",IF(NETWORKDAYS(C6,TODAY())&gt;=5,"Risco Alto",IF(NETWORKDAYS(C6,TODAY())&gt;=3,IF(NETWORKDAYS(C6,TODAY())&lt;5,"Risco Médio",""),IF(NETWORKDAYS(C6,TODAY())&lt;=2,"Risco Baixo",""))))</f>
        <v>Expedido</v>
      </c>
      <c r="P6" s="5" t="s">
        <v>25</v>
      </c>
      <c r="S6" s="7">
        <f>IF(ISBLANK(M6),"Aguardando Previsão/Data",NETWORKDAYS(L6,M6)-1)</f>
        <v>-3</v>
      </c>
      <c r="T6" s="5" t="s">
        <v>942</v>
      </c>
    </row>
    <row r="7" spans="1:20" x14ac:dyDescent="0.35">
      <c r="A7" s="5">
        <v>8100269324</v>
      </c>
      <c r="B7" s="5">
        <v>17157</v>
      </c>
      <c r="C7" s="6">
        <v>45659</v>
      </c>
      <c r="D7" s="5" t="s">
        <v>51</v>
      </c>
      <c r="E7" s="5" t="s">
        <v>52</v>
      </c>
      <c r="F7" s="5" t="s">
        <v>58</v>
      </c>
      <c r="G7" s="5" t="s">
        <v>59</v>
      </c>
      <c r="H7" s="5" t="s">
        <v>21</v>
      </c>
      <c r="I7" s="5" t="s">
        <v>62</v>
      </c>
      <c r="J7" s="5" t="s">
        <v>63</v>
      </c>
      <c r="K7" s="5" t="s">
        <v>57</v>
      </c>
      <c r="L7" s="6">
        <v>45667</v>
      </c>
      <c r="M7" s="6">
        <v>45663</v>
      </c>
      <c r="N7" s="5" t="s">
        <v>811</v>
      </c>
      <c r="O7" s="5" t="str">
        <f ca="1">IF(P7&lt;&gt;"EXPEDIÇÃO","Expedido",IF(NETWORKDAYS(C7,TODAY())&gt;=5,"Risco Alto",IF(NETWORKDAYS(C7,TODAY())&gt;=3,IF(NETWORKDAYS(C7,TODAY())&lt;5,"Risco Médio",""),IF(NETWORKDAYS(C7,TODAY())&lt;=2,"Risco Baixo",""))))</f>
        <v>Expedido</v>
      </c>
      <c r="P7" s="5" t="s">
        <v>25</v>
      </c>
      <c r="S7" s="7">
        <f>IF(ISBLANK(M7),"Aguardando Previsão/Data",NETWORKDAYS(L7,M7)-1)</f>
        <v>-6</v>
      </c>
      <c r="T7" s="5" t="s">
        <v>942</v>
      </c>
    </row>
    <row r="8" spans="1:20" x14ac:dyDescent="0.35">
      <c r="A8" s="5">
        <v>8100269325</v>
      </c>
      <c r="B8" s="5">
        <v>17153</v>
      </c>
      <c r="C8" s="6">
        <v>45659</v>
      </c>
      <c r="D8" s="5" t="s">
        <v>51</v>
      </c>
      <c r="E8" s="5" t="s">
        <v>52</v>
      </c>
      <c r="F8" s="5" t="s">
        <v>329</v>
      </c>
      <c r="G8" s="5" t="s">
        <v>330</v>
      </c>
      <c r="H8" s="5" t="s">
        <v>21</v>
      </c>
      <c r="I8" s="5" t="s">
        <v>82</v>
      </c>
      <c r="J8" s="5" t="s">
        <v>436</v>
      </c>
      <c r="K8" s="5" t="s">
        <v>57</v>
      </c>
      <c r="L8" s="6">
        <v>45665</v>
      </c>
      <c r="M8" s="6">
        <v>45664</v>
      </c>
      <c r="N8" s="5" t="s">
        <v>811</v>
      </c>
      <c r="O8" s="5" t="str">
        <f ca="1">IF(P8&lt;&gt;"EXPEDIÇÃO","Expedido",IF(NETWORKDAYS(C8,TODAY())&gt;=5,"Risco Alto",IF(NETWORKDAYS(C8,TODAY())&gt;=3,IF(NETWORKDAYS(C8,TODAY())&lt;5,"Risco Médio",""),IF(NETWORKDAYS(C8,TODAY())&lt;=2,"Risco Baixo",""))))</f>
        <v>Expedido</v>
      </c>
      <c r="P8" s="5" t="s">
        <v>25</v>
      </c>
      <c r="S8" s="7">
        <f>IF(ISBLANK(M8),"Aguardando Previsão/Data",NETWORKDAYS(L8,M8)-1)</f>
        <v>-3</v>
      </c>
      <c r="T8" s="5" t="s">
        <v>942</v>
      </c>
    </row>
    <row r="9" spans="1:20" x14ac:dyDescent="0.35">
      <c r="A9" s="5">
        <v>8100269326</v>
      </c>
      <c r="B9" s="5">
        <v>17150</v>
      </c>
      <c r="C9" s="6">
        <v>45659</v>
      </c>
      <c r="D9" s="5" t="s">
        <v>51</v>
      </c>
      <c r="E9" s="5" t="s">
        <v>52</v>
      </c>
      <c r="F9" s="5" t="s">
        <v>58</v>
      </c>
      <c r="G9" s="5" t="s">
        <v>59</v>
      </c>
      <c r="H9" s="5" t="s">
        <v>21</v>
      </c>
      <c r="I9" s="5" t="s">
        <v>269</v>
      </c>
      <c r="J9" s="5" t="s">
        <v>270</v>
      </c>
      <c r="K9" s="5" t="s">
        <v>57</v>
      </c>
      <c r="L9" s="6">
        <v>45667</v>
      </c>
      <c r="M9" s="6">
        <v>45664</v>
      </c>
      <c r="N9" s="5" t="s">
        <v>811</v>
      </c>
      <c r="O9" s="5" t="str">
        <f ca="1">IF(P9&lt;&gt;"EXPEDIÇÃO","Expedido",IF(NETWORKDAYS(C9,TODAY())&gt;=5,"Risco Alto",IF(NETWORKDAYS(C9,TODAY())&gt;=3,IF(NETWORKDAYS(C9,TODAY())&lt;5,"Risco Médio",""),IF(NETWORKDAYS(C9,TODAY())&lt;=2,"Risco Baixo",""))))</f>
        <v>Expedido</v>
      </c>
      <c r="P9" s="5" t="s">
        <v>25</v>
      </c>
      <c r="S9" s="7">
        <f>IF(ISBLANK(M9),"Aguardando Previsão/Data",NETWORKDAYS(L9,M9)-1)</f>
        <v>-5</v>
      </c>
      <c r="T9" s="5" t="s">
        <v>942</v>
      </c>
    </row>
    <row r="10" spans="1:20" x14ac:dyDescent="0.35">
      <c r="A10" s="5">
        <v>8100269327</v>
      </c>
      <c r="B10" s="5">
        <v>17160</v>
      </c>
      <c r="C10" s="6">
        <v>45659</v>
      </c>
      <c r="D10" s="5" t="s">
        <v>51</v>
      </c>
      <c r="E10" s="5" t="s">
        <v>52</v>
      </c>
      <c r="F10" s="5" t="s">
        <v>58</v>
      </c>
      <c r="G10" s="5" t="s">
        <v>59</v>
      </c>
      <c r="H10" s="5" t="s">
        <v>21</v>
      </c>
      <c r="I10" s="5" t="s">
        <v>269</v>
      </c>
      <c r="J10" s="5" t="s">
        <v>270</v>
      </c>
      <c r="K10" s="5" t="s">
        <v>57</v>
      </c>
      <c r="L10" s="6">
        <v>45667</v>
      </c>
      <c r="M10" s="6">
        <v>45664</v>
      </c>
      <c r="N10" s="5" t="s">
        <v>811</v>
      </c>
      <c r="O10" s="5" t="str">
        <f ca="1">IF(P10&lt;&gt;"EXPEDIÇÃO","Expedido",IF(NETWORKDAYS(C10,TODAY())&gt;=5,"Risco Alto",IF(NETWORKDAYS(C10,TODAY())&gt;=3,IF(NETWORKDAYS(C10,TODAY())&lt;5,"Risco Médio",""),IF(NETWORKDAYS(C10,TODAY())&lt;=2,"Risco Baixo",""))))</f>
        <v>Expedido</v>
      </c>
      <c r="P10" s="5" t="s">
        <v>25</v>
      </c>
      <c r="S10" s="7">
        <f>IF(ISBLANK(M10),"Aguardando Previsão/Data",NETWORKDAYS(L10,M10)-1)</f>
        <v>-5</v>
      </c>
      <c r="T10" s="5" t="s">
        <v>942</v>
      </c>
    </row>
    <row r="11" spans="1:20" x14ac:dyDescent="0.35">
      <c r="A11" s="5">
        <v>8100269328</v>
      </c>
      <c r="B11" s="5">
        <v>17161</v>
      </c>
      <c r="C11" s="6">
        <v>45659</v>
      </c>
      <c r="D11" s="5" t="s">
        <v>51</v>
      </c>
      <c r="E11" s="5" t="s">
        <v>52</v>
      </c>
      <c r="F11" s="5" t="s">
        <v>58</v>
      </c>
      <c r="G11" s="5" t="s">
        <v>59</v>
      </c>
      <c r="H11" s="5" t="s">
        <v>21</v>
      </c>
      <c r="I11" s="5" t="s">
        <v>269</v>
      </c>
      <c r="J11" s="5" t="s">
        <v>270</v>
      </c>
      <c r="K11" s="5" t="s">
        <v>57</v>
      </c>
      <c r="L11" s="6">
        <v>45667</v>
      </c>
      <c r="M11" s="6">
        <v>45666</v>
      </c>
      <c r="N11" s="5" t="s">
        <v>811</v>
      </c>
      <c r="O11" s="5" t="str">
        <f ca="1">IF(P11&lt;&gt;"EXPEDIÇÃO","Expedido",IF(NETWORKDAYS(C11,TODAY())&gt;=5,"Risco Alto",IF(NETWORKDAYS(C11,TODAY())&gt;=3,IF(NETWORKDAYS(C11,TODAY())&lt;5,"Risco Médio",""),IF(NETWORKDAYS(C11,TODAY())&lt;=2,"Risco Baixo",""))))</f>
        <v>Expedido</v>
      </c>
      <c r="P11" s="5" t="s">
        <v>25</v>
      </c>
      <c r="S11" s="7">
        <f>IF(ISBLANK(M11),"Aguardando Previsão/Data",NETWORKDAYS(L11,M11)-1)</f>
        <v>-3</v>
      </c>
      <c r="T11" s="5" t="s">
        <v>942</v>
      </c>
    </row>
    <row r="12" spans="1:20" x14ac:dyDescent="0.35">
      <c r="A12" s="5">
        <v>8100269329</v>
      </c>
      <c r="B12" s="5">
        <v>17162</v>
      </c>
      <c r="C12" s="6">
        <v>45659</v>
      </c>
      <c r="D12" s="5" t="s">
        <v>51</v>
      </c>
      <c r="E12" s="5" t="s">
        <v>52</v>
      </c>
      <c r="F12" s="5" t="s">
        <v>58</v>
      </c>
      <c r="G12" s="5" t="s">
        <v>59</v>
      </c>
      <c r="H12" s="5" t="s">
        <v>21</v>
      </c>
      <c r="I12" s="5" t="s">
        <v>269</v>
      </c>
      <c r="J12" s="5" t="s">
        <v>270</v>
      </c>
      <c r="K12" s="5" t="s">
        <v>57</v>
      </c>
      <c r="L12" s="6">
        <v>45667</v>
      </c>
      <c r="M12" s="6">
        <v>45664</v>
      </c>
      <c r="N12" s="5" t="s">
        <v>811</v>
      </c>
      <c r="O12" s="5" t="str">
        <f ca="1">IF(P12&lt;&gt;"EXPEDIÇÃO","Expedido",IF(NETWORKDAYS(C12,TODAY())&gt;=5,"Risco Alto",IF(NETWORKDAYS(C12,TODAY())&gt;=3,IF(NETWORKDAYS(C12,TODAY())&lt;5,"Risco Médio",""),IF(NETWORKDAYS(C12,TODAY())&lt;=2,"Risco Baixo",""))))</f>
        <v>Expedido</v>
      </c>
      <c r="P12" s="5" t="s">
        <v>25</v>
      </c>
      <c r="S12" s="7">
        <f>IF(ISBLANK(M12),"Aguardando Previsão/Data",NETWORKDAYS(L12,M12)-1)</f>
        <v>-5</v>
      </c>
      <c r="T12" s="5" t="s">
        <v>942</v>
      </c>
    </row>
    <row r="13" spans="1:20" x14ac:dyDescent="0.35">
      <c r="A13" s="5">
        <v>8100269330</v>
      </c>
      <c r="B13" s="5">
        <v>17163</v>
      </c>
      <c r="C13" s="6">
        <v>45659</v>
      </c>
      <c r="D13" s="5" t="s">
        <v>51</v>
      </c>
      <c r="E13" s="5" t="s">
        <v>52</v>
      </c>
      <c r="F13" s="5" t="s">
        <v>58</v>
      </c>
      <c r="G13" s="5" t="s">
        <v>59</v>
      </c>
      <c r="H13" s="5" t="s">
        <v>21</v>
      </c>
      <c r="I13" s="5" t="s">
        <v>269</v>
      </c>
      <c r="J13" s="5" t="s">
        <v>270</v>
      </c>
      <c r="K13" s="5" t="s">
        <v>57</v>
      </c>
      <c r="L13" s="6">
        <v>45667</v>
      </c>
      <c r="M13" s="6">
        <v>45664</v>
      </c>
      <c r="N13" s="5" t="s">
        <v>811</v>
      </c>
      <c r="O13" s="5" t="str">
        <f ca="1">IF(P13&lt;&gt;"EXPEDIÇÃO","Expedido",IF(NETWORKDAYS(C13,TODAY())&gt;=5,"Risco Alto",IF(NETWORKDAYS(C13,TODAY())&gt;=3,IF(NETWORKDAYS(C13,TODAY())&lt;5,"Risco Médio",""),IF(NETWORKDAYS(C13,TODAY())&lt;=2,"Risco Baixo",""))))</f>
        <v>Expedido</v>
      </c>
      <c r="P13" s="5" t="s">
        <v>25</v>
      </c>
      <c r="S13" s="7">
        <f>IF(ISBLANK(M13),"Aguardando Previsão/Data",NETWORKDAYS(L13,M13)-1)</f>
        <v>-5</v>
      </c>
      <c r="T13" s="5" t="s">
        <v>942</v>
      </c>
    </row>
    <row r="14" spans="1:20" x14ac:dyDescent="0.35">
      <c r="A14" s="5">
        <v>8100269331</v>
      </c>
      <c r="B14" s="5">
        <v>17164</v>
      </c>
      <c r="C14" s="6">
        <v>45659</v>
      </c>
      <c r="D14" s="5" t="s">
        <v>51</v>
      </c>
      <c r="E14" s="5" t="s">
        <v>52</v>
      </c>
      <c r="F14" s="5" t="s">
        <v>58</v>
      </c>
      <c r="G14" s="5" t="s">
        <v>59</v>
      </c>
      <c r="H14" s="5" t="s">
        <v>21</v>
      </c>
      <c r="I14" s="5" t="s">
        <v>269</v>
      </c>
      <c r="J14" s="5" t="s">
        <v>270</v>
      </c>
      <c r="K14" s="5" t="s">
        <v>57</v>
      </c>
      <c r="L14" s="6">
        <v>45667</v>
      </c>
      <c r="M14" s="6">
        <v>45664</v>
      </c>
      <c r="N14" s="5" t="s">
        <v>811</v>
      </c>
      <c r="O14" s="5" t="str">
        <f ca="1">IF(P14&lt;&gt;"EXPEDIÇÃO","Expedido",IF(NETWORKDAYS(C14,TODAY())&gt;=5,"Risco Alto",IF(NETWORKDAYS(C14,TODAY())&gt;=3,IF(NETWORKDAYS(C14,TODAY())&lt;5,"Risco Médio",""),IF(NETWORKDAYS(C14,TODAY())&lt;=2,"Risco Baixo",""))))</f>
        <v>Expedido</v>
      </c>
      <c r="P14" s="5" t="s">
        <v>25</v>
      </c>
      <c r="S14" s="7">
        <f>IF(ISBLANK(M14),"Aguardando Previsão/Data",NETWORKDAYS(L14,M14)-1)</f>
        <v>-5</v>
      </c>
      <c r="T14" s="5" t="s">
        <v>942</v>
      </c>
    </row>
    <row r="15" spans="1:20" x14ac:dyDescent="0.35">
      <c r="A15" s="5">
        <v>8100269332</v>
      </c>
      <c r="B15" s="5">
        <v>17158</v>
      </c>
      <c r="C15" s="6">
        <v>45659</v>
      </c>
      <c r="D15" s="5" t="s">
        <v>51</v>
      </c>
      <c r="E15" s="5" t="s">
        <v>52</v>
      </c>
      <c r="F15" s="5" t="s">
        <v>58</v>
      </c>
      <c r="G15" s="5" t="s">
        <v>59</v>
      </c>
      <c r="H15" s="5" t="s">
        <v>21</v>
      </c>
      <c r="I15" s="5" t="s">
        <v>748</v>
      </c>
      <c r="J15" s="5" t="s">
        <v>620</v>
      </c>
      <c r="K15" s="5" t="s">
        <v>57</v>
      </c>
      <c r="L15" s="6">
        <v>45667</v>
      </c>
      <c r="M15" s="6">
        <v>45663</v>
      </c>
      <c r="N15" s="5" t="s">
        <v>811</v>
      </c>
      <c r="O15" s="5" t="str">
        <f ca="1">IF(P15&lt;&gt;"EXPEDIÇÃO","Expedido",IF(NETWORKDAYS(C15,TODAY())&gt;=5,"Risco Alto",IF(NETWORKDAYS(C15,TODAY())&gt;=3,IF(NETWORKDAYS(C15,TODAY())&lt;5,"Risco Médio",""),IF(NETWORKDAYS(C15,TODAY())&lt;=2,"Risco Baixo",""))))</f>
        <v>Expedido</v>
      </c>
      <c r="P15" s="5" t="s">
        <v>25</v>
      </c>
      <c r="S15" s="7">
        <f>IF(ISBLANK(M15),"Aguardando Previsão/Data",NETWORKDAYS(L15,M15)-1)</f>
        <v>-6</v>
      </c>
      <c r="T15" s="5" t="s">
        <v>942</v>
      </c>
    </row>
    <row r="16" spans="1:20" x14ac:dyDescent="0.35">
      <c r="A16" s="5">
        <v>8100269333</v>
      </c>
      <c r="B16" s="5">
        <v>17159</v>
      </c>
      <c r="C16" s="6">
        <v>45659</v>
      </c>
      <c r="D16" s="5" t="s">
        <v>51</v>
      </c>
      <c r="E16" s="5" t="s">
        <v>52</v>
      </c>
      <c r="F16" s="5" t="s">
        <v>58</v>
      </c>
      <c r="G16" s="5" t="s">
        <v>59</v>
      </c>
      <c r="H16" s="5" t="s">
        <v>21</v>
      </c>
      <c r="I16" s="5" t="s">
        <v>748</v>
      </c>
      <c r="J16" s="5" t="s">
        <v>620</v>
      </c>
      <c r="K16" s="5" t="s">
        <v>57</v>
      </c>
      <c r="L16" s="6">
        <v>45667</v>
      </c>
      <c r="M16" s="6">
        <v>45663</v>
      </c>
      <c r="N16" s="5" t="s">
        <v>811</v>
      </c>
      <c r="O16" s="5" t="str">
        <f ca="1">IF(P16&lt;&gt;"EXPEDIÇÃO","Expedido",IF(NETWORKDAYS(C16,TODAY())&gt;=5,"Risco Alto",IF(NETWORKDAYS(C16,TODAY())&gt;=3,IF(NETWORKDAYS(C16,TODAY())&lt;5,"Risco Médio",""),IF(NETWORKDAYS(C16,TODAY())&lt;=2,"Risco Baixo",""))))</f>
        <v>Expedido</v>
      </c>
      <c r="P16" s="5" t="s">
        <v>25</v>
      </c>
      <c r="S16" s="7">
        <f>IF(ISBLANK(M16),"Aguardando Previsão/Data",NETWORKDAYS(L16,M16)-1)</f>
        <v>-6</v>
      </c>
      <c r="T16" s="5" t="s">
        <v>942</v>
      </c>
    </row>
    <row r="17" spans="1:20" x14ac:dyDescent="0.35">
      <c r="A17" s="5">
        <v>8100269334</v>
      </c>
      <c r="B17" s="5">
        <v>17166</v>
      </c>
      <c r="C17" s="6">
        <v>45659</v>
      </c>
      <c r="D17" s="5" t="s">
        <v>51</v>
      </c>
      <c r="E17" s="5" t="s">
        <v>52</v>
      </c>
      <c r="F17" s="5" t="s">
        <v>58</v>
      </c>
      <c r="G17" s="5" t="s">
        <v>59</v>
      </c>
      <c r="H17" s="5" t="s">
        <v>21</v>
      </c>
      <c r="I17" s="5" t="s">
        <v>748</v>
      </c>
      <c r="J17" s="5" t="s">
        <v>620</v>
      </c>
      <c r="K17" s="5" t="s">
        <v>57</v>
      </c>
      <c r="L17" s="6">
        <v>45667</v>
      </c>
      <c r="M17" s="6">
        <v>45663</v>
      </c>
      <c r="N17" s="5" t="s">
        <v>811</v>
      </c>
      <c r="O17" s="5" t="str">
        <f ca="1">IF(P17&lt;&gt;"EXPEDIÇÃO","Expedido",IF(NETWORKDAYS(C17,TODAY())&gt;=5,"Risco Alto",IF(NETWORKDAYS(C17,TODAY())&gt;=3,IF(NETWORKDAYS(C17,TODAY())&lt;5,"Risco Médio",""),IF(NETWORKDAYS(C17,TODAY())&lt;=2,"Risco Baixo",""))))</f>
        <v>Expedido</v>
      </c>
      <c r="P17" s="5" t="s">
        <v>25</v>
      </c>
      <c r="S17" s="7">
        <f>IF(ISBLANK(M17),"Aguardando Previsão/Data",NETWORKDAYS(L17,M17)-1)</f>
        <v>-6</v>
      </c>
      <c r="T17" s="5" t="s">
        <v>942</v>
      </c>
    </row>
    <row r="18" spans="1:20" x14ac:dyDescent="0.35">
      <c r="A18" s="5">
        <v>8100269335</v>
      </c>
      <c r="B18" s="5">
        <v>17167</v>
      </c>
      <c r="C18" s="6">
        <v>45659</v>
      </c>
      <c r="D18" s="5" t="s">
        <v>51</v>
      </c>
      <c r="E18" s="5" t="s">
        <v>52</v>
      </c>
      <c r="F18" s="5" t="s">
        <v>58</v>
      </c>
      <c r="G18" s="5" t="s">
        <v>59</v>
      </c>
      <c r="H18" s="5" t="s">
        <v>21</v>
      </c>
      <c r="I18" s="5" t="s">
        <v>71</v>
      </c>
      <c r="J18" s="5" t="s">
        <v>72</v>
      </c>
      <c r="K18" s="5" t="s">
        <v>57</v>
      </c>
      <c r="L18" s="6">
        <v>45665</v>
      </c>
      <c r="M18" s="6">
        <v>45663</v>
      </c>
      <c r="N18" s="5" t="s">
        <v>811</v>
      </c>
      <c r="O18" s="5" t="str">
        <f ca="1">IF(P18&lt;&gt;"EXPEDIÇÃO","Expedido",IF(NETWORKDAYS(C18,TODAY())&gt;=5,"Risco Alto",IF(NETWORKDAYS(C18,TODAY())&gt;=3,IF(NETWORKDAYS(C18,TODAY())&lt;5,"Risco Médio",""),IF(NETWORKDAYS(C18,TODAY())&lt;=2,"Risco Baixo",""))))</f>
        <v>Expedido</v>
      </c>
      <c r="P18" s="5" t="s">
        <v>25</v>
      </c>
      <c r="S18" s="7">
        <f>IF(ISBLANK(M18),"Aguardando Previsão/Data",NETWORKDAYS(L18,M18)-1)</f>
        <v>-4</v>
      </c>
      <c r="T18" s="5" t="s">
        <v>942</v>
      </c>
    </row>
    <row r="19" spans="1:20" x14ac:dyDescent="0.35">
      <c r="A19" s="5">
        <v>8100269336</v>
      </c>
      <c r="B19" s="5">
        <v>17168</v>
      </c>
      <c r="C19" s="6">
        <v>45659</v>
      </c>
      <c r="D19" s="5" t="s">
        <v>51</v>
      </c>
      <c r="E19" s="5" t="s">
        <v>52</v>
      </c>
      <c r="F19" s="5" t="s">
        <v>58</v>
      </c>
      <c r="G19" s="5" t="s">
        <v>59</v>
      </c>
      <c r="H19" s="5" t="s">
        <v>21</v>
      </c>
      <c r="I19" s="5" t="s">
        <v>379</v>
      </c>
      <c r="J19" s="5" t="s">
        <v>262</v>
      </c>
      <c r="K19" s="5" t="s">
        <v>57</v>
      </c>
      <c r="L19" s="6">
        <v>45664</v>
      </c>
      <c r="M19" s="6">
        <v>45664</v>
      </c>
      <c r="N19" s="5" t="s">
        <v>811</v>
      </c>
      <c r="O19" s="5" t="str">
        <f ca="1">IF(P19&lt;&gt;"EXPEDIÇÃO","Expedido",IF(NETWORKDAYS(C19,TODAY())&gt;=5,"Risco Alto",IF(NETWORKDAYS(C19,TODAY())&gt;=3,IF(NETWORKDAYS(C19,TODAY())&lt;5,"Risco Médio",""),IF(NETWORKDAYS(C19,TODAY())&lt;=2,"Risco Baixo",""))))</f>
        <v>Expedido</v>
      </c>
      <c r="P19" s="5" t="s">
        <v>25</v>
      </c>
      <c r="Q19" s="5" t="s">
        <v>898</v>
      </c>
      <c r="S19" s="7">
        <f>IF(ISBLANK(M19),"Aguardando Previsão/Data",NETWORKDAYS(L19,M19)-1)</f>
        <v>0</v>
      </c>
      <c r="T19" s="5" t="s">
        <v>942</v>
      </c>
    </row>
    <row r="20" spans="1:20" x14ac:dyDescent="0.35">
      <c r="A20" s="5">
        <v>8100269337</v>
      </c>
      <c r="B20" s="5">
        <v>17169</v>
      </c>
      <c r="C20" s="6">
        <v>45659</v>
      </c>
      <c r="D20" s="5" t="s">
        <v>51</v>
      </c>
      <c r="E20" s="5" t="s">
        <v>52</v>
      </c>
      <c r="F20" s="5" t="s">
        <v>58</v>
      </c>
      <c r="G20" s="5" t="s">
        <v>59</v>
      </c>
      <c r="H20" s="5" t="s">
        <v>21</v>
      </c>
      <c r="I20" s="5" t="s">
        <v>379</v>
      </c>
      <c r="J20" s="5" t="s">
        <v>262</v>
      </c>
      <c r="K20" s="5" t="s">
        <v>57</v>
      </c>
      <c r="L20" s="6">
        <v>45664</v>
      </c>
      <c r="M20" s="6">
        <v>45664</v>
      </c>
      <c r="N20" s="5" t="s">
        <v>811</v>
      </c>
      <c r="O20" s="5" t="str">
        <f ca="1">IF(P20&lt;&gt;"EXPEDIÇÃO","Expedido",IF(NETWORKDAYS(C20,TODAY())&gt;=5,"Risco Alto",IF(NETWORKDAYS(C20,TODAY())&gt;=3,IF(NETWORKDAYS(C20,TODAY())&lt;5,"Risco Médio",""),IF(NETWORKDAYS(C20,TODAY())&lt;=2,"Risco Baixo",""))))</f>
        <v>Expedido</v>
      </c>
      <c r="P20" s="5" t="s">
        <v>25</v>
      </c>
      <c r="Q20" s="5" t="s">
        <v>898</v>
      </c>
      <c r="S20" s="7">
        <f>IF(ISBLANK(M20),"Aguardando Previsão/Data",NETWORKDAYS(L20,M20)-1)</f>
        <v>0</v>
      </c>
      <c r="T20" s="5" t="s">
        <v>942</v>
      </c>
    </row>
    <row r="21" spans="1:20" x14ac:dyDescent="0.35">
      <c r="A21" s="5">
        <v>8100269338</v>
      </c>
      <c r="B21" s="5">
        <v>17171</v>
      </c>
      <c r="C21" s="6">
        <v>45659</v>
      </c>
      <c r="D21" s="5" t="s">
        <v>51</v>
      </c>
      <c r="E21" s="5" t="s">
        <v>52</v>
      </c>
      <c r="F21" s="5" t="s">
        <v>58</v>
      </c>
      <c r="G21" s="5" t="s">
        <v>59</v>
      </c>
      <c r="H21" s="5" t="s">
        <v>21</v>
      </c>
      <c r="I21" s="5" t="s">
        <v>410</v>
      </c>
      <c r="J21" s="5" t="s">
        <v>611</v>
      </c>
      <c r="K21" s="5" t="s">
        <v>57</v>
      </c>
      <c r="L21" s="6">
        <v>45665</v>
      </c>
      <c r="M21" s="6">
        <v>45663</v>
      </c>
      <c r="N21" s="5" t="s">
        <v>811</v>
      </c>
      <c r="O21" s="5" t="str">
        <f ca="1">IF(P21&lt;&gt;"EXPEDIÇÃO","Expedido",IF(NETWORKDAYS(C21,TODAY())&gt;=5,"Risco Alto",IF(NETWORKDAYS(C21,TODAY())&gt;=3,IF(NETWORKDAYS(C21,TODAY())&lt;5,"Risco Médio",""),IF(NETWORKDAYS(C21,TODAY())&lt;=2,"Risco Baixo",""))))</f>
        <v>Expedido</v>
      </c>
      <c r="P21" s="5" t="s">
        <v>25</v>
      </c>
      <c r="S21" s="7">
        <f>IF(ISBLANK(M21),"Aguardando Previsão/Data",NETWORKDAYS(L21,M21)-1)</f>
        <v>-4</v>
      </c>
      <c r="T21" s="5" t="s">
        <v>942</v>
      </c>
    </row>
    <row r="22" spans="1:20" x14ac:dyDescent="0.35">
      <c r="A22" s="5">
        <v>8100269339</v>
      </c>
      <c r="B22" s="5">
        <v>17172</v>
      </c>
      <c r="C22" s="6">
        <v>45659</v>
      </c>
      <c r="D22" s="5" t="s">
        <v>51</v>
      </c>
      <c r="E22" s="5" t="s">
        <v>52</v>
      </c>
      <c r="F22" s="5" t="s">
        <v>329</v>
      </c>
      <c r="G22" s="5" t="s">
        <v>330</v>
      </c>
      <c r="H22" s="5" t="s">
        <v>21</v>
      </c>
      <c r="I22" s="5" t="s">
        <v>769</v>
      </c>
      <c r="J22" s="5" t="s">
        <v>378</v>
      </c>
      <c r="K22" s="5" t="s">
        <v>57</v>
      </c>
      <c r="L22" s="6">
        <v>45666</v>
      </c>
      <c r="M22" s="6">
        <v>45663</v>
      </c>
      <c r="N22" s="5" t="s">
        <v>811</v>
      </c>
      <c r="O22" s="5" t="str">
        <f ca="1">IF(P22&lt;&gt;"EXPEDIÇÃO","Expedido",IF(NETWORKDAYS(C22,TODAY())&gt;=5,"Risco Alto",IF(NETWORKDAYS(C22,TODAY())&gt;=3,IF(NETWORKDAYS(C22,TODAY())&lt;5,"Risco Médio",""),IF(NETWORKDAYS(C22,TODAY())&lt;=2,"Risco Baixo",""))))</f>
        <v>Expedido</v>
      </c>
      <c r="P22" s="5" t="s">
        <v>25</v>
      </c>
      <c r="S22" s="7">
        <f>IF(ISBLANK(M22),"Aguardando Previsão/Data",NETWORKDAYS(L22,M22)-1)</f>
        <v>-5</v>
      </c>
      <c r="T22" s="5" t="s">
        <v>942</v>
      </c>
    </row>
    <row r="23" spans="1:20" x14ac:dyDescent="0.35">
      <c r="A23" s="5">
        <v>8100269340</v>
      </c>
      <c r="B23" s="5">
        <v>17173</v>
      </c>
      <c r="C23" s="6">
        <v>45659</v>
      </c>
      <c r="D23" s="5" t="s">
        <v>51</v>
      </c>
      <c r="E23" s="5" t="s">
        <v>52</v>
      </c>
      <c r="F23" s="5" t="s">
        <v>53</v>
      </c>
      <c r="G23" s="5" t="s">
        <v>54</v>
      </c>
      <c r="H23" s="5" t="s">
        <v>21</v>
      </c>
      <c r="I23" s="5" t="s">
        <v>73</v>
      </c>
      <c r="J23" s="5" t="s">
        <v>571</v>
      </c>
      <c r="K23" s="5" t="s">
        <v>57</v>
      </c>
      <c r="L23" s="6">
        <v>45666</v>
      </c>
      <c r="M23" s="6">
        <v>45663</v>
      </c>
      <c r="N23" s="5" t="s">
        <v>811</v>
      </c>
      <c r="O23" s="5" t="str">
        <f ca="1">IF(P23&lt;&gt;"EXPEDIÇÃO","Expedido",IF(NETWORKDAYS(C23,TODAY())&gt;=5,"Risco Alto",IF(NETWORKDAYS(C23,TODAY())&gt;=3,IF(NETWORKDAYS(C23,TODAY())&lt;5,"Risco Médio",""),IF(NETWORKDAYS(C23,TODAY())&lt;=2,"Risco Baixo",""))))</f>
        <v>Expedido</v>
      </c>
      <c r="P23" s="5" t="s">
        <v>25</v>
      </c>
      <c r="S23" s="7">
        <f>IF(ISBLANK(M23),"Aguardando Previsão/Data",NETWORKDAYS(L23,M23)-1)</f>
        <v>-5</v>
      </c>
      <c r="T23" s="5" t="s">
        <v>942</v>
      </c>
    </row>
    <row r="24" spans="1:20" x14ac:dyDescent="0.35">
      <c r="A24" s="5">
        <v>8100269341</v>
      </c>
      <c r="B24" s="5">
        <v>17175</v>
      </c>
      <c r="C24" s="6">
        <v>45659</v>
      </c>
      <c r="D24" s="5" t="s">
        <v>51</v>
      </c>
      <c r="E24" s="5" t="s">
        <v>52</v>
      </c>
      <c r="F24" s="5" t="s">
        <v>406</v>
      </c>
      <c r="G24" s="5" t="s">
        <v>407</v>
      </c>
      <c r="H24" s="5" t="s">
        <v>21</v>
      </c>
      <c r="I24" s="5" t="s">
        <v>1112</v>
      </c>
      <c r="J24" s="5" t="s">
        <v>265</v>
      </c>
      <c r="K24" s="5" t="s">
        <v>80</v>
      </c>
      <c r="L24" s="6">
        <v>45666</v>
      </c>
      <c r="M24" s="6">
        <v>45665</v>
      </c>
      <c r="N24" s="5" t="s">
        <v>811</v>
      </c>
      <c r="O24" s="5" t="str">
        <f ca="1">IF(P24&lt;&gt;"EXPEDIÇÃO","Expedido",IF(NETWORKDAYS(C24,TODAY())&gt;=5,"Risco Alto",IF(NETWORKDAYS(C24,TODAY())&gt;=3,IF(NETWORKDAYS(C24,TODAY())&lt;5,"Risco Médio",""),IF(NETWORKDAYS(C24,TODAY())&lt;=2,"Risco Baixo",""))))</f>
        <v>Expedido</v>
      </c>
      <c r="P24" s="5" t="s">
        <v>25</v>
      </c>
      <c r="S24" s="7">
        <f>IF(ISBLANK(M24),"Aguardando Previsão/Data",NETWORKDAYS(L24,M24)-1)</f>
        <v>-3</v>
      </c>
      <c r="T24" s="5" t="s">
        <v>942</v>
      </c>
    </row>
    <row r="25" spans="1:20" x14ac:dyDescent="0.35">
      <c r="A25" s="5">
        <v>8100269342</v>
      </c>
      <c r="B25" s="5">
        <v>17180</v>
      </c>
      <c r="C25" s="6">
        <v>45659</v>
      </c>
      <c r="D25" s="5" t="s">
        <v>51</v>
      </c>
      <c r="E25" s="5" t="s">
        <v>52</v>
      </c>
      <c r="F25" s="5" t="s">
        <v>406</v>
      </c>
      <c r="G25" s="5" t="s">
        <v>407</v>
      </c>
      <c r="H25" s="5" t="s">
        <v>21</v>
      </c>
      <c r="I25" s="5" t="s">
        <v>1027</v>
      </c>
      <c r="J25" s="5" t="s">
        <v>265</v>
      </c>
      <c r="K25" s="5" t="s">
        <v>80</v>
      </c>
      <c r="L25" s="6">
        <v>45666</v>
      </c>
      <c r="M25" s="6">
        <v>45665</v>
      </c>
      <c r="N25" s="5" t="s">
        <v>811</v>
      </c>
      <c r="O25" s="5" t="str">
        <f ca="1">IF(P25&lt;&gt;"EXPEDIÇÃO","Expedido",IF(NETWORKDAYS(C25,TODAY())&gt;=5,"Risco Alto",IF(NETWORKDAYS(C25,TODAY())&gt;=3,IF(NETWORKDAYS(C25,TODAY())&lt;5,"Risco Médio",""),IF(NETWORKDAYS(C25,TODAY())&lt;=2,"Risco Baixo",""))))</f>
        <v>Expedido</v>
      </c>
      <c r="P25" s="5" t="s">
        <v>25</v>
      </c>
      <c r="S25" s="7">
        <f>IF(ISBLANK(M25),"Aguardando Previsão/Data",NETWORKDAYS(L25,M25)-1)</f>
        <v>-3</v>
      </c>
      <c r="T25" s="5" t="s">
        <v>942</v>
      </c>
    </row>
    <row r="26" spans="1:20" x14ac:dyDescent="0.35">
      <c r="A26" s="5">
        <v>8100269343</v>
      </c>
      <c r="B26" s="5">
        <v>17182</v>
      </c>
      <c r="C26" s="6">
        <v>45659</v>
      </c>
      <c r="D26" s="5" t="s">
        <v>51</v>
      </c>
      <c r="E26" s="5" t="s">
        <v>52</v>
      </c>
      <c r="F26" s="5" t="s">
        <v>329</v>
      </c>
      <c r="G26" s="5" t="s">
        <v>330</v>
      </c>
      <c r="H26" s="5" t="s">
        <v>21</v>
      </c>
      <c r="I26" s="5" t="s">
        <v>82</v>
      </c>
      <c r="J26" s="5" t="s">
        <v>83</v>
      </c>
      <c r="K26" s="5" t="s">
        <v>57</v>
      </c>
      <c r="L26" s="6">
        <v>45665</v>
      </c>
      <c r="M26" s="6">
        <v>45664</v>
      </c>
      <c r="N26" s="5" t="s">
        <v>811</v>
      </c>
      <c r="O26" s="5" t="str">
        <f ca="1">IF(P26&lt;&gt;"EXPEDIÇÃO","Expedido",IF(NETWORKDAYS(C26,TODAY())&gt;=5,"Risco Alto",IF(NETWORKDAYS(C26,TODAY())&gt;=3,IF(NETWORKDAYS(C26,TODAY())&lt;5,"Risco Médio",""),IF(NETWORKDAYS(C26,TODAY())&lt;=2,"Risco Baixo",""))))</f>
        <v>Expedido</v>
      </c>
      <c r="P26" s="5" t="s">
        <v>25</v>
      </c>
      <c r="S26" s="7">
        <f>IF(ISBLANK(M26),"Aguardando Previsão/Data",NETWORKDAYS(L26,M26)-1)</f>
        <v>-3</v>
      </c>
      <c r="T26" s="5" t="s">
        <v>942</v>
      </c>
    </row>
    <row r="27" spans="1:20" x14ac:dyDescent="0.35">
      <c r="A27" s="5">
        <v>8100269344</v>
      </c>
      <c r="B27" s="5">
        <v>17179</v>
      </c>
      <c r="C27" s="6">
        <v>45659</v>
      </c>
      <c r="D27" s="5" t="s">
        <v>51</v>
      </c>
      <c r="E27" s="5" t="s">
        <v>52</v>
      </c>
      <c r="F27" s="5" t="s">
        <v>329</v>
      </c>
      <c r="G27" s="5" t="s">
        <v>330</v>
      </c>
      <c r="H27" s="5" t="s">
        <v>21</v>
      </c>
      <c r="I27" s="5" t="s">
        <v>82</v>
      </c>
      <c r="J27" s="5" t="s">
        <v>437</v>
      </c>
      <c r="K27" s="5" t="s">
        <v>57</v>
      </c>
      <c r="L27" s="6">
        <v>45665</v>
      </c>
      <c r="M27" s="6">
        <v>45665</v>
      </c>
      <c r="N27" s="5" t="s">
        <v>811</v>
      </c>
      <c r="O27" s="5" t="str">
        <f ca="1">IF(P27&lt;&gt;"EXPEDIÇÃO","Expedido",IF(NETWORKDAYS(C27,TODAY())&gt;=5,"Risco Alto",IF(NETWORKDAYS(C27,TODAY())&gt;=3,IF(NETWORKDAYS(C27,TODAY())&lt;5,"Risco Médio",""),IF(NETWORKDAYS(C27,TODAY())&lt;=2,"Risco Baixo",""))))</f>
        <v>Expedido</v>
      </c>
      <c r="P27" s="5" t="s">
        <v>25</v>
      </c>
      <c r="S27" s="7">
        <f>IF(ISBLANK(M27),"Aguardando Previsão/Data",NETWORKDAYS(L27,M27)-1)</f>
        <v>0</v>
      </c>
      <c r="T27" s="5" t="s">
        <v>942</v>
      </c>
    </row>
    <row r="28" spans="1:20" x14ac:dyDescent="0.35">
      <c r="A28" s="5">
        <v>8100269345</v>
      </c>
      <c r="B28" s="5">
        <v>17177</v>
      </c>
      <c r="C28" s="6">
        <v>45659</v>
      </c>
      <c r="D28" s="5" t="s">
        <v>51</v>
      </c>
      <c r="E28" s="5" t="s">
        <v>52</v>
      </c>
      <c r="F28" s="5" t="s">
        <v>329</v>
      </c>
      <c r="G28" s="5" t="s">
        <v>330</v>
      </c>
      <c r="H28" s="5" t="s">
        <v>21</v>
      </c>
      <c r="I28" s="5" t="s">
        <v>82</v>
      </c>
      <c r="J28" s="5" t="s">
        <v>855</v>
      </c>
      <c r="K28" s="5" t="s">
        <v>57</v>
      </c>
      <c r="L28" s="6">
        <v>45665</v>
      </c>
      <c r="M28" s="6">
        <v>45663</v>
      </c>
      <c r="N28" s="5" t="s">
        <v>811</v>
      </c>
      <c r="O28" s="5" t="str">
        <f ca="1">IF(P28&lt;&gt;"EXPEDIÇÃO","Expedido",IF(NETWORKDAYS(C28,TODAY())&gt;=5,"Risco Alto",IF(NETWORKDAYS(C28,TODAY())&gt;=3,IF(NETWORKDAYS(C28,TODAY())&lt;5,"Risco Médio",""),IF(NETWORKDAYS(C28,TODAY())&lt;=2,"Risco Baixo",""))))</f>
        <v>Expedido</v>
      </c>
      <c r="P28" s="5" t="s">
        <v>25</v>
      </c>
      <c r="S28" s="7">
        <f>IF(ISBLANK(M28),"Aguardando Previsão/Data",NETWORKDAYS(L28,M28)-1)</f>
        <v>-4</v>
      </c>
      <c r="T28" s="5" t="s">
        <v>942</v>
      </c>
    </row>
    <row r="29" spans="1:20" x14ac:dyDescent="0.35">
      <c r="A29" s="5">
        <v>8100269346</v>
      </c>
      <c r="B29" s="5">
        <v>17178</v>
      </c>
      <c r="C29" s="6">
        <v>45659</v>
      </c>
      <c r="D29" s="5" t="s">
        <v>51</v>
      </c>
      <c r="E29" s="5" t="s">
        <v>52</v>
      </c>
      <c r="F29" s="5" t="s">
        <v>329</v>
      </c>
      <c r="G29" s="5" t="s">
        <v>330</v>
      </c>
      <c r="H29" s="5" t="s">
        <v>21</v>
      </c>
      <c r="I29" s="5" t="s">
        <v>82</v>
      </c>
      <c r="J29" s="5" t="s">
        <v>351</v>
      </c>
      <c r="K29" s="5" t="s">
        <v>57</v>
      </c>
      <c r="L29" s="6">
        <v>45665</v>
      </c>
      <c r="M29" s="6">
        <v>45664</v>
      </c>
      <c r="N29" s="5" t="s">
        <v>811</v>
      </c>
      <c r="O29" s="5" t="str">
        <f ca="1">IF(P29&lt;&gt;"EXPEDIÇÃO","Expedido",IF(NETWORKDAYS(C29,TODAY())&gt;=5,"Risco Alto",IF(NETWORKDAYS(C29,TODAY())&gt;=3,IF(NETWORKDAYS(C29,TODAY())&lt;5,"Risco Médio",""),IF(NETWORKDAYS(C29,TODAY())&lt;=2,"Risco Baixo",""))))</f>
        <v>Expedido</v>
      </c>
      <c r="P29" s="5" t="s">
        <v>25</v>
      </c>
      <c r="S29" s="7">
        <f>IF(ISBLANK(M29),"Aguardando Previsão/Data",NETWORKDAYS(L29,M29)-1)</f>
        <v>-3</v>
      </c>
      <c r="T29" s="5" t="s">
        <v>942</v>
      </c>
    </row>
    <row r="30" spans="1:20" x14ac:dyDescent="0.35">
      <c r="A30" s="5">
        <v>8100269347</v>
      </c>
      <c r="B30" s="5">
        <v>17181</v>
      </c>
      <c r="C30" s="6">
        <v>45659</v>
      </c>
      <c r="D30" s="5" t="s">
        <v>51</v>
      </c>
      <c r="E30" s="5" t="s">
        <v>52</v>
      </c>
      <c r="F30" s="5" t="s">
        <v>329</v>
      </c>
      <c r="G30" s="5" t="s">
        <v>330</v>
      </c>
      <c r="H30" s="5" t="s">
        <v>21</v>
      </c>
      <c r="I30" s="5" t="s">
        <v>554</v>
      </c>
      <c r="J30" s="5" t="s">
        <v>378</v>
      </c>
      <c r="K30" s="5" t="s">
        <v>57</v>
      </c>
      <c r="L30" s="6">
        <v>45666</v>
      </c>
      <c r="M30" s="6">
        <v>45663</v>
      </c>
      <c r="N30" s="5" t="s">
        <v>811</v>
      </c>
      <c r="O30" s="5" t="str">
        <f ca="1">IF(P30&lt;&gt;"EXPEDIÇÃO","Expedido",IF(NETWORKDAYS(C30,TODAY())&gt;=5,"Risco Alto",IF(NETWORKDAYS(C30,TODAY())&gt;=3,IF(NETWORKDAYS(C30,TODAY())&lt;5,"Risco Médio",""),IF(NETWORKDAYS(C30,TODAY())&lt;=2,"Risco Baixo",""))))</f>
        <v>Expedido</v>
      </c>
      <c r="P30" s="5" t="s">
        <v>25</v>
      </c>
      <c r="S30" s="7">
        <f>IF(ISBLANK(M30),"Aguardando Previsão/Data",NETWORKDAYS(L30,M30)-1)</f>
        <v>-5</v>
      </c>
      <c r="T30" s="5" t="s">
        <v>942</v>
      </c>
    </row>
    <row r="31" spans="1:20" x14ac:dyDescent="0.35">
      <c r="A31" s="5">
        <v>8100269348</v>
      </c>
      <c r="B31" s="5">
        <v>17183</v>
      </c>
      <c r="C31" s="6">
        <v>45659</v>
      </c>
      <c r="D31" s="5" t="s">
        <v>51</v>
      </c>
      <c r="E31" s="5" t="s">
        <v>52</v>
      </c>
      <c r="F31" s="5" t="s">
        <v>329</v>
      </c>
      <c r="G31" s="5" t="s">
        <v>330</v>
      </c>
      <c r="H31" s="5" t="s">
        <v>21</v>
      </c>
      <c r="I31" s="5" t="s">
        <v>554</v>
      </c>
      <c r="J31" s="5" t="s">
        <v>529</v>
      </c>
      <c r="K31" s="5" t="s">
        <v>57</v>
      </c>
      <c r="L31" s="6">
        <v>45666</v>
      </c>
      <c r="M31" s="6">
        <v>45663</v>
      </c>
      <c r="N31" s="5" t="s">
        <v>811</v>
      </c>
      <c r="O31" s="5" t="str">
        <f ca="1">IF(P31&lt;&gt;"EXPEDIÇÃO","Expedido",IF(NETWORKDAYS(C31,TODAY())&gt;=5,"Risco Alto",IF(NETWORKDAYS(C31,TODAY())&gt;=3,IF(NETWORKDAYS(C31,TODAY())&lt;5,"Risco Médio",""),IF(NETWORKDAYS(C31,TODAY())&lt;=2,"Risco Baixo",""))))</f>
        <v>Expedido</v>
      </c>
      <c r="P31" s="5" t="s">
        <v>25</v>
      </c>
      <c r="S31" s="7">
        <f>IF(ISBLANK(M31),"Aguardando Previsão/Data",NETWORKDAYS(L31,M31)-1)</f>
        <v>-5</v>
      </c>
      <c r="T31" s="5" t="s">
        <v>942</v>
      </c>
    </row>
    <row r="32" spans="1:20" x14ac:dyDescent="0.35">
      <c r="A32" s="5">
        <v>8100269349</v>
      </c>
      <c r="B32" s="5">
        <v>17191</v>
      </c>
      <c r="C32" s="6">
        <v>45659</v>
      </c>
      <c r="D32" s="5" t="s">
        <v>51</v>
      </c>
      <c r="E32" s="5" t="s">
        <v>52</v>
      </c>
      <c r="F32" s="5" t="s">
        <v>53</v>
      </c>
      <c r="G32" s="5" t="s">
        <v>54</v>
      </c>
      <c r="H32" s="5" t="s">
        <v>21</v>
      </c>
      <c r="I32" s="5" t="s">
        <v>64</v>
      </c>
      <c r="J32" s="5" t="s">
        <v>65</v>
      </c>
      <c r="K32" s="5" t="s">
        <v>57</v>
      </c>
      <c r="L32" s="6">
        <v>45664</v>
      </c>
      <c r="M32" s="6">
        <v>45663</v>
      </c>
      <c r="N32" s="5" t="s">
        <v>811</v>
      </c>
      <c r="O32" s="5" t="str">
        <f ca="1">IF(P32&lt;&gt;"EXPEDIÇÃO","Expedido",IF(NETWORKDAYS(C32,TODAY())&gt;=5,"Risco Alto",IF(NETWORKDAYS(C32,TODAY())&gt;=3,IF(NETWORKDAYS(C32,TODAY())&lt;5,"Risco Médio",""),IF(NETWORKDAYS(C32,TODAY())&lt;=2,"Risco Baixo",""))))</f>
        <v>Expedido</v>
      </c>
      <c r="P32" s="5" t="s">
        <v>25</v>
      </c>
      <c r="Q32" s="5" t="s">
        <v>803</v>
      </c>
      <c r="S32" s="7">
        <f>IF(ISBLANK(M32),"Aguardando Previsão/Data",NETWORKDAYS(L32,M32)-1)</f>
        <v>-3</v>
      </c>
      <c r="T32" s="5" t="s">
        <v>942</v>
      </c>
    </row>
    <row r="33" spans="1:20" x14ac:dyDescent="0.35">
      <c r="A33" s="5">
        <v>8100269350</v>
      </c>
      <c r="B33" s="5">
        <v>17195</v>
      </c>
      <c r="C33" s="6">
        <v>45659</v>
      </c>
      <c r="D33" s="5" t="s">
        <v>51</v>
      </c>
      <c r="E33" s="5" t="s">
        <v>52</v>
      </c>
      <c r="F33" s="5" t="s">
        <v>53</v>
      </c>
      <c r="G33" s="5" t="s">
        <v>54</v>
      </c>
      <c r="H33" s="5" t="s">
        <v>21</v>
      </c>
      <c r="I33" s="5" t="s">
        <v>64</v>
      </c>
      <c r="J33" s="5" t="s">
        <v>65</v>
      </c>
      <c r="K33" s="5" t="s">
        <v>57</v>
      </c>
      <c r="L33" s="6">
        <v>45664</v>
      </c>
      <c r="M33" s="6">
        <v>45663</v>
      </c>
      <c r="N33" s="5" t="s">
        <v>811</v>
      </c>
      <c r="O33" s="5" t="str">
        <f ca="1">IF(P33&lt;&gt;"EXPEDIÇÃO","Expedido",IF(NETWORKDAYS(C33,TODAY())&gt;=5,"Risco Alto",IF(NETWORKDAYS(C33,TODAY())&gt;=3,IF(NETWORKDAYS(C33,TODAY())&lt;5,"Risco Médio",""),IF(NETWORKDAYS(C33,TODAY())&lt;=2,"Risco Baixo",""))))</f>
        <v>Expedido</v>
      </c>
      <c r="P33" s="5" t="s">
        <v>25</v>
      </c>
      <c r="Q33" s="5" t="s">
        <v>803</v>
      </c>
      <c r="S33" s="7">
        <f>IF(ISBLANK(M33),"Aguardando Previsão/Data",NETWORKDAYS(L33,M33)-1)</f>
        <v>-3</v>
      </c>
      <c r="T33" s="5" t="s">
        <v>942</v>
      </c>
    </row>
    <row r="34" spans="1:20" x14ac:dyDescent="0.35">
      <c r="A34" s="5">
        <v>8100269351</v>
      </c>
      <c r="B34" s="5">
        <v>17192</v>
      </c>
      <c r="C34" s="6">
        <v>45659</v>
      </c>
      <c r="D34" s="5" t="s">
        <v>51</v>
      </c>
      <c r="E34" s="5" t="s">
        <v>52</v>
      </c>
      <c r="F34" s="5" t="s">
        <v>329</v>
      </c>
      <c r="G34" s="5" t="s">
        <v>330</v>
      </c>
      <c r="H34" s="5" t="s">
        <v>21</v>
      </c>
      <c r="I34" s="5" t="s">
        <v>82</v>
      </c>
      <c r="J34" s="5" t="s">
        <v>83</v>
      </c>
      <c r="K34" s="5" t="s">
        <v>57</v>
      </c>
      <c r="L34" s="6">
        <v>45665</v>
      </c>
      <c r="M34" s="6">
        <v>45663</v>
      </c>
      <c r="N34" s="5" t="s">
        <v>811</v>
      </c>
      <c r="O34" s="5" t="str">
        <f ca="1">IF(P34&lt;&gt;"EXPEDIÇÃO","Expedido",IF(NETWORKDAYS(C34,TODAY())&gt;=5,"Risco Alto",IF(NETWORKDAYS(C34,TODAY())&gt;=3,IF(NETWORKDAYS(C34,TODAY())&lt;5,"Risco Médio",""),IF(NETWORKDAYS(C34,TODAY())&lt;=2,"Risco Baixo",""))))</f>
        <v>Expedido</v>
      </c>
      <c r="P34" s="5" t="s">
        <v>25</v>
      </c>
      <c r="Q34" s="5" t="s">
        <v>803</v>
      </c>
      <c r="S34" s="7">
        <f>IF(ISBLANK(M34),"Aguardando Previsão/Data",NETWORKDAYS(L34,M34)-1)</f>
        <v>-4</v>
      </c>
      <c r="T34" s="5" t="s">
        <v>942</v>
      </c>
    </row>
    <row r="35" spans="1:20" x14ac:dyDescent="0.35">
      <c r="A35" s="5">
        <v>8100269352</v>
      </c>
      <c r="B35" s="5">
        <v>17188</v>
      </c>
      <c r="C35" s="6">
        <v>45659</v>
      </c>
      <c r="D35" s="5" t="s">
        <v>51</v>
      </c>
      <c r="E35" s="5" t="s">
        <v>52</v>
      </c>
      <c r="F35" s="5" t="s">
        <v>329</v>
      </c>
      <c r="G35" s="5" t="s">
        <v>330</v>
      </c>
      <c r="H35" s="5" t="s">
        <v>21</v>
      </c>
      <c r="I35" s="5" t="s">
        <v>82</v>
      </c>
      <c r="J35" s="5" t="s">
        <v>855</v>
      </c>
      <c r="K35" s="5" t="s">
        <v>57</v>
      </c>
      <c r="L35" s="6">
        <v>45665</v>
      </c>
      <c r="M35" s="6">
        <v>45663</v>
      </c>
      <c r="N35" s="5" t="s">
        <v>811</v>
      </c>
      <c r="O35" s="5" t="str">
        <f ca="1">IF(P35&lt;&gt;"EXPEDIÇÃO","Expedido",IF(NETWORKDAYS(C35,TODAY())&gt;=5,"Risco Alto",IF(NETWORKDAYS(C35,TODAY())&gt;=3,IF(NETWORKDAYS(C35,TODAY())&lt;5,"Risco Médio",""),IF(NETWORKDAYS(C35,TODAY())&lt;=2,"Risco Baixo",""))))</f>
        <v>Expedido</v>
      </c>
      <c r="P35" s="5" t="s">
        <v>25</v>
      </c>
      <c r="S35" s="7">
        <f>IF(ISBLANK(M35),"Aguardando Previsão/Data",NETWORKDAYS(L35,M35)-1)</f>
        <v>-4</v>
      </c>
      <c r="T35" s="5" t="s">
        <v>942</v>
      </c>
    </row>
    <row r="36" spans="1:20" x14ac:dyDescent="0.35">
      <c r="A36" s="5">
        <v>8100269353</v>
      </c>
      <c r="B36" s="5">
        <v>17190</v>
      </c>
      <c r="C36" s="6">
        <v>45659</v>
      </c>
      <c r="D36" s="5" t="s">
        <v>51</v>
      </c>
      <c r="E36" s="5" t="s">
        <v>52</v>
      </c>
      <c r="F36" s="5" t="s">
        <v>329</v>
      </c>
      <c r="G36" s="5" t="s">
        <v>330</v>
      </c>
      <c r="H36" s="5" t="s">
        <v>21</v>
      </c>
      <c r="I36" s="5" t="s">
        <v>82</v>
      </c>
      <c r="J36" s="5" t="s">
        <v>351</v>
      </c>
      <c r="K36" s="5" t="s">
        <v>57</v>
      </c>
      <c r="L36" s="6">
        <v>45665</v>
      </c>
      <c r="M36" s="6">
        <v>45663</v>
      </c>
      <c r="N36" s="5" t="s">
        <v>811</v>
      </c>
      <c r="O36" s="5" t="str">
        <f ca="1">IF(P36&lt;&gt;"EXPEDIÇÃO","Expedido",IF(NETWORKDAYS(C36,TODAY())&gt;=5,"Risco Alto",IF(NETWORKDAYS(C36,TODAY())&gt;=3,IF(NETWORKDAYS(C36,TODAY())&lt;5,"Risco Médio",""),IF(NETWORKDAYS(C36,TODAY())&lt;=2,"Risco Baixo",""))))</f>
        <v>Expedido</v>
      </c>
      <c r="P36" s="5" t="s">
        <v>25</v>
      </c>
      <c r="S36" s="7">
        <f>IF(ISBLANK(M36),"Aguardando Previsão/Data",NETWORKDAYS(L36,M36)-1)</f>
        <v>-4</v>
      </c>
      <c r="T36" s="5" t="s">
        <v>942</v>
      </c>
    </row>
    <row r="37" spans="1:20" x14ac:dyDescent="0.35">
      <c r="A37" s="5">
        <v>8100269354</v>
      </c>
      <c r="B37" s="5">
        <v>17193</v>
      </c>
      <c r="C37" s="6">
        <v>45659</v>
      </c>
      <c r="D37" s="5" t="s">
        <v>51</v>
      </c>
      <c r="E37" s="5" t="s">
        <v>52</v>
      </c>
      <c r="F37" s="5" t="s">
        <v>66</v>
      </c>
      <c r="G37" s="5" t="s">
        <v>67</v>
      </c>
      <c r="H37" s="5" t="s">
        <v>21</v>
      </c>
      <c r="I37" s="5" t="s">
        <v>82</v>
      </c>
      <c r="J37" s="5" t="s">
        <v>83</v>
      </c>
      <c r="K37" s="5" t="s">
        <v>57</v>
      </c>
      <c r="L37" s="6">
        <v>45665</v>
      </c>
      <c r="M37" s="6">
        <v>45663</v>
      </c>
      <c r="N37" s="5" t="s">
        <v>811</v>
      </c>
      <c r="O37" s="5" t="str">
        <f ca="1">IF(P37&lt;&gt;"EXPEDIÇÃO","Expedido",IF(NETWORKDAYS(C37,TODAY())&gt;=5,"Risco Alto",IF(NETWORKDAYS(C37,TODAY())&gt;=3,IF(NETWORKDAYS(C37,TODAY())&lt;5,"Risco Médio",""),IF(NETWORKDAYS(C37,TODAY())&lt;=2,"Risco Baixo",""))))</f>
        <v>Expedido</v>
      </c>
      <c r="P37" s="5" t="s">
        <v>25</v>
      </c>
      <c r="S37" s="7">
        <f>IF(ISBLANK(M37),"Aguardando Previsão/Data",NETWORKDAYS(L37,M37)-1)</f>
        <v>-4</v>
      </c>
      <c r="T37" s="5" t="s">
        <v>942</v>
      </c>
    </row>
    <row r="38" spans="1:20" x14ac:dyDescent="0.35">
      <c r="A38" s="5">
        <v>8100269355</v>
      </c>
      <c r="B38" s="5">
        <v>17176</v>
      </c>
      <c r="C38" s="6">
        <v>45659</v>
      </c>
      <c r="D38" s="5" t="s">
        <v>51</v>
      </c>
      <c r="E38" s="5" t="s">
        <v>52</v>
      </c>
      <c r="F38" s="5" t="s">
        <v>66</v>
      </c>
      <c r="G38" s="5" t="s">
        <v>67</v>
      </c>
      <c r="H38" s="5" t="s">
        <v>21</v>
      </c>
      <c r="I38" s="5" t="s">
        <v>438</v>
      </c>
      <c r="J38" s="5" t="s">
        <v>439</v>
      </c>
      <c r="K38" s="5" t="s">
        <v>57</v>
      </c>
      <c r="L38" s="6">
        <v>45665</v>
      </c>
      <c r="M38" s="6">
        <v>45664</v>
      </c>
      <c r="N38" s="5" t="s">
        <v>811</v>
      </c>
      <c r="O38" s="5" t="str">
        <f ca="1">IF(P38&lt;&gt;"EXPEDIÇÃO","Expedido",IF(NETWORKDAYS(C38,TODAY())&gt;=5,"Risco Alto",IF(NETWORKDAYS(C38,TODAY())&gt;=3,IF(NETWORKDAYS(C38,TODAY())&lt;5,"Risco Médio",""),IF(NETWORKDAYS(C38,TODAY())&lt;=2,"Risco Baixo",""))))</f>
        <v>Expedido</v>
      </c>
      <c r="P38" s="5" t="s">
        <v>25</v>
      </c>
      <c r="S38" s="7">
        <f>IF(ISBLANK(M38),"Aguardando Previsão/Data",NETWORKDAYS(L38,M38)-1)</f>
        <v>-3</v>
      </c>
      <c r="T38" s="5" t="s">
        <v>942</v>
      </c>
    </row>
    <row r="39" spans="1:20" x14ac:dyDescent="0.35">
      <c r="A39" s="5">
        <v>8100269356</v>
      </c>
      <c r="B39" s="5">
        <v>17184</v>
      </c>
      <c r="C39" s="6">
        <v>45659</v>
      </c>
      <c r="D39" s="5" t="s">
        <v>51</v>
      </c>
      <c r="E39" s="5" t="s">
        <v>52</v>
      </c>
      <c r="F39" s="5" t="s">
        <v>66</v>
      </c>
      <c r="G39" s="5" t="s">
        <v>67</v>
      </c>
      <c r="H39" s="5" t="s">
        <v>21</v>
      </c>
      <c r="I39" s="5" t="s">
        <v>1046</v>
      </c>
      <c r="J39" s="5" t="s">
        <v>468</v>
      </c>
      <c r="K39" s="5" t="s">
        <v>57</v>
      </c>
      <c r="L39" s="6">
        <v>45666</v>
      </c>
      <c r="M39" s="6">
        <v>45665</v>
      </c>
      <c r="N39" s="5" t="s">
        <v>811</v>
      </c>
      <c r="O39" s="5" t="str">
        <f ca="1">IF(P39&lt;&gt;"EXPEDIÇÃO","Expedido",IF(NETWORKDAYS(C39,TODAY())&gt;=5,"Risco Alto",IF(NETWORKDAYS(C39,TODAY())&gt;=3,IF(NETWORKDAYS(C39,TODAY())&lt;5,"Risco Médio",""),IF(NETWORKDAYS(C39,TODAY())&lt;=2,"Risco Baixo",""))))</f>
        <v>Expedido</v>
      </c>
      <c r="P39" s="5" t="s">
        <v>25</v>
      </c>
      <c r="S39" s="7">
        <f>IF(ISBLANK(M39),"Aguardando Previsão/Data",NETWORKDAYS(L39,M39)-1)</f>
        <v>-3</v>
      </c>
      <c r="T39" s="5" t="s">
        <v>942</v>
      </c>
    </row>
    <row r="40" spans="1:20" x14ac:dyDescent="0.35">
      <c r="A40" s="5">
        <v>8100269357</v>
      </c>
      <c r="B40" s="5">
        <v>17186</v>
      </c>
      <c r="C40" s="6">
        <v>45659</v>
      </c>
      <c r="D40" s="5" t="s">
        <v>51</v>
      </c>
      <c r="E40" s="5" t="s">
        <v>52</v>
      </c>
      <c r="F40" s="5" t="s">
        <v>329</v>
      </c>
      <c r="G40" s="5" t="s">
        <v>330</v>
      </c>
      <c r="H40" s="5" t="s">
        <v>21</v>
      </c>
      <c r="I40" s="5" t="s">
        <v>610</v>
      </c>
      <c r="J40" s="5" t="s">
        <v>611</v>
      </c>
      <c r="K40" s="5" t="s">
        <v>57</v>
      </c>
      <c r="L40" s="6">
        <v>45665</v>
      </c>
      <c r="M40" s="6">
        <v>45663</v>
      </c>
      <c r="N40" s="5" t="s">
        <v>811</v>
      </c>
      <c r="O40" s="5" t="str">
        <f ca="1">IF(P40&lt;&gt;"EXPEDIÇÃO","Expedido",IF(NETWORKDAYS(C40,TODAY())&gt;=5,"Risco Alto",IF(NETWORKDAYS(C40,TODAY())&gt;=3,IF(NETWORKDAYS(C40,TODAY())&lt;5,"Risco Médio",""),IF(NETWORKDAYS(C40,TODAY())&lt;=2,"Risco Baixo",""))))</f>
        <v>Expedido</v>
      </c>
      <c r="P40" s="5" t="s">
        <v>25</v>
      </c>
      <c r="S40" s="7">
        <f>IF(ISBLANK(M40),"Aguardando Previsão/Data",NETWORKDAYS(L40,M40)-1)</f>
        <v>-4</v>
      </c>
      <c r="T40" s="5" t="s">
        <v>942</v>
      </c>
    </row>
    <row r="41" spans="1:20" x14ac:dyDescent="0.35">
      <c r="A41" s="5">
        <v>8100269358</v>
      </c>
      <c r="B41" s="5">
        <v>17185</v>
      </c>
      <c r="C41" s="6">
        <v>45659</v>
      </c>
      <c r="D41" s="5" t="s">
        <v>51</v>
      </c>
      <c r="E41" s="5" t="s">
        <v>52</v>
      </c>
      <c r="F41" s="5" t="s">
        <v>66</v>
      </c>
      <c r="G41" s="5" t="s">
        <v>67</v>
      </c>
      <c r="H41" s="5" t="s">
        <v>21</v>
      </c>
      <c r="I41" s="5" t="s">
        <v>304</v>
      </c>
      <c r="J41" s="5" t="s">
        <v>65</v>
      </c>
      <c r="K41" s="5" t="s">
        <v>57</v>
      </c>
      <c r="L41" s="6">
        <v>45664</v>
      </c>
      <c r="M41" s="6">
        <v>45663</v>
      </c>
      <c r="N41" s="5" t="s">
        <v>811</v>
      </c>
      <c r="O41" s="5" t="str">
        <f ca="1">IF(P41&lt;&gt;"EXPEDIÇÃO","Expedido",IF(NETWORKDAYS(C41,TODAY())&gt;=5,"Risco Alto",IF(NETWORKDAYS(C41,TODAY())&gt;=3,IF(NETWORKDAYS(C41,TODAY())&lt;5,"Risco Médio",""),IF(NETWORKDAYS(C41,TODAY())&lt;=2,"Risco Baixo",""))))</f>
        <v>Expedido</v>
      </c>
      <c r="P41" s="5" t="s">
        <v>25</v>
      </c>
      <c r="S41" s="7">
        <f>IF(ISBLANK(M41),"Aguardando Previsão/Data",NETWORKDAYS(L41,M41)-1)</f>
        <v>-3</v>
      </c>
      <c r="T41" s="5" t="s">
        <v>942</v>
      </c>
    </row>
    <row r="42" spans="1:20" x14ac:dyDescent="0.35">
      <c r="A42" s="5">
        <v>8100269359</v>
      </c>
      <c r="B42" s="5">
        <v>17194</v>
      </c>
      <c r="C42" s="6">
        <v>45659</v>
      </c>
      <c r="D42" s="5" t="s">
        <v>51</v>
      </c>
      <c r="E42" s="5" t="s">
        <v>52</v>
      </c>
      <c r="F42" s="5" t="s">
        <v>66</v>
      </c>
      <c r="G42" s="5" t="s">
        <v>67</v>
      </c>
      <c r="H42" s="5" t="s">
        <v>21</v>
      </c>
      <c r="I42" s="5" t="s">
        <v>434</v>
      </c>
      <c r="J42" s="5" t="s">
        <v>435</v>
      </c>
      <c r="K42" s="5" t="s">
        <v>57</v>
      </c>
      <c r="L42" s="6">
        <v>45666</v>
      </c>
      <c r="M42" s="6">
        <v>45663</v>
      </c>
      <c r="N42" s="5" t="s">
        <v>811</v>
      </c>
      <c r="O42" s="5" t="str">
        <f ca="1">IF(P42&lt;&gt;"EXPEDIÇÃO","Expedido",IF(NETWORKDAYS(C42,TODAY())&gt;=5,"Risco Alto",IF(NETWORKDAYS(C42,TODAY())&gt;=3,IF(NETWORKDAYS(C42,TODAY())&lt;5,"Risco Médio",""),IF(NETWORKDAYS(C42,TODAY())&lt;=2,"Risco Baixo",""))))</f>
        <v>Expedido</v>
      </c>
      <c r="P42" s="5" t="s">
        <v>25</v>
      </c>
      <c r="S42" s="7">
        <f>IF(ISBLANK(M42),"Aguardando Previsão/Data",NETWORKDAYS(L42,M42)-1)</f>
        <v>-5</v>
      </c>
      <c r="T42" s="5" t="s">
        <v>942</v>
      </c>
    </row>
    <row r="43" spans="1:20" x14ac:dyDescent="0.35">
      <c r="A43" s="5">
        <v>8100269360</v>
      </c>
      <c r="B43" s="5">
        <v>17187</v>
      </c>
      <c r="C43" s="6">
        <v>45659</v>
      </c>
      <c r="D43" s="5" t="s">
        <v>51</v>
      </c>
      <c r="E43" s="5" t="s">
        <v>52</v>
      </c>
      <c r="F43" s="5" t="s">
        <v>66</v>
      </c>
      <c r="G43" s="5" t="s">
        <v>67</v>
      </c>
      <c r="H43" s="5" t="s">
        <v>21</v>
      </c>
      <c r="I43" s="5" t="s">
        <v>89</v>
      </c>
      <c r="J43" s="5" t="s">
        <v>90</v>
      </c>
      <c r="K43" s="5" t="s">
        <v>57</v>
      </c>
      <c r="L43" s="6">
        <v>45667</v>
      </c>
      <c r="M43" s="6">
        <v>45663</v>
      </c>
      <c r="N43" s="5" t="s">
        <v>811</v>
      </c>
      <c r="O43" s="5" t="str">
        <f ca="1">IF(P43&lt;&gt;"EXPEDIÇÃO","Expedido",IF(NETWORKDAYS(C43,TODAY())&gt;=5,"Risco Alto",IF(NETWORKDAYS(C43,TODAY())&gt;=3,IF(NETWORKDAYS(C43,TODAY())&lt;5,"Risco Médio",""),IF(NETWORKDAYS(C43,TODAY())&lt;=2,"Risco Baixo",""))))</f>
        <v>Expedido</v>
      </c>
      <c r="P43" s="5" t="s">
        <v>25</v>
      </c>
      <c r="S43" s="7">
        <f>IF(ISBLANK(M43),"Aguardando Previsão/Data",NETWORKDAYS(L43,M43)-1)</f>
        <v>-6</v>
      </c>
      <c r="T43" s="5" t="s">
        <v>942</v>
      </c>
    </row>
    <row r="44" spans="1:20" x14ac:dyDescent="0.35">
      <c r="A44" s="5">
        <v>8100269361</v>
      </c>
      <c r="B44" s="5">
        <v>17189</v>
      </c>
      <c r="C44" s="6">
        <v>45659</v>
      </c>
      <c r="D44" s="5" t="s">
        <v>51</v>
      </c>
      <c r="E44" s="5" t="s">
        <v>52</v>
      </c>
      <c r="F44" s="5" t="s">
        <v>66</v>
      </c>
      <c r="G44" s="5" t="s">
        <v>67</v>
      </c>
      <c r="H44" s="5" t="s">
        <v>21</v>
      </c>
      <c r="I44" s="5" t="s">
        <v>528</v>
      </c>
      <c r="J44" s="5" t="s">
        <v>268</v>
      </c>
      <c r="K44" s="5" t="s">
        <v>57</v>
      </c>
      <c r="L44" s="6">
        <v>45667</v>
      </c>
      <c r="M44" s="6">
        <v>45665</v>
      </c>
      <c r="N44" s="5" t="s">
        <v>811</v>
      </c>
      <c r="O44" s="5" t="str">
        <f ca="1">IF(P44&lt;&gt;"EXPEDIÇÃO","Expedido",IF(NETWORKDAYS(C44,TODAY())&gt;=5,"Risco Alto",IF(NETWORKDAYS(C44,TODAY())&gt;=3,IF(NETWORKDAYS(C44,TODAY())&lt;5,"Risco Médio",""),IF(NETWORKDAYS(C44,TODAY())&lt;=2,"Risco Baixo",""))))</f>
        <v>Expedido</v>
      </c>
      <c r="P44" s="5" t="s">
        <v>25</v>
      </c>
      <c r="S44" s="7">
        <f>IF(ISBLANK(M44),"Aguardando Previsão/Data",NETWORKDAYS(L44,M44)-1)</f>
        <v>-4</v>
      </c>
      <c r="T44" s="5" t="s">
        <v>942</v>
      </c>
    </row>
    <row r="45" spans="1:20" x14ac:dyDescent="0.35">
      <c r="A45" s="5">
        <v>8100269362</v>
      </c>
      <c r="B45" s="5">
        <v>17165</v>
      </c>
      <c r="C45" s="6">
        <v>45659</v>
      </c>
      <c r="D45" s="5" t="s">
        <v>51</v>
      </c>
      <c r="E45" s="5" t="s">
        <v>52</v>
      </c>
      <c r="F45" s="5" t="s">
        <v>111</v>
      </c>
      <c r="G45" s="5" t="s">
        <v>112</v>
      </c>
      <c r="H45" s="5" t="s">
        <v>21</v>
      </c>
      <c r="I45" s="5" t="s">
        <v>266</v>
      </c>
      <c r="J45" s="5" t="s">
        <v>267</v>
      </c>
      <c r="K45" s="5" t="s">
        <v>57</v>
      </c>
      <c r="L45" s="6">
        <v>45664</v>
      </c>
      <c r="M45" s="6">
        <v>45663</v>
      </c>
      <c r="N45" s="5" t="s">
        <v>811</v>
      </c>
      <c r="O45" s="5" t="str">
        <f ca="1">IF(P45&lt;&gt;"EXPEDIÇÃO","Expedido",IF(NETWORKDAYS(C45,TODAY())&gt;=5,"Risco Alto",IF(NETWORKDAYS(C45,TODAY())&gt;=3,IF(NETWORKDAYS(C45,TODAY())&lt;5,"Risco Médio",""),IF(NETWORKDAYS(C45,TODAY())&lt;=2,"Risco Baixo",""))))</f>
        <v>Expedido</v>
      </c>
      <c r="P45" s="5" t="s">
        <v>25</v>
      </c>
      <c r="S45" s="7">
        <f>IF(ISBLANK(M45),"Aguardando Previsão/Data",NETWORKDAYS(L45,M45)-1)</f>
        <v>-3</v>
      </c>
      <c r="T45" s="5" t="s">
        <v>942</v>
      </c>
    </row>
    <row r="46" spans="1:20" x14ac:dyDescent="0.35">
      <c r="A46" s="5">
        <v>8100269363</v>
      </c>
      <c r="B46" s="5">
        <v>17170</v>
      </c>
      <c r="C46" s="6">
        <v>45659</v>
      </c>
      <c r="D46" s="5" t="s">
        <v>51</v>
      </c>
      <c r="E46" s="5" t="s">
        <v>52</v>
      </c>
      <c r="F46" s="5" t="s">
        <v>111</v>
      </c>
      <c r="G46" s="5" t="s">
        <v>112</v>
      </c>
      <c r="H46" s="5" t="s">
        <v>21</v>
      </c>
      <c r="I46" s="5" t="s">
        <v>932</v>
      </c>
      <c r="J46" s="5" t="s">
        <v>437</v>
      </c>
      <c r="K46" s="5" t="s">
        <v>57</v>
      </c>
      <c r="L46" s="6">
        <v>45665</v>
      </c>
      <c r="M46" s="6">
        <v>45664</v>
      </c>
      <c r="N46" s="5" t="s">
        <v>811</v>
      </c>
      <c r="O46" s="5" t="str">
        <f ca="1">IF(P46&lt;&gt;"EXPEDIÇÃO","Expedido",IF(NETWORKDAYS(C46,TODAY())&gt;=5,"Risco Alto",IF(NETWORKDAYS(C46,TODAY())&gt;=3,IF(NETWORKDAYS(C46,TODAY())&lt;5,"Risco Médio",""),IF(NETWORKDAYS(C46,TODAY())&lt;=2,"Risco Baixo",""))))</f>
        <v>Expedido</v>
      </c>
      <c r="P46" s="5" t="s">
        <v>25</v>
      </c>
      <c r="S46" s="7">
        <f>IF(ISBLANK(M46),"Aguardando Previsão/Data",NETWORKDAYS(L46,M46)-1)</f>
        <v>-3</v>
      </c>
      <c r="T46" s="5" t="s">
        <v>942</v>
      </c>
    </row>
    <row r="47" spans="1:20" x14ac:dyDescent="0.35">
      <c r="A47" s="5">
        <v>8100269396</v>
      </c>
      <c r="B47" s="5">
        <v>17197</v>
      </c>
      <c r="C47" s="6">
        <v>45659</v>
      </c>
      <c r="D47" s="5" t="s">
        <v>51</v>
      </c>
      <c r="E47" s="5" t="s">
        <v>52</v>
      </c>
      <c r="F47" s="5" t="s">
        <v>19</v>
      </c>
      <c r="G47" s="5" t="s">
        <v>20</v>
      </c>
      <c r="H47" s="5" t="s">
        <v>21</v>
      </c>
      <c r="I47" s="5" t="s">
        <v>659</v>
      </c>
      <c r="J47" s="5" t="s">
        <v>378</v>
      </c>
      <c r="K47" s="5" t="s">
        <v>57</v>
      </c>
      <c r="L47" s="6">
        <v>45666</v>
      </c>
      <c r="M47" s="6">
        <v>45663</v>
      </c>
      <c r="N47" s="5" t="s">
        <v>811</v>
      </c>
      <c r="O47" s="5" t="str">
        <f ca="1">IF(P47&lt;&gt;"EXPEDIÇÃO","Expedido",IF(NETWORKDAYS(C47,TODAY())&gt;=5,"Risco Alto",IF(NETWORKDAYS(C47,TODAY())&gt;=3,IF(NETWORKDAYS(C47,TODAY())&lt;5,"Risco Médio",""),IF(NETWORKDAYS(C47,TODAY())&lt;=2,"Risco Baixo",""))))</f>
        <v>Expedido</v>
      </c>
      <c r="P47" s="5" t="s">
        <v>25</v>
      </c>
      <c r="S47" s="7">
        <f>IF(ISBLANK(M47),"Aguardando Previsão/Data",NETWORKDAYS(L47,M47)-1)</f>
        <v>-5</v>
      </c>
      <c r="T47" s="5" t="s">
        <v>942</v>
      </c>
    </row>
    <row r="48" spans="1:20" x14ac:dyDescent="0.35">
      <c r="A48" s="5">
        <v>8100269397</v>
      </c>
      <c r="B48" s="5">
        <v>17174</v>
      </c>
      <c r="C48" s="6">
        <v>45659</v>
      </c>
      <c r="D48" s="5" t="s">
        <v>51</v>
      </c>
      <c r="E48" s="5" t="s">
        <v>52</v>
      </c>
      <c r="F48" s="5" t="s">
        <v>329</v>
      </c>
      <c r="G48" s="5" t="s">
        <v>330</v>
      </c>
      <c r="H48" s="5" t="s">
        <v>21</v>
      </c>
      <c r="I48" s="5" t="s">
        <v>554</v>
      </c>
      <c r="J48" s="5" t="s">
        <v>378</v>
      </c>
      <c r="K48" s="5" t="s">
        <v>57</v>
      </c>
      <c r="L48" s="6">
        <v>45666</v>
      </c>
      <c r="M48" s="6">
        <v>45663</v>
      </c>
      <c r="N48" s="5" t="s">
        <v>811</v>
      </c>
      <c r="O48" s="5" t="str">
        <f ca="1">IF(P48&lt;&gt;"EXPEDIÇÃO","Expedido",IF(NETWORKDAYS(C48,TODAY())&gt;=5,"Risco Alto",IF(NETWORKDAYS(C48,TODAY())&gt;=3,IF(NETWORKDAYS(C48,TODAY())&lt;5,"Risco Médio",""),IF(NETWORKDAYS(C48,TODAY())&lt;=2,"Risco Baixo",""))))</f>
        <v>Expedido</v>
      </c>
      <c r="P48" s="5" t="s">
        <v>25</v>
      </c>
      <c r="S48" s="7">
        <f>IF(ISBLANK(M48),"Aguardando Previsão/Data",NETWORKDAYS(L48,M48)-1)</f>
        <v>-5</v>
      </c>
      <c r="T48" s="5" t="s">
        <v>942</v>
      </c>
    </row>
    <row r="49" spans="1:20" x14ac:dyDescent="0.35">
      <c r="A49" s="5">
        <v>8100269408</v>
      </c>
      <c r="B49" s="5">
        <v>17198</v>
      </c>
      <c r="C49" s="6">
        <v>45659</v>
      </c>
      <c r="D49" s="5" t="s">
        <v>382</v>
      </c>
      <c r="E49" s="5" t="s">
        <v>52</v>
      </c>
      <c r="F49" s="5" t="s">
        <v>199</v>
      </c>
      <c r="G49" s="5" t="s">
        <v>200</v>
      </c>
      <c r="H49" s="5" t="s">
        <v>21</v>
      </c>
      <c r="I49" s="5" t="s">
        <v>1143</v>
      </c>
      <c r="J49" s="5" t="s">
        <v>383</v>
      </c>
      <c r="K49" s="5" t="s">
        <v>57</v>
      </c>
      <c r="L49" s="6">
        <v>45670</v>
      </c>
      <c r="M49" s="6">
        <v>45667</v>
      </c>
      <c r="N49" s="5" t="s">
        <v>811</v>
      </c>
      <c r="O49" s="5" t="str">
        <f ca="1">IF(P49&lt;&gt;"EXPEDIÇÃO","Expedido",IF(NETWORKDAYS(C49,TODAY())&gt;=5,"Risco Alto",IF(NETWORKDAYS(C49,TODAY())&gt;=3,IF(NETWORKDAYS(C49,TODAY())&lt;5,"Risco Médio",""),IF(NETWORKDAYS(C49,TODAY())&lt;=2,"Risco Baixo",""))))</f>
        <v>Expedido</v>
      </c>
      <c r="P49" s="5" t="s">
        <v>25</v>
      </c>
      <c r="S49" s="7">
        <f>IF(ISBLANK(M49),"Aguardando Previsão/Data",NETWORKDAYS(L49,M49)-1)</f>
        <v>-3</v>
      </c>
      <c r="T49" s="5" t="s">
        <v>942</v>
      </c>
    </row>
    <row r="50" spans="1:20" x14ac:dyDescent="0.35">
      <c r="A50" s="5">
        <v>8100269629</v>
      </c>
      <c r="B50" s="5">
        <v>17196</v>
      </c>
      <c r="C50" s="6">
        <v>45659</v>
      </c>
      <c r="D50" s="5" t="s">
        <v>51</v>
      </c>
      <c r="E50" s="5" t="s">
        <v>52</v>
      </c>
      <c r="F50" s="5" t="s">
        <v>69</v>
      </c>
      <c r="G50" s="5" t="s">
        <v>70</v>
      </c>
      <c r="H50" s="5" t="s">
        <v>21</v>
      </c>
      <c r="I50" s="5" t="s">
        <v>60</v>
      </c>
      <c r="J50" s="5" t="s">
        <v>61</v>
      </c>
      <c r="K50" s="5" t="s">
        <v>57</v>
      </c>
      <c r="L50" s="6">
        <v>45667</v>
      </c>
      <c r="M50" s="6">
        <v>45664</v>
      </c>
      <c r="N50" s="5" t="s">
        <v>811</v>
      </c>
      <c r="O50" s="5" t="str">
        <f ca="1">IF(P50&lt;&gt;"EXPEDIÇÃO","Expedido",IF(NETWORKDAYS(C50,TODAY())&gt;=5,"Risco Alto",IF(NETWORKDAYS(C50,TODAY())&gt;=3,IF(NETWORKDAYS(C50,TODAY())&lt;5,"Risco Médio",""),IF(NETWORKDAYS(C50,TODAY())&lt;=2,"Risco Baixo",""))))</f>
        <v>Expedido</v>
      </c>
      <c r="P50" s="5" t="s">
        <v>25</v>
      </c>
      <c r="S50" s="7">
        <f>IF(ISBLANK(M50),"Aguardando Previsão/Data",NETWORKDAYS(L50,M50)-1)</f>
        <v>-5</v>
      </c>
      <c r="T50" s="5" t="s">
        <v>942</v>
      </c>
    </row>
    <row r="51" spans="1:20" x14ac:dyDescent="0.35">
      <c r="A51" s="5">
        <v>8100269630</v>
      </c>
      <c r="B51" s="5">
        <v>17199</v>
      </c>
      <c r="C51" s="6">
        <v>45659</v>
      </c>
      <c r="D51" s="5" t="s">
        <v>51</v>
      </c>
      <c r="E51" s="5" t="s">
        <v>52</v>
      </c>
      <c r="F51" s="5" t="s">
        <v>329</v>
      </c>
      <c r="G51" s="5" t="s">
        <v>330</v>
      </c>
      <c r="H51" s="5" t="s">
        <v>21</v>
      </c>
      <c r="I51" s="5" t="s">
        <v>1147</v>
      </c>
      <c r="J51" s="5" t="s">
        <v>496</v>
      </c>
      <c r="K51" s="5" t="s">
        <v>57</v>
      </c>
      <c r="L51" s="6">
        <v>45665</v>
      </c>
      <c r="M51" s="6">
        <v>45664</v>
      </c>
      <c r="N51" s="5" t="s">
        <v>811</v>
      </c>
      <c r="O51" s="5" t="str">
        <f ca="1">IF(P51&lt;&gt;"EXPEDIÇÃO","Expedido",IF(NETWORKDAYS(C51,TODAY())&gt;=5,"Risco Alto",IF(NETWORKDAYS(C51,TODAY())&gt;=3,IF(NETWORKDAYS(C51,TODAY())&lt;5,"Risco Médio",""),IF(NETWORKDAYS(C51,TODAY())&lt;=2,"Risco Baixo",""))))</f>
        <v>Expedido</v>
      </c>
      <c r="P51" s="5" t="s">
        <v>25</v>
      </c>
      <c r="S51" s="7">
        <f>IF(ISBLANK(M51),"Aguardando Previsão/Data",NETWORKDAYS(L51,M51)-1)</f>
        <v>-3</v>
      </c>
      <c r="T51" s="5" t="s">
        <v>942</v>
      </c>
    </row>
    <row r="52" spans="1:20" x14ac:dyDescent="0.35">
      <c r="A52" s="5">
        <v>8100268768</v>
      </c>
      <c r="B52" s="5">
        <v>20887</v>
      </c>
      <c r="C52" s="6">
        <v>45659</v>
      </c>
      <c r="D52" s="5" t="s">
        <v>17</v>
      </c>
      <c r="E52" s="5" t="s">
        <v>18</v>
      </c>
      <c r="F52" s="5" t="s">
        <v>39</v>
      </c>
      <c r="G52" s="5" t="s">
        <v>40</v>
      </c>
      <c r="H52" s="5" t="s">
        <v>21</v>
      </c>
      <c r="I52" s="5" t="s">
        <v>1096</v>
      </c>
      <c r="J52" s="5" t="s">
        <v>41</v>
      </c>
      <c r="K52" s="5" t="s">
        <v>24</v>
      </c>
      <c r="L52" s="6">
        <v>45671</v>
      </c>
      <c r="M52" s="6">
        <v>45666</v>
      </c>
      <c r="N52" s="5" t="s">
        <v>811</v>
      </c>
      <c r="O52" s="5" t="str">
        <f ca="1">IF(P52&lt;&gt;"EXPEDIÇÃO","Expedido",IF(NETWORKDAYS(C52,TODAY())&gt;=5,"Risco Alto",IF(NETWORKDAYS(C52,TODAY())&gt;=3,IF(NETWORKDAYS(C52,TODAY())&lt;5,"Risco Médio",""),IF(NETWORKDAYS(C52,TODAY())&lt;=2,"Risco Baixo",""))))</f>
        <v>Expedido</v>
      </c>
      <c r="P52" s="5" t="s">
        <v>25</v>
      </c>
      <c r="S52" s="7">
        <f>IF(ISBLANK(M52),"Aguardando Previsão/Data",NETWORKDAYS(L52,M52)-1)</f>
        <v>-5</v>
      </c>
      <c r="T52" s="5" t="s">
        <v>942</v>
      </c>
    </row>
    <row r="53" spans="1:20" x14ac:dyDescent="0.35">
      <c r="A53" s="5">
        <v>8100268775</v>
      </c>
      <c r="B53" s="5">
        <v>20891</v>
      </c>
      <c r="C53" s="6">
        <v>45659</v>
      </c>
      <c r="D53" s="5" t="s">
        <v>17</v>
      </c>
      <c r="E53" s="5" t="s">
        <v>18</v>
      </c>
      <c r="F53" s="5" t="s">
        <v>84</v>
      </c>
      <c r="G53" s="5" t="s">
        <v>85</v>
      </c>
      <c r="H53" s="5" t="s">
        <v>21</v>
      </c>
      <c r="I53" s="5" t="s">
        <v>881</v>
      </c>
      <c r="J53" s="5" t="s">
        <v>713</v>
      </c>
      <c r="K53" s="5" t="s">
        <v>24</v>
      </c>
      <c r="L53" s="6">
        <v>45666</v>
      </c>
      <c r="M53" s="6">
        <v>45664</v>
      </c>
      <c r="N53" s="5" t="s">
        <v>811</v>
      </c>
      <c r="O53" s="5" t="str">
        <f ca="1">IF(P53&lt;&gt;"EXPEDIÇÃO","Expedido",IF(NETWORKDAYS(C53,TODAY())&gt;=5,"Risco Alto",IF(NETWORKDAYS(C53,TODAY())&gt;=3,IF(NETWORKDAYS(C53,TODAY())&lt;5,"Risco Médio",""),IF(NETWORKDAYS(C53,TODAY())&lt;=2,"Risco Baixo",""))))</f>
        <v>Expedido</v>
      </c>
      <c r="P53" s="5" t="s">
        <v>25</v>
      </c>
      <c r="S53" s="7">
        <f>IF(ISBLANK(M53),"Aguardando Previsão/Data",NETWORKDAYS(L53,M53)-1)</f>
        <v>-4</v>
      </c>
      <c r="T53" s="5" t="s">
        <v>942</v>
      </c>
    </row>
    <row r="54" spans="1:20" x14ac:dyDescent="0.35">
      <c r="A54" s="5">
        <v>8100269220</v>
      </c>
      <c r="B54" s="5">
        <v>20899</v>
      </c>
      <c r="C54" s="6">
        <v>45659</v>
      </c>
      <c r="D54" s="5" t="s">
        <v>17</v>
      </c>
      <c r="E54" s="5" t="s">
        <v>18</v>
      </c>
      <c r="F54" s="5" t="s">
        <v>19</v>
      </c>
      <c r="G54" s="5" t="s">
        <v>20</v>
      </c>
      <c r="H54" s="5" t="s">
        <v>21</v>
      </c>
      <c r="I54" s="5" t="s">
        <v>1131</v>
      </c>
      <c r="J54" s="5" t="s">
        <v>362</v>
      </c>
      <c r="K54" s="5" t="s">
        <v>24</v>
      </c>
      <c r="L54" s="6">
        <v>45666</v>
      </c>
      <c r="M54" s="6">
        <v>45663</v>
      </c>
      <c r="N54" s="5" t="s">
        <v>811</v>
      </c>
      <c r="O54" s="5" t="str">
        <f ca="1">IF(P54&lt;&gt;"EXPEDIÇÃO","Expedido",IF(NETWORKDAYS(C54,TODAY())&gt;=5,"Risco Alto",IF(NETWORKDAYS(C54,TODAY())&gt;=3,IF(NETWORKDAYS(C54,TODAY())&lt;5,"Risco Médio",""),IF(NETWORKDAYS(C54,TODAY())&lt;=2,"Risco Baixo",""))))</f>
        <v>Expedido</v>
      </c>
      <c r="P54" s="5" t="s">
        <v>25</v>
      </c>
      <c r="S54" s="7">
        <f>IF(ISBLANK(M54),"Aguardando Previsão/Data",NETWORKDAYS(L54,M54)-1)</f>
        <v>-5</v>
      </c>
      <c r="T54" s="5" t="s">
        <v>942</v>
      </c>
    </row>
    <row r="55" spans="1:20" x14ac:dyDescent="0.35">
      <c r="A55" s="5">
        <v>8100269222</v>
      </c>
      <c r="B55" s="5">
        <v>20900</v>
      </c>
      <c r="C55" s="6">
        <v>45659</v>
      </c>
      <c r="D55" s="5" t="s">
        <v>17</v>
      </c>
      <c r="E55" s="5" t="s">
        <v>18</v>
      </c>
      <c r="F55" s="5" t="s">
        <v>19</v>
      </c>
      <c r="G55" s="5" t="s">
        <v>20</v>
      </c>
      <c r="H55" s="5" t="s">
        <v>21</v>
      </c>
      <c r="I55" s="5" t="s">
        <v>1044</v>
      </c>
      <c r="J55" s="5" t="s">
        <v>1045</v>
      </c>
      <c r="K55" s="5" t="s">
        <v>105</v>
      </c>
      <c r="L55" s="6">
        <v>45678</v>
      </c>
      <c r="M55" s="6">
        <v>45672</v>
      </c>
      <c r="N55" s="5" t="s">
        <v>811</v>
      </c>
      <c r="O55" s="5" t="str">
        <f ca="1">IF(P55&lt;&gt;"EXPEDIÇÃO","Expedido",IF(NETWORKDAYS(C55,TODAY())&gt;=5,"Risco Alto",IF(NETWORKDAYS(C55,TODAY())&gt;=3,IF(NETWORKDAYS(C55,TODAY())&lt;5,"Risco Médio",""),IF(NETWORKDAYS(C55,TODAY())&lt;=2,"Risco Baixo",""))))</f>
        <v>Expedido</v>
      </c>
      <c r="P55" s="5" t="s">
        <v>25</v>
      </c>
      <c r="S55" s="7">
        <f>IF(ISBLANK(M55),"Aguardando Previsão/Data",NETWORKDAYS(L55,M55)-1)</f>
        <v>-6</v>
      </c>
      <c r="T55" s="5" t="s">
        <v>942</v>
      </c>
    </row>
    <row r="56" spans="1:20" x14ac:dyDescent="0.35">
      <c r="A56" s="5">
        <v>8100269227</v>
      </c>
      <c r="B56" s="5">
        <v>20918</v>
      </c>
      <c r="C56" s="6">
        <v>45659</v>
      </c>
      <c r="D56" s="5" t="s">
        <v>17</v>
      </c>
      <c r="E56" s="5" t="s">
        <v>18</v>
      </c>
      <c r="F56" s="5" t="s">
        <v>44</v>
      </c>
      <c r="G56" s="5" t="s">
        <v>45</v>
      </c>
      <c r="H56" s="5" t="s">
        <v>21</v>
      </c>
      <c r="I56" s="5" t="s">
        <v>764</v>
      </c>
      <c r="J56" s="5" t="s">
        <v>45</v>
      </c>
      <c r="K56" s="5" t="s">
        <v>24</v>
      </c>
      <c r="L56" s="6">
        <v>45666</v>
      </c>
      <c r="M56" s="6">
        <v>45664</v>
      </c>
      <c r="N56" s="5" t="s">
        <v>811</v>
      </c>
      <c r="O56" s="5" t="str">
        <f ca="1">IF(P56&lt;&gt;"EXPEDIÇÃO","Expedido",IF(NETWORKDAYS(C56,TODAY())&gt;=5,"Risco Alto",IF(NETWORKDAYS(C56,TODAY())&gt;=3,IF(NETWORKDAYS(C56,TODAY())&lt;5,"Risco Médio",""),IF(NETWORKDAYS(C56,TODAY())&lt;=2,"Risco Baixo",""))))</f>
        <v>Expedido</v>
      </c>
      <c r="P56" s="5" t="s">
        <v>25</v>
      </c>
      <c r="S56" s="7">
        <f>IF(ISBLANK(M56),"Aguardando Previsão/Data",NETWORKDAYS(L56,M56)-1)</f>
        <v>-4</v>
      </c>
      <c r="T56" s="5" t="s">
        <v>942</v>
      </c>
    </row>
    <row r="57" spans="1:20" x14ac:dyDescent="0.35">
      <c r="A57" s="5">
        <v>8100269228</v>
      </c>
      <c r="B57" s="5">
        <v>20915</v>
      </c>
      <c r="C57" s="6">
        <v>45659</v>
      </c>
      <c r="D57" s="5" t="s">
        <v>17</v>
      </c>
      <c r="E57" s="5" t="s">
        <v>18</v>
      </c>
      <c r="F57" s="5" t="s">
        <v>44</v>
      </c>
      <c r="G57" s="5" t="s">
        <v>45</v>
      </c>
      <c r="H57" s="5" t="s">
        <v>21</v>
      </c>
      <c r="I57" s="5" t="s">
        <v>765</v>
      </c>
      <c r="J57" s="5" t="s">
        <v>45</v>
      </c>
      <c r="K57" s="5" t="s">
        <v>24</v>
      </c>
      <c r="L57" s="6">
        <v>45666</v>
      </c>
      <c r="M57" s="6">
        <v>45663</v>
      </c>
      <c r="N57" s="5" t="s">
        <v>811</v>
      </c>
      <c r="O57" s="5" t="str">
        <f ca="1">IF(P57&lt;&gt;"EXPEDIÇÃO","Expedido",IF(NETWORKDAYS(C57,TODAY())&gt;=5,"Risco Alto",IF(NETWORKDAYS(C57,TODAY())&gt;=3,IF(NETWORKDAYS(C57,TODAY())&lt;5,"Risco Médio",""),IF(NETWORKDAYS(C57,TODAY())&lt;=2,"Risco Baixo",""))))</f>
        <v>Expedido</v>
      </c>
      <c r="P57" s="5" t="s">
        <v>25</v>
      </c>
      <c r="S57" s="7">
        <f>IF(ISBLANK(M57),"Aguardando Previsão/Data",NETWORKDAYS(L57,M57)-1)</f>
        <v>-5</v>
      </c>
      <c r="T57" s="5" t="s">
        <v>942</v>
      </c>
    </row>
    <row r="58" spans="1:20" x14ac:dyDescent="0.35">
      <c r="A58" s="5">
        <v>8100269229</v>
      </c>
      <c r="B58" s="5">
        <v>20907</v>
      </c>
      <c r="C58" s="6">
        <v>45659</v>
      </c>
      <c r="D58" s="5" t="s">
        <v>17</v>
      </c>
      <c r="E58" s="5" t="s">
        <v>18</v>
      </c>
      <c r="F58" s="5" t="s">
        <v>44</v>
      </c>
      <c r="G58" s="5" t="s">
        <v>45</v>
      </c>
      <c r="H58" s="5" t="s">
        <v>21</v>
      </c>
      <c r="I58" s="5" t="s">
        <v>764</v>
      </c>
      <c r="J58" s="5" t="s">
        <v>48</v>
      </c>
      <c r="K58" s="5" t="s">
        <v>24</v>
      </c>
      <c r="L58" s="6">
        <v>45667</v>
      </c>
      <c r="M58" s="6">
        <v>45666</v>
      </c>
      <c r="N58" s="5" t="s">
        <v>811</v>
      </c>
      <c r="O58" s="5" t="str">
        <f ca="1">IF(P58&lt;&gt;"EXPEDIÇÃO","Expedido",IF(NETWORKDAYS(C58,TODAY())&gt;=5,"Risco Alto",IF(NETWORKDAYS(C58,TODAY())&gt;=3,IF(NETWORKDAYS(C58,TODAY())&lt;5,"Risco Médio",""),IF(NETWORKDAYS(C58,TODAY())&lt;=2,"Risco Baixo",""))))</f>
        <v>Expedido</v>
      </c>
      <c r="P58" s="5" t="s">
        <v>25</v>
      </c>
      <c r="S58" s="7">
        <f>IF(ISBLANK(M58),"Aguardando Previsão/Data",NETWORKDAYS(L58,M58)-1)</f>
        <v>-3</v>
      </c>
      <c r="T58" s="5" t="s">
        <v>942</v>
      </c>
    </row>
    <row r="59" spans="1:20" x14ac:dyDescent="0.35">
      <c r="A59" s="5">
        <v>8100269230</v>
      </c>
      <c r="B59" s="5">
        <v>20917</v>
      </c>
      <c r="C59" s="6">
        <v>45659</v>
      </c>
      <c r="D59" s="5" t="s">
        <v>17</v>
      </c>
      <c r="E59" s="5" t="s">
        <v>18</v>
      </c>
      <c r="F59" s="5" t="s">
        <v>44</v>
      </c>
      <c r="G59" s="5" t="s">
        <v>45</v>
      </c>
      <c r="H59" s="5" t="s">
        <v>21</v>
      </c>
      <c r="I59" s="5" t="s">
        <v>757</v>
      </c>
      <c r="J59" s="5" t="s">
        <v>48</v>
      </c>
      <c r="K59" s="5" t="s">
        <v>24</v>
      </c>
      <c r="L59" s="6">
        <v>45667</v>
      </c>
      <c r="M59" s="6">
        <v>45666</v>
      </c>
      <c r="N59" s="5" t="s">
        <v>811</v>
      </c>
      <c r="O59" s="5" t="str">
        <f ca="1">IF(P59&lt;&gt;"EXPEDIÇÃO","Expedido",IF(NETWORKDAYS(C59,TODAY())&gt;=5,"Risco Alto",IF(NETWORKDAYS(C59,TODAY())&gt;=3,IF(NETWORKDAYS(C59,TODAY())&lt;5,"Risco Médio",""),IF(NETWORKDAYS(C59,TODAY())&lt;=2,"Risco Baixo",""))))</f>
        <v>Expedido</v>
      </c>
      <c r="P59" s="5" t="s">
        <v>25</v>
      </c>
      <c r="S59" s="7">
        <f>IF(ISBLANK(M59),"Aguardando Previsão/Data",NETWORKDAYS(L59,M59)-1)</f>
        <v>-3</v>
      </c>
      <c r="T59" s="5" t="s">
        <v>942</v>
      </c>
    </row>
    <row r="60" spans="1:20" x14ac:dyDescent="0.35">
      <c r="A60" s="5">
        <v>8100269232</v>
      </c>
      <c r="B60" s="5">
        <v>20895</v>
      </c>
      <c r="C60" s="6">
        <v>45659</v>
      </c>
      <c r="D60" s="5" t="s">
        <v>17</v>
      </c>
      <c r="E60" s="5" t="s">
        <v>18</v>
      </c>
      <c r="F60" s="5" t="s">
        <v>84</v>
      </c>
      <c r="G60" s="5" t="s">
        <v>85</v>
      </c>
      <c r="H60" s="5" t="s">
        <v>21</v>
      </c>
      <c r="I60" s="5" t="s">
        <v>959</v>
      </c>
      <c r="J60" s="5" t="s">
        <v>45</v>
      </c>
      <c r="K60" s="5" t="s">
        <v>24</v>
      </c>
      <c r="L60" s="6">
        <v>45666</v>
      </c>
      <c r="M60" s="6">
        <v>45661</v>
      </c>
      <c r="N60" s="5" t="s">
        <v>811</v>
      </c>
      <c r="O60" s="5" t="str">
        <f ca="1">IF(P60&lt;&gt;"EXPEDIÇÃO","Expedido",IF(NETWORKDAYS(C60,TODAY())&gt;=5,"Risco Alto",IF(NETWORKDAYS(C60,TODAY())&gt;=3,IF(NETWORKDAYS(C60,TODAY())&lt;5,"Risco Médio",""),IF(NETWORKDAYS(C60,TODAY())&lt;=2,"Risco Baixo",""))))</f>
        <v>Expedido</v>
      </c>
      <c r="P60" s="5" t="s">
        <v>25</v>
      </c>
      <c r="S60" s="7">
        <f>IF(ISBLANK(M60),"Aguardando Previsão/Data",NETWORKDAYS(L60,M60)-1)</f>
        <v>-5</v>
      </c>
      <c r="T60" s="5" t="s">
        <v>942</v>
      </c>
    </row>
    <row r="61" spans="1:20" x14ac:dyDescent="0.35">
      <c r="A61" s="5">
        <v>8100269233</v>
      </c>
      <c r="B61" s="5">
        <v>20908</v>
      </c>
      <c r="C61" s="6">
        <v>45659</v>
      </c>
      <c r="D61" s="5" t="s">
        <v>17</v>
      </c>
      <c r="E61" s="5" t="s">
        <v>18</v>
      </c>
      <c r="F61" s="5" t="s">
        <v>27</v>
      </c>
      <c r="G61" s="5" t="s">
        <v>28</v>
      </c>
      <c r="H61" s="5" t="s">
        <v>21</v>
      </c>
      <c r="I61" s="5" t="s">
        <v>951</v>
      </c>
      <c r="J61" s="5" t="s">
        <v>364</v>
      </c>
      <c r="K61" s="5" t="s">
        <v>24</v>
      </c>
      <c r="L61" s="6">
        <v>45666</v>
      </c>
      <c r="M61" s="6">
        <v>45663</v>
      </c>
      <c r="N61" s="5" t="s">
        <v>811</v>
      </c>
      <c r="O61" s="5" t="str">
        <f ca="1">IF(P61&lt;&gt;"EXPEDIÇÃO","Expedido",IF(NETWORKDAYS(C61,TODAY())&gt;=5,"Risco Alto",IF(NETWORKDAYS(C61,TODAY())&gt;=3,IF(NETWORKDAYS(C61,TODAY())&lt;5,"Risco Médio",""),IF(NETWORKDAYS(C61,TODAY())&lt;=2,"Risco Baixo",""))))</f>
        <v>Expedido</v>
      </c>
      <c r="P61" s="5" t="s">
        <v>25</v>
      </c>
      <c r="S61" s="7">
        <f>IF(ISBLANK(M61),"Aguardando Previsão/Data",NETWORKDAYS(L61,M61)-1)</f>
        <v>-5</v>
      </c>
      <c r="T61" s="5" t="s">
        <v>942</v>
      </c>
    </row>
    <row r="62" spans="1:20" x14ac:dyDescent="0.35">
      <c r="A62" s="5">
        <v>8100269237</v>
      </c>
      <c r="B62" s="5">
        <v>20919</v>
      </c>
      <c r="C62" s="6">
        <v>45659</v>
      </c>
      <c r="D62" s="5" t="s">
        <v>17</v>
      </c>
      <c r="E62" s="5" t="s">
        <v>18</v>
      </c>
      <c r="F62" s="5" t="s">
        <v>27</v>
      </c>
      <c r="G62" s="5" t="s">
        <v>28</v>
      </c>
      <c r="H62" s="5" t="s">
        <v>21</v>
      </c>
      <c r="I62" s="5" t="s">
        <v>1132</v>
      </c>
      <c r="J62" s="5" t="s">
        <v>49</v>
      </c>
      <c r="K62" s="5" t="s">
        <v>24</v>
      </c>
      <c r="L62" s="6">
        <v>45667</v>
      </c>
      <c r="M62" s="6">
        <v>45667</v>
      </c>
      <c r="N62" s="5" t="s">
        <v>811</v>
      </c>
      <c r="O62" s="5" t="str">
        <f ca="1">IF(P62&lt;&gt;"EXPEDIÇÃO","Expedido",IF(NETWORKDAYS(C62,TODAY())&gt;=5,"Risco Alto",IF(NETWORKDAYS(C62,TODAY())&gt;=3,IF(NETWORKDAYS(C62,TODAY())&lt;5,"Risco Médio",""),IF(NETWORKDAYS(C62,TODAY())&lt;=2,"Risco Baixo",""))))</f>
        <v>Expedido</v>
      </c>
      <c r="P62" s="5" t="s">
        <v>25</v>
      </c>
      <c r="S62" s="7">
        <f>IF(ISBLANK(M62),"Aguardando Previsão/Data",NETWORKDAYS(L62,M62)-1)</f>
        <v>0</v>
      </c>
      <c r="T62" s="5" t="s">
        <v>942</v>
      </c>
    </row>
    <row r="63" spans="1:20" x14ac:dyDescent="0.35">
      <c r="A63" s="5">
        <v>8100269238</v>
      </c>
      <c r="B63" s="5">
        <v>20904</v>
      </c>
      <c r="C63" s="6">
        <v>45659</v>
      </c>
      <c r="D63" s="5" t="s">
        <v>17</v>
      </c>
      <c r="E63" s="5" t="s">
        <v>18</v>
      </c>
      <c r="F63" s="5" t="s">
        <v>27</v>
      </c>
      <c r="G63" s="5" t="s">
        <v>28</v>
      </c>
      <c r="H63" s="5" t="s">
        <v>21</v>
      </c>
      <c r="I63" s="5" t="s">
        <v>854</v>
      </c>
      <c r="J63" s="5" t="s">
        <v>857</v>
      </c>
      <c r="K63" s="5" t="s">
        <v>24</v>
      </c>
      <c r="L63" s="6">
        <v>45667</v>
      </c>
      <c r="M63" s="6">
        <v>45666</v>
      </c>
      <c r="N63" s="5" t="s">
        <v>811</v>
      </c>
      <c r="O63" s="5" t="str">
        <f ca="1">IF(P63&lt;&gt;"EXPEDIÇÃO","Expedido",IF(NETWORKDAYS(C63,TODAY())&gt;=5,"Risco Alto",IF(NETWORKDAYS(C63,TODAY())&gt;=3,IF(NETWORKDAYS(C63,TODAY())&lt;5,"Risco Médio",""),IF(NETWORKDAYS(C63,TODAY())&lt;=2,"Risco Baixo",""))))</f>
        <v>Expedido</v>
      </c>
      <c r="P63" s="5" t="s">
        <v>25</v>
      </c>
      <c r="S63" s="7">
        <f>IF(ISBLANK(M63),"Aguardando Previsão/Data",NETWORKDAYS(L63,M63)-1)</f>
        <v>-3</v>
      </c>
      <c r="T63" s="5" t="s">
        <v>942</v>
      </c>
    </row>
    <row r="64" spans="1:20" x14ac:dyDescent="0.35">
      <c r="A64" s="5">
        <v>8100269239</v>
      </c>
      <c r="B64" s="5">
        <v>20896</v>
      </c>
      <c r="C64" s="6">
        <v>45659</v>
      </c>
      <c r="D64" s="5" t="s">
        <v>17</v>
      </c>
      <c r="E64" s="5" t="s">
        <v>18</v>
      </c>
      <c r="F64" s="5" t="s">
        <v>27</v>
      </c>
      <c r="G64" s="5" t="s">
        <v>28</v>
      </c>
      <c r="H64" s="5" t="s">
        <v>21</v>
      </c>
      <c r="I64" s="5" t="s">
        <v>880</v>
      </c>
      <c r="J64" s="5" t="s">
        <v>857</v>
      </c>
      <c r="K64" s="5" t="s">
        <v>24</v>
      </c>
      <c r="L64" s="6">
        <v>45667</v>
      </c>
      <c r="M64" s="6">
        <v>45664</v>
      </c>
      <c r="N64" s="5" t="s">
        <v>811</v>
      </c>
      <c r="O64" s="5" t="str">
        <f ca="1">IF(P64&lt;&gt;"EXPEDIÇÃO","Expedido",IF(NETWORKDAYS(C64,TODAY())&gt;=5,"Risco Alto",IF(NETWORKDAYS(C64,TODAY())&gt;=3,IF(NETWORKDAYS(C64,TODAY())&lt;5,"Risco Médio",""),IF(NETWORKDAYS(C64,TODAY())&lt;=2,"Risco Baixo",""))))</f>
        <v>Expedido</v>
      </c>
      <c r="P64" s="5" t="s">
        <v>25</v>
      </c>
      <c r="S64" s="7">
        <f>IF(ISBLANK(M64),"Aguardando Previsão/Data",NETWORKDAYS(L64,M64)-1)</f>
        <v>-5</v>
      </c>
      <c r="T64" s="5" t="s">
        <v>942</v>
      </c>
    </row>
    <row r="65" spans="1:20" x14ac:dyDescent="0.35">
      <c r="A65" s="5">
        <v>8100269241</v>
      </c>
      <c r="B65" s="5">
        <v>20916</v>
      </c>
      <c r="C65" s="6">
        <v>45659</v>
      </c>
      <c r="D65" s="5" t="s">
        <v>17</v>
      </c>
      <c r="E65" s="5" t="s">
        <v>18</v>
      </c>
      <c r="F65" s="5" t="s">
        <v>27</v>
      </c>
      <c r="G65" s="5" t="s">
        <v>28</v>
      </c>
      <c r="H65" s="5" t="s">
        <v>21</v>
      </c>
      <c r="I65" s="5" t="s">
        <v>593</v>
      </c>
      <c r="J65" s="5" t="s">
        <v>28</v>
      </c>
      <c r="K65" s="5" t="s">
        <v>24</v>
      </c>
      <c r="L65" s="6">
        <v>45666</v>
      </c>
      <c r="M65" s="6">
        <v>45665</v>
      </c>
      <c r="N65" s="5" t="s">
        <v>811</v>
      </c>
      <c r="O65" s="5" t="str">
        <f ca="1">IF(P65&lt;&gt;"EXPEDIÇÃO","Expedido",IF(NETWORKDAYS(C65,TODAY())&gt;=5,"Risco Alto",IF(NETWORKDAYS(C65,TODAY())&gt;=3,IF(NETWORKDAYS(C65,TODAY())&lt;5,"Risco Médio",""),IF(NETWORKDAYS(C65,TODAY())&lt;=2,"Risco Baixo",""))))</f>
        <v>Expedido</v>
      </c>
      <c r="P65" s="5" t="s">
        <v>25</v>
      </c>
      <c r="Q65" s="5" t="s">
        <v>897</v>
      </c>
      <c r="S65" s="7">
        <f>IF(ISBLANK(M65),"Aguardando Previsão/Data",NETWORKDAYS(L65,M65)-1)</f>
        <v>-3</v>
      </c>
      <c r="T65" s="5" t="s">
        <v>942</v>
      </c>
    </row>
    <row r="66" spans="1:20" x14ac:dyDescent="0.35">
      <c r="A66" s="5">
        <v>8100269245</v>
      </c>
      <c r="B66" s="5">
        <v>20906</v>
      </c>
      <c r="C66" s="6">
        <v>45659</v>
      </c>
      <c r="D66" s="5" t="s">
        <v>17</v>
      </c>
      <c r="E66" s="5" t="s">
        <v>18</v>
      </c>
      <c r="F66" s="5" t="s">
        <v>44</v>
      </c>
      <c r="G66" s="5" t="s">
        <v>45</v>
      </c>
      <c r="H66" s="5" t="s">
        <v>21</v>
      </c>
      <c r="I66" s="5" t="s">
        <v>1133</v>
      </c>
      <c r="J66" s="5" t="s">
        <v>370</v>
      </c>
      <c r="K66" s="5" t="s">
        <v>24</v>
      </c>
      <c r="L66" s="6">
        <v>45671</v>
      </c>
      <c r="M66" s="6">
        <v>45671</v>
      </c>
      <c r="N66" s="5" t="s">
        <v>811</v>
      </c>
      <c r="O66" s="5" t="str">
        <f ca="1">IF(P66&lt;&gt;"EXPEDIÇÃO","Expedido",IF(NETWORKDAYS(C66,TODAY())&gt;=5,"Risco Alto",IF(NETWORKDAYS(C66,TODAY())&gt;=3,IF(NETWORKDAYS(C66,TODAY())&lt;5,"Risco Médio",""),IF(NETWORKDAYS(C66,TODAY())&lt;=2,"Risco Baixo",""))))</f>
        <v>Expedido</v>
      </c>
      <c r="P66" s="5" t="s">
        <v>25</v>
      </c>
      <c r="S66" s="7">
        <f>IF(ISBLANK(M66),"Aguardando Previsão/Data",NETWORKDAYS(L66,M66)-1)</f>
        <v>0</v>
      </c>
      <c r="T66" s="5" t="s">
        <v>942</v>
      </c>
    </row>
    <row r="67" spans="1:20" x14ac:dyDescent="0.35">
      <c r="A67" s="5">
        <v>8100269247</v>
      </c>
      <c r="B67" s="5">
        <v>20903</v>
      </c>
      <c r="C67" s="6">
        <v>45659</v>
      </c>
      <c r="D67" s="5" t="s">
        <v>17</v>
      </c>
      <c r="E67" s="5" t="s">
        <v>18</v>
      </c>
      <c r="F67" s="5" t="s">
        <v>84</v>
      </c>
      <c r="G67" s="5" t="s">
        <v>85</v>
      </c>
      <c r="H67" s="5" t="s">
        <v>21</v>
      </c>
      <c r="I67" s="5" t="s">
        <v>1134</v>
      </c>
      <c r="J67" s="5" t="s">
        <v>592</v>
      </c>
      <c r="K67" s="5" t="s">
        <v>24</v>
      </c>
      <c r="L67" s="6">
        <v>45666</v>
      </c>
      <c r="M67" s="6">
        <v>45661</v>
      </c>
      <c r="N67" s="5" t="s">
        <v>811</v>
      </c>
      <c r="O67" s="5" t="str">
        <f ca="1">IF(P67&lt;&gt;"EXPEDIÇÃO","Expedido",IF(NETWORKDAYS(C67,TODAY())&gt;=5,"Risco Alto",IF(NETWORKDAYS(C67,TODAY())&gt;=3,IF(NETWORKDAYS(C67,TODAY())&lt;5,"Risco Médio",""),IF(NETWORKDAYS(C67,TODAY())&lt;=2,"Risco Baixo",""))))</f>
        <v>Expedido</v>
      </c>
      <c r="P67" s="5" t="s">
        <v>25</v>
      </c>
      <c r="S67" s="7">
        <f>IF(ISBLANK(M67),"Aguardando Previsão/Data",NETWORKDAYS(L67,M67)-1)</f>
        <v>-5</v>
      </c>
      <c r="T67" s="5" t="s">
        <v>942</v>
      </c>
    </row>
    <row r="68" spans="1:20" x14ac:dyDescent="0.35">
      <c r="A68" s="5">
        <v>8100269626</v>
      </c>
      <c r="B68" s="5">
        <v>20898</v>
      </c>
      <c r="C68" s="6">
        <v>45659</v>
      </c>
      <c r="D68" s="5" t="s">
        <v>17</v>
      </c>
      <c r="E68" s="5" t="s">
        <v>18</v>
      </c>
      <c r="F68" s="5" t="s">
        <v>84</v>
      </c>
      <c r="G68" s="5" t="s">
        <v>85</v>
      </c>
      <c r="H68" s="5" t="s">
        <v>21</v>
      </c>
      <c r="I68" s="5" t="s">
        <v>826</v>
      </c>
      <c r="J68" s="5" t="s">
        <v>50</v>
      </c>
      <c r="K68" s="5" t="s">
        <v>24</v>
      </c>
      <c r="L68" s="6">
        <v>45667</v>
      </c>
      <c r="M68" s="6">
        <v>45661</v>
      </c>
      <c r="N68" s="5" t="s">
        <v>811</v>
      </c>
      <c r="O68" s="5" t="str">
        <f ca="1">IF(P68&lt;&gt;"EXPEDIÇÃO","Expedido",IF(NETWORKDAYS(C68,TODAY())&gt;=5,"Risco Alto",IF(NETWORKDAYS(C68,TODAY())&gt;=3,IF(NETWORKDAYS(C68,TODAY())&lt;5,"Risco Médio",""),IF(NETWORKDAYS(C68,TODAY())&lt;=2,"Risco Baixo",""))))</f>
        <v>Expedido</v>
      </c>
      <c r="P68" s="5" t="s">
        <v>25</v>
      </c>
      <c r="S68" s="7">
        <f>IF(ISBLANK(M68),"Aguardando Previsão/Data",NETWORKDAYS(L68,M68)-1)</f>
        <v>-6</v>
      </c>
      <c r="T68" s="5" t="s">
        <v>942</v>
      </c>
    </row>
    <row r="69" spans="1:20" x14ac:dyDescent="0.35">
      <c r="A69" s="5">
        <v>8100269631</v>
      </c>
      <c r="B69" s="5">
        <v>20897</v>
      </c>
      <c r="C69" s="6">
        <v>45659</v>
      </c>
      <c r="D69" s="5" t="s">
        <v>17</v>
      </c>
      <c r="E69" s="5" t="s">
        <v>18</v>
      </c>
      <c r="F69" s="5" t="s">
        <v>39</v>
      </c>
      <c r="G69" s="5" t="s">
        <v>40</v>
      </c>
      <c r="H69" s="5" t="s">
        <v>21</v>
      </c>
      <c r="I69" s="5" t="s">
        <v>938</v>
      </c>
      <c r="J69" s="5" t="s">
        <v>465</v>
      </c>
      <c r="K69" s="5" t="s">
        <v>24</v>
      </c>
      <c r="L69" s="6">
        <v>45671</v>
      </c>
      <c r="M69" s="6">
        <v>45667</v>
      </c>
      <c r="N69" s="5" t="s">
        <v>811</v>
      </c>
      <c r="O69" s="5" t="str">
        <f ca="1">IF(P69&lt;&gt;"EXPEDIÇÃO","Expedido",IF(NETWORKDAYS(C69,TODAY())&gt;=5,"Risco Alto",IF(NETWORKDAYS(C69,TODAY())&gt;=3,IF(NETWORKDAYS(C69,TODAY())&lt;5,"Risco Médio",""),IF(NETWORKDAYS(C69,TODAY())&lt;=2,"Risco Baixo",""))))</f>
        <v>Expedido</v>
      </c>
      <c r="P69" s="5" t="s">
        <v>25</v>
      </c>
      <c r="S69" s="7">
        <f>IF(ISBLANK(M69),"Aguardando Previsão/Data",NETWORKDAYS(L69,M69)-1)</f>
        <v>-4</v>
      </c>
      <c r="T69" s="5" t="s">
        <v>942</v>
      </c>
    </row>
    <row r="70" spans="1:20" x14ac:dyDescent="0.35">
      <c r="A70" s="5">
        <v>8100269272</v>
      </c>
      <c r="B70" s="5">
        <v>13062</v>
      </c>
      <c r="C70" s="6">
        <v>45659</v>
      </c>
      <c r="D70" s="5" t="s">
        <v>91</v>
      </c>
      <c r="E70" s="5" t="s">
        <v>92</v>
      </c>
      <c r="F70" s="5" t="s">
        <v>103</v>
      </c>
      <c r="G70" s="5" t="s">
        <v>104</v>
      </c>
      <c r="H70" s="5" t="s">
        <v>21</v>
      </c>
      <c r="I70" s="5" t="s">
        <v>955</v>
      </c>
      <c r="J70" s="5" t="s">
        <v>273</v>
      </c>
      <c r="K70" s="5" t="s">
        <v>274</v>
      </c>
      <c r="L70" s="6">
        <v>45670</v>
      </c>
      <c r="M70" s="6">
        <v>45665</v>
      </c>
      <c r="N70" s="5" t="s">
        <v>811</v>
      </c>
      <c r="O70" s="5" t="str">
        <f ca="1">IF(P70&lt;&gt;"EXPEDIÇÃO","Expedido",IF(NETWORKDAYS(C70,TODAY())&gt;=5,"Risco Alto",IF(NETWORKDAYS(C70,TODAY())&gt;=3,IF(NETWORKDAYS(C70,TODAY())&lt;5,"Risco Médio",""),IF(NETWORKDAYS(C70,TODAY())&lt;=2,"Risco Baixo",""))))</f>
        <v>Expedido</v>
      </c>
      <c r="P70" s="5" t="s">
        <v>25</v>
      </c>
      <c r="S70" s="7">
        <f>IF(ISBLANK(M70),"Aguardando Previsão/Data",NETWORKDAYS(L70,M70)-1)</f>
        <v>-5</v>
      </c>
      <c r="T70" s="5" t="s">
        <v>942</v>
      </c>
    </row>
    <row r="71" spans="1:20" x14ac:dyDescent="0.35">
      <c r="A71" s="5">
        <v>8100269273</v>
      </c>
      <c r="B71" s="5">
        <v>13069</v>
      </c>
      <c r="C71" s="6">
        <v>45659</v>
      </c>
      <c r="D71" s="5" t="s">
        <v>91</v>
      </c>
      <c r="E71" s="5" t="s">
        <v>92</v>
      </c>
      <c r="F71" s="5" t="s">
        <v>103</v>
      </c>
      <c r="G71" s="5" t="s">
        <v>104</v>
      </c>
      <c r="H71" s="5" t="s">
        <v>21</v>
      </c>
      <c r="I71" s="5" t="s">
        <v>956</v>
      </c>
      <c r="J71" s="5" t="s">
        <v>957</v>
      </c>
      <c r="K71" s="5" t="s">
        <v>274</v>
      </c>
      <c r="L71" s="6">
        <v>45672</v>
      </c>
      <c r="M71" s="6">
        <v>45671</v>
      </c>
      <c r="N71" s="5" t="s">
        <v>811</v>
      </c>
      <c r="O71" s="5" t="str">
        <f ca="1">IF(P71&lt;&gt;"EXPEDIÇÃO","Expedido",IF(NETWORKDAYS(C71,TODAY())&gt;=5,"Risco Alto",IF(NETWORKDAYS(C71,TODAY())&gt;=3,IF(NETWORKDAYS(C71,TODAY())&lt;5,"Risco Médio",""),IF(NETWORKDAYS(C71,TODAY())&lt;=2,"Risco Baixo",""))))</f>
        <v>Expedido</v>
      </c>
      <c r="P71" s="5" t="s">
        <v>25</v>
      </c>
      <c r="S71" s="7">
        <f>IF(ISBLANK(M71),"Aguardando Previsão/Data",NETWORKDAYS(L71,M71)-1)</f>
        <v>-3</v>
      </c>
      <c r="T71" s="5" t="s">
        <v>942</v>
      </c>
    </row>
    <row r="72" spans="1:20" x14ac:dyDescent="0.35">
      <c r="A72" s="5">
        <v>8100269274</v>
      </c>
      <c r="B72" s="5">
        <v>13061</v>
      </c>
      <c r="C72" s="6">
        <v>45659</v>
      </c>
      <c r="D72" s="5" t="s">
        <v>91</v>
      </c>
      <c r="E72" s="5" t="s">
        <v>92</v>
      </c>
      <c r="F72" s="5" t="s">
        <v>103</v>
      </c>
      <c r="G72" s="5" t="s">
        <v>104</v>
      </c>
      <c r="H72" s="5" t="s">
        <v>21</v>
      </c>
      <c r="I72" s="5" t="s">
        <v>663</v>
      </c>
      <c r="J72" s="5" t="s">
        <v>273</v>
      </c>
      <c r="K72" s="5" t="s">
        <v>274</v>
      </c>
      <c r="L72" s="6">
        <v>45670</v>
      </c>
      <c r="M72" s="6">
        <v>45664</v>
      </c>
      <c r="N72" s="5" t="s">
        <v>811</v>
      </c>
      <c r="O72" s="5" t="str">
        <f ca="1">IF(P72&lt;&gt;"EXPEDIÇÃO","Expedido",IF(NETWORKDAYS(C72,TODAY())&gt;=5,"Risco Alto",IF(NETWORKDAYS(C72,TODAY())&gt;=3,IF(NETWORKDAYS(C72,TODAY())&lt;5,"Risco Médio",""),IF(NETWORKDAYS(C72,TODAY())&lt;=2,"Risco Baixo",""))))</f>
        <v>Expedido</v>
      </c>
      <c r="P72" s="5" t="s">
        <v>25</v>
      </c>
      <c r="S72" s="7">
        <f>IF(ISBLANK(M72),"Aguardando Previsão/Data",NETWORKDAYS(L72,M72)-1)</f>
        <v>-6</v>
      </c>
      <c r="T72" s="5" t="s">
        <v>942</v>
      </c>
    </row>
    <row r="73" spans="1:20" x14ac:dyDescent="0.35">
      <c r="A73" s="5">
        <v>8100269275</v>
      </c>
      <c r="B73" s="5">
        <v>13063</v>
      </c>
      <c r="C73" s="6">
        <v>45659</v>
      </c>
      <c r="D73" s="5" t="s">
        <v>91</v>
      </c>
      <c r="E73" s="5" t="s">
        <v>92</v>
      </c>
      <c r="F73" s="5" t="s">
        <v>103</v>
      </c>
      <c r="G73" s="5" t="s">
        <v>104</v>
      </c>
      <c r="H73" s="5" t="s">
        <v>21</v>
      </c>
      <c r="I73" s="5" t="s">
        <v>762</v>
      </c>
      <c r="J73" s="5" t="s">
        <v>711</v>
      </c>
      <c r="K73" s="5" t="s">
        <v>274</v>
      </c>
      <c r="L73" s="6">
        <v>45672</v>
      </c>
      <c r="M73" s="6">
        <v>45667</v>
      </c>
      <c r="N73" s="5" t="s">
        <v>811</v>
      </c>
      <c r="O73" s="5" t="str">
        <f ca="1">IF(P73&lt;&gt;"EXPEDIÇÃO","Expedido",IF(NETWORKDAYS(C73,TODAY())&gt;=5,"Risco Alto",IF(NETWORKDAYS(C73,TODAY())&gt;=3,IF(NETWORKDAYS(C73,TODAY())&lt;5,"Risco Médio",""),IF(NETWORKDAYS(C73,TODAY())&lt;=2,"Risco Baixo",""))))</f>
        <v>Expedido</v>
      </c>
      <c r="P73" s="5" t="s">
        <v>25</v>
      </c>
      <c r="S73" s="7">
        <f>IF(ISBLANK(M73),"Aguardando Previsão/Data",NETWORKDAYS(L73,M73)-1)</f>
        <v>-5</v>
      </c>
      <c r="T73" s="5" t="s">
        <v>942</v>
      </c>
    </row>
    <row r="74" spans="1:20" x14ac:dyDescent="0.35">
      <c r="A74" s="5">
        <v>8100269276</v>
      </c>
      <c r="B74" s="5">
        <v>13065</v>
      </c>
      <c r="C74" s="6">
        <v>45659</v>
      </c>
      <c r="D74" s="5" t="s">
        <v>91</v>
      </c>
      <c r="E74" s="5" t="s">
        <v>92</v>
      </c>
      <c r="F74" s="5" t="s">
        <v>96</v>
      </c>
      <c r="G74" s="5" t="s">
        <v>97</v>
      </c>
      <c r="H74" s="5" t="s">
        <v>21</v>
      </c>
      <c r="I74" s="5" t="s">
        <v>1135</v>
      </c>
      <c r="J74" s="5" t="s">
        <v>636</v>
      </c>
      <c r="K74" s="5" t="s">
        <v>95</v>
      </c>
      <c r="L74" s="6">
        <v>45666</v>
      </c>
      <c r="M74" s="6">
        <v>45663</v>
      </c>
      <c r="N74" s="5" t="s">
        <v>811</v>
      </c>
      <c r="O74" s="5" t="str">
        <f ca="1">IF(P74&lt;&gt;"EXPEDIÇÃO","Expedido",IF(NETWORKDAYS(C74,TODAY())&gt;=5,"Risco Alto",IF(NETWORKDAYS(C74,TODAY())&gt;=3,IF(NETWORKDAYS(C74,TODAY())&lt;5,"Risco Médio",""),IF(NETWORKDAYS(C74,TODAY())&lt;=2,"Risco Baixo",""))))</f>
        <v>Expedido</v>
      </c>
      <c r="P74" s="5" t="s">
        <v>25</v>
      </c>
      <c r="S74" s="7">
        <f>IF(ISBLANK(M74),"Aguardando Previsão/Data",NETWORKDAYS(L74,M74)-1)</f>
        <v>-5</v>
      </c>
      <c r="T74" s="5" t="s">
        <v>942</v>
      </c>
    </row>
    <row r="75" spans="1:20" x14ac:dyDescent="0.35">
      <c r="A75" s="5">
        <v>8100269278</v>
      </c>
      <c r="B75" s="5">
        <v>13049</v>
      </c>
      <c r="C75" s="6">
        <v>45659</v>
      </c>
      <c r="D75" s="5" t="s">
        <v>91</v>
      </c>
      <c r="E75" s="5" t="s">
        <v>92</v>
      </c>
      <c r="F75" s="5" t="s">
        <v>58</v>
      </c>
      <c r="G75" s="5" t="s">
        <v>59</v>
      </c>
      <c r="H75" s="5" t="s">
        <v>21</v>
      </c>
      <c r="I75" s="5" t="s">
        <v>997</v>
      </c>
      <c r="J75" s="5" t="s">
        <v>471</v>
      </c>
      <c r="K75" s="5" t="s">
        <v>95</v>
      </c>
      <c r="L75" s="6">
        <v>45672</v>
      </c>
      <c r="M75" s="6">
        <v>45667</v>
      </c>
      <c r="N75" s="5" t="s">
        <v>811</v>
      </c>
      <c r="O75" s="5" t="str">
        <f ca="1">IF(P75&lt;&gt;"EXPEDIÇÃO","Expedido",IF(NETWORKDAYS(C75,TODAY())&gt;=5,"Risco Alto",IF(NETWORKDAYS(C75,TODAY())&gt;=3,IF(NETWORKDAYS(C75,TODAY())&lt;5,"Risco Médio",""),IF(NETWORKDAYS(C75,TODAY())&lt;=2,"Risco Baixo",""))))</f>
        <v>Expedido</v>
      </c>
      <c r="P75" s="5" t="s">
        <v>25</v>
      </c>
      <c r="S75" s="7">
        <f>IF(ISBLANK(M75),"Aguardando Previsão/Data",NETWORKDAYS(L75,M75)-1)</f>
        <v>-5</v>
      </c>
      <c r="T75" s="5" t="s">
        <v>942</v>
      </c>
    </row>
    <row r="76" spans="1:20" x14ac:dyDescent="0.35">
      <c r="A76" s="5">
        <v>8100269279</v>
      </c>
      <c r="B76" s="5">
        <v>13047</v>
      </c>
      <c r="C76" s="6">
        <v>45659</v>
      </c>
      <c r="D76" s="5" t="s">
        <v>91</v>
      </c>
      <c r="E76" s="5" t="s">
        <v>92</v>
      </c>
      <c r="F76" s="5" t="s">
        <v>103</v>
      </c>
      <c r="G76" s="5" t="s">
        <v>104</v>
      </c>
      <c r="H76" s="5" t="s">
        <v>21</v>
      </c>
      <c r="I76" s="5" t="s">
        <v>1136</v>
      </c>
      <c r="J76" s="5" t="s">
        <v>674</v>
      </c>
      <c r="K76" s="5" t="s">
        <v>105</v>
      </c>
      <c r="L76" s="6">
        <v>45672</v>
      </c>
      <c r="M76" s="6">
        <v>45665</v>
      </c>
      <c r="N76" s="5" t="s">
        <v>811</v>
      </c>
      <c r="O76" s="5" t="str">
        <f ca="1">IF(P76&lt;&gt;"EXPEDIÇÃO","Expedido",IF(NETWORKDAYS(C76,TODAY())&gt;=5,"Risco Alto",IF(NETWORKDAYS(C76,TODAY())&gt;=3,IF(NETWORKDAYS(C76,TODAY())&lt;5,"Risco Médio",""),IF(NETWORKDAYS(C76,TODAY())&lt;=2,"Risco Baixo",""))))</f>
        <v>Expedido</v>
      </c>
      <c r="P76" s="5" t="s">
        <v>25</v>
      </c>
      <c r="S76" s="7">
        <f>IF(ISBLANK(M76),"Aguardando Previsão/Data",NETWORKDAYS(L76,M76)-1)</f>
        <v>-7</v>
      </c>
      <c r="T76" s="5" t="s">
        <v>942</v>
      </c>
    </row>
    <row r="77" spans="1:20" x14ac:dyDescent="0.35">
      <c r="A77" s="5">
        <v>8100269280</v>
      </c>
      <c r="B77" s="5">
        <v>13071</v>
      </c>
      <c r="C77" s="6">
        <v>45659</v>
      </c>
      <c r="D77" s="5" t="s">
        <v>91</v>
      </c>
      <c r="E77" s="5" t="s">
        <v>92</v>
      </c>
      <c r="F77" s="5" t="s">
        <v>103</v>
      </c>
      <c r="G77" s="5" t="s">
        <v>104</v>
      </c>
      <c r="H77" s="5" t="s">
        <v>21</v>
      </c>
      <c r="I77" s="5" t="s">
        <v>22</v>
      </c>
      <c r="J77" s="5" t="s">
        <v>273</v>
      </c>
      <c r="K77" s="5" t="s">
        <v>274</v>
      </c>
      <c r="L77" s="6">
        <v>45670</v>
      </c>
      <c r="M77" s="6">
        <v>45663</v>
      </c>
      <c r="N77" s="5" t="s">
        <v>811</v>
      </c>
      <c r="O77" s="5" t="str">
        <f ca="1">IF(P77&lt;&gt;"EXPEDIÇÃO","Expedido",IF(NETWORKDAYS(C77,TODAY())&gt;=5,"Risco Alto",IF(NETWORKDAYS(C77,TODAY())&gt;=3,IF(NETWORKDAYS(C77,TODAY())&lt;5,"Risco Médio",""),IF(NETWORKDAYS(C77,TODAY())&lt;=2,"Risco Baixo",""))))</f>
        <v>Expedido</v>
      </c>
      <c r="P77" s="5" t="s">
        <v>25</v>
      </c>
      <c r="S77" s="7">
        <f>IF(ISBLANK(M77),"Aguardando Previsão/Data",NETWORKDAYS(L77,M77)-1)</f>
        <v>-7</v>
      </c>
      <c r="T77" s="5" t="s">
        <v>942</v>
      </c>
    </row>
    <row r="78" spans="1:20" x14ac:dyDescent="0.35">
      <c r="A78" s="5">
        <v>8100269283</v>
      </c>
      <c r="B78" s="5">
        <v>13073</v>
      </c>
      <c r="C78" s="6">
        <v>45659</v>
      </c>
      <c r="D78" s="5" t="s">
        <v>91</v>
      </c>
      <c r="E78" s="5" t="s">
        <v>92</v>
      </c>
      <c r="F78" s="5" t="s">
        <v>96</v>
      </c>
      <c r="G78" s="5" t="s">
        <v>97</v>
      </c>
      <c r="H78" s="5" t="s">
        <v>21</v>
      </c>
      <c r="I78" s="5" t="s">
        <v>621</v>
      </c>
      <c r="J78" s="5" t="s">
        <v>622</v>
      </c>
      <c r="K78" s="5" t="s">
        <v>101</v>
      </c>
      <c r="L78" s="6">
        <v>45670</v>
      </c>
      <c r="M78" s="6">
        <v>45664</v>
      </c>
      <c r="N78" s="5" t="s">
        <v>811</v>
      </c>
      <c r="O78" s="5" t="str">
        <f ca="1">IF(P78&lt;&gt;"EXPEDIÇÃO","Expedido",IF(NETWORKDAYS(C78,TODAY())&gt;=5,"Risco Alto",IF(NETWORKDAYS(C78,TODAY())&gt;=3,IF(NETWORKDAYS(C78,TODAY())&lt;5,"Risco Médio",""),IF(NETWORKDAYS(C78,TODAY())&lt;=2,"Risco Baixo",""))))</f>
        <v>Expedido</v>
      </c>
      <c r="P78" s="5" t="s">
        <v>25</v>
      </c>
      <c r="S78" s="7">
        <f>IF(ISBLANK(M78),"Aguardando Previsão/Data",NETWORKDAYS(L78,M78)-1)</f>
        <v>-6</v>
      </c>
      <c r="T78" s="5" t="s">
        <v>942</v>
      </c>
    </row>
    <row r="79" spans="1:20" x14ac:dyDescent="0.35">
      <c r="A79" s="5">
        <v>8100269284</v>
      </c>
      <c r="B79" s="5">
        <v>13051</v>
      </c>
      <c r="C79" s="6">
        <v>45659</v>
      </c>
      <c r="D79" s="5" t="s">
        <v>91</v>
      </c>
      <c r="E79" s="5" t="s">
        <v>92</v>
      </c>
      <c r="F79" s="5" t="s">
        <v>103</v>
      </c>
      <c r="G79" s="5" t="s">
        <v>104</v>
      </c>
      <c r="H79" s="5" t="s">
        <v>21</v>
      </c>
      <c r="I79" s="5" t="s">
        <v>1065</v>
      </c>
      <c r="J79" s="5" t="s">
        <v>1066</v>
      </c>
      <c r="K79" s="5" t="s">
        <v>274</v>
      </c>
      <c r="L79" s="6">
        <v>45672</v>
      </c>
      <c r="M79" s="6">
        <v>45670</v>
      </c>
      <c r="N79" s="5" t="s">
        <v>811</v>
      </c>
      <c r="O79" s="5" t="str">
        <f ca="1">IF(P79&lt;&gt;"EXPEDIÇÃO","Expedido",IF(NETWORKDAYS(C79,TODAY())&gt;=5,"Risco Alto",IF(NETWORKDAYS(C79,TODAY())&gt;=3,IF(NETWORKDAYS(C79,TODAY())&lt;5,"Risco Médio",""),IF(NETWORKDAYS(C79,TODAY())&lt;=2,"Risco Baixo",""))))</f>
        <v>Expedido</v>
      </c>
      <c r="P79" s="5" t="s">
        <v>25</v>
      </c>
      <c r="S79" s="7">
        <f>IF(ISBLANK(M79),"Aguardando Previsão/Data",NETWORKDAYS(L79,M79)-1)</f>
        <v>-4</v>
      </c>
      <c r="T79" s="5" t="s">
        <v>942</v>
      </c>
    </row>
    <row r="80" spans="1:20" x14ac:dyDescent="0.35">
      <c r="A80" s="5">
        <v>8100269285</v>
      </c>
      <c r="B80" s="5">
        <v>13052</v>
      </c>
      <c r="C80" s="6">
        <v>45659</v>
      </c>
      <c r="D80" s="5" t="s">
        <v>91</v>
      </c>
      <c r="E80" s="5" t="s">
        <v>92</v>
      </c>
      <c r="F80" s="5" t="s">
        <v>103</v>
      </c>
      <c r="G80" s="5" t="s">
        <v>104</v>
      </c>
      <c r="H80" s="5" t="s">
        <v>21</v>
      </c>
      <c r="I80" s="5" t="s">
        <v>1065</v>
      </c>
      <c r="J80" s="5" t="s">
        <v>1066</v>
      </c>
      <c r="K80" s="5" t="s">
        <v>274</v>
      </c>
      <c r="L80" s="6">
        <v>45672</v>
      </c>
      <c r="M80" s="6">
        <v>45670</v>
      </c>
      <c r="N80" s="5" t="s">
        <v>811</v>
      </c>
      <c r="O80" s="5" t="str">
        <f ca="1">IF(P80&lt;&gt;"EXPEDIÇÃO","Expedido",IF(NETWORKDAYS(C80,TODAY())&gt;=5,"Risco Alto",IF(NETWORKDAYS(C80,TODAY())&gt;=3,IF(NETWORKDAYS(C80,TODAY())&lt;5,"Risco Médio",""),IF(NETWORKDAYS(C80,TODAY())&lt;=2,"Risco Baixo",""))))</f>
        <v>Expedido</v>
      </c>
      <c r="P80" s="5" t="s">
        <v>25</v>
      </c>
      <c r="S80" s="7">
        <f>IF(ISBLANK(M80),"Aguardando Previsão/Data",NETWORKDAYS(L80,M80)-1)</f>
        <v>-4</v>
      </c>
      <c r="T80" s="5" t="s">
        <v>942</v>
      </c>
    </row>
    <row r="81" spans="1:20" x14ac:dyDescent="0.35">
      <c r="A81" s="5">
        <v>8100269287</v>
      </c>
      <c r="B81" s="5">
        <v>13045</v>
      </c>
      <c r="C81" s="6">
        <v>45659</v>
      </c>
      <c r="D81" s="5" t="s">
        <v>91</v>
      </c>
      <c r="E81" s="5" t="s">
        <v>92</v>
      </c>
      <c r="F81" s="5" t="s">
        <v>66</v>
      </c>
      <c r="G81" s="5" t="s">
        <v>67</v>
      </c>
      <c r="H81" s="5" t="s">
        <v>21</v>
      </c>
      <c r="I81" s="5" t="s">
        <v>935</v>
      </c>
      <c r="J81" s="5" t="s">
        <v>389</v>
      </c>
      <c r="K81" s="5" t="s">
        <v>95</v>
      </c>
      <c r="L81" s="6">
        <v>45672</v>
      </c>
      <c r="M81" s="6">
        <v>45666</v>
      </c>
      <c r="N81" s="5" t="s">
        <v>811</v>
      </c>
      <c r="O81" s="5" t="str">
        <f ca="1">IF(P81&lt;&gt;"EXPEDIÇÃO","Expedido",IF(NETWORKDAYS(C81,TODAY())&gt;=5,"Risco Alto",IF(NETWORKDAYS(C81,TODAY())&gt;=3,IF(NETWORKDAYS(C81,TODAY())&lt;5,"Risco Médio",""),IF(NETWORKDAYS(C81,TODAY())&lt;=2,"Risco Baixo",""))))</f>
        <v>Expedido</v>
      </c>
      <c r="P81" s="5" t="s">
        <v>25</v>
      </c>
      <c r="S81" s="7">
        <f>IF(ISBLANK(M81),"Aguardando Previsão/Data",NETWORKDAYS(L81,M81)-1)</f>
        <v>-6</v>
      </c>
      <c r="T81" s="5" t="s">
        <v>942</v>
      </c>
    </row>
    <row r="82" spans="1:20" x14ac:dyDescent="0.35">
      <c r="A82" s="5">
        <v>8100269288</v>
      </c>
      <c r="B82" s="5">
        <v>13057</v>
      </c>
      <c r="C82" s="6">
        <v>45659</v>
      </c>
      <c r="D82" s="5" t="s">
        <v>91</v>
      </c>
      <c r="E82" s="5" t="s">
        <v>92</v>
      </c>
      <c r="F82" s="5" t="s">
        <v>96</v>
      </c>
      <c r="G82" s="5" t="s">
        <v>97</v>
      </c>
      <c r="H82" s="5" t="s">
        <v>21</v>
      </c>
      <c r="I82" s="5" t="s">
        <v>98</v>
      </c>
      <c r="J82" s="5" t="s">
        <v>99</v>
      </c>
      <c r="K82" s="5" t="s">
        <v>95</v>
      </c>
      <c r="L82" s="6">
        <v>45665</v>
      </c>
      <c r="M82" s="6">
        <v>45660</v>
      </c>
      <c r="N82" s="5" t="s">
        <v>811</v>
      </c>
      <c r="O82" s="5" t="str">
        <f ca="1">IF(P82&lt;&gt;"EXPEDIÇÃO","Expedido",IF(NETWORKDAYS(C82,TODAY())&gt;=5,"Risco Alto",IF(NETWORKDAYS(C82,TODAY())&gt;=3,IF(NETWORKDAYS(C82,TODAY())&lt;5,"Risco Médio",""),IF(NETWORKDAYS(C82,TODAY())&lt;=2,"Risco Baixo",""))))</f>
        <v>Expedido</v>
      </c>
      <c r="P82" s="5" t="s">
        <v>25</v>
      </c>
      <c r="S82" s="7">
        <f>IF(ISBLANK(M82),"Aguardando Previsão/Data",NETWORKDAYS(L82,M82)-1)</f>
        <v>-5</v>
      </c>
      <c r="T82" s="5" t="s">
        <v>942</v>
      </c>
    </row>
    <row r="83" spans="1:20" x14ac:dyDescent="0.35">
      <c r="A83" s="5">
        <v>8100269289</v>
      </c>
      <c r="B83" s="5">
        <v>13060</v>
      </c>
      <c r="C83" s="6">
        <v>45659</v>
      </c>
      <c r="D83" s="5" t="s">
        <v>91</v>
      </c>
      <c r="E83" s="5" t="s">
        <v>92</v>
      </c>
      <c r="F83" s="5" t="s">
        <v>96</v>
      </c>
      <c r="G83" s="5" t="s">
        <v>97</v>
      </c>
      <c r="H83" s="5" t="s">
        <v>21</v>
      </c>
      <c r="I83" s="5" t="s">
        <v>703</v>
      </c>
      <c r="J83" s="5" t="s">
        <v>579</v>
      </c>
      <c r="K83" s="5" t="s">
        <v>101</v>
      </c>
      <c r="L83" s="6">
        <v>45671</v>
      </c>
      <c r="M83" s="6">
        <v>45664</v>
      </c>
      <c r="N83" s="5" t="s">
        <v>811</v>
      </c>
      <c r="O83" s="5" t="str">
        <f ca="1">IF(P83&lt;&gt;"EXPEDIÇÃO","Expedido",IF(NETWORKDAYS(C83,TODAY())&gt;=5,"Risco Alto",IF(NETWORKDAYS(C83,TODAY())&gt;=3,IF(NETWORKDAYS(C83,TODAY())&lt;5,"Risco Médio",""),IF(NETWORKDAYS(C83,TODAY())&lt;=2,"Risco Baixo",""))))</f>
        <v>Expedido</v>
      </c>
      <c r="P83" s="5" t="s">
        <v>25</v>
      </c>
      <c r="S83" s="7">
        <f>IF(ISBLANK(M83),"Aguardando Previsão/Data",NETWORKDAYS(L83,M83)-1)</f>
        <v>-7</v>
      </c>
      <c r="T83" s="5" t="s">
        <v>942</v>
      </c>
    </row>
    <row r="84" spans="1:20" x14ac:dyDescent="0.35">
      <c r="A84" s="5">
        <v>8100269290</v>
      </c>
      <c r="B84" s="5">
        <v>13058</v>
      </c>
      <c r="C84" s="6">
        <v>45659</v>
      </c>
      <c r="D84" s="5" t="s">
        <v>91</v>
      </c>
      <c r="E84" s="5" t="s">
        <v>92</v>
      </c>
      <c r="F84" s="5" t="s">
        <v>96</v>
      </c>
      <c r="G84" s="5" t="s">
        <v>97</v>
      </c>
      <c r="H84" s="5" t="s">
        <v>21</v>
      </c>
      <c r="I84" s="5" t="s">
        <v>98</v>
      </c>
      <c r="J84" s="5" t="s">
        <v>99</v>
      </c>
      <c r="K84" s="5" t="s">
        <v>95</v>
      </c>
      <c r="L84" s="6">
        <v>45665</v>
      </c>
      <c r="M84" s="6">
        <v>45660</v>
      </c>
      <c r="N84" s="5" t="s">
        <v>811</v>
      </c>
      <c r="O84" s="5" t="str">
        <f ca="1">IF(P84&lt;&gt;"EXPEDIÇÃO","Expedido",IF(NETWORKDAYS(C84,TODAY())&gt;=5,"Risco Alto",IF(NETWORKDAYS(C84,TODAY())&gt;=3,IF(NETWORKDAYS(C84,TODAY())&lt;5,"Risco Médio",""),IF(NETWORKDAYS(C84,TODAY())&lt;=2,"Risco Baixo",""))))</f>
        <v>Expedido</v>
      </c>
      <c r="P84" s="5" t="s">
        <v>25</v>
      </c>
      <c r="S84" s="7">
        <f>IF(ISBLANK(M84),"Aguardando Previsão/Data",NETWORKDAYS(L84,M84)-1)</f>
        <v>-5</v>
      </c>
      <c r="T84" s="5" t="s">
        <v>942</v>
      </c>
    </row>
    <row r="85" spans="1:20" x14ac:dyDescent="0.35">
      <c r="A85" s="5">
        <v>8100269306</v>
      </c>
      <c r="B85" s="5">
        <v>13067</v>
      </c>
      <c r="C85" s="6">
        <v>45659</v>
      </c>
      <c r="D85" s="5" t="s">
        <v>91</v>
      </c>
      <c r="E85" s="5" t="s">
        <v>92</v>
      </c>
      <c r="F85" s="5" t="s">
        <v>103</v>
      </c>
      <c r="G85" s="5" t="s">
        <v>104</v>
      </c>
      <c r="H85" s="5" t="s">
        <v>21</v>
      </c>
      <c r="I85" s="5" t="s">
        <v>662</v>
      </c>
      <c r="J85" s="5" t="s">
        <v>273</v>
      </c>
      <c r="K85" s="5" t="s">
        <v>274</v>
      </c>
      <c r="L85" s="6">
        <v>45670</v>
      </c>
      <c r="M85" s="6">
        <v>45664</v>
      </c>
      <c r="N85" s="5" t="s">
        <v>811</v>
      </c>
      <c r="O85" s="5" t="str">
        <f ca="1">IF(P85&lt;&gt;"EXPEDIÇÃO","Expedido",IF(NETWORKDAYS(C85,TODAY())&gt;=5,"Risco Alto",IF(NETWORKDAYS(C85,TODAY())&gt;=3,IF(NETWORKDAYS(C85,TODAY())&lt;5,"Risco Médio",""),IF(NETWORKDAYS(C85,TODAY())&lt;=2,"Risco Baixo",""))))</f>
        <v>Expedido</v>
      </c>
      <c r="P85" s="5" t="s">
        <v>25</v>
      </c>
      <c r="S85" s="7">
        <f>IF(ISBLANK(M85),"Aguardando Previsão/Data",NETWORKDAYS(L85,M85)-1)</f>
        <v>-6</v>
      </c>
      <c r="T85" s="5" t="s">
        <v>942</v>
      </c>
    </row>
    <row r="86" spans="1:20" x14ac:dyDescent="0.35">
      <c r="A86" s="5">
        <v>8100269307</v>
      </c>
      <c r="B86" s="5">
        <v>13066</v>
      </c>
      <c r="C86" s="6">
        <v>45659</v>
      </c>
      <c r="D86" s="5" t="s">
        <v>91</v>
      </c>
      <c r="E86" s="5" t="s">
        <v>92</v>
      </c>
      <c r="F86" s="5" t="s">
        <v>96</v>
      </c>
      <c r="G86" s="5" t="s">
        <v>97</v>
      </c>
      <c r="H86" s="5" t="s">
        <v>21</v>
      </c>
      <c r="I86" s="5" t="s">
        <v>712</v>
      </c>
      <c r="J86" s="5" t="s">
        <v>424</v>
      </c>
      <c r="K86" s="5" t="s">
        <v>95</v>
      </c>
      <c r="L86" s="6">
        <v>45666</v>
      </c>
      <c r="M86" s="6">
        <v>45663</v>
      </c>
      <c r="N86" s="5" t="s">
        <v>811</v>
      </c>
      <c r="O86" s="5" t="str">
        <f ca="1">IF(P86&lt;&gt;"EXPEDIÇÃO","Expedido",IF(NETWORKDAYS(C86,TODAY())&gt;=5,"Risco Alto",IF(NETWORKDAYS(C86,TODAY())&gt;=3,IF(NETWORKDAYS(C86,TODAY())&lt;5,"Risco Médio",""),IF(NETWORKDAYS(C86,TODAY())&lt;=2,"Risco Baixo",""))))</f>
        <v>Expedido</v>
      </c>
      <c r="P86" s="5" t="s">
        <v>25</v>
      </c>
      <c r="S86" s="7">
        <f>IF(ISBLANK(M86),"Aguardando Previsão/Data",NETWORKDAYS(L86,M86)-1)</f>
        <v>-5</v>
      </c>
      <c r="T86" s="5" t="s">
        <v>942</v>
      </c>
    </row>
    <row r="87" spans="1:20" x14ac:dyDescent="0.35">
      <c r="A87" s="5">
        <v>8100269308</v>
      </c>
      <c r="B87" s="5">
        <v>13064</v>
      </c>
      <c r="C87" s="6">
        <v>45659</v>
      </c>
      <c r="D87" s="5" t="s">
        <v>91</v>
      </c>
      <c r="E87" s="5" t="s">
        <v>92</v>
      </c>
      <c r="F87" s="5" t="s">
        <v>96</v>
      </c>
      <c r="G87" s="5" t="s">
        <v>97</v>
      </c>
      <c r="H87" s="5" t="s">
        <v>21</v>
      </c>
      <c r="I87" s="5" t="s">
        <v>962</v>
      </c>
      <c r="J87" s="5" t="s">
        <v>426</v>
      </c>
      <c r="K87" s="5" t="s">
        <v>95</v>
      </c>
      <c r="L87" s="6">
        <v>45666</v>
      </c>
      <c r="M87" s="6">
        <v>45663</v>
      </c>
      <c r="N87" s="5" t="s">
        <v>811</v>
      </c>
      <c r="O87" s="5" t="str">
        <f ca="1">IF(P87&lt;&gt;"EXPEDIÇÃO","Expedido",IF(NETWORKDAYS(C87,TODAY())&gt;=5,"Risco Alto",IF(NETWORKDAYS(C87,TODAY())&gt;=3,IF(NETWORKDAYS(C87,TODAY())&lt;5,"Risco Médio",""),IF(NETWORKDAYS(C87,TODAY())&lt;=2,"Risco Baixo",""))))</f>
        <v>Expedido</v>
      </c>
      <c r="P87" s="5" t="s">
        <v>25</v>
      </c>
      <c r="S87" s="7">
        <f>IF(ISBLANK(M87),"Aguardando Previsão/Data",NETWORKDAYS(L87,M87)-1)</f>
        <v>-5</v>
      </c>
      <c r="T87" s="5" t="s">
        <v>942</v>
      </c>
    </row>
    <row r="88" spans="1:20" x14ac:dyDescent="0.35">
      <c r="A88" s="5">
        <v>8100269371</v>
      </c>
      <c r="B88" s="5">
        <v>13070</v>
      </c>
      <c r="C88" s="6">
        <v>45659</v>
      </c>
      <c r="D88" s="5" t="s">
        <v>91</v>
      </c>
      <c r="E88" s="5" t="s">
        <v>92</v>
      </c>
      <c r="F88" s="5" t="s">
        <v>96</v>
      </c>
      <c r="G88" s="5" t="s">
        <v>97</v>
      </c>
      <c r="H88" s="5" t="s">
        <v>21</v>
      </c>
      <c r="I88" s="5" t="s">
        <v>962</v>
      </c>
      <c r="J88" s="5" t="s">
        <v>426</v>
      </c>
      <c r="K88" s="5" t="s">
        <v>95</v>
      </c>
      <c r="L88" s="6">
        <v>45666</v>
      </c>
      <c r="M88" s="6">
        <v>45664</v>
      </c>
      <c r="N88" s="5" t="s">
        <v>811</v>
      </c>
      <c r="O88" s="5" t="str">
        <f ca="1">IF(P88&lt;&gt;"EXPEDIÇÃO","Expedido",IF(NETWORKDAYS(C88,TODAY())&gt;=5,"Risco Alto",IF(NETWORKDAYS(C88,TODAY())&gt;=3,IF(NETWORKDAYS(C88,TODAY())&lt;5,"Risco Médio",""),IF(NETWORKDAYS(C88,TODAY())&lt;=2,"Risco Baixo",""))))</f>
        <v>Expedido</v>
      </c>
      <c r="P88" s="5" t="s">
        <v>25</v>
      </c>
      <c r="S88" s="7">
        <f>IF(ISBLANK(M88),"Aguardando Previsão/Data",NETWORKDAYS(L88,M88)-1)</f>
        <v>-4</v>
      </c>
      <c r="T88" s="5" t="s">
        <v>942</v>
      </c>
    </row>
    <row r="89" spans="1:20" x14ac:dyDescent="0.35">
      <c r="A89" s="5">
        <v>8100269372</v>
      </c>
      <c r="B89" s="5">
        <v>13044</v>
      </c>
      <c r="C89" s="6">
        <v>45659</v>
      </c>
      <c r="D89" s="5" t="s">
        <v>91</v>
      </c>
      <c r="E89" s="5" t="s">
        <v>92</v>
      </c>
      <c r="F89" s="5" t="s">
        <v>58</v>
      </c>
      <c r="G89" s="5" t="s">
        <v>59</v>
      </c>
      <c r="H89" s="5" t="s">
        <v>21</v>
      </c>
      <c r="I89" s="5" t="s">
        <v>384</v>
      </c>
      <c r="J89" s="5" t="s">
        <v>385</v>
      </c>
      <c r="K89" s="5" t="s">
        <v>95</v>
      </c>
      <c r="L89" s="6">
        <v>45672</v>
      </c>
      <c r="M89" s="6">
        <v>45665</v>
      </c>
      <c r="N89" s="5" t="s">
        <v>811</v>
      </c>
      <c r="O89" s="5" t="str">
        <f ca="1">IF(P89&lt;&gt;"EXPEDIÇÃO","Expedido",IF(NETWORKDAYS(C89,TODAY())&gt;=5,"Risco Alto",IF(NETWORKDAYS(C89,TODAY())&gt;=3,IF(NETWORKDAYS(C89,TODAY())&lt;5,"Risco Médio",""),IF(NETWORKDAYS(C89,TODAY())&lt;=2,"Risco Baixo",""))))</f>
        <v>Expedido</v>
      </c>
      <c r="P89" s="5" t="s">
        <v>25</v>
      </c>
      <c r="S89" s="7">
        <f>IF(ISBLANK(M89),"Aguardando Previsão/Data",NETWORKDAYS(L89,M89)-1)</f>
        <v>-7</v>
      </c>
      <c r="T89" s="5" t="s">
        <v>942</v>
      </c>
    </row>
    <row r="90" spans="1:20" x14ac:dyDescent="0.35">
      <c r="A90" s="5">
        <v>8100269373</v>
      </c>
      <c r="B90" s="5">
        <v>13055</v>
      </c>
      <c r="C90" s="6">
        <v>45659</v>
      </c>
      <c r="D90" s="5" t="s">
        <v>91</v>
      </c>
      <c r="E90" s="5" t="s">
        <v>92</v>
      </c>
      <c r="F90" s="5" t="s">
        <v>103</v>
      </c>
      <c r="G90" s="5" t="s">
        <v>104</v>
      </c>
      <c r="H90" s="5" t="s">
        <v>21</v>
      </c>
      <c r="I90" s="5" t="s">
        <v>1015</v>
      </c>
      <c r="J90" s="5" t="s">
        <v>716</v>
      </c>
      <c r="K90" s="5" t="s">
        <v>423</v>
      </c>
      <c r="L90" s="6">
        <v>45670</v>
      </c>
      <c r="M90" s="6">
        <v>45663</v>
      </c>
      <c r="N90" s="5" t="s">
        <v>811</v>
      </c>
      <c r="O90" s="5" t="str">
        <f ca="1">IF(P90&lt;&gt;"EXPEDIÇÃO","Expedido",IF(NETWORKDAYS(C90,TODAY())&gt;=5,"Risco Alto",IF(NETWORKDAYS(C90,TODAY())&gt;=3,IF(NETWORKDAYS(C90,TODAY())&lt;5,"Risco Médio",""),IF(NETWORKDAYS(C90,TODAY())&lt;=2,"Risco Baixo",""))))</f>
        <v>Expedido</v>
      </c>
      <c r="P90" s="5" t="s">
        <v>25</v>
      </c>
      <c r="S90" s="7">
        <f>IF(ISBLANK(M90),"Aguardando Previsão/Data",NETWORKDAYS(L90,M90)-1)</f>
        <v>-7</v>
      </c>
      <c r="T90" s="5" t="s">
        <v>942</v>
      </c>
    </row>
    <row r="91" spans="1:20" x14ac:dyDescent="0.35">
      <c r="A91" s="5">
        <v>8100269374</v>
      </c>
      <c r="B91" s="5">
        <v>13056</v>
      </c>
      <c r="C91" s="6">
        <v>45659</v>
      </c>
      <c r="D91" s="5" t="s">
        <v>91</v>
      </c>
      <c r="E91" s="5" t="s">
        <v>92</v>
      </c>
      <c r="F91" s="5" t="s">
        <v>103</v>
      </c>
      <c r="G91" s="5" t="s">
        <v>104</v>
      </c>
      <c r="H91" s="5" t="s">
        <v>21</v>
      </c>
      <c r="I91" s="5" t="s">
        <v>1015</v>
      </c>
      <c r="J91" s="5" t="s">
        <v>716</v>
      </c>
      <c r="K91" s="5" t="s">
        <v>423</v>
      </c>
      <c r="L91" s="6">
        <v>45670</v>
      </c>
      <c r="M91" s="6">
        <v>45663</v>
      </c>
      <c r="N91" s="5" t="s">
        <v>811</v>
      </c>
      <c r="O91" s="5" t="str">
        <f ca="1">IF(P91&lt;&gt;"EXPEDIÇÃO","Expedido",IF(NETWORKDAYS(C91,TODAY())&gt;=5,"Risco Alto",IF(NETWORKDAYS(C91,TODAY())&gt;=3,IF(NETWORKDAYS(C91,TODAY())&lt;5,"Risco Médio",""),IF(NETWORKDAYS(C91,TODAY())&lt;=2,"Risco Baixo",""))))</f>
        <v>Expedido</v>
      </c>
      <c r="P91" s="5" t="s">
        <v>25</v>
      </c>
      <c r="S91" s="7">
        <f>IF(ISBLANK(M91),"Aguardando Previsão/Data",NETWORKDAYS(L91,M91)-1)</f>
        <v>-7</v>
      </c>
      <c r="T91" s="5" t="s">
        <v>942</v>
      </c>
    </row>
    <row r="92" spans="1:20" x14ac:dyDescent="0.35">
      <c r="A92" s="5">
        <v>8100269375</v>
      </c>
      <c r="B92" s="5">
        <v>13050</v>
      </c>
      <c r="C92" s="6">
        <v>45659</v>
      </c>
      <c r="D92" s="5" t="s">
        <v>91</v>
      </c>
      <c r="E92" s="5" t="s">
        <v>92</v>
      </c>
      <c r="F92" s="5" t="s">
        <v>58</v>
      </c>
      <c r="G92" s="5" t="s">
        <v>59</v>
      </c>
      <c r="H92" s="5" t="s">
        <v>21</v>
      </c>
      <c r="I92" s="5" t="s">
        <v>559</v>
      </c>
      <c r="J92" s="5" t="s">
        <v>560</v>
      </c>
      <c r="K92" s="5" t="s">
        <v>95</v>
      </c>
      <c r="L92" s="6">
        <v>45672</v>
      </c>
      <c r="M92" s="6">
        <v>45665</v>
      </c>
      <c r="N92" s="5" t="s">
        <v>811</v>
      </c>
      <c r="O92" s="5" t="str">
        <f ca="1">IF(P92&lt;&gt;"EXPEDIÇÃO","Expedido",IF(NETWORKDAYS(C92,TODAY())&gt;=5,"Risco Alto",IF(NETWORKDAYS(C92,TODAY())&gt;=3,IF(NETWORKDAYS(C92,TODAY())&lt;5,"Risco Médio",""),IF(NETWORKDAYS(C92,TODAY())&lt;=2,"Risco Baixo",""))))</f>
        <v>Expedido</v>
      </c>
      <c r="P92" s="5" t="s">
        <v>25</v>
      </c>
      <c r="S92" s="7">
        <f>IF(ISBLANK(M92),"Aguardando Previsão/Data",NETWORKDAYS(L92,M92)-1)</f>
        <v>-7</v>
      </c>
      <c r="T92" s="5" t="s">
        <v>942</v>
      </c>
    </row>
    <row r="93" spans="1:20" x14ac:dyDescent="0.35">
      <c r="A93" s="5">
        <v>8100269376</v>
      </c>
      <c r="B93" s="5">
        <v>13053</v>
      </c>
      <c r="C93" s="6">
        <v>45659</v>
      </c>
      <c r="D93" s="5" t="s">
        <v>91</v>
      </c>
      <c r="E93" s="5" t="s">
        <v>92</v>
      </c>
      <c r="F93" s="5" t="s">
        <v>96</v>
      </c>
      <c r="G93" s="5" t="s">
        <v>97</v>
      </c>
      <c r="H93" s="5" t="s">
        <v>21</v>
      </c>
      <c r="I93" s="5" t="s">
        <v>425</v>
      </c>
      <c r="J93" s="5" t="s">
        <v>426</v>
      </c>
      <c r="K93" s="5" t="s">
        <v>95</v>
      </c>
      <c r="L93" s="6">
        <v>45666</v>
      </c>
      <c r="M93" s="6">
        <v>45660</v>
      </c>
      <c r="N93" s="5" t="s">
        <v>811</v>
      </c>
      <c r="O93" s="5" t="str">
        <f ca="1">IF(P93&lt;&gt;"EXPEDIÇÃO","Expedido",IF(NETWORKDAYS(C93,TODAY())&gt;=5,"Risco Alto",IF(NETWORKDAYS(C93,TODAY())&gt;=3,IF(NETWORKDAYS(C93,TODAY())&lt;5,"Risco Médio",""),IF(NETWORKDAYS(C93,TODAY())&lt;=2,"Risco Baixo",""))))</f>
        <v>Expedido</v>
      </c>
      <c r="P93" s="5" t="s">
        <v>25</v>
      </c>
      <c r="S93" s="7">
        <f>IF(ISBLANK(M93),"Aguardando Previsão/Data",NETWORKDAYS(L93,M93)-1)</f>
        <v>-6</v>
      </c>
      <c r="T93" s="5" t="s">
        <v>942</v>
      </c>
    </row>
    <row r="94" spans="1:20" x14ac:dyDescent="0.35">
      <c r="A94" s="5">
        <v>8100269377</v>
      </c>
      <c r="B94" s="5">
        <v>13054</v>
      </c>
      <c r="C94" s="6">
        <v>45659</v>
      </c>
      <c r="D94" s="5" t="s">
        <v>91</v>
      </c>
      <c r="E94" s="5" t="s">
        <v>92</v>
      </c>
      <c r="F94" s="5" t="s">
        <v>96</v>
      </c>
      <c r="G94" s="5" t="s">
        <v>97</v>
      </c>
      <c r="H94" s="5" t="s">
        <v>21</v>
      </c>
      <c r="I94" s="5" t="s">
        <v>425</v>
      </c>
      <c r="J94" s="5" t="s">
        <v>426</v>
      </c>
      <c r="K94" s="5" t="s">
        <v>95</v>
      </c>
      <c r="L94" s="6">
        <v>45666</v>
      </c>
      <c r="M94" s="6">
        <v>45660</v>
      </c>
      <c r="N94" s="5" t="s">
        <v>811</v>
      </c>
      <c r="O94" s="5" t="str">
        <f ca="1">IF(P94&lt;&gt;"EXPEDIÇÃO","Expedido",IF(NETWORKDAYS(C94,TODAY())&gt;=5,"Risco Alto",IF(NETWORKDAYS(C94,TODAY())&gt;=3,IF(NETWORKDAYS(C94,TODAY())&lt;5,"Risco Médio",""),IF(NETWORKDAYS(C94,TODAY())&lt;=2,"Risco Baixo",""))))</f>
        <v>Expedido</v>
      </c>
      <c r="P94" s="5" t="s">
        <v>25</v>
      </c>
      <c r="S94" s="7">
        <f>IF(ISBLANK(M94),"Aguardando Previsão/Data",NETWORKDAYS(L94,M94)-1)</f>
        <v>-6</v>
      </c>
      <c r="T94" s="5" t="s">
        <v>942</v>
      </c>
    </row>
    <row r="95" spans="1:20" x14ac:dyDescent="0.35">
      <c r="A95" s="5">
        <v>8100269378</v>
      </c>
      <c r="B95" s="5">
        <v>13059</v>
      </c>
      <c r="C95" s="6">
        <v>45659</v>
      </c>
      <c r="D95" s="5" t="s">
        <v>91</v>
      </c>
      <c r="E95" s="5" t="s">
        <v>92</v>
      </c>
      <c r="F95" s="5" t="s">
        <v>96</v>
      </c>
      <c r="G95" s="5" t="s">
        <v>97</v>
      </c>
      <c r="H95" s="5" t="s">
        <v>21</v>
      </c>
      <c r="I95" s="5" t="s">
        <v>98</v>
      </c>
      <c r="J95" s="5" t="s">
        <v>99</v>
      </c>
      <c r="K95" s="5" t="s">
        <v>95</v>
      </c>
      <c r="L95" s="6">
        <v>45665</v>
      </c>
      <c r="M95" s="6">
        <v>45660</v>
      </c>
      <c r="N95" s="5" t="s">
        <v>811</v>
      </c>
      <c r="O95" s="5" t="str">
        <f ca="1">IF(P95&lt;&gt;"EXPEDIÇÃO","Expedido",IF(NETWORKDAYS(C95,TODAY())&gt;=5,"Risco Alto",IF(NETWORKDAYS(C95,TODAY())&gt;=3,IF(NETWORKDAYS(C95,TODAY())&lt;5,"Risco Médio",""),IF(NETWORKDAYS(C95,TODAY())&lt;=2,"Risco Baixo",""))))</f>
        <v>Expedido</v>
      </c>
      <c r="P95" s="5" t="s">
        <v>25</v>
      </c>
      <c r="S95" s="7">
        <f>IF(ISBLANK(M95),"Aguardando Previsão/Data",NETWORKDAYS(L95,M95)-1)</f>
        <v>-5</v>
      </c>
      <c r="T95" s="5" t="s">
        <v>942</v>
      </c>
    </row>
    <row r="96" spans="1:20" x14ac:dyDescent="0.35">
      <c r="A96" s="5">
        <v>8100269379</v>
      </c>
      <c r="B96" s="5">
        <v>13046</v>
      </c>
      <c r="C96" s="6">
        <v>45659</v>
      </c>
      <c r="D96" s="5" t="s">
        <v>91</v>
      </c>
      <c r="E96" s="5" t="s">
        <v>92</v>
      </c>
      <c r="F96" s="5" t="s">
        <v>66</v>
      </c>
      <c r="G96" s="5" t="s">
        <v>67</v>
      </c>
      <c r="H96" s="5" t="s">
        <v>21</v>
      </c>
      <c r="I96" s="5" t="s">
        <v>935</v>
      </c>
      <c r="J96" s="5" t="s">
        <v>389</v>
      </c>
      <c r="K96" s="5" t="s">
        <v>95</v>
      </c>
      <c r="L96" s="6">
        <v>45672</v>
      </c>
      <c r="M96" s="6">
        <v>45666</v>
      </c>
      <c r="N96" s="5" t="s">
        <v>811</v>
      </c>
      <c r="O96" s="5" t="str">
        <f ca="1">IF(P96&lt;&gt;"EXPEDIÇÃO","Expedido",IF(NETWORKDAYS(C96,TODAY())&gt;=5,"Risco Alto",IF(NETWORKDAYS(C96,TODAY())&gt;=3,IF(NETWORKDAYS(C96,TODAY())&lt;5,"Risco Médio",""),IF(NETWORKDAYS(C96,TODAY())&lt;=2,"Risco Baixo",""))))</f>
        <v>Expedido</v>
      </c>
      <c r="P96" s="5" t="s">
        <v>25</v>
      </c>
      <c r="S96" s="7">
        <f>IF(ISBLANK(M96),"Aguardando Previsão/Data",NETWORKDAYS(L96,M96)-1)</f>
        <v>-6</v>
      </c>
      <c r="T96" s="5" t="s">
        <v>942</v>
      </c>
    </row>
    <row r="97" spans="1:20" x14ac:dyDescent="0.35">
      <c r="A97" s="5">
        <v>8100269576</v>
      </c>
      <c r="B97" s="5">
        <v>13072</v>
      </c>
      <c r="C97" s="6">
        <v>45659</v>
      </c>
      <c r="D97" s="5" t="s">
        <v>91</v>
      </c>
      <c r="E97" s="5" t="s">
        <v>92</v>
      </c>
      <c r="F97" s="5" t="s">
        <v>19</v>
      </c>
      <c r="G97" s="5" t="s">
        <v>20</v>
      </c>
      <c r="H97" s="5" t="s">
        <v>21</v>
      </c>
      <c r="I97" s="5" t="s">
        <v>659</v>
      </c>
      <c r="J97" s="5" t="s">
        <v>426</v>
      </c>
      <c r="K97" s="5" t="s">
        <v>95</v>
      </c>
      <c r="L97" s="6">
        <v>45666</v>
      </c>
      <c r="M97" s="6">
        <v>45665</v>
      </c>
      <c r="N97" s="5" t="s">
        <v>811</v>
      </c>
      <c r="O97" s="5" t="str">
        <f ca="1">IF(P97&lt;&gt;"EXPEDIÇÃO","Expedido",IF(NETWORKDAYS(C97,TODAY())&gt;=5,"Risco Alto",IF(NETWORKDAYS(C97,TODAY())&gt;=3,IF(NETWORKDAYS(C97,TODAY())&lt;5,"Risco Médio",""),IF(NETWORKDAYS(C97,TODAY())&lt;=2,"Risco Baixo",""))))</f>
        <v>Expedido</v>
      </c>
      <c r="P97" s="5" t="s">
        <v>25</v>
      </c>
      <c r="S97" s="7">
        <f>IF(ISBLANK(M97),"Aguardando Previsão/Data",NETWORKDAYS(L97,M97)-1)</f>
        <v>-3</v>
      </c>
      <c r="T97" s="5" t="s">
        <v>942</v>
      </c>
    </row>
    <row r="98" spans="1:20" x14ac:dyDescent="0.35">
      <c r="A98" s="5">
        <v>8100269577</v>
      </c>
      <c r="B98" s="5">
        <v>13048</v>
      </c>
      <c r="C98" s="6">
        <v>45659</v>
      </c>
      <c r="D98" s="5" t="s">
        <v>91</v>
      </c>
      <c r="E98" s="5" t="s">
        <v>92</v>
      </c>
      <c r="F98" s="5" t="s">
        <v>19</v>
      </c>
      <c r="G98" s="5" t="s">
        <v>20</v>
      </c>
      <c r="H98" s="5" t="s">
        <v>21</v>
      </c>
      <c r="I98" s="5" t="s">
        <v>576</v>
      </c>
      <c r="J98" s="5" t="s">
        <v>469</v>
      </c>
      <c r="K98" s="5" t="s">
        <v>95</v>
      </c>
      <c r="L98" s="6">
        <v>45666</v>
      </c>
      <c r="M98" s="6">
        <v>45665</v>
      </c>
      <c r="N98" s="5" t="s">
        <v>811</v>
      </c>
      <c r="O98" s="5" t="str">
        <f ca="1">IF(P98&lt;&gt;"EXPEDIÇÃO","Expedido",IF(NETWORKDAYS(C98,TODAY())&gt;=5,"Risco Alto",IF(NETWORKDAYS(C98,TODAY())&gt;=3,IF(NETWORKDAYS(C98,TODAY())&lt;5,"Risco Médio",""),IF(NETWORKDAYS(C98,TODAY())&lt;=2,"Risco Baixo",""))))</f>
        <v>Expedido</v>
      </c>
      <c r="P98" s="5" t="s">
        <v>25</v>
      </c>
      <c r="S98" s="7">
        <f>IF(ISBLANK(M98),"Aguardando Previsão/Data",NETWORKDAYS(L98,M98)-1)</f>
        <v>-3</v>
      </c>
      <c r="T98" s="5" t="s">
        <v>942</v>
      </c>
    </row>
    <row r="99" spans="1:20" x14ac:dyDescent="0.35">
      <c r="A99" s="5">
        <v>8100269578</v>
      </c>
      <c r="B99" s="5">
        <v>13077</v>
      </c>
      <c r="C99" s="6">
        <v>45659</v>
      </c>
      <c r="D99" s="5" t="s">
        <v>91</v>
      </c>
      <c r="E99" s="5" t="s">
        <v>92</v>
      </c>
      <c r="F99" s="5" t="s">
        <v>19</v>
      </c>
      <c r="G99" s="5" t="s">
        <v>20</v>
      </c>
      <c r="H99" s="5" t="s">
        <v>21</v>
      </c>
      <c r="I99" s="5" t="s">
        <v>576</v>
      </c>
      <c r="J99" s="5" t="s">
        <v>426</v>
      </c>
      <c r="K99" s="5" t="s">
        <v>95</v>
      </c>
      <c r="L99" s="6">
        <v>45666</v>
      </c>
      <c r="M99" s="6">
        <v>45665</v>
      </c>
      <c r="N99" s="5" t="s">
        <v>811</v>
      </c>
      <c r="O99" s="5" t="str">
        <f ca="1">IF(P99&lt;&gt;"EXPEDIÇÃO","Expedido",IF(NETWORKDAYS(C99,TODAY())&gt;=5,"Risco Alto",IF(NETWORKDAYS(C99,TODAY())&gt;=3,IF(NETWORKDAYS(C99,TODAY())&lt;5,"Risco Médio",""),IF(NETWORKDAYS(C99,TODAY())&lt;=2,"Risco Baixo",""))))</f>
        <v>Expedido</v>
      </c>
      <c r="P99" s="5" t="s">
        <v>25</v>
      </c>
      <c r="S99" s="7">
        <f>IF(ISBLANK(M99),"Aguardando Previsão/Data",NETWORKDAYS(L99,M99)-1)</f>
        <v>-3</v>
      </c>
      <c r="T99" s="5" t="s">
        <v>942</v>
      </c>
    </row>
    <row r="100" spans="1:20" x14ac:dyDescent="0.35">
      <c r="A100" s="5">
        <v>8100269579</v>
      </c>
      <c r="B100" s="5">
        <v>13078</v>
      </c>
      <c r="C100" s="6">
        <v>45659</v>
      </c>
      <c r="D100" s="5" t="s">
        <v>91</v>
      </c>
      <c r="E100" s="5" t="s">
        <v>92</v>
      </c>
      <c r="F100" s="5" t="s">
        <v>19</v>
      </c>
      <c r="G100" s="5" t="s">
        <v>20</v>
      </c>
      <c r="H100" s="5" t="s">
        <v>21</v>
      </c>
      <c r="I100" s="5" t="s">
        <v>576</v>
      </c>
      <c r="J100" s="5" t="s">
        <v>426</v>
      </c>
      <c r="K100" s="5" t="s">
        <v>95</v>
      </c>
      <c r="L100" s="6">
        <v>45666</v>
      </c>
      <c r="M100" s="6">
        <v>45665</v>
      </c>
      <c r="N100" s="5" t="s">
        <v>811</v>
      </c>
      <c r="O100" s="5" t="str">
        <f ca="1">IF(P100&lt;&gt;"EXPEDIÇÃO","Expedido",IF(NETWORKDAYS(C100,TODAY())&gt;=5,"Risco Alto",IF(NETWORKDAYS(C100,TODAY())&gt;=3,IF(NETWORKDAYS(C100,TODAY())&lt;5,"Risco Médio",""),IF(NETWORKDAYS(C100,TODAY())&lt;=2,"Risco Baixo",""))))</f>
        <v>Expedido</v>
      </c>
      <c r="P100" s="5" t="s">
        <v>25</v>
      </c>
      <c r="S100" s="7">
        <f>IF(ISBLANK(M100),"Aguardando Previsão/Data",NETWORKDAYS(L100,M100)-1)</f>
        <v>-3</v>
      </c>
      <c r="T100" s="5" t="s">
        <v>942</v>
      </c>
    </row>
    <row r="101" spans="1:20" x14ac:dyDescent="0.35">
      <c r="A101" s="5">
        <v>8100269580</v>
      </c>
      <c r="B101" s="5">
        <v>13075</v>
      </c>
      <c r="C101" s="6">
        <v>45659</v>
      </c>
      <c r="D101" s="5" t="s">
        <v>91</v>
      </c>
      <c r="E101" s="5" t="s">
        <v>92</v>
      </c>
      <c r="F101" s="5" t="s">
        <v>19</v>
      </c>
      <c r="G101" s="5" t="s">
        <v>20</v>
      </c>
      <c r="H101" s="5" t="s">
        <v>21</v>
      </c>
      <c r="I101" s="5" t="s">
        <v>576</v>
      </c>
      <c r="J101" s="5" t="s">
        <v>469</v>
      </c>
      <c r="K101" s="5" t="s">
        <v>95</v>
      </c>
      <c r="L101" s="6">
        <v>45666</v>
      </c>
      <c r="M101" s="6">
        <v>45665</v>
      </c>
      <c r="N101" s="5" t="s">
        <v>811</v>
      </c>
      <c r="O101" s="5" t="str">
        <f ca="1">IF(P101&lt;&gt;"EXPEDIÇÃO","Expedido",IF(NETWORKDAYS(C101,TODAY())&gt;=5,"Risco Alto",IF(NETWORKDAYS(C101,TODAY())&gt;=3,IF(NETWORKDAYS(C101,TODAY())&lt;5,"Risco Médio",""),IF(NETWORKDAYS(C101,TODAY())&lt;=2,"Risco Baixo",""))))</f>
        <v>Expedido</v>
      </c>
      <c r="P101" s="5" t="s">
        <v>25</v>
      </c>
      <c r="S101" s="7">
        <f>IF(ISBLANK(M101),"Aguardando Previsão/Data",NETWORKDAYS(L101,M101)-1)</f>
        <v>-3</v>
      </c>
      <c r="T101" s="5" t="s">
        <v>942</v>
      </c>
    </row>
    <row r="102" spans="1:20" x14ac:dyDescent="0.35">
      <c r="A102" s="5">
        <v>8100269581</v>
      </c>
      <c r="B102" s="5">
        <v>13076</v>
      </c>
      <c r="C102" s="6">
        <v>45659</v>
      </c>
      <c r="D102" s="5" t="s">
        <v>91</v>
      </c>
      <c r="E102" s="5" t="s">
        <v>92</v>
      </c>
      <c r="F102" s="5" t="s">
        <v>19</v>
      </c>
      <c r="G102" s="5" t="s">
        <v>20</v>
      </c>
      <c r="H102" s="5" t="s">
        <v>21</v>
      </c>
      <c r="I102" s="5" t="s">
        <v>576</v>
      </c>
      <c r="J102" s="5" t="s">
        <v>469</v>
      </c>
      <c r="K102" s="5" t="s">
        <v>95</v>
      </c>
      <c r="L102" s="6">
        <v>45666</v>
      </c>
      <c r="M102" s="6">
        <v>45665</v>
      </c>
      <c r="N102" s="5" t="s">
        <v>811</v>
      </c>
      <c r="O102" s="5" t="str">
        <f ca="1">IF(P102&lt;&gt;"EXPEDIÇÃO","Expedido",IF(NETWORKDAYS(C102,TODAY())&gt;=5,"Risco Alto",IF(NETWORKDAYS(C102,TODAY())&gt;=3,IF(NETWORKDAYS(C102,TODAY())&lt;5,"Risco Médio",""),IF(NETWORKDAYS(C102,TODAY())&lt;=2,"Risco Baixo",""))))</f>
        <v>Expedido</v>
      </c>
      <c r="P102" s="5" t="s">
        <v>25</v>
      </c>
      <c r="S102" s="7">
        <f>IF(ISBLANK(M102),"Aguardando Previsão/Data",NETWORKDAYS(L102,M102)-1)</f>
        <v>-3</v>
      </c>
      <c r="T102" s="5" t="s">
        <v>942</v>
      </c>
    </row>
    <row r="103" spans="1:20" x14ac:dyDescent="0.35">
      <c r="A103" s="5">
        <v>8100269585</v>
      </c>
      <c r="B103" s="5">
        <v>13079</v>
      </c>
      <c r="C103" s="6">
        <v>45659</v>
      </c>
      <c r="D103" s="5" t="s">
        <v>91</v>
      </c>
      <c r="E103" s="5" t="s">
        <v>92</v>
      </c>
      <c r="F103" s="5" t="s">
        <v>19</v>
      </c>
      <c r="G103" s="5" t="s">
        <v>20</v>
      </c>
      <c r="H103" s="5" t="s">
        <v>21</v>
      </c>
      <c r="I103" s="5" t="s">
        <v>576</v>
      </c>
      <c r="J103" s="5" t="s">
        <v>426</v>
      </c>
      <c r="K103" s="5" t="s">
        <v>95</v>
      </c>
      <c r="L103" s="6">
        <v>45666</v>
      </c>
      <c r="M103" s="6">
        <v>45665</v>
      </c>
      <c r="N103" s="5" t="s">
        <v>811</v>
      </c>
      <c r="O103" s="5" t="str">
        <f ca="1">IF(P103&lt;&gt;"EXPEDIÇÃO","Expedido",IF(NETWORKDAYS(C103,TODAY())&gt;=5,"Risco Alto",IF(NETWORKDAYS(C103,TODAY())&gt;=3,IF(NETWORKDAYS(C103,TODAY())&lt;5,"Risco Médio",""),IF(NETWORKDAYS(C103,TODAY())&lt;=2,"Risco Baixo",""))))</f>
        <v>Expedido</v>
      </c>
      <c r="P103" s="5" t="s">
        <v>25</v>
      </c>
      <c r="S103" s="7">
        <f>IF(ISBLANK(M103),"Aguardando Previsão/Data",NETWORKDAYS(L103,M103)-1)</f>
        <v>-3</v>
      </c>
      <c r="T103" s="5" t="s">
        <v>942</v>
      </c>
    </row>
    <row r="104" spans="1:20" x14ac:dyDescent="0.35">
      <c r="A104" s="5">
        <v>8100269595</v>
      </c>
      <c r="B104" s="5">
        <v>13040</v>
      </c>
      <c r="C104" s="6">
        <v>45659</v>
      </c>
      <c r="D104" s="5" t="s">
        <v>91</v>
      </c>
      <c r="E104" s="5" t="s">
        <v>92</v>
      </c>
      <c r="F104" s="5" t="s">
        <v>196</v>
      </c>
      <c r="G104" s="5" t="s">
        <v>197</v>
      </c>
      <c r="H104" s="5" t="s">
        <v>21</v>
      </c>
      <c r="I104" s="5" t="s">
        <v>1006</v>
      </c>
      <c r="J104" s="5" t="s">
        <v>636</v>
      </c>
      <c r="K104" s="5" t="s">
        <v>95</v>
      </c>
      <c r="L104" s="6">
        <v>45666</v>
      </c>
      <c r="M104" s="6">
        <v>45663</v>
      </c>
      <c r="N104" s="5" t="s">
        <v>811</v>
      </c>
      <c r="O104" s="5" t="str">
        <f ca="1">IF(P104&lt;&gt;"EXPEDIÇÃO","Expedido",IF(NETWORKDAYS(C104,TODAY())&gt;=5,"Risco Alto",IF(NETWORKDAYS(C104,TODAY())&gt;=3,IF(NETWORKDAYS(C104,TODAY())&lt;5,"Risco Médio",""),IF(NETWORKDAYS(C104,TODAY())&lt;=2,"Risco Baixo",""))))</f>
        <v>Expedido</v>
      </c>
      <c r="P104" s="5" t="s">
        <v>25</v>
      </c>
      <c r="S104" s="7">
        <f>IF(ISBLANK(M104),"Aguardando Previsão/Data",NETWORKDAYS(L104,M104)-1)</f>
        <v>-5</v>
      </c>
      <c r="T104" s="5" t="s">
        <v>942</v>
      </c>
    </row>
    <row r="105" spans="1:20" x14ac:dyDescent="0.35">
      <c r="A105" s="5">
        <v>8100269598</v>
      </c>
      <c r="B105" s="5">
        <v>13042</v>
      </c>
      <c r="C105" s="6">
        <v>45659</v>
      </c>
      <c r="D105" s="5" t="s">
        <v>91</v>
      </c>
      <c r="E105" s="5" t="s">
        <v>92</v>
      </c>
      <c r="F105" s="5" t="s">
        <v>196</v>
      </c>
      <c r="G105" s="5" t="s">
        <v>197</v>
      </c>
      <c r="H105" s="5" t="s">
        <v>21</v>
      </c>
      <c r="I105" s="5" t="s">
        <v>1006</v>
      </c>
      <c r="J105" s="5" t="s">
        <v>636</v>
      </c>
      <c r="K105" s="5" t="s">
        <v>95</v>
      </c>
      <c r="L105" s="6">
        <v>45666</v>
      </c>
      <c r="M105" s="6">
        <v>45663</v>
      </c>
      <c r="N105" s="5" t="s">
        <v>811</v>
      </c>
      <c r="O105" s="5" t="str">
        <f ca="1">IF(P105&lt;&gt;"EXPEDIÇÃO","Expedido",IF(NETWORKDAYS(C105,TODAY())&gt;=5,"Risco Alto",IF(NETWORKDAYS(C105,TODAY())&gt;=3,IF(NETWORKDAYS(C105,TODAY())&lt;5,"Risco Médio",""),IF(NETWORKDAYS(C105,TODAY())&lt;=2,"Risco Baixo",""))))</f>
        <v>Expedido</v>
      </c>
      <c r="P105" s="5" t="s">
        <v>25</v>
      </c>
      <c r="S105" s="7">
        <f>IF(ISBLANK(M105),"Aguardando Previsão/Data",NETWORKDAYS(L105,M105)-1)</f>
        <v>-5</v>
      </c>
      <c r="T105" s="5" t="s">
        <v>942</v>
      </c>
    </row>
    <row r="106" spans="1:20" x14ac:dyDescent="0.35">
      <c r="A106" s="5">
        <v>8100269751</v>
      </c>
      <c r="B106" s="5">
        <v>13074</v>
      </c>
      <c r="C106" s="6">
        <v>45659</v>
      </c>
      <c r="D106" s="5" t="s">
        <v>91</v>
      </c>
      <c r="E106" s="5" t="s">
        <v>92</v>
      </c>
      <c r="F106" s="5" t="s">
        <v>58</v>
      </c>
      <c r="G106" s="5" t="s">
        <v>59</v>
      </c>
      <c r="H106" s="5" t="s">
        <v>21</v>
      </c>
      <c r="I106" s="5" t="s">
        <v>917</v>
      </c>
      <c r="J106" s="5" t="s">
        <v>471</v>
      </c>
      <c r="K106" s="5" t="s">
        <v>95</v>
      </c>
      <c r="L106" s="6">
        <v>45672</v>
      </c>
      <c r="M106" s="6">
        <v>45667</v>
      </c>
      <c r="N106" s="5" t="s">
        <v>811</v>
      </c>
      <c r="O106" s="5" t="str">
        <f ca="1">IF(P106&lt;&gt;"EXPEDIÇÃO","Expedido",IF(NETWORKDAYS(C106,TODAY())&gt;=5,"Risco Alto",IF(NETWORKDAYS(C106,TODAY())&gt;=3,IF(NETWORKDAYS(C106,TODAY())&lt;5,"Risco Médio",""),IF(NETWORKDAYS(C106,TODAY())&lt;=2,"Risco Baixo",""))))</f>
        <v>Expedido</v>
      </c>
      <c r="P106" s="5" t="s">
        <v>25</v>
      </c>
      <c r="S106" s="7">
        <f>IF(ISBLANK(M106),"Aguardando Previsão/Data",NETWORKDAYS(L106,M106)-1)</f>
        <v>-5</v>
      </c>
      <c r="T106" s="5" t="s">
        <v>942</v>
      </c>
    </row>
    <row r="107" spans="1:20" x14ac:dyDescent="0.35">
      <c r="A107" s="5">
        <v>8100269753</v>
      </c>
      <c r="B107" s="5">
        <v>13068</v>
      </c>
      <c r="C107" s="6">
        <v>45659</v>
      </c>
      <c r="D107" s="5" t="s">
        <v>91</v>
      </c>
      <c r="E107" s="5" t="s">
        <v>92</v>
      </c>
      <c r="F107" s="5" t="s">
        <v>58</v>
      </c>
      <c r="G107" s="5" t="s">
        <v>59</v>
      </c>
      <c r="H107" s="5" t="s">
        <v>21</v>
      </c>
      <c r="I107" s="5" t="s">
        <v>559</v>
      </c>
      <c r="J107" s="5" t="s">
        <v>560</v>
      </c>
      <c r="K107" s="5" t="s">
        <v>95</v>
      </c>
      <c r="L107" s="6">
        <v>45672</v>
      </c>
      <c r="M107" s="6">
        <v>45665</v>
      </c>
      <c r="N107" s="5" t="s">
        <v>811</v>
      </c>
      <c r="O107" s="5" t="str">
        <f ca="1">IF(P107&lt;&gt;"EXPEDIÇÃO","Expedido",IF(NETWORKDAYS(C107,TODAY())&gt;=5,"Risco Alto",IF(NETWORKDAYS(C107,TODAY())&gt;=3,IF(NETWORKDAYS(C107,TODAY())&lt;5,"Risco Médio",""),IF(NETWORKDAYS(C107,TODAY())&lt;=2,"Risco Baixo",""))))</f>
        <v>Expedido</v>
      </c>
      <c r="P107" s="5" t="s">
        <v>25</v>
      </c>
      <c r="S107" s="7">
        <f>IF(ISBLANK(M107),"Aguardando Previsão/Data",NETWORKDAYS(L107,M107)-1)</f>
        <v>-7</v>
      </c>
      <c r="T107" s="5" t="s">
        <v>942</v>
      </c>
    </row>
    <row r="108" spans="1:20" x14ac:dyDescent="0.35">
      <c r="A108" s="5">
        <v>8100269525</v>
      </c>
      <c r="B108" s="5">
        <v>20905</v>
      </c>
      <c r="C108" s="6">
        <v>45659</v>
      </c>
      <c r="D108" s="5" t="s">
        <v>836</v>
      </c>
      <c r="E108" s="5" t="s">
        <v>837</v>
      </c>
      <c r="F108" s="5" t="s">
        <v>39</v>
      </c>
      <c r="G108" s="5" t="s">
        <v>40</v>
      </c>
      <c r="H108" s="5" t="s">
        <v>21</v>
      </c>
      <c r="I108" s="5" t="s">
        <v>938</v>
      </c>
      <c r="J108" s="5" t="s">
        <v>465</v>
      </c>
      <c r="K108" s="5" t="s">
        <v>24</v>
      </c>
      <c r="L108" s="6">
        <v>45665</v>
      </c>
      <c r="M108" s="6">
        <v>45663</v>
      </c>
      <c r="N108" s="5" t="s">
        <v>811</v>
      </c>
      <c r="O108" s="5" t="str">
        <f ca="1">IF(P108&lt;&gt;"EXPEDIÇÃO","Expedido",IF(NETWORKDAYS(C108,TODAY())&gt;=5,"Risco Alto",IF(NETWORKDAYS(C108,TODAY())&gt;=3,IF(NETWORKDAYS(C108,TODAY())&lt;5,"Risco Médio",""),IF(NETWORKDAYS(C108,TODAY())&lt;=2,"Risco Baixo",""))))</f>
        <v>Expedido</v>
      </c>
      <c r="P108" s="5" t="s">
        <v>25</v>
      </c>
      <c r="S108" s="7">
        <f>IF(ISBLANK(M108),"Aguardando Previsão/Data",NETWORKDAYS(L108,M108)-1)</f>
        <v>-4</v>
      </c>
      <c r="T108" s="5" t="s">
        <v>942</v>
      </c>
    </row>
    <row r="109" spans="1:20" x14ac:dyDescent="0.35">
      <c r="A109" s="5">
        <v>8100268637</v>
      </c>
      <c r="B109" s="5">
        <v>10504</v>
      </c>
      <c r="C109" s="6">
        <v>45659</v>
      </c>
      <c r="D109" s="5" t="s">
        <v>239</v>
      </c>
      <c r="E109" s="5" t="s">
        <v>240</v>
      </c>
      <c r="F109" s="5" t="s">
        <v>242</v>
      </c>
      <c r="G109" s="5" t="s">
        <v>243</v>
      </c>
      <c r="H109" s="5" t="s">
        <v>218</v>
      </c>
      <c r="I109" s="5" t="s">
        <v>1118</v>
      </c>
      <c r="J109" s="5" t="s">
        <v>655</v>
      </c>
      <c r="K109" s="5" t="s">
        <v>241</v>
      </c>
      <c r="L109" s="6">
        <v>45666</v>
      </c>
      <c r="M109" s="6">
        <v>45671</v>
      </c>
      <c r="N109" s="5" t="s">
        <v>812</v>
      </c>
      <c r="O109" s="5" t="str">
        <f ca="1">IF(P109&lt;&gt;"EXPEDIÇÃO","Expedido",IF(NETWORKDAYS(C109,TODAY())&gt;=5,"Risco Alto",IF(NETWORKDAYS(C109,TODAY())&gt;=3,IF(NETWORKDAYS(C109,TODAY())&lt;5,"Risco Médio",""),IF(NETWORKDAYS(C109,TODAY())&lt;=2,"Risco Baixo",""))))</f>
        <v>Expedido</v>
      </c>
      <c r="P109" s="5" t="s">
        <v>25</v>
      </c>
      <c r="Q109" s="5" t="s">
        <v>899</v>
      </c>
      <c r="S109" s="7">
        <f>IF(ISBLANK(M109),"Aguardando Previsão/Data",NETWORKDAYS(L109,M109)-1)</f>
        <v>3</v>
      </c>
      <c r="T109" s="5" t="s">
        <v>942</v>
      </c>
    </row>
    <row r="110" spans="1:20" x14ac:dyDescent="0.35">
      <c r="A110" s="8">
        <v>8100269051</v>
      </c>
      <c r="B110" s="5">
        <v>10413</v>
      </c>
      <c r="C110" s="6">
        <v>45659</v>
      </c>
      <c r="D110" s="5" t="s">
        <v>239</v>
      </c>
      <c r="E110" s="5" t="s">
        <v>240</v>
      </c>
      <c r="F110" s="5" t="s">
        <v>176</v>
      </c>
      <c r="G110" s="5" t="s">
        <v>177</v>
      </c>
      <c r="H110" s="5" t="s">
        <v>218</v>
      </c>
      <c r="I110" s="5" t="s">
        <v>429</v>
      </c>
      <c r="J110" s="5" t="s">
        <v>430</v>
      </c>
      <c r="K110" s="5" t="s">
        <v>241</v>
      </c>
      <c r="L110" s="6">
        <v>45666</v>
      </c>
      <c r="M110" s="6">
        <v>45670</v>
      </c>
      <c r="N110" s="5" t="s">
        <v>812</v>
      </c>
      <c r="O110" s="5" t="str">
        <f ca="1">IF(P110&lt;&gt;"EXPEDIÇÃO","Expedido",IF(NETWORKDAYS(C110,TODAY())&gt;=5,"Risco Alto",IF(NETWORKDAYS(C110,TODAY())&gt;=3,IF(NETWORKDAYS(C110,TODAY())&lt;5,"Risco Médio",""),IF(NETWORKDAYS(C110,TODAY())&lt;=2,"Risco Baixo",""))))</f>
        <v>Expedido</v>
      </c>
      <c r="P110" s="5" t="s">
        <v>25</v>
      </c>
      <c r="Q110" s="5" t="s">
        <v>1181</v>
      </c>
      <c r="S110" s="7">
        <f>IF(ISBLANK(M110),"Aguardando Previsão/Data",NETWORKDAYS(L110,M110)-1)</f>
        <v>2</v>
      </c>
      <c r="T110" s="5" t="s">
        <v>942</v>
      </c>
    </row>
    <row r="111" spans="1:20" x14ac:dyDescent="0.35">
      <c r="A111" s="5">
        <v>8100269052</v>
      </c>
      <c r="B111" s="5">
        <v>10369</v>
      </c>
      <c r="C111" s="6">
        <v>45659</v>
      </c>
      <c r="D111" s="5" t="s">
        <v>239</v>
      </c>
      <c r="E111" s="5" t="s">
        <v>240</v>
      </c>
      <c r="F111" s="5" t="s">
        <v>176</v>
      </c>
      <c r="G111" s="5" t="s">
        <v>177</v>
      </c>
      <c r="H111" s="5" t="s">
        <v>218</v>
      </c>
      <c r="I111" s="5" t="s">
        <v>429</v>
      </c>
      <c r="J111" s="5" t="s">
        <v>430</v>
      </c>
      <c r="K111" s="5" t="s">
        <v>241</v>
      </c>
      <c r="L111" s="6">
        <v>45666</v>
      </c>
      <c r="M111" s="6">
        <v>45666</v>
      </c>
      <c r="N111" s="5" t="s">
        <v>811</v>
      </c>
      <c r="O111" s="5" t="str">
        <f ca="1">IF(P111&lt;&gt;"EXPEDIÇÃO","Expedido",IF(NETWORKDAYS(C111,TODAY())&gt;=5,"Risco Alto",IF(NETWORKDAYS(C111,TODAY())&gt;=3,IF(NETWORKDAYS(C111,TODAY())&lt;5,"Risco Médio",""),IF(NETWORKDAYS(C111,TODAY())&lt;=2,"Risco Baixo",""))))</f>
        <v>Expedido</v>
      </c>
      <c r="P111" s="5" t="s">
        <v>25</v>
      </c>
      <c r="Q111" s="5" t="s">
        <v>897</v>
      </c>
      <c r="S111" s="7">
        <f>IF(ISBLANK(M111),"Aguardando Previsão/Data",NETWORKDAYS(L111,M111)-1)</f>
        <v>0</v>
      </c>
      <c r="T111" s="5" t="s">
        <v>942</v>
      </c>
    </row>
    <row r="112" spans="1:20" x14ac:dyDescent="0.35">
      <c r="A112" s="8">
        <v>8100269129</v>
      </c>
      <c r="B112" s="5">
        <v>10380</v>
      </c>
      <c r="C112" s="6">
        <v>45659</v>
      </c>
      <c r="D112" s="5" t="s">
        <v>239</v>
      </c>
      <c r="E112" s="5" t="s">
        <v>240</v>
      </c>
      <c r="F112" s="5" t="s">
        <v>242</v>
      </c>
      <c r="G112" s="5" t="s">
        <v>243</v>
      </c>
      <c r="H112" s="5" t="s">
        <v>218</v>
      </c>
      <c r="I112" s="5" t="s">
        <v>249</v>
      </c>
      <c r="J112" s="5" t="s">
        <v>250</v>
      </c>
      <c r="K112" s="5" t="s">
        <v>241</v>
      </c>
      <c r="L112" s="6">
        <v>45666</v>
      </c>
      <c r="M112" s="6">
        <v>45670</v>
      </c>
      <c r="N112" s="5" t="s">
        <v>812</v>
      </c>
      <c r="O112" s="5" t="str">
        <f ca="1">IF(P112&lt;&gt;"EXPEDIÇÃO","Expedido",IF(NETWORKDAYS(C112,TODAY())&gt;=5,"Risco Alto",IF(NETWORKDAYS(C112,TODAY())&gt;=3,IF(NETWORKDAYS(C112,TODAY())&lt;5,"Risco Médio",""),IF(NETWORKDAYS(C112,TODAY())&lt;=2,"Risco Baixo",""))))</f>
        <v>Expedido</v>
      </c>
      <c r="P112" s="5" t="s">
        <v>25</v>
      </c>
      <c r="Q112" s="5" t="s">
        <v>897</v>
      </c>
      <c r="S112" s="7">
        <f>IF(ISBLANK(M112),"Aguardando Previsão/Data",NETWORKDAYS(L112,M112)-1)</f>
        <v>2</v>
      </c>
      <c r="T112" s="5" t="s">
        <v>942</v>
      </c>
    </row>
    <row r="113" spans="1:20" x14ac:dyDescent="0.35">
      <c r="A113" s="5">
        <v>8100269134</v>
      </c>
      <c r="B113" s="5">
        <v>10385</v>
      </c>
      <c r="C113" s="6">
        <v>45659</v>
      </c>
      <c r="D113" s="5" t="s">
        <v>239</v>
      </c>
      <c r="E113" s="5" t="s">
        <v>240</v>
      </c>
      <c r="F113" s="5" t="s">
        <v>160</v>
      </c>
      <c r="G113" s="5" t="s">
        <v>161</v>
      </c>
      <c r="H113" s="5" t="s">
        <v>218</v>
      </c>
      <c r="I113" s="5" t="s">
        <v>354</v>
      </c>
      <c r="J113" s="5" t="s">
        <v>355</v>
      </c>
      <c r="K113" s="5" t="s">
        <v>241</v>
      </c>
      <c r="L113" s="6">
        <v>45665</v>
      </c>
      <c r="M113" s="6">
        <v>45665</v>
      </c>
      <c r="N113" s="5" t="s">
        <v>811</v>
      </c>
      <c r="O113" s="5" t="str">
        <f ca="1">IF(P113&lt;&gt;"EXPEDIÇÃO","Expedido",IF(NETWORKDAYS(C113,TODAY())&gt;=5,"Risco Alto",IF(NETWORKDAYS(C113,TODAY())&gt;=3,IF(NETWORKDAYS(C113,TODAY())&lt;5,"Risco Médio",""),IF(NETWORKDAYS(C113,TODAY())&lt;=2,"Risco Baixo",""))))</f>
        <v>Expedido</v>
      </c>
      <c r="P113" s="5" t="s">
        <v>25</v>
      </c>
      <c r="Q113" s="5" t="s">
        <v>793</v>
      </c>
      <c r="S113" s="7">
        <f>IF(ISBLANK(M113),"Aguardando Previsão/Data",NETWORKDAYS(L113,M113)-1)</f>
        <v>0</v>
      </c>
      <c r="T113" s="5" t="s">
        <v>942</v>
      </c>
    </row>
    <row r="114" spans="1:20" x14ac:dyDescent="0.35">
      <c r="A114" s="8">
        <v>8100269135</v>
      </c>
      <c r="B114" s="8">
        <v>10390</v>
      </c>
      <c r="C114" s="6">
        <v>45659</v>
      </c>
      <c r="D114" s="5" t="s">
        <v>239</v>
      </c>
      <c r="E114" s="5" t="s">
        <v>240</v>
      </c>
      <c r="F114" s="5" t="s">
        <v>160</v>
      </c>
      <c r="G114" s="5" t="s">
        <v>161</v>
      </c>
      <c r="H114" s="5" t="s">
        <v>218</v>
      </c>
      <c r="I114" s="5" t="s">
        <v>162</v>
      </c>
      <c r="J114" s="5" t="s">
        <v>244</v>
      </c>
      <c r="K114" s="5" t="s">
        <v>241</v>
      </c>
      <c r="L114" s="6">
        <v>45665</v>
      </c>
      <c r="M114" s="6">
        <v>45667</v>
      </c>
      <c r="N114" s="5" t="s">
        <v>812</v>
      </c>
      <c r="O114" s="5" t="str">
        <f ca="1">IF(P114&lt;&gt;"EXPEDIÇÃO","Expedido",IF(NETWORKDAYS(C114,TODAY())&gt;=5,"Risco Alto",IF(NETWORKDAYS(C114,TODAY())&gt;=3,IF(NETWORKDAYS(C114,TODAY())&lt;5,"Risco Médio",""),IF(NETWORKDAYS(C114,TODAY())&lt;=2,"Risco Baixo",""))))</f>
        <v>Expedido</v>
      </c>
      <c r="P114" s="5" t="s">
        <v>25</v>
      </c>
      <c r="Q114" s="5" t="s">
        <v>897</v>
      </c>
      <c r="S114" s="7">
        <f>IF(ISBLANK(M114),"Aguardando Previsão/Data",NETWORKDAYS(L114,M114)-1)</f>
        <v>2</v>
      </c>
      <c r="T114" s="5" t="s">
        <v>942</v>
      </c>
    </row>
    <row r="115" spans="1:20" x14ac:dyDescent="0.35">
      <c r="A115" s="8">
        <v>8100269136</v>
      </c>
      <c r="B115" s="8">
        <v>10371</v>
      </c>
      <c r="C115" s="6">
        <v>45659</v>
      </c>
      <c r="D115" s="5" t="s">
        <v>239</v>
      </c>
      <c r="E115" s="5" t="s">
        <v>240</v>
      </c>
      <c r="F115" s="5" t="s">
        <v>160</v>
      </c>
      <c r="G115" s="5" t="s">
        <v>161</v>
      </c>
      <c r="H115" s="5" t="s">
        <v>218</v>
      </c>
      <c r="I115" s="5" t="s">
        <v>490</v>
      </c>
      <c r="J115" s="5" t="s">
        <v>355</v>
      </c>
      <c r="K115" s="5" t="s">
        <v>241</v>
      </c>
      <c r="L115" s="6">
        <v>45665</v>
      </c>
      <c r="M115" s="6">
        <v>45667</v>
      </c>
      <c r="N115" s="5" t="s">
        <v>812</v>
      </c>
      <c r="O115" s="5" t="str">
        <f ca="1">IF(P115&lt;&gt;"EXPEDIÇÃO","Expedido",IF(NETWORKDAYS(C115,TODAY())&gt;=5,"Risco Alto",IF(NETWORKDAYS(C115,TODAY())&gt;=3,IF(NETWORKDAYS(C115,TODAY())&lt;5,"Risco Médio",""),IF(NETWORKDAYS(C115,TODAY())&lt;=2,"Risco Baixo",""))))</f>
        <v>Expedido</v>
      </c>
      <c r="P115" s="5" t="s">
        <v>25</v>
      </c>
      <c r="Q115" s="5" t="s">
        <v>897</v>
      </c>
      <c r="S115" s="7">
        <f>IF(ISBLANK(M115),"Aguardando Previsão/Data",NETWORKDAYS(L115,M115)-1)</f>
        <v>2</v>
      </c>
      <c r="T115" s="5" t="s">
        <v>942</v>
      </c>
    </row>
    <row r="116" spans="1:20" x14ac:dyDescent="0.35">
      <c r="A116" s="5">
        <v>8100269138</v>
      </c>
      <c r="B116" s="5">
        <v>10375</v>
      </c>
      <c r="C116" s="6">
        <v>45659</v>
      </c>
      <c r="D116" s="5" t="s">
        <v>239</v>
      </c>
      <c r="E116" s="5" t="s">
        <v>240</v>
      </c>
      <c r="F116" s="5" t="s">
        <v>160</v>
      </c>
      <c r="G116" s="5" t="s">
        <v>161</v>
      </c>
      <c r="H116" s="5" t="s">
        <v>218</v>
      </c>
      <c r="I116" s="5" t="s">
        <v>354</v>
      </c>
      <c r="J116" s="5" t="s">
        <v>355</v>
      </c>
      <c r="K116" s="5" t="s">
        <v>241</v>
      </c>
      <c r="L116" s="6">
        <v>45665</v>
      </c>
      <c r="M116" s="6">
        <v>45665</v>
      </c>
      <c r="N116" s="5" t="s">
        <v>811</v>
      </c>
      <c r="O116" s="5" t="str">
        <f ca="1">IF(P116&lt;&gt;"EXPEDIÇÃO","Expedido",IF(NETWORKDAYS(C116,TODAY())&gt;=5,"Risco Alto",IF(NETWORKDAYS(C116,TODAY())&gt;=3,IF(NETWORKDAYS(C116,TODAY())&lt;5,"Risco Médio",""),IF(NETWORKDAYS(C116,TODAY())&lt;=2,"Risco Baixo",""))))</f>
        <v>Expedido</v>
      </c>
      <c r="P116" s="5" t="s">
        <v>25</v>
      </c>
      <c r="Q116" s="5" t="s">
        <v>793</v>
      </c>
      <c r="S116" s="7">
        <f>IF(ISBLANK(M116),"Aguardando Previsão/Data",NETWORKDAYS(L116,M116)-1)</f>
        <v>0</v>
      </c>
      <c r="T116" s="5" t="s">
        <v>942</v>
      </c>
    </row>
    <row r="117" spans="1:20" x14ac:dyDescent="0.35">
      <c r="A117" s="8">
        <v>8100269140</v>
      </c>
      <c r="B117" s="5">
        <v>10370</v>
      </c>
      <c r="C117" s="6">
        <v>45659</v>
      </c>
      <c r="D117" s="5" t="s">
        <v>239</v>
      </c>
      <c r="E117" s="5" t="s">
        <v>240</v>
      </c>
      <c r="F117" s="5" t="s">
        <v>176</v>
      </c>
      <c r="G117" s="5" t="s">
        <v>177</v>
      </c>
      <c r="H117" s="5" t="s">
        <v>218</v>
      </c>
      <c r="I117" s="5" t="s">
        <v>1128</v>
      </c>
      <c r="J117" s="5" t="s">
        <v>797</v>
      </c>
      <c r="K117" s="5" t="s">
        <v>241</v>
      </c>
      <c r="L117" s="6">
        <v>45666</v>
      </c>
      <c r="M117" s="6">
        <v>45670</v>
      </c>
      <c r="N117" s="5" t="s">
        <v>812</v>
      </c>
      <c r="O117" s="5" t="str">
        <f ca="1">IF(P117&lt;&gt;"EXPEDIÇÃO","Expedido",IF(NETWORKDAYS(C117,TODAY())&gt;=5,"Risco Alto",IF(NETWORKDAYS(C117,TODAY())&gt;=3,IF(NETWORKDAYS(C117,TODAY())&lt;5,"Risco Médio",""),IF(NETWORKDAYS(C117,TODAY())&lt;=2,"Risco Baixo",""))))</f>
        <v>Expedido</v>
      </c>
      <c r="P117" s="5" t="s">
        <v>25</v>
      </c>
      <c r="Q117" s="5" t="s">
        <v>897</v>
      </c>
      <c r="S117" s="7">
        <f>IF(ISBLANK(M117),"Aguardando Previsão/Data",NETWORKDAYS(L117,M117)-1)</f>
        <v>2</v>
      </c>
      <c r="T117" s="5" t="s">
        <v>942</v>
      </c>
    </row>
    <row r="118" spans="1:20" x14ac:dyDescent="0.35">
      <c r="A118" s="5">
        <v>8100269141</v>
      </c>
      <c r="B118" s="5">
        <v>10377</v>
      </c>
      <c r="C118" s="6">
        <v>45659</v>
      </c>
      <c r="D118" s="5" t="s">
        <v>239</v>
      </c>
      <c r="E118" s="5" t="s">
        <v>240</v>
      </c>
      <c r="F118" s="5" t="s">
        <v>160</v>
      </c>
      <c r="G118" s="5" t="s">
        <v>161</v>
      </c>
      <c r="H118" s="5" t="s">
        <v>218</v>
      </c>
      <c r="I118" s="5" t="s">
        <v>354</v>
      </c>
      <c r="J118" s="5" t="s">
        <v>355</v>
      </c>
      <c r="K118" s="5" t="s">
        <v>241</v>
      </c>
      <c r="L118" s="6">
        <v>45665</v>
      </c>
      <c r="M118" s="6">
        <v>45664</v>
      </c>
      <c r="N118" s="5" t="s">
        <v>811</v>
      </c>
      <c r="O118" s="5" t="str">
        <f ca="1">IF(P118&lt;&gt;"EXPEDIÇÃO","Expedido",IF(NETWORKDAYS(C118,TODAY())&gt;=5,"Risco Alto",IF(NETWORKDAYS(C118,TODAY())&gt;=3,IF(NETWORKDAYS(C118,TODAY())&lt;5,"Risco Médio",""),IF(NETWORKDAYS(C118,TODAY())&lt;=2,"Risco Baixo",""))))</f>
        <v>Expedido</v>
      </c>
      <c r="P118" s="5" t="s">
        <v>25</v>
      </c>
      <c r="Q118" s="5" t="s">
        <v>793</v>
      </c>
      <c r="S118" s="7">
        <f>IF(ISBLANK(M118),"Aguardando Previsão/Data",NETWORKDAYS(L118,M118)-1)</f>
        <v>-3</v>
      </c>
      <c r="T118" s="5" t="s">
        <v>942</v>
      </c>
    </row>
    <row r="119" spans="1:20" x14ac:dyDescent="0.35">
      <c r="A119" s="5">
        <v>8100269142</v>
      </c>
      <c r="B119" s="5">
        <v>10386</v>
      </c>
      <c r="C119" s="6">
        <v>45659</v>
      </c>
      <c r="D119" s="5" t="s">
        <v>239</v>
      </c>
      <c r="E119" s="5" t="s">
        <v>240</v>
      </c>
      <c r="F119" s="5" t="s">
        <v>160</v>
      </c>
      <c r="G119" s="5" t="s">
        <v>161</v>
      </c>
      <c r="H119" s="5" t="s">
        <v>218</v>
      </c>
      <c r="I119" s="5" t="s">
        <v>354</v>
      </c>
      <c r="J119" s="5" t="s">
        <v>355</v>
      </c>
      <c r="K119" s="5" t="s">
        <v>241</v>
      </c>
      <c r="L119" s="6">
        <v>45665</v>
      </c>
      <c r="M119" s="6">
        <v>45665</v>
      </c>
      <c r="N119" s="5" t="s">
        <v>811</v>
      </c>
      <c r="O119" s="5" t="str">
        <f ca="1">IF(P119&lt;&gt;"EXPEDIÇÃO","Expedido",IF(NETWORKDAYS(C119,TODAY())&gt;=5,"Risco Alto",IF(NETWORKDAYS(C119,TODAY())&gt;=3,IF(NETWORKDAYS(C119,TODAY())&lt;5,"Risco Médio",""),IF(NETWORKDAYS(C119,TODAY())&lt;=2,"Risco Baixo",""))))</f>
        <v>Expedido</v>
      </c>
      <c r="P119" s="5" t="s">
        <v>25</v>
      </c>
      <c r="Q119" s="5" t="s">
        <v>793</v>
      </c>
      <c r="S119" s="7">
        <f>IF(ISBLANK(M119),"Aguardando Previsão/Data",NETWORKDAYS(L119,M119)-1)</f>
        <v>0</v>
      </c>
      <c r="T119" s="5" t="s">
        <v>942</v>
      </c>
    </row>
    <row r="120" spans="1:20" x14ac:dyDescent="0.35">
      <c r="A120" s="5">
        <v>8100269143</v>
      </c>
      <c r="B120" s="5">
        <v>10387</v>
      </c>
      <c r="C120" s="6">
        <v>45659</v>
      </c>
      <c r="D120" s="5" t="s">
        <v>239</v>
      </c>
      <c r="E120" s="5" t="s">
        <v>240</v>
      </c>
      <c r="F120" s="5" t="s">
        <v>160</v>
      </c>
      <c r="G120" s="5" t="s">
        <v>161</v>
      </c>
      <c r="H120" s="5" t="s">
        <v>218</v>
      </c>
      <c r="I120" s="5" t="s">
        <v>354</v>
      </c>
      <c r="J120" s="5" t="s">
        <v>355</v>
      </c>
      <c r="K120" s="5" t="s">
        <v>241</v>
      </c>
      <c r="L120" s="6">
        <v>45665</v>
      </c>
      <c r="M120" s="6">
        <v>45665</v>
      </c>
      <c r="N120" s="5" t="s">
        <v>811</v>
      </c>
      <c r="O120" s="5" t="str">
        <f ca="1">IF(P120&lt;&gt;"EXPEDIÇÃO","Expedido",IF(NETWORKDAYS(C120,TODAY())&gt;=5,"Risco Alto",IF(NETWORKDAYS(C120,TODAY())&gt;=3,IF(NETWORKDAYS(C120,TODAY())&lt;5,"Risco Médio",""),IF(NETWORKDAYS(C120,TODAY())&lt;=2,"Risco Baixo",""))))</f>
        <v>Expedido</v>
      </c>
      <c r="P120" s="5" t="s">
        <v>25</v>
      </c>
      <c r="Q120" s="5" t="s">
        <v>793</v>
      </c>
      <c r="S120" s="7">
        <f>IF(ISBLANK(M120),"Aguardando Previsão/Data",NETWORKDAYS(L120,M120)-1)</f>
        <v>0</v>
      </c>
      <c r="T120" s="5" t="s">
        <v>942</v>
      </c>
    </row>
    <row r="121" spans="1:20" x14ac:dyDescent="0.35">
      <c r="A121" s="5">
        <v>8100269144</v>
      </c>
      <c r="B121" s="5">
        <v>10388</v>
      </c>
      <c r="C121" s="6">
        <v>45659</v>
      </c>
      <c r="D121" s="5" t="s">
        <v>239</v>
      </c>
      <c r="E121" s="5" t="s">
        <v>240</v>
      </c>
      <c r="F121" s="5" t="s">
        <v>160</v>
      </c>
      <c r="G121" s="5" t="s">
        <v>161</v>
      </c>
      <c r="H121" s="5" t="s">
        <v>218</v>
      </c>
      <c r="I121" s="5" t="s">
        <v>354</v>
      </c>
      <c r="J121" s="5" t="s">
        <v>355</v>
      </c>
      <c r="K121" s="5" t="s">
        <v>241</v>
      </c>
      <c r="L121" s="6">
        <v>45665</v>
      </c>
      <c r="M121" s="6">
        <v>45665</v>
      </c>
      <c r="N121" s="5" t="s">
        <v>811</v>
      </c>
      <c r="O121" s="5" t="str">
        <f ca="1">IF(P121&lt;&gt;"EXPEDIÇÃO","Expedido",IF(NETWORKDAYS(C121,TODAY())&gt;=5,"Risco Alto",IF(NETWORKDAYS(C121,TODAY())&gt;=3,IF(NETWORKDAYS(C121,TODAY())&lt;5,"Risco Médio",""),IF(NETWORKDAYS(C121,TODAY())&lt;=2,"Risco Baixo",""))))</f>
        <v>Expedido</v>
      </c>
      <c r="P121" s="5" t="s">
        <v>25</v>
      </c>
      <c r="Q121" s="5" t="s">
        <v>793</v>
      </c>
      <c r="S121" s="7">
        <f>IF(ISBLANK(M121),"Aguardando Previsão/Data",NETWORKDAYS(L121,M121)-1)</f>
        <v>0</v>
      </c>
      <c r="T121" s="5" t="s">
        <v>942</v>
      </c>
    </row>
    <row r="122" spans="1:20" x14ac:dyDescent="0.35">
      <c r="A122" s="5">
        <v>8100269145</v>
      </c>
      <c r="B122" s="5">
        <v>10389</v>
      </c>
      <c r="C122" s="6">
        <v>45659</v>
      </c>
      <c r="D122" s="5" t="s">
        <v>239</v>
      </c>
      <c r="E122" s="5" t="s">
        <v>240</v>
      </c>
      <c r="F122" s="5" t="s">
        <v>160</v>
      </c>
      <c r="G122" s="5" t="s">
        <v>161</v>
      </c>
      <c r="H122" s="5" t="s">
        <v>218</v>
      </c>
      <c r="I122" s="5" t="s">
        <v>354</v>
      </c>
      <c r="J122" s="5" t="s">
        <v>355</v>
      </c>
      <c r="K122" s="5" t="s">
        <v>241</v>
      </c>
      <c r="L122" s="6">
        <v>45665</v>
      </c>
      <c r="M122" s="6">
        <v>45665</v>
      </c>
      <c r="N122" s="5" t="s">
        <v>811</v>
      </c>
      <c r="O122" s="5" t="str">
        <f ca="1">IF(P122&lt;&gt;"EXPEDIÇÃO","Expedido",IF(NETWORKDAYS(C122,TODAY())&gt;=5,"Risco Alto",IF(NETWORKDAYS(C122,TODAY())&gt;=3,IF(NETWORKDAYS(C122,TODAY())&lt;5,"Risco Médio",""),IF(NETWORKDAYS(C122,TODAY())&lt;=2,"Risco Baixo",""))))</f>
        <v>Expedido</v>
      </c>
      <c r="P122" s="5" t="s">
        <v>25</v>
      </c>
      <c r="Q122" s="5" t="s">
        <v>793</v>
      </c>
      <c r="S122" s="7">
        <f>IF(ISBLANK(M122),"Aguardando Previsão/Data",NETWORKDAYS(L122,M122)-1)</f>
        <v>0</v>
      </c>
      <c r="T122" s="5" t="s">
        <v>942</v>
      </c>
    </row>
    <row r="123" spans="1:20" x14ac:dyDescent="0.35">
      <c r="A123" s="5">
        <v>8100269146</v>
      </c>
      <c r="B123" s="5">
        <v>10372</v>
      </c>
      <c r="C123" s="6">
        <v>45659</v>
      </c>
      <c r="D123" s="5" t="s">
        <v>239</v>
      </c>
      <c r="E123" s="5" t="s">
        <v>240</v>
      </c>
      <c r="F123" s="5" t="s">
        <v>242</v>
      </c>
      <c r="G123" s="5" t="s">
        <v>243</v>
      </c>
      <c r="H123" s="5" t="s">
        <v>218</v>
      </c>
      <c r="I123" s="5" t="s">
        <v>182</v>
      </c>
      <c r="J123" s="5" t="s">
        <v>668</v>
      </c>
      <c r="K123" s="5" t="s">
        <v>241</v>
      </c>
      <c r="L123" s="6">
        <v>45665</v>
      </c>
      <c r="M123" s="6">
        <v>45665</v>
      </c>
      <c r="N123" s="5" t="s">
        <v>811</v>
      </c>
      <c r="O123" s="5" t="str">
        <f ca="1">IF(P123&lt;&gt;"EXPEDIÇÃO","Expedido",IF(NETWORKDAYS(C123,TODAY())&gt;=5,"Risco Alto",IF(NETWORKDAYS(C123,TODAY())&gt;=3,IF(NETWORKDAYS(C123,TODAY())&lt;5,"Risco Médio",""),IF(NETWORKDAYS(C123,TODAY())&lt;=2,"Risco Baixo",""))))</f>
        <v>Expedido</v>
      </c>
      <c r="P123" s="5" t="s">
        <v>25</v>
      </c>
      <c r="Q123" s="5" t="s">
        <v>793</v>
      </c>
      <c r="S123" s="7">
        <f>IF(ISBLANK(M123),"Aguardando Previsão/Data",NETWORKDAYS(L123,M123)-1)</f>
        <v>0</v>
      </c>
      <c r="T123" s="5" t="s">
        <v>942</v>
      </c>
    </row>
    <row r="124" spans="1:20" x14ac:dyDescent="0.35">
      <c r="A124" s="5">
        <v>8100269147</v>
      </c>
      <c r="B124" s="5">
        <v>10368</v>
      </c>
      <c r="C124" s="6">
        <v>45659</v>
      </c>
      <c r="D124" s="5" t="s">
        <v>239</v>
      </c>
      <c r="E124" s="5" t="s">
        <v>240</v>
      </c>
      <c r="F124" s="5" t="s">
        <v>242</v>
      </c>
      <c r="G124" s="5" t="s">
        <v>243</v>
      </c>
      <c r="H124" s="5" t="s">
        <v>218</v>
      </c>
      <c r="I124" s="5" t="s">
        <v>182</v>
      </c>
      <c r="J124" s="5" t="s">
        <v>668</v>
      </c>
      <c r="K124" s="5" t="s">
        <v>241</v>
      </c>
      <c r="L124" s="6">
        <v>45665</v>
      </c>
      <c r="M124" s="6">
        <v>45665</v>
      </c>
      <c r="N124" s="5" t="s">
        <v>811</v>
      </c>
      <c r="O124" s="5" t="str">
        <f ca="1">IF(P124&lt;&gt;"EXPEDIÇÃO","Expedido",IF(NETWORKDAYS(C124,TODAY())&gt;=5,"Risco Alto",IF(NETWORKDAYS(C124,TODAY())&gt;=3,IF(NETWORKDAYS(C124,TODAY())&lt;5,"Risco Médio",""),IF(NETWORKDAYS(C124,TODAY())&lt;=2,"Risco Baixo",""))))</f>
        <v>Expedido</v>
      </c>
      <c r="P124" s="5" t="s">
        <v>25</v>
      </c>
      <c r="Q124" s="5" t="s">
        <v>793</v>
      </c>
      <c r="S124" s="7">
        <f>IF(ISBLANK(M124),"Aguardando Previsão/Data",NETWORKDAYS(L124,M124)-1)</f>
        <v>0</v>
      </c>
      <c r="T124" s="5" t="s">
        <v>942</v>
      </c>
    </row>
    <row r="125" spans="1:20" x14ac:dyDescent="0.35">
      <c r="A125" s="8">
        <v>8100269148</v>
      </c>
      <c r="B125" s="8">
        <v>10392</v>
      </c>
      <c r="C125" s="6">
        <v>45659</v>
      </c>
      <c r="D125" s="5" t="s">
        <v>239</v>
      </c>
      <c r="E125" s="5" t="s">
        <v>240</v>
      </c>
      <c r="F125" s="5" t="s">
        <v>242</v>
      </c>
      <c r="G125" s="5" t="s">
        <v>243</v>
      </c>
      <c r="H125" s="5" t="s">
        <v>218</v>
      </c>
      <c r="I125" s="5" t="s">
        <v>458</v>
      </c>
      <c r="J125" s="5" t="s">
        <v>459</v>
      </c>
      <c r="K125" s="5" t="s">
        <v>241</v>
      </c>
      <c r="L125" s="6">
        <v>45665</v>
      </c>
      <c r="M125" s="6">
        <v>45667</v>
      </c>
      <c r="N125" s="5" t="s">
        <v>812</v>
      </c>
      <c r="O125" s="5" t="str">
        <f ca="1">IF(P125&lt;&gt;"EXPEDIÇÃO","Expedido",IF(NETWORKDAYS(C125,TODAY())&gt;=5,"Risco Alto",IF(NETWORKDAYS(C125,TODAY())&gt;=3,IF(NETWORKDAYS(C125,TODAY())&lt;5,"Risco Médio",""),IF(NETWORKDAYS(C125,TODAY())&lt;=2,"Risco Baixo",""))))</f>
        <v>Expedido</v>
      </c>
      <c r="P125" s="5" t="s">
        <v>25</v>
      </c>
      <c r="Q125" s="5" t="s">
        <v>897</v>
      </c>
      <c r="S125" s="7">
        <f>IF(ISBLANK(M125),"Aguardando Previsão/Data",NETWORKDAYS(L125,M125)-1)</f>
        <v>2</v>
      </c>
      <c r="T125" s="5" t="s">
        <v>942</v>
      </c>
    </row>
    <row r="126" spans="1:20" x14ac:dyDescent="0.35">
      <c r="A126" s="8">
        <v>8100269149</v>
      </c>
      <c r="B126" s="5">
        <v>10381</v>
      </c>
      <c r="C126" s="6">
        <v>45659</v>
      </c>
      <c r="D126" s="5" t="s">
        <v>239</v>
      </c>
      <c r="E126" s="5" t="s">
        <v>240</v>
      </c>
      <c r="F126" s="5" t="s">
        <v>242</v>
      </c>
      <c r="G126" s="5" t="s">
        <v>243</v>
      </c>
      <c r="H126" s="5" t="s">
        <v>218</v>
      </c>
      <c r="I126" s="5" t="s">
        <v>249</v>
      </c>
      <c r="J126" s="5" t="s">
        <v>250</v>
      </c>
      <c r="K126" s="5" t="s">
        <v>241</v>
      </c>
      <c r="L126" s="6">
        <v>45666</v>
      </c>
      <c r="M126" s="6">
        <v>45670</v>
      </c>
      <c r="N126" s="5" t="s">
        <v>812</v>
      </c>
      <c r="O126" s="5" t="str">
        <f ca="1">IF(P126&lt;&gt;"EXPEDIÇÃO","Expedido",IF(NETWORKDAYS(C126,TODAY())&gt;=5,"Risco Alto",IF(NETWORKDAYS(C126,TODAY())&gt;=3,IF(NETWORKDAYS(C126,TODAY())&lt;5,"Risco Médio",""),IF(NETWORKDAYS(C126,TODAY())&lt;=2,"Risco Baixo",""))))</f>
        <v>Expedido</v>
      </c>
      <c r="P126" s="5" t="s">
        <v>25</v>
      </c>
      <c r="Q126" s="5" t="s">
        <v>897</v>
      </c>
      <c r="S126" s="7">
        <f>IF(ISBLANK(M126),"Aguardando Previsão/Data",NETWORKDAYS(L126,M126)-1)</f>
        <v>2</v>
      </c>
      <c r="T126" s="5" t="s">
        <v>942</v>
      </c>
    </row>
    <row r="127" spans="1:20" x14ac:dyDescent="0.35">
      <c r="A127" s="5">
        <v>8100269152</v>
      </c>
      <c r="B127" s="5">
        <v>10382</v>
      </c>
      <c r="C127" s="6">
        <v>45659</v>
      </c>
      <c r="D127" s="5" t="s">
        <v>239</v>
      </c>
      <c r="E127" s="5" t="s">
        <v>240</v>
      </c>
      <c r="F127" s="5" t="s">
        <v>160</v>
      </c>
      <c r="G127" s="5" t="s">
        <v>161</v>
      </c>
      <c r="H127" s="5" t="s">
        <v>218</v>
      </c>
      <c r="I127" s="5" t="s">
        <v>414</v>
      </c>
      <c r="J127" s="5" t="s">
        <v>718</v>
      </c>
      <c r="K127" s="5" t="s">
        <v>241</v>
      </c>
      <c r="L127" s="6">
        <v>45665</v>
      </c>
      <c r="M127" s="6">
        <v>45664</v>
      </c>
      <c r="N127" s="5" t="s">
        <v>811</v>
      </c>
      <c r="O127" s="5" t="str">
        <f ca="1">IF(P127&lt;&gt;"EXPEDIÇÃO","Expedido",IF(NETWORKDAYS(C127,TODAY())&gt;=5,"Risco Alto",IF(NETWORKDAYS(C127,TODAY())&gt;=3,IF(NETWORKDAYS(C127,TODAY())&lt;5,"Risco Médio",""),IF(NETWORKDAYS(C127,TODAY())&lt;=2,"Risco Baixo",""))))</f>
        <v>Expedido</v>
      </c>
      <c r="P127" s="5" t="s">
        <v>25</v>
      </c>
      <c r="Q127" s="5" t="s">
        <v>793</v>
      </c>
      <c r="S127" s="7">
        <f>IF(ISBLANK(M127),"Aguardando Previsão/Data",NETWORKDAYS(L127,M127)-1)</f>
        <v>-3</v>
      </c>
      <c r="T127" s="5" t="s">
        <v>942</v>
      </c>
    </row>
    <row r="128" spans="1:20" x14ac:dyDescent="0.35">
      <c r="A128" s="5">
        <v>8100269153</v>
      </c>
      <c r="B128" s="5">
        <v>10384</v>
      </c>
      <c r="C128" s="6">
        <v>45659</v>
      </c>
      <c r="D128" s="5" t="s">
        <v>239</v>
      </c>
      <c r="E128" s="5" t="s">
        <v>240</v>
      </c>
      <c r="F128" s="5" t="s">
        <v>160</v>
      </c>
      <c r="G128" s="5" t="s">
        <v>161</v>
      </c>
      <c r="H128" s="5" t="s">
        <v>218</v>
      </c>
      <c r="I128" s="5" t="s">
        <v>414</v>
      </c>
      <c r="J128" s="5" t="s">
        <v>718</v>
      </c>
      <c r="K128" s="5" t="s">
        <v>241</v>
      </c>
      <c r="L128" s="6">
        <v>45665</v>
      </c>
      <c r="M128" s="6">
        <v>45664</v>
      </c>
      <c r="N128" s="5" t="s">
        <v>811</v>
      </c>
      <c r="O128" s="5" t="str">
        <f ca="1">IF(P128&lt;&gt;"EXPEDIÇÃO","Expedido",IF(NETWORKDAYS(C128,TODAY())&gt;=5,"Risco Alto",IF(NETWORKDAYS(C128,TODAY())&gt;=3,IF(NETWORKDAYS(C128,TODAY())&lt;5,"Risco Médio",""),IF(NETWORKDAYS(C128,TODAY())&lt;=2,"Risco Baixo",""))))</f>
        <v>Expedido</v>
      </c>
      <c r="P128" s="5" t="s">
        <v>25</v>
      </c>
      <c r="Q128" s="5" t="s">
        <v>793</v>
      </c>
      <c r="S128" s="7">
        <f>IF(ISBLANK(M128),"Aguardando Previsão/Data",NETWORKDAYS(L128,M128)-1)</f>
        <v>-3</v>
      </c>
      <c r="T128" s="5" t="s">
        <v>942</v>
      </c>
    </row>
    <row r="129" spans="1:20" x14ac:dyDescent="0.35">
      <c r="A129" s="5">
        <v>8100269154</v>
      </c>
      <c r="B129" s="5">
        <v>10383</v>
      </c>
      <c r="C129" s="6">
        <v>45659</v>
      </c>
      <c r="D129" s="5" t="s">
        <v>239</v>
      </c>
      <c r="E129" s="5" t="s">
        <v>240</v>
      </c>
      <c r="F129" s="5" t="s">
        <v>160</v>
      </c>
      <c r="G129" s="5" t="s">
        <v>161</v>
      </c>
      <c r="H129" s="5" t="s">
        <v>218</v>
      </c>
      <c r="I129" s="5" t="s">
        <v>414</v>
      </c>
      <c r="J129" s="5" t="s">
        <v>718</v>
      </c>
      <c r="K129" s="5" t="s">
        <v>241</v>
      </c>
      <c r="L129" s="6">
        <v>45665</v>
      </c>
      <c r="M129" s="6">
        <v>45664</v>
      </c>
      <c r="N129" s="5" t="s">
        <v>811</v>
      </c>
      <c r="O129" s="5" t="str">
        <f ca="1">IF(P129&lt;&gt;"EXPEDIÇÃO","Expedido",IF(NETWORKDAYS(C129,TODAY())&gt;=5,"Risco Alto",IF(NETWORKDAYS(C129,TODAY())&gt;=3,IF(NETWORKDAYS(C129,TODAY())&lt;5,"Risco Médio",""),IF(NETWORKDAYS(C129,TODAY())&lt;=2,"Risco Baixo",""))))</f>
        <v>Expedido</v>
      </c>
      <c r="P129" s="5" t="s">
        <v>25</v>
      </c>
      <c r="Q129" s="5" t="s">
        <v>793</v>
      </c>
      <c r="S129" s="7">
        <f>IF(ISBLANK(M129),"Aguardando Previsão/Data",NETWORKDAYS(L129,M129)-1)</f>
        <v>-3</v>
      </c>
      <c r="T129" s="5" t="s">
        <v>942</v>
      </c>
    </row>
    <row r="130" spans="1:20" x14ac:dyDescent="0.35">
      <c r="A130" s="5">
        <v>8100269155</v>
      </c>
      <c r="B130" s="5">
        <v>10373</v>
      </c>
      <c r="C130" s="6">
        <v>45659</v>
      </c>
      <c r="D130" s="5" t="s">
        <v>239</v>
      </c>
      <c r="E130" s="5" t="s">
        <v>240</v>
      </c>
      <c r="F130" s="5" t="s">
        <v>242</v>
      </c>
      <c r="G130" s="5" t="s">
        <v>243</v>
      </c>
      <c r="H130" s="5" t="s">
        <v>218</v>
      </c>
      <c r="I130" s="5" t="s">
        <v>182</v>
      </c>
      <c r="J130" s="5" t="s">
        <v>668</v>
      </c>
      <c r="K130" s="5" t="s">
        <v>241</v>
      </c>
      <c r="L130" s="6">
        <v>45665</v>
      </c>
      <c r="M130" s="6">
        <v>45665</v>
      </c>
      <c r="N130" s="5" t="s">
        <v>811</v>
      </c>
      <c r="O130" s="5" t="str">
        <f ca="1">IF(P130&lt;&gt;"EXPEDIÇÃO","Expedido",IF(NETWORKDAYS(C130,TODAY())&gt;=5,"Risco Alto",IF(NETWORKDAYS(C130,TODAY())&gt;=3,IF(NETWORKDAYS(C130,TODAY())&lt;5,"Risco Médio",""),IF(NETWORKDAYS(C130,TODAY())&lt;=2,"Risco Baixo",""))))</f>
        <v>Expedido</v>
      </c>
      <c r="P130" s="5" t="s">
        <v>25</v>
      </c>
      <c r="Q130" s="5" t="s">
        <v>793</v>
      </c>
      <c r="S130" s="7">
        <f>IF(ISBLANK(M130),"Aguardando Previsão/Data",NETWORKDAYS(L130,M130)-1)</f>
        <v>0</v>
      </c>
      <c r="T130" s="5" t="s">
        <v>942</v>
      </c>
    </row>
    <row r="131" spans="1:20" x14ac:dyDescent="0.35">
      <c r="A131" s="8">
        <v>8100269156</v>
      </c>
      <c r="B131" s="8">
        <v>10374</v>
      </c>
      <c r="C131" s="6">
        <v>45659</v>
      </c>
      <c r="D131" s="5" t="s">
        <v>239</v>
      </c>
      <c r="E131" s="5" t="s">
        <v>240</v>
      </c>
      <c r="F131" s="5" t="s">
        <v>176</v>
      </c>
      <c r="G131" s="5" t="s">
        <v>177</v>
      </c>
      <c r="H131" s="5" t="s">
        <v>218</v>
      </c>
      <c r="I131" s="5" t="s">
        <v>909</v>
      </c>
      <c r="J131" s="5" t="s">
        <v>1129</v>
      </c>
      <c r="K131" s="5" t="s">
        <v>241</v>
      </c>
      <c r="L131" s="6">
        <v>45666</v>
      </c>
      <c r="M131" s="6">
        <v>45670</v>
      </c>
      <c r="N131" s="5" t="s">
        <v>812</v>
      </c>
      <c r="O131" s="5" t="str">
        <f ca="1">IF(P131&lt;&gt;"EXPEDIÇÃO","Expedido",IF(NETWORKDAYS(C131,TODAY())&gt;=5,"Risco Alto",IF(NETWORKDAYS(C131,TODAY())&gt;=3,IF(NETWORKDAYS(C131,TODAY())&lt;5,"Risco Médio",""),IF(NETWORKDAYS(C131,TODAY())&lt;=2,"Risco Baixo",""))))</f>
        <v>Expedido</v>
      </c>
      <c r="P131" s="5" t="s">
        <v>25</v>
      </c>
      <c r="Q131" s="5" t="s">
        <v>897</v>
      </c>
      <c r="S131" s="7">
        <f>IF(ISBLANK(M131),"Aguardando Previsão/Data",NETWORKDAYS(L131,M131)-1)</f>
        <v>2</v>
      </c>
      <c r="T131" s="5" t="s">
        <v>942</v>
      </c>
    </row>
    <row r="132" spans="1:20" x14ac:dyDescent="0.35">
      <c r="A132" s="5">
        <v>8100269157</v>
      </c>
      <c r="B132" s="5">
        <v>10378</v>
      </c>
      <c r="C132" s="6">
        <v>45659</v>
      </c>
      <c r="D132" s="5" t="s">
        <v>239</v>
      </c>
      <c r="E132" s="5" t="s">
        <v>240</v>
      </c>
      <c r="F132" s="5" t="s">
        <v>160</v>
      </c>
      <c r="G132" s="5" t="s">
        <v>161</v>
      </c>
      <c r="H132" s="5" t="s">
        <v>218</v>
      </c>
      <c r="I132" s="5" t="s">
        <v>354</v>
      </c>
      <c r="J132" s="5" t="s">
        <v>355</v>
      </c>
      <c r="K132" s="5" t="s">
        <v>241</v>
      </c>
      <c r="L132" s="6">
        <v>45665</v>
      </c>
      <c r="M132" s="6">
        <v>45664</v>
      </c>
      <c r="N132" s="5" t="s">
        <v>811</v>
      </c>
      <c r="O132" s="5" t="str">
        <f ca="1">IF(P132&lt;&gt;"EXPEDIÇÃO","Expedido",IF(NETWORKDAYS(C132,TODAY())&gt;=5,"Risco Alto",IF(NETWORKDAYS(C132,TODAY())&gt;=3,IF(NETWORKDAYS(C132,TODAY())&lt;5,"Risco Médio",""),IF(NETWORKDAYS(C132,TODAY())&lt;=2,"Risco Baixo",""))))</f>
        <v>Expedido</v>
      </c>
      <c r="P132" s="5" t="s">
        <v>25</v>
      </c>
      <c r="Q132" s="5" t="s">
        <v>793</v>
      </c>
      <c r="S132" s="7">
        <f>IF(ISBLANK(M132),"Aguardando Previsão/Data",NETWORKDAYS(L132,M132)-1)</f>
        <v>-3</v>
      </c>
      <c r="T132" s="5" t="s">
        <v>942</v>
      </c>
    </row>
    <row r="133" spans="1:20" x14ac:dyDescent="0.35">
      <c r="A133" s="5">
        <v>8100269173</v>
      </c>
      <c r="B133" s="5">
        <v>10406</v>
      </c>
      <c r="C133" s="6">
        <v>45659</v>
      </c>
      <c r="D133" s="5" t="s">
        <v>239</v>
      </c>
      <c r="E133" s="5" t="s">
        <v>240</v>
      </c>
      <c r="F133" s="5" t="s">
        <v>242</v>
      </c>
      <c r="G133" s="5" t="s">
        <v>243</v>
      </c>
      <c r="H133" s="5" t="s">
        <v>218</v>
      </c>
      <c r="I133" s="5" t="s">
        <v>429</v>
      </c>
      <c r="J133" s="5" t="s">
        <v>430</v>
      </c>
      <c r="K133" s="5" t="s">
        <v>241</v>
      </c>
      <c r="L133" s="6">
        <v>45666</v>
      </c>
      <c r="M133" s="6">
        <v>45666</v>
      </c>
      <c r="N133" s="5" t="s">
        <v>811</v>
      </c>
      <c r="O133" s="5" t="str">
        <f ca="1">IF(P133&lt;&gt;"EXPEDIÇÃO","Expedido",IF(NETWORKDAYS(C133,TODAY())&gt;=5,"Risco Alto",IF(NETWORKDAYS(C133,TODAY())&gt;=3,IF(NETWORKDAYS(C133,TODAY())&lt;5,"Risco Médio",""),IF(NETWORKDAYS(C133,TODAY())&lt;=2,"Risco Baixo",""))))</f>
        <v>Expedido</v>
      </c>
      <c r="P133" s="5" t="s">
        <v>25</v>
      </c>
      <c r="Q133" s="5" t="s">
        <v>897</v>
      </c>
      <c r="S133" s="7">
        <f>IF(ISBLANK(M133),"Aguardando Previsão/Data",NETWORKDAYS(L133,M133)-1)</f>
        <v>0</v>
      </c>
      <c r="T133" s="5" t="s">
        <v>942</v>
      </c>
    </row>
    <row r="134" spans="1:20" x14ac:dyDescent="0.35">
      <c r="A134" s="5">
        <v>8100269174</v>
      </c>
      <c r="B134" s="5">
        <v>10400</v>
      </c>
      <c r="C134" s="6">
        <v>45659</v>
      </c>
      <c r="D134" s="5" t="s">
        <v>239</v>
      </c>
      <c r="E134" s="5" t="s">
        <v>240</v>
      </c>
      <c r="F134" s="5" t="s">
        <v>242</v>
      </c>
      <c r="G134" s="5" t="s">
        <v>243</v>
      </c>
      <c r="H134" s="5" t="s">
        <v>218</v>
      </c>
      <c r="I134" s="5" t="s">
        <v>547</v>
      </c>
      <c r="J134" s="5" t="s">
        <v>428</v>
      </c>
      <c r="K134" s="5" t="s">
        <v>241</v>
      </c>
      <c r="L134" s="6">
        <v>45666</v>
      </c>
      <c r="M134" s="6">
        <v>45666</v>
      </c>
      <c r="N134" s="5" t="s">
        <v>811</v>
      </c>
      <c r="O134" s="5" t="str">
        <f ca="1">IF(P134&lt;&gt;"EXPEDIÇÃO","Expedido",IF(NETWORKDAYS(C134,TODAY())&gt;=5,"Risco Alto",IF(NETWORKDAYS(C134,TODAY())&gt;=3,IF(NETWORKDAYS(C134,TODAY())&lt;5,"Risco Médio",""),IF(NETWORKDAYS(C134,TODAY())&lt;=2,"Risco Baixo",""))))</f>
        <v>Expedido</v>
      </c>
      <c r="P134" s="5" t="s">
        <v>25</v>
      </c>
      <c r="Q134" s="5" t="s">
        <v>793</v>
      </c>
      <c r="S134" s="7">
        <f>IF(ISBLANK(M134),"Aguardando Previsão/Data",NETWORKDAYS(L134,M134)-1)</f>
        <v>0</v>
      </c>
      <c r="T134" s="5" t="s">
        <v>942</v>
      </c>
    </row>
    <row r="135" spans="1:20" x14ac:dyDescent="0.35">
      <c r="A135" s="8">
        <v>8100269175</v>
      </c>
      <c r="B135" s="8">
        <v>10397</v>
      </c>
      <c r="C135" s="6">
        <v>45659</v>
      </c>
      <c r="D135" s="5" t="s">
        <v>239</v>
      </c>
      <c r="E135" s="5" t="s">
        <v>240</v>
      </c>
      <c r="F135" s="5" t="s">
        <v>176</v>
      </c>
      <c r="G135" s="5" t="s">
        <v>177</v>
      </c>
      <c r="H135" s="5" t="s">
        <v>218</v>
      </c>
      <c r="I135" s="5" t="s">
        <v>360</v>
      </c>
      <c r="J135" s="5" t="s">
        <v>361</v>
      </c>
      <c r="K135" s="5" t="s">
        <v>241</v>
      </c>
      <c r="L135" s="6">
        <v>45665</v>
      </c>
      <c r="M135" s="6">
        <v>45667</v>
      </c>
      <c r="N135" s="5" t="s">
        <v>812</v>
      </c>
      <c r="O135" s="5" t="str">
        <f ca="1">IF(P135&lt;&gt;"EXPEDIÇÃO","Expedido",IF(NETWORKDAYS(C135,TODAY())&gt;=5,"Risco Alto",IF(NETWORKDAYS(C135,TODAY())&gt;=3,IF(NETWORKDAYS(C135,TODAY())&lt;5,"Risco Médio",""),IF(NETWORKDAYS(C135,TODAY())&lt;=2,"Risco Baixo",""))))</f>
        <v>Expedido</v>
      </c>
      <c r="P135" s="5" t="s">
        <v>25</v>
      </c>
      <c r="Q135" s="5" t="s">
        <v>897</v>
      </c>
      <c r="S135" s="7">
        <f>IF(ISBLANK(M135),"Aguardando Previsão/Data",NETWORKDAYS(L135,M135)-1)</f>
        <v>2</v>
      </c>
      <c r="T135" s="5" t="s">
        <v>942</v>
      </c>
    </row>
    <row r="136" spans="1:20" x14ac:dyDescent="0.35">
      <c r="A136" s="8">
        <v>8100269176</v>
      </c>
      <c r="B136" s="5">
        <v>10393</v>
      </c>
      <c r="C136" s="6">
        <v>45659</v>
      </c>
      <c r="D136" s="5" t="s">
        <v>239</v>
      </c>
      <c r="E136" s="5" t="s">
        <v>240</v>
      </c>
      <c r="F136" s="5" t="s">
        <v>242</v>
      </c>
      <c r="G136" s="5" t="s">
        <v>243</v>
      </c>
      <c r="H136" s="5" t="s">
        <v>218</v>
      </c>
      <c r="I136" s="5" t="s">
        <v>1130</v>
      </c>
      <c r="J136" s="5" t="s">
        <v>246</v>
      </c>
      <c r="K136" s="5" t="s">
        <v>241</v>
      </c>
      <c r="L136" s="6">
        <v>45666</v>
      </c>
      <c r="M136" s="6">
        <v>45670</v>
      </c>
      <c r="N136" s="5" t="s">
        <v>812</v>
      </c>
      <c r="O136" s="5" t="str">
        <f ca="1">IF(P136&lt;&gt;"EXPEDIÇÃO","Expedido",IF(NETWORKDAYS(C136,TODAY())&gt;=5,"Risco Alto",IF(NETWORKDAYS(C136,TODAY())&gt;=3,IF(NETWORKDAYS(C136,TODAY())&lt;5,"Risco Médio",""),IF(NETWORKDAYS(C136,TODAY())&lt;=2,"Risco Baixo",""))))</f>
        <v>Expedido</v>
      </c>
      <c r="P136" s="5" t="s">
        <v>25</v>
      </c>
      <c r="Q136" s="5" t="s">
        <v>897</v>
      </c>
      <c r="S136" s="7">
        <f>IF(ISBLANK(M136),"Aguardando Previsão/Data",NETWORKDAYS(L136,M136)-1)</f>
        <v>2</v>
      </c>
      <c r="T136" s="5" t="s">
        <v>942</v>
      </c>
    </row>
    <row r="137" spans="1:20" x14ac:dyDescent="0.35">
      <c r="A137" s="5">
        <v>8100269177</v>
      </c>
      <c r="B137" s="5">
        <v>10401</v>
      </c>
      <c r="C137" s="6">
        <v>45659</v>
      </c>
      <c r="D137" s="5" t="s">
        <v>239</v>
      </c>
      <c r="E137" s="5" t="s">
        <v>240</v>
      </c>
      <c r="F137" s="5" t="s">
        <v>242</v>
      </c>
      <c r="G137" s="5" t="s">
        <v>243</v>
      </c>
      <c r="H137" s="5" t="s">
        <v>218</v>
      </c>
      <c r="I137" s="5" t="s">
        <v>547</v>
      </c>
      <c r="J137" s="5" t="s">
        <v>428</v>
      </c>
      <c r="K137" s="5" t="s">
        <v>241</v>
      </c>
      <c r="L137" s="6">
        <v>45666</v>
      </c>
      <c r="M137" s="6">
        <v>45666</v>
      </c>
      <c r="N137" s="5" t="s">
        <v>811</v>
      </c>
      <c r="O137" s="5" t="str">
        <f ca="1">IF(P137&lt;&gt;"EXPEDIÇÃO","Expedido",IF(NETWORKDAYS(C137,TODAY())&gt;=5,"Risco Alto",IF(NETWORKDAYS(C137,TODAY())&gt;=3,IF(NETWORKDAYS(C137,TODAY())&lt;5,"Risco Médio",""),IF(NETWORKDAYS(C137,TODAY())&lt;=2,"Risco Baixo",""))))</f>
        <v>Expedido</v>
      </c>
      <c r="P137" s="5" t="s">
        <v>25</v>
      </c>
      <c r="Q137" s="5" t="s">
        <v>793</v>
      </c>
      <c r="S137" s="7">
        <f>IF(ISBLANK(M137),"Aguardando Previsão/Data",NETWORKDAYS(L137,M137)-1)</f>
        <v>0</v>
      </c>
      <c r="T137" s="5" t="s">
        <v>942</v>
      </c>
    </row>
    <row r="138" spans="1:20" x14ac:dyDescent="0.35">
      <c r="A138" s="5">
        <v>8100269197</v>
      </c>
      <c r="B138" s="5">
        <v>10407</v>
      </c>
      <c r="C138" s="6">
        <v>45659</v>
      </c>
      <c r="D138" s="5" t="s">
        <v>239</v>
      </c>
      <c r="E138" s="5" t="s">
        <v>240</v>
      </c>
      <c r="F138" s="5" t="s">
        <v>176</v>
      </c>
      <c r="G138" s="5" t="s">
        <v>177</v>
      </c>
      <c r="H138" s="5" t="s">
        <v>218</v>
      </c>
      <c r="I138" s="5" t="s">
        <v>429</v>
      </c>
      <c r="J138" s="5" t="s">
        <v>430</v>
      </c>
      <c r="K138" s="5" t="s">
        <v>241</v>
      </c>
      <c r="L138" s="6">
        <v>45666</v>
      </c>
      <c r="M138" s="6">
        <v>45666</v>
      </c>
      <c r="N138" s="5" t="s">
        <v>811</v>
      </c>
      <c r="O138" s="5" t="str">
        <f ca="1">IF(P138&lt;&gt;"EXPEDIÇÃO","Expedido",IF(NETWORKDAYS(C138,TODAY())&gt;=5,"Risco Alto",IF(NETWORKDAYS(C138,TODAY())&gt;=3,IF(NETWORKDAYS(C138,TODAY())&lt;5,"Risco Médio",""),IF(NETWORKDAYS(C138,TODAY())&lt;=2,"Risco Baixo",""))))</f>
        <v>Expedido</v>
      </c>
      <c r="P138" s="5" t="s">
        <v>25</v>
      </c>
      <c r="Q138" s="5" t="s">
        <v>897</v>
      </c>
      <c r="S138" s="7">
        <f>IF(ISBLANK(M138),"Aguardando Previsão/Data",NETWORKDAYS(L138,M138)-1)</f>
        <v>0</v>
      </c>
      <c r="T138" s="5" t="s">
        <v>942</v>
      </c>
    </row>
    <row r="139" spans="1:20" x14ac:dyDescent="0.35">
      <c r="A139" s="8">
        <v>8100269198</v>
      </c>
      <c r="B139" s="8">
        <v>10454</v>
      </c>
      <c r="C139" s="6">
        <v>45659</v>
      </c>
      <c r="D139" s="5" t="s">
        <v>239</v>
      </c>
      <c r="E139" s="5" t="s">
        <v>240</v>
      </c>
      <c r="F139" s="5" t="s">
        <v>176</v>
      </c>
      <c r="G139" s="5" t="s">
        <v>177</v>
      </c>
      <c r="H139" s="5" t="s">
        <v>218</v>
      </c>
      <c r="I139" s="5" t="s">
        <v>429</v>
      </c>
      <c r="J139" s="5" t="s">
        <v>430</v>
      </c>
      <c r="K139" s="5" t="s">
        <v>241</v>
      </c>
      <c r="L139" s="6">
        <v>45666</v>
      </c>
      <c r="M139" s="6">
        <v>45670</v>
      </c>
      <c r="N139" s="5" t="s">
        <v>812</v>
      </c>
      <c r="O139" s="5" t="str">
        <f ca="1">IF(P139&lt;&gt;"EXPEDIÇÃO","Expedido",IF(NETWORKDAYS(C139,TODAY())&gt;=5,"Risco Alto",IF(NETWORKDAYS(C139,TODAY())&gt;=3,IF(NETWORKDAYS(C139,TODAY())&lt;5,"Risco Médio",""),IF(NETWORKDAYS(C139,TODAY())&lt;=2,"Risco Baixo",""))))</f>
        <v>Expedido</v>
      </c>
      <c r="P139" s="5" t="s">
        <v>25</v>
      </c>
      <c r="Q139" s="5" t="s">
        <v>1181</v>
      </c>
      <c r="S139" s="7">
        <f>IF(ISBLANK(M139),"Aguardando Previsão/Data",NETWORKDAYS(L139,M139)-1)</f>
        <v>2</v>
      </c>
      <c r="T139" s="5" t="s">
        <v>942</v>
      </c>
    </row>
    <row r="140" spans="1:20" x14ac:dyDescent="0.35">
      <c r="A140" s="5">
        <v>8100269199</v>
      </c>
      <c r="B140" s="5">
        <v>10408</v>
      </c>
      <c r="C140" s="6">
        <v>45659</v>
      </c>
      <c r="D140" s="5" t="s">
        <v>239</v>
      </c>
      <c r="E140" s="5" t="s">
        <v>240</v>
      </c>
      <c r="F140" s="5" t="s">
        <v>176</v>
      </c>
      <c r="G140" s="5" t="s">
        <v>177</v>
      </c>
      <c r="H140" s="5" t="s">
        <v>218</v>
      </c>
      <c r="I140" s="5" t="s">
        <v>429</v>
      </c>
      <c r="J140" s="5" t="s">
        <v>430</v>
      </c>
      <c r="K140" s="5" t="s">
        <v>241</v>
      </c>
      <c r="L140" s="6">
        <v>45666</v>
      </c>
      <c r="M140" s="6">
        <v>45666</v>
      </c>
      <c r="N140" s="5" t="s">
        <v>811</v>
      </c>
      <c r="O140" s="5" t="str">
        <f ca="1">IF(P140&lt;&gt;"EXPEDIÇÃO","Expedido",IF(NETWORKDAYS(C140,TODAY())&gt;=5,"Risco Alto",IF(NETWORKDAYS(C140,TODAY())&gt;=3,IF(NETWORKDAYS(C140,TODAY())&lt;5,"Risco Médio",""),IF(NETWORKDAYS(C140,TODAY())&lt;=2,"Risco Baixo",""))))</f>
        <v>Expedido</v>
      </c>
      <c r="P140" s="5" t="s">
        <v>25</v>
      </c>
      <c r="Q140" s="5" t="s">
        <v>897</v>
      </c>
      <c r="S140" s="7">
        <f>IF(ISBLANK(M140),"Aguardando Previsão/Data",NETWORKDAYS(L140,M140)-1)</f>
        <v>0</v>
      </c>
      <c r="T140" s="5" t="s">
        <v>942</v>
      </c>
    </row>
    <row r="141" spans="1:20" x14ac:dyDescent="0.35">
      <c r="A141" s="8">
        <v>8100269200</v>
      </c>
      <c r="B141" s="5">
        <v>10467</v>
      </c>
      <c r="C141" s="6">
        <v>45659</v>
      </c>
      <c r="D141" s="5" t="s">
        <v>239</v>
      </c>
      <c r="E141" s="5" t="s">
        <v>240</v>
      </c>
      <c r="F141" s="5" t="s">
        <v>176</v>
      </c>
      <c r="G141" s="5" t="s">
        <v>177</v>
      </c>
      <c r="H141" s="5" t="s">
        <v>218</v>
      </c>
      <c r="I141" s="5" t="s">
        <v>429</v>
      </c>
      <c r="J141" s="5" t="s">
        <v>430</v>
      </c>
      <c r="K141" s="5" t="s">
        <v>241</v>
      </c>
      <c r="L141" s="6">
        <v>45666</v>
      </c>
      <c r="M141" s="6">
        <v>45670</v>
      </c>
      <c r="N141" s="5" t="s">
        <v>812</v>
      </c>
      <c r="O141" s="5" t="str">
        <f ca="1">IF(P141&lt;&gt;"EXPEDIÇÃO","Expedido",IF(NETWORKDAYS(C141,TODAY())&gt;=5,"Risco Alto",IF(NETWORKDAYS(C141,TODAY())&gt;=3,IF(NETWORKDAYS(C141,TODAY())&lt;5,"Risco Médio",""),IF(NETWORKDAYS(C141,TODAY())&lt;=2,"Risco Baixo",""))))</f>
        <v>Expedido</v>
      </c>
      <c r="P141" s="5" t="s">
        <v>25</v>
      </c>
      <c r="Q141" s="5" t="s">
        <v>1181</v>
      </c>
      <c r="S141" s="7">
        <f>IF(ISBLANK(M141),"Aguardando Previsão/Data",NETWORKDAYS(L141,M141)-1)</f>
        <v>2</v>
      </c>
      <c r="T141" s="5" t="s">
        <v>942</v>
      </c>
    </row>
    <row r="142" spans="1:20" x14ac:dyDescent="0.35">
      <c r="A142" s="8">
        <v>8100269201</v>
      </c>
      <c r="B142" s="5">
        <v>10391</v>
      </c>
      <c r="C142" s="6">
        <v>45659</v>
      </c>
      <c r="D142" s="5" t="s">
        <v>239</v>
      </c>
      <c r="E142" s="5" t="s">
        <v>240</v>
      </c>
      <c r="F142" s="5" t="s">
        <v>160</v>
      </c>
      <c r="G142" s="5" t="s">
        <v>161</v>
      </c>
      <c r="H142" s="5" t="s">
        <v>218</v>
      </c>
      <c r="I142" s="5" t="s">
        <v>162</v>
      </c>
      <c r="J142" s="5" t="s">
        <v>244</v>
      </c>
      <c r="K142" s="5" t="s">
        <v>241</v>
      </c>
      <c r="L142" s="6">
        <v>45665</v>
      </c>
      <c r="M142" s="6">
        <v>45667</v>
      </c>
      <c r="N142" s="5" t="s">
        <v>812</v>
      </c>
      <c r="O142" s="5" t="str">
        <f ca="1">IF(P142&lt;&gt;"EXPEDIÇÃO","Expedido",IF(NETWORKDAYS(C142,TODAY())&gt;=5,"Risco Alto",IF(NETWORKDAYS(C142,TODAY())&gt;=3,IF(NETWORKDAYS(C142,TODAY())&lt;5,"Risco Médio",""),IF(NETWORKDAYS(C142,TODAY())&lt;=2,"Risco Baixo",""))))</f>
        <v>Expedido</v>
      </c>
      <c r="P142" s="5" t="s">
        <v>25</v>
      </c>
      <c r="Q142" s="5" t="s">
        <v>897</v>
      </c>
      <c r="S142" s="7">
        <f>IF(ISBLANK(M142),"Aguardando Previsão/Data",NETWORKDAYS(L142,M142)-1)</f>
        <v>2</v>
      </c>
      <c r="T142" s="5" t="s">
        <v>942</v>
      </c>
    </row>
    <row r="143" spans="1:20" x14ac:dyDescent="0.35">
      <c r="A143" s="8">
        <v>8100269203</v>
      </c>
      <c r="B143" s="5">
        <v>10455</v>
      </c>
      <c r="C143" s="6">
        <v>45659</v>
      </c>
      <c r="D143" s="5" t="s">
        <v>239</v>
      </c>
      <c r="E143" s="5" t="s">
        <v>240</v>
      </c>
      <c r="F143" s="5" t="s">
        <v>176</v>
      </c>
      <c r="G143" s="5" t="s">
        <v>177</v>
      </c>
      <c r="H143" s="5" t="s">
        <v>218</v>
      </c>
      <c r="I143" s="5" t="s">
        <v>429</v>
      </c>
      <c r="J143" s="5" t="s">
        <v>430</v>
      </c>
      <c r="K143" s="5" t="s">
        <v>241</v>
      </c>
      <c r="L143" s="6">
        <v>45666</v>
      </c>
      <c r="M143" s="6">
        <v>45670</v>
      </c>
      <c r="N143" s="5" t="s">
        <v>812</v>
      </c>
      <c r="O143" s="5" t="str">
        <f ca="1">IF(P143&lt;&gt;"EXPEDIÇÃO","Expedido",IF(NETWORKDAYS(C143,TODAY())&gt;=5,"Risco Alto",IF(NETWORKDAYS(C143,TODAY())&gt;=3,IF(NETWORKDAYS(C143,TODAY())&lt;5,"Risco Médio",""),IF(NETWORKDAYS(C143,TODAY())&lt;=2,"Risco Baixo",""))))</f>
        <v>Expedido</v>
      </c>
      <c r="P143" s="5" t="s">
        <v>25</v>
      </c>
      <c r="Q143" s="5" t="s">
        <v>1181</v>
      </c>
      <c r="S143" s="7">
        <f>IF(ISBLANK(M143),"Aguardando Previsão/Data",NETWORKDAYS(L143,M143)-1)</f>
        <v>2</v>
      </c>
      <c r="T143" s="5" t="s">
        <v>942</v>
      </c>
    </row>
    <row r="144" spans="1:20" x14ac:dyDescent="0.35">
      <c r="A144" s="8">
        <v>8100269204</v>
      </c>
      <c r="B144" s="8">
        <v>10394</v>
      </c>
      <c r="C144" s="6">
        <v>45659</v>
      </c>
      <c r="D144" s="5" t="s">
        <v>239</v>
      </c>
      <c r="E144" s="5" t="s">
        <v>240</v>
      </c>
      <c r="F144" s="5" t="s">
        <v>160</v>
      </c>
      <c r="G144" s="5" t="s">
        <v>161</v>
      </c>
      <c r="H144" s="5" t="s">
        <v>218</v>
      </c>
      <c r="I144" s="5" t="s">
        <v>358</v>
      </c>
      <c r="J144" s="5" t="s">
        <v>359</v>
      </c>
      <c r="K144" s="5" t="s">
        <v>241</v>
      </c>
      <c r="L144" s="6">
        <v>45665</v>
      </c>
      <c r="M144" s="6">
        <v>45667</v>
      </c>
      <c r="N144" s="5" t="s">
        <v>812</v>
      </c>
      <c r="O144" s="5" t="str">
        <f ca="1">IF(P144&lt;&gt;"EXPEDIÇÃO","Expedido",IF(NETWORKDAYS(C144,TODAY())&gt;=5,"Risco Alto",IF(NETWORKDAYS(C144,TODAY())&gt;=3,IF(NETWORKDAYS(C144,TODAY())&lt;5,"Risco Médio",""),IF(NETWORKDAYS(C144,TODAY())&lt;=2,"Risco Baixo",""))))</f>
        <v>Expedido</v>
      </c>
      <c r="P144" s="5" t="s">
        <v>25</v>
      </c>
      <c r="Q144" s="5" t="s">
        <v>897</v>
      </c>
      <c r="S144" s="7">
        <f>IF(ISBLANK(M144),"Aguardando Previsão/Data",NETWORKDAYS(L144,M144)-1)</f>
        <v>2</v>
      </c>
      <c r="T144" s="5" t="s">
        <v>942</v>
      </c>
    </row>
    <row r="145" spans="1:20" x14ac:dyDescent="0.35">
      <c r="A145" s="5">
        <v>8100269205</v>
      </c>
      <c r="B145" s="5">
        <v>10409</v>
      </c>
      <c r="C145" s="6">
        <v>45659</v>
      </c>
      <c r="D145" s="5" t="s">
        <v>239</v>
      </c>
      <c r="E145" s="5" t="s">
        <v>240</v>
      </c>
      <c r="F145" s="5" t="s">
        <v>176</v>
      </c>
      <c r="G145" s="5" t="s">
        <v>177</v>
      </c>
      <c r="H145" s="5" t="s">
        <v>218</v>
      </c>
      <c r="I145" s="5" t="s">
        <v>429</v>
      </c>
      <c r="J145" s="5" t="s">
        <v>430</v>
      </c>
      <c r="K145" s="5" t="s">
        <v>241</v>
      </c>
      <c r="L145" s="6">
        <v>45666</v>
      </c>
      <c r="M145" s="6">
        <v>45666</v>
      </c>
      <c r="N145" s="5" t="s">
        <v>811</v>
      </c>
      <c r="O145" s="5" t="str">
        <f ca="1">IF(P145&lt;&gt;"EXPEDIÇÃO","Expedido",IF(NETWORKDAYS(C145,TODAY())&gt;=5,"Risco Alto",IF(NETWORKDAYS(C145,TODAY())&gt;=3,IF(NETWORKDAYS(C145,TODAY())&lt;5,"Risco Médio",""),IF(NETWORKDAYS(C145,TODAY())&lt;=2,"Risco Baixo",""))))</f>
        <v>Expedido</v>
      </c>
      <c r="P145" s="5" t="s">
        <v>25</v>
      </c>
      <c r="Q145" s="5" t="s">
        <v>897</v>
      </c>
      <c r="S145" s="7">
        <f>IF(ISBLANK(M145),"Aguardando Previsão/Data",NETWORKDAYS(L145,M145)-1)</f>
        <v>0</v>
      </c>
      <c r="T145" s="5" t="s">
        <v>942</v>
      </c>
    </row>
    <row r="146" spans="1:20" x14ac:dyDescent="0.35">
      <c r="A146" s="5">
        <v>8100269206</v>
      </c>
      <c r="B146" s="5">
        <v>10379</v>
      </c>
      <c r="C146" s="6">
        <v>45659</v>
      </c>
      <c r="D146" s="5" t="s">
        <v>239</v>
      </c>
      <c r="E146" s="5" t="s">
        <v>240</v>
      </c>
      <c r="F146" s="5" t="s">
        <v>242</v>
      </c>
      <c r="G146" s="5" t="s">
        <v>243</v>
      </c>
      <c r="H146" s="5" t="s">
        <v>218</v>
      </c>
      <c r="I146" s="5" t="s">
        <v>354</v>
      </c>
      <c r="J146" s="5" t="s">
        <v>355</v>
      </c>
      <c r="K146" s="5" t="s">
        <v>241</v>
      </c>
      <c r="L146" s="6">
        <v>45665</v>
      </c>
      <c r="M146" s="6">
        <v>45664</v>
      </c>
      <c r="N146" s="5" t="s">
        <v>811</v>
      </c>
      <c r="O146" s="5" t="str">
        <f ca="1">IF(P146&lt;&gt;"EXPEDIÇÃO","Expedido",IF(NETWORKDAYS(C146,TODAY())&gt;=5,"Risco Alto",IF(NETWORKDAYS(C146,TODAY())&gt;=3,IF(NETWORKDAYS(C146,TODAY())&lt;5,"Risco Médio",""),IF(NETWORKDAYS(C146,TODAY())&lt;=2,"Risco Baixo",""))))</f>
        <v>Expedido</v>
      </c>
      <c r="P146" s="5" t="s">
        <v>25</v>
      </c>
      <c r="Q146" s="5" t="s">
        <v>793</v>
      </c>
      <c r="S146" s="7">
        <f>IF(ISBLANK(M146),"Aguardando Previsão/Data",NETWORKDAYS(L146,M146)-1)</f>
        <v>-3</v>
      </c>
      <c r="T146" s="5" t="s">
        <v>942</v>
      </c>
    </row>
    <row r="147" spans="1:20" x14ac:dyDescent="0.35">
      <c r="A147" s="5">
        <v>8100269207</v>
      </c>
      <c r="B147" s="5">
        <v>10402</v>
      </c>
      <c r="C147" s="6">
        <v>45659</v>
      </c>
      <c r="D147" s="5" t="s">
        <v>239</v>
      </c>
      <c r="E147" s="5" t="s">
        <v>240</v>
      </c>
      <c r="F147" s="5" t="s">
        <v>176</v>
      </c>
      <c r="G147" s="5" t="s">
        <v>177</v>
      </c>
      <c r="H147" s="5" t="s">
        <v>218</v>
      </c>
      <c r="I147" s="5" t="s">
        <v>247</v>
      </c>
      <c r="J147" s="5" t="s">
        <v>248</v>
      </c>
      <c r="K147" s="5" t="s">
        <v>241</v>
      </c>
      <c r="L147" s="6">
        <v>45666</v>
      </c>
      <c r="M147" s="6">
        <v>45665</v>
      </c>
      <c r="N147" s="5" t="s">
        <v>811</v>
      </c>
      <c r="O147" s="5" t="str">
        <f ca="1">IF(P147&lt;&gt;"EXPEDIÇÃO","Expedido",IF(NETWORKDAYS(C147,TODAY())&gt;=5,"Risco Alto",IF(NETWORKDAYS(C147,TODAY())&gt;=3,IF(NETWORKDAYS(C147,TODAY())&lt;5,"Risco Médio",""),IF(NETWORKDAYS(C147,TODAY())&lt;=2,"Risco Baixo",""))))</f>
        <v>Expedido</v>
      </c>
      <c r="P147" s="5" t="s">
        <v>25</v>
      </c>
      <c r="Q147" s="5" t="s">
        <v>793</v>
      </c>
      <c r="S147" s="7">
        <f>IF(ISBLANK(M147),"Aguardando Previsão/Data",NETWORKDAYS(L147,M147)-1)</f>
        <v>-3</v>
      </c>
      <c r="T147" s="5" t="s">
        <v>942</v>
      </c>
    </row>
    <row r="148" spans="1:20" x14ac:dyDescent="0.35">
      <c r="A148" s="5">
        <v>8100269208</v>
      </c>
      <c r="B148" s="5">
        <v>10410</v>
      </c>
      <c r="C148" s="6">
        <v>45659</v>
      </c>
      <c r="D148" s="5" t="s">
        <v>239</v>
      </c>
      <c r="E148" s="5" t="s">
        <v>240</v>
      </c>
      <c r="F148" s="5" t="s">
        <v>176</v>
      </c>
      <c r="G148" s="5" t="s">
        <v>177</v>
      </c>
      <c r="H148" s="5" t="s">
        <v>218</v>
      </c>
      <c r="I148" s="5" t="s">
        <v>429</v>
      </c>
      <c r="J148" s="5" t="s">
        <v>430</v>
      </c>
      <c r="K148" s="5" t="s">
        <v>241</v>
      </c>
      <c r="L148" s="6">
        <v>45666</v>
      </c>
      <c r="M148" s="6">
        <v>45666</v>
      </c>
      <c r="N148" s="5" t="s">
        <v>811</v>
      </c>
      <c r="O148" s="5" t="str">
        <f ca="1">IF(P148&lt;&gt;"EXPEDIÇÃO","Expedido",IF(NETWORKDAYS(C148,TODAY())&gt;=5,"Risco Alto",IF(NETWORKDAYS(C148,TODAY())&gt;=3,IF(NETWORKDAYS(C148,TODAY())&lt;5,"Risco Médio",""),IF(NETWORKDAYS(C148,TODAY())&lt;=2,"Risco Baixo",""))))</f>
        <v>Expedido</v>
      </c>
      <c r="P148" s="5" t="s">
        <v>25</v>
      </c>
      <c r="Q148" s="5" t="s">
        <v>897</v>
      </c>
      <c r="S148" s="7">
        <f>IF(ISBLANK(M148),"Aguardando Previsão/Data",NETWORKDAYS(L148,M148)-1)</f>
        <v>0</v>
      </c>
      <c r="T148" s="5" t="s">
        <v>942</v>
      </c>
    </row>
    <row r="149" spans="1:20" x14ac:dyDescent="0.35">
      <c r="A149" s="5">
        <v>8100269209</v>
      </c>
      <c r="B149" s="5">
        <v>10376</v>
      </c>
      <c r="C149" s="6">
        <v>45659</v>
      </c>
      <c r="D149" s="5" t="s">
        <v>239</v>
      </c>
      <c r="E149" s="5" t="s">
        <v>240</v>
      </c>
      <c r="F149" s="5" t="s">
        <v>176</v>
      </c>
      <c r="G149" s="5" t="s">
        <v>177</v>
      </c>
      <c r="H149" s="5" t="s">
        <v>218</v>
      </c>
      <c r="I149" s="5" t="s">
        <v>354</v>
      </c>
      <c r="J149" s="5" t="s">
        <v>355</v>
      </c>
      <c r="K149" s="5" t="s">
        <v>241</v>
      </c>
      <c r="L149" s="6">
        <v>45665</v>
      </c>
      <c r="M149" s="6">
        <v>45665</v>
      </c>
      <c r="N149" s="5" t="s">
        <v>811</v>
      </c>
      <c r="O149" s="5" t="str">
        <f ca="1">IF(P149&lt;&gt;"EXPEDIÇÃO","Expedido",IF(NETWORKDAYS(C149,TODAY())&gt;=5,"Risco Alto",IF(NETWORKDAYS(C149,TODAY())&gt;=3,IF(NETWORKDAYS(C149,TODAY())&lt;5,"Risco Médio",""),IF(NETWORKDAYS(C149,TODAY())&lt;=2,"Risco Baixo",""))))</f>
        <v>Expedido</v>
      </c>
      <c r="P149" s="5" t="s">
        <v>25</v>
      </c>
      <c r="Q149" s="5" t="s">
        <v>793</v>
      </c>
      <c r="S149" s="7">
        <f>IF(ISBLANK(M149),"Aguardando Previsão/Data",NETWORKDAYS(L149,M149)-1)</f>
        <v>0</v>
      </c>
      <c r="T149" s="5" t="s">
        <v>942</v>
      </c>
    </row>
    <row r="150" spans="1:20" x14ac:dyDescent="0.35">
      <c r="A150" s="8">
        <v>8100269210</v>
      </c>
      <c r="B150" s="5">
        <v>10398</v>
      </c>
      <c r="C150" s="6">
        <v>45659</v>
      </c>
      <c r="D150" s="5" t="s">
        <v>239</v>
      </c>
      <c r="E150" s="5" t="s">
        <v>240</v>
      </c>
      <c r="F150" s="5" t="s">
        <v>176</v>
      </c>
      <c r="G150" s="5" t="s">
        <v>177</v>
      </c>
      <c r="H150" s="5" t="s">
        <v>218</v>
      </c>
      <c r="I150" s="5" t="s">
        <v>360</v>
      </c>
      <c r="J150" s="5" t="s">
        <v>361</v>
      </c>
      <c r="K150" s="5" t="s">
        <v>241</v>
      </c>
      <c r="L150" s="6">
        <v>45665</v>
      </c>
      <c r="M150" s="6">
        <v>45667</v>
      </c>
      <c r="N150" s="5" t="s">
        <v>812</v>
      </c>
      <c r="O150" s="5" t="str">
        <f ca="1">IF(P150&lt;&gt;"EXPEDIÇÃO","Expedido",IF(NETWORKDAYS(C150,TODAY())&gt;=5,"Risco Alto",IF(NETWORKDAYS(C150,TODAY())&gt;=3,IF(NETWORKDAYS(C150,TODAY())&lt;5,"Risco Médio",""),IF(NETWORKDAYS(C150,TODAY())&lt;=2,"Risco Baixo",""))))</f>
        <v>Expedido</v>
      </c>
      <c r="P150" s="5" t="s">
        <v>25</v>
      </c>
      <c r="Q150" s="5" t="s">
        <v>897</v>
      </c>
      <c r="S150" s="7">
        <f>IF(ISBLANK(M150),"Aguardando Previsão/Data",NETWORKDAYS(L150,M150)-1)</f>
        <v>2</v>
      </c>
      <c r="T150" s="5" t="s">
        <v>942</v>
      </c>
    </row>
    <row r="151" spans="1:20" x14ac:dyDescent="0.35">
      <c r="A151" s="5">
        <v>8100269211</v>
      </c>
      <c r="B151" s="5">
        <v>10411</v>
      </c>
      <c r="C151" s="6">
        <v>45659</v>
      </c>
      <c r="D151" s="5" t="s">
        <v>239</v>
      </c>
      <c r="E151" s="5" t="s">
        <v>240</v>
      </c>
      <c r="F151" s="5" t="s">
        <v>242</v>
      </c>
      <c r="G151" s="5" t="s">
        <v>243</v>
      </c>
      <c r="H151" s="5" t="s">
        <v>218</v>
      </c>
      <c r="I151" s="5" t="s">
        <v>429</v>
      </c>
      <c r="J151" s="5" t="s">
        <v>430</v>
      </c>
      <c r="K151" s="5" t="s">
        <v>241</v>
      </c>
      <c r="L151" s="6">
        <v>45666</v>
      </c>
      <c r="M151" s="6">
        <v>45666</v>
      </c>
      <c r="N151" s="5" t="s">
        <v>811</v>
      </c>
      <c r="O151" s="5" t="str">
        <f ca="1">IF(P151&lt;&gt;"EXPEDIÇÃO","Expedido",IF(NETWORKDAYS(C151,TODAY())&gt;=5,"Risco Alto",IF(NETWORKDAYS(C151,TODAY())&gt;=3,IF(NETWORKDAYS(C151,TODAY())&lt;5,"Risco Médio",""),IF(NETWORKDAYS(C151,TODAY())&lt;=2,"Risco Baixo",""))))</f>
        <v>Expedido</v>
      </c>
      <c r="P151" s="5" t="s">
        <v>25</v>
      </c>
      <c r="Q151" s="5" t="s">
        <v>897</v>
      </c>
      <c r="S151" s="7">
        <f>IF(ISBLANK(M151),"Aguardando Previsão/Data",NETWORKDAYS(L151,M151)-1)</f>
        <v>0</v>
      </c>
      <c r="T151" s="5" t="s">
        <v>942</v>
      </c>
    </row>
    <row r="152" spans="1:20" x14ac:dyDescent="0.35">
      <c r="A152" s="5">
        <v>8100269212</v>
      </c>
      <c r="B152" s="5">
        <v>10399</v>
      </c>
      <c r="C152" s="6">
        <v>45659</v>
      </c>
      <c r="D152" s="5" t="s">
        <v>239</v>
      </c>
      <c r="E152" s="5" t="s">
        <v>240</v>
      </c>
      <c r="F152" s="5" t="s">
        <v>160</v>
      </c>
      <c r="G152" s="5" t="s">
        <v>161</v>
      </c>
      <c r="H152" s="5" t="s">
        <v>218</v>
      </c>
      <c r="I152" s="5" t="s">
        <v>354</v>
      </c>
      <c r="J152" s="5" t="s">
        <v>355</v>
      </c>
      <c r="K152" s="5" t="s">
        <v>241</v>
      </c>
      <c r="L152" s="6">
        <v>45665</v>
      </c>
      <c r="M152" s="6">
        <v>45664</v>
      </c>
      <c r="N152" s="5" t="s">
        <v>811</v>
      </c>
      <c r="O152" s="5" t="str">
        <f ca="1">IF(P152&lt;&gt;"EXPEDIÇÃO","Expedido",IF(NETWORKDAYS(C152,TODAY())&gt;=5,"Risco Alto",IF(NETWORKDAYS(C152,TODAY())&gt;=3,IF(NETWORKDAYS(C152,TODAY())&lt;5,"Risco Médio",""),IF(NETWORKDAYS(C152,TODAY())&lt;=2,"Risco Baixo",""))))</f>
        <v>Expedido</v>
      </c>
      <c r="P152" s="5" t="s">
        <v>25</v>
      </c>
      <c r="Q152" s="5" t="s">
        <v>793</v>
      </c>
      <c r="S152" s="7">
        <f>IF(ISBLANK(M152),"Aguardando Previsão/Data",NETWORKDAYS(L152,M152)-1)</f>
        <v>-3</v>
      </c>
      <c r="T152" s="5" t="s">
        <v>942</v>
      </c>
    </row>
    <row r="153" spans="1:20" x14ac:dyDescent="0.35">
      <c r="A153" s="5">
        <v>8100269213</v>
      </c>
      <c r="B153" s="5">
        <v>10403</v>
      </c>
      <c r="C153" s="6">
        <v>45659</v>
      </c>
      <c r="D153" s="5" t="s">
        <v>239</v>
      </c>
      <c r="E153" s="5" t="s">
        <v>240</v>
      </c>
      <c r="F153" s="5" t="s">
        <v>176</v>
      </c>
      <c r="G153" s="5" t="s">
        <v>177</v>
      </c>
      <c r="H153" s="5" t="s">
        <v>218</v>
      </c>
      <c r="I153" s="5" t="s">
        <v>247</v>
      </c>
      <c r="J153" s="5" t="s">
        <v>248</v>
      </c>
      <c r="K153" s="5" t="s">
        <v>241</v>
      </c>
      <c r="L153" s="6">
        <v>45666</v>
      </c>
      <c r="M153" s="6">
        <v>45665</v>
      </c>
      <c r="N153" s="5" t="s">
        <v>811</v>
      </c>
      <c r="O153" s="5" t="str">
        <f ca="1">IF(P153&lt;&gt;"EXPEDIÇÃO","Expedido",IF(NETWORKDAYS(C153,TODAY())&gt;=5,"Risco Alto",IF(NETWORKDAYS(C153,TODAY())&gt;=3,IF(NETWORKDAYS(C153,TODAY())&lt;5,"Risco Médio",""),IF(NETWORKDAYS(C153,TODAY())&lt;=2,"Risco Baixo",""))))</f>
        <v>Expedido</v>
      </c>
      <c r="P153" s="5" t="s">
        <v>25</v>
      </c>
      <c r="Q153" s="5" t="s">
        <v>793</v>
      </c>
      <c r="S153" s="7">
        <f>IF(ISBLANK(M153),"Aguardando Previsão/Data",NETWORKDAYS(L153,M153)-1)</f>
        <v>-3</v>
      </c>
      <c r="T153" s="5" t="s">
        <v>942</v>
      </c>
    </row>
    <row r="154" spans="1:20" x14ac:dyDescent="0.35">
      <c r="A154" s="5">
        <v>8100269214</v>
      </c>
      <c r="B154" s="5">
        <v>10404</v>
      </c>
      <c r="C154" s="6">
        <v>45659</v>
      </c>
      <c r="D154" s="5" t="s">
        <v>239</v>
      </c>
      <c r="E154" s="5" t="s">
        <v>240</v>
      </c>
      <c r="F154" s="5" t="s">
        <v>176</v>
      </c>
      <c r="G154" s="5" t="s">
        <v>177</v>
      </c>
      <c r="H154" s="5" t="s">
        <v>218</v>
      </c>
      <c r="I154" s="5" t="s">
        <v>247</v>
      </c>
      <c r="J154" s="5" t="s">
        <v>248</v>
      </c>
      <c r="K154" s="5" t="s">
        <v>241</v>
      </c>
      <c r="L154" s="6">
        <v>45666</v>
      </c>
      <c r="M154" s="6">
        <v>45665</v>
      </c>
      <c r="N154" s="5" t="s">
        <v>811</v>
      </c>
      <c r="O154" s="5" t="str">
        <f ca="1">IF(P154&lt;&gt;"EXPEDIÇÃO","Expedido",IF(NETWORKDAYS(C154,TODAY())&gt;=5,"Risco Alto",IF(NETWORKDAYS(C154,TODAY())&gt;=3,IF(NETWORKDAYS(C154,TODAY())&lt;5,"Risco Médio",""),IF(NETWORKDAYS(C154,TODAY())&lt;=2,"Risco Baixo",""))))</f>
        <v>Expedido</v>
      </c>
      <c r="P154" s="5" t="s">
        <v>25</v>
      </c>
      <c r="Q154" s="5" t="s">
        <v>793</v>
      </c>
      <c r="S154" s="7">
        <f>IF(ISBLANK(M154),"Aguardando Previsão/Data",NETWORKDAYS(L154,M154)-1)</f>
        <v>-3</v>
      </c>
      <c r="T154" s="5" t="s">
        <v>942</v>
      </c>
    </row>
    <row r="155" spans="1:20" x14ac:dyDescent="0.35">
      <c r="A155" s="8">
        <v>8100269215</v>
      </c>
      <c r="B155" s="5">
        <v>10395</v>
      </c>
      <c r="C155" s="6">
        <v>45659</v>
      </c>
      <c r="D155" s="5" t="s">
        <v>239</v>
      </c>
      <c r="E155" s="5" t="s">
        <v>240</v>
      </c>
      <c r="F155" s="5" t="s">
        <v>242</v>
      </c>
      <c r="G155" s="5" t="s">
        <v>243</v>
      </c>
      <c r="H155" s="5" t="s">
        <v>218</v>
      </c>
      <c r="I155" s="5" t="s">
        <v>251</v>
      </c>
      <c r="J155" s="5" t="s">
        <v>252</v>
      </c>
      <c r="K155" s="5" t="s">
        <v>241</v>
      </c>
      <c r="L155" s="6">
        <v>45665</v>
      </c>
      <c r="M155" s="6">
        <v>45667</v>
      </c>
      <c r="N155" s="5" t="s">
        <v>812</v>
      </c>
      <c r="O155" s="5" t="str">
        <f ca="1">IF(P155&lt;&gt;"EXPEDIÇÃO","Expedido",IF(NETWORKDAYS(C155,TODAY())&gt;=5,"Risco Alto",IF(NETWORKDAYS(C155,TODAY())&gt;=3,IF(NETWORKDAYS(C155,TODAY())&lt;5,"Risco Médio",""),IF(NETWORKDAYS(C155,TODAY())&lt;=2,"Risco Baixo",""))))</f>
        <v>Expedido</v>
      </c>
      <c r="P155" s="5" t="s">
        <v>25</v>
      </c>
      <c r="Q155" s="5" t="s">
        <v>897</v>
      </c>
      <c r="S155" s="7">
        <f>IF(ISBLANK(M155),"Aguardando Previsão/Data",NETWORKDAYS(L155,M155)-1)</f>
        <v>2</v>
      </c>
      <c r="T155" s="5" t="s">
        <v>942</v>
      </c>
    </row>
    <row r="156" spans="1:20" x14ac:dyDescent="0.35">
      <c r="A156" s="5">
        <v>8100269216</v>
      </c>
      <c r="B156" s="5">
        <v>10414</v>
      </c>
      <c r="C156" s="6">
        <v>45659</v>
      </c>
      <c r="D156" s="5" t="s">
        <v>239</v>
      </c>
      <c r="E156" s="5" t="s">
        <v>240</v>
      </c>
      <c r="F156" s="5" t="s">
        <v>176</v>
      </c>
      <c r="G156" s="5" t="s">
        <v>177</v>
      </c>
      <c r="H156" s="5" t="s">
        <v>218</v>
      </c>
      <c r="I156" s="5" t="s">
        <v>247</v>
      </c>
      <c r="J156" s="5" t="s">
        <v>248</v>
      </c>
      <c r="K156" s="5" t="s">
        <v>241</v>
      </c>
      <c r="L156" s="6">
        <v>45666</v>
      </c>
      <c r="M156" s="6">
        <v>45665</v>
      </c>
      <c r="N156" s="5" t="s">
        <v>811</v>
      </c>
      <c r="O156" s="5" t="str">
        <f ca="1">IF(P156&lt;&gt;"EXPEDIÇÃO","Expedido",IF(NETWORKDAYS(C156,TODAY())&gt;=5,"Risco Alto",IF(NETWORKDAYS(C156,TODAY())&gt;=3,IF(NETWORKDAYS(C156,TODAY())&lt;5,"Risco Médio",""),IF(NETWORKDAYS(C156,TODAY())&lt;=2,"Risco Baixo",""))))</f>
        <v>Expedido</v>
      </c>
      <c r="P156" s="5" t="s">
        <v>25</v>
      </c>
      <c r="Q156" s="5" t="s">
        <v>793</v>
      </c>
      <c r="S156" s="7">
        <f>IF(ISBLANK(M156),"Aguardando Previsão/Data",NETWORKDAYS(L156,M156)-1)</f>
        <v>-3</v>
      </c>
      <c r="T156" s="5" t="s">
        <v>942</v>
      </c>
    </row>
    <row r="157" spans="1:20" x14ac:dyDescent="0.35">
      <c r="A157" s="5">
        <v>8100269217</v>
      </c>
      <c r="B157" s="5">
        <v>10405</v>
      </c>
      <c r="C157" s="6">
        <v>45659</v>
      </c>
      <c r="D157" s="5" t="s">
        <v>239</v>
      </c>
      <c r="E157" s="5" t="s">
        <v>240</v>
      </c>
      <c r="F157" s="5" t="s">
        <v>176</v>
      </c>
      <c r="G157" s="5" t="s">
        <v>177</v>
      </c>
      <c r="H157" s="5" t="s">
        <v>218</v>
      </c>
      <c r="I157" s="5" t="s">
        <v>247</v>
      </c>
      <c r="J157" s="5" t="s">
        <v>248</v>
      </c>
      <c r="K157" s="5" t="s">
        <v>241</v>
      </c>
      <c r="L157" s="6">
        <v>45666</v>
      </c>
      <c r="M157" s="6">
        <v>45665</v>
      </c>
      <c r="N157" s="5" t="s">
        <v>811</v>
      </c>
      <c r="O157" s="5" t="str">
        <f ca="1">IF(P157&lt;&gt;"EXPEDIÇÃO","Expedido",IF(NETWORKDAYS(C157,TODAY())&gt;=5,"Risco Alto",IF(NETWORKDAYS(C157,TODAY())&gt;=3,IF(NETWORKDAYS(C157,TODAY())&lt;5,"Risco Médio",""),IF(NETWORKDAYS(C157,TODAY())&lt;=2,"Risco Baixo",""))))</f>
        <v>Expedido</v>
      </c>
      <c r="P157" s="5" t="s">
        <v>25</v>
      </c>
      <c r="Q157" s="5" t="s">
        <v>793</v>
      </c>
      <c r="S157" s="7">
        <f>IF(ISBLANK(M157),"Aguardando Previsão/Data",NETWORKDAYS(L157,M157)-1)</f>
        <v>-3</v>
      </c>
      <c r="T157" s="5" t="s">
        <v>942</v>
      </c>
    </row>
    <row r="158" spans="1:20" x14ac:dyDescent="0.35">
      <c r="A158" s="5">
        <v>8100269218</v>
      </c>
      <c r="B158" s="5">
        <v>10471</v>
      </c>
      <c r="C158" s="6">
        <v>45659</v>
      </c>
      <c r="D158" s="5" t="s">
        <v>239</v>
      </c>
      <c r="E158" s="5" t="s">
        <v>240</v>
      </c>
      <c r="F158" s="5" t="s">
        <v>242</v>
      </c>
      <c r="G158" s="5" t="s">
        <v>243</v>
      </c>
      <c r="H158" s="5" t="s">
        <v>218</v>
      </c>
      <c r="I158" s="5" t="s">
        <v>460</v>
      </c>
      <c r="J158" s="5" t="s">
        <v>461</v>
      </c>
      <c r="K158" s="5" t="s">
        <v>241</v>
      </c>
      <c r="L158" s="6">
        <v>45665</v>
      </c>
      <c r="M158" s="6">
        <v>45666</v>
      </c>
      <c r="N158" s="5" t="s">
        <v>811</v>
      </c>
      <c r="O158" s="5" t="str">
        <f ca="1">IF(P158&lt;&gt;"EXPEDIÇÃO","Expedido",IF(NETWORKDAYS(C158,TODAY())&gt;=5,"Risco Alto",IF(NETWORKDAYS(C158,TODAY())&gt;=3,IF(NETWORKDAYS(C158,TODAY())&lt;5,"Risco Médio",""),IF(NETWORKDAYS(C158,TODAY())&lt;=2,"Risco Baixo",""))))</f>
        <v>Expedido</v>
      </c>
      <c r="P158" s="5" t="s">
        <v>25</v>
      </c>
      <c r="Q158" s="5" t="s">
        <v>897</v>
      </c>
      <c r="S158" s="7">
        <f>IF(ISBLANK(M158),"Aguardando Previsão/Data",NETWORKDAYS(L158,M158)-1)</f>
        <v>1</v>
      </c>
      <c r="T158" s="5" t="s">
        <v>942</v>
      </c>
    </row>
    <row r="159" spans="1:20" x14ac:dyDescent="0.35">
      <c r="A159" s="5">
        <v>8100269258</v>
      </c>
      <c r="B159" s="5">
        <v>10415</v>
      </c>
      <c r="C159" s="6">
        <v>45659</v>
      </c>
      <c r="D159" s="5" t="s">
        <v>239</v>
      </c>
      <c r="E159" s="5" t="s">
        <v>240</v>
      </c>
      <c r="F159" s="5" t="s">
        <v>160</v>
      </c>
      <c r="G159" s="5" t="s">
        <v>161</v>
      </c>
      <c r="H159" s="5" t="s">
        <v>218</v>
      </c>
      <c r="I159" s="5" t="s">
        <v>490</v>
      </c>
      <c r="J159" s="5" t="s">
        <v>161</v>
      </c>
      <c r="K159" s="5" t="s">
        <v>241</v>
      </c>
      <c r="L159" s="6">
        <v>45665</v>
      </c>
      <c r="M159" s="6">
        <v>45664</v>
      </c>
      <c r="N159" s="5" t="s">
        <v>811</v>
      </c>
      <c r="O159" s="5" t="str">
        <f ca="1">IF(P159&lt;&gt;"EXPEDIÇÃO","Expedido",IF(NETWORKDAYS(C159,TODAY())&gt;=5,"Risco Alto",IF(NETWORKDAYS(C159,TODAY())&gt;=3,IF(NETWORKDAYS(C159,TODAY())&lt;5,"Risco Médio",""),IF(NETWORKDAYS(C159,TODAY())&lt;=2,"Risco Baixo",""))))</f>
        <v>Expedido</v>
      </c>
      <c r="P159" s="5" t="s">
        <v>25</v>
      </c>
      <c r="Q159" s="5" t="s">
        <v>897</v>
      </c>
      <c r="S159" s="7">
        <f>IF(ISBLANK(M159),"Aguardando Previsão/Data",NETWORKDAYS(L159,M159)-1)</f>
        <v>-3</v>
      </c>
      <c r="T159" s="5" t="s">
        <v>942</v>
      </c>
    </row>
    <row r="160" spans="1:20" x14ac:dyDescent="0.35">
      <c r="A160" s="5">
        <v>8100269259</v>
      </c>
      <c r="B160" s="5">
        <v>10418</v>
      </c>
      <c r="C160" s="6">
        <v>45659</v>
      </c>
      <c r="D160" s="5" t="s">
        <v>239</v>
      </c>
      <c r="E160" s="5" t="s">
        <v>240</v>
      </c>
      <c r="F160" s="5" t="s">
        <v>160</v>
      </c>
      <c r="G160" s="5" t="s">
        <v>161</v>
      </c>
      <c r="H160" s="5" t="s">
        <v>218</v>
      </c>
      <c r="I160" s="5" t="s">
        <v>672</v>
      </c>
      <c r="J160" s="5" t="s">
        <v>673</v>
      </c>
      <c r="K160" s="5" t="s">
        <v>241</v>
      </c>
      <c r="L160" s="6">
        <v>45665</v>
      </c>
      <c r="M160" s="6">
        <v>45666</v>
      </c>
      <c r="N160" s="5" t="s">
        <v>811</v>
      </c>
      <c r="O160" s="5" t="str">
        <f ca="1">IF(P160&lt;&gt;"EXPEDIÇÃO","Expedido",IF(NETWORKDAYS(C160,TODAY())&gt;=5,"Risco Alto",IF(NETWORKDAYS(C160,TODAY())&gt;=3,IF(NETWORKDAYS(C160,TODAY())&lt;5,"Risco Médio",""),IF(NETWORKDAYS(C160,TODAY())&lt;=2,"Risco Baixo",""))))</f>
        <v>Expedido</v>
      </c>
      <c r="P160" s="5" t="s">
        <v>25</v>
      </c>
      <c r="Q160" s="5" t="s">
        <v>897</v>
      </c>
      <c r="S160" s="7">
        <f>IF(ISBLANK(M160),"Aguardando Previsão/Data",NETWORKDAYS(L160,M160)-1)</f>
        <v>1</v>
      </c>
      <c r="T160" s="5" t="s">
        <v>942</v>
      </c>
    </row>
    <row r="161" spans="1:20" x14ac:dyDescent="0.35">
      <c r="A161" s="5">
        <v>8100269260</v>
      </c>
      <c r="B161" s="5">
        <v>10465</v>
      </c>
      <c r="C161" s="6">
        <v>45659</v>
      </c>
      <c r="D161" s="5" t="s">
        <v>239</v>
      </c>
      <c r="E161" s="5" t="s">
        <v>240</v>
      </c>
      <c r="F161" s="5" t="s">
        <v>160</v>
      </c>
      <c r="G161" s="5" t="s">
        <v>161</v>
      </c>
      <c r="H161" s="5" t="s">
        <v>218</v>
      </c>
      <c r="I161" s="5" t="s">
        <v>685</v>
      </c>
      <c r="J161" s="5" t="s">
        <v>686</v>
      </c>
      <c r="K161" s="5" t="s">
        <v>241</v>
      </c>
      <c r="L161" s="6">
        <v>45665</v>
      </c>
      <c r="M161" s="6">
        <v>45666</v>
      </c>
      <c r="N161" s="5" t="s">
        <v>811</v>
      </c>
      <c r="O161" s="5" t="str">
        <f ca="1">IF(P161&lt;&gt;"EXPEDIÇÃO","Expedido",IF(NETWORKDAYS(C161,TODAY())&gt;=5,"Risco Alto",IF(NETWORKDAYS(C161,TODAY())&gt;=3,IF(NETWORKDAYS(C161,TODAY())&lt;5,"Risco Médio",""),IF(NETWORKDAYS(C161,TODAY())&lt;=2,"Risco Baixo",""))))</f>
        <v>Expedido</v>
      </c>
      <c r="P161" s="5" t="s">
        <v>25</v>
      </c>
      <c r="Q161" s="5" t="s">
        <v>897</v>
      </c>
      <c r="S161" s="7">
        <f>IF(ISBLANK(M161),"Aguardando Previsão/Data",NETWORKDAYS(L161,M161)-1)</f>
        <v>1</v>
      </c>
      <c r="T161" s="5" t="s">
        <v>942</v>
      </c>
    </row>
    <row r="162" spans="1:20" x14ac:dyDescent="0.35">
      <c r="A162" s="5">
        <v>8100269262</v>
      </c>
      <c r="B162" s="5">
        <v>10421</v>
      </c>
      <c r="C162" s="6">
        <v>45659</v>
      </c>
      <c r="D162" s="5" t="s">
        <v>239</v>
      </c>
      <c r="E162" s="5" t="s">
        <v>240</v>
      </c>
      <c r="F162" s="5" t="s">
        <v>242</v>
      </c>
      <c r="G162" s="5" t="s">
        <v>243</v>
      </c>
      <c r="H162" s="5" t="s">
        <v>218</v>
      </c>
      <c r="I162" s="5" t="s">
        <v>547</v>
      </c>
      <c r="J162" s="5" t="s">
        <v>428</v>
      </c>
      <c r="K162" s="5" t="s">
        <v>241</v>
      </c>
      <c r="L162" s="6">
        <v>45666</v>
      </c>
      <c r="M162" s="6">
        <v>45666</v>
      </c>
      <c r="N162" s="5" t="s">
        <v>811</v>
      </c>
      <c r="O162" s="5" t="str">
        <f ca="1">IF(P162&lt;&gt;"EXPEDIÇÃO","Expedido",IF(NETWORKDAYS(C162,TODAY())&gt;=5,"Risco Alto",IF(NETWORKDAYS(C162,TODAY())&gt;=3,IF(NETWORKDAYS(C162,TODAY())&lt;5,"Risco Médio",""),IF(NETWORKDAYS(C162,TODAY())&lt;=2,"Risco Baixo",""))))</f>
        <v>Expedido</v>
      </c>
      <c r="P162" s="5" t="s">
        <v>25</v>
      </c>
      <c r="Q162" s="5" t="s">
        <v>793</v>
      </c>
      <c r="S162" s="7">
        <f>IF(ISBLANK(M162),"Aguardando Previsão/Data",NETWORKDAYS(L162,M162)-1)</f>
        <v>0</v>
      </c>
      <c r="T162" s="5" t="s">
        <v>942</v>
      </c>
    </row>
    <row r="163" spans="1:20" x14ac:dyDescent="0.35">
      <c r="A163" s="5">
        <v>8100269263</v>
      </c>
      <c r="B163" s="5">
        <v>10424</v>
      </c>
      <c r="C163" s="6">
        <v>45659</v>
      </c>
      <c r="D163" s="5" t="s">
        <v>239</v>
      </c>
      <c r="E163" s="5" t="s">
        <v>240</v>
      </c>
      <c r="F163" s="5" t="s">
        <v>160</v>
      </c>
      <c r="G163" s="5" t="s">
        <v>161</v>
      </c>
      <c r="H163" s="5" t="s">
        <v>218</v>
      </c>
      <c r="I163" s="5" t="s">
        <v>414</v>
      </c>
      <c r="J163" s="5" t="s">
        <v>718</v>
      </c>
      <c r="K163" s="5" t="s">
        <v>241</v>
      </c>
      <c r="L163" s="6">
        <v>45665</v>
      </c>
      <c r="M163" s="6">
        <v>45664</v>
      </c>
      <c r="N163" s="5" t="s">
        <v>811</v>
      </c>
      <c r="O163" s="5" t="str">
        <f ca="1">IF(P163&lt;&gt;"EXPEDIÇÃO","Expedido",IF(NETWORKDAYS(C163,TODAY())&gt;=5,"Risco Alto",IF(NETWORKDAYS(C163,TODAY())&gt;=3,IF(NETWORKDAYS(C163,TODAY())&lt;5,"Risco Médio",""),IF(NETWORKDAYS(C163,TODAY())&lt;=2,"Risco Baixo",""))))</f>
        <v>Expedido</v>
      </c>
      <c r="P163" s="5" t="s">
        <v>25</v>
      </c>
      <c r="Q163" s="5" t="s">
        <v>793</v>
      </c>
      <c r="S163" s="7">
        <f>IF(ISBLANK(M163),"Aguardando Previsão/Data",NETWORKDAYS(L163,M163)-1)</f>
        <v>-3</v>
      </c>
      <c r="T163" s="5" t="s">
        <v>942</v>
      </c>
    </row>
    <row r="164" spans="1:20" x14ac:dyDescent="0.35">
      <c r="A164" s="8">
        <v>8100269264</v>
      </c>
      <c r="B164" s="5">
        <v>10464</v>
      </c>
      <c r="C164" s="6">
        <v>45659</v>
      </c>
      <c r="D164" s="5" t="s">
        <v>239</v>
      </c>
      <c r="E164" s="5" t="s">
        <v>240</v>
      </c>
      <c r="F164" s="5" t="s">
        <v>176</v>
      </c>
      <c r="G164" s="5" t="s">
        <v>177</v>
      </c>
      <c r="H164" s="5" t="s">
        <v>218</v>
      </c>
      <c r="I164" s="5" t="s">
        <v>909</v>
      </c>
      <c r="J164" s="5" t="s">
        <v>1129</v>
      </c>
      <c r="K164" s="5" t="s">
        <v>241</v>
      </c>
      <c r="L164" s="6">
        <v>45666</v>
      </c>
      <c r="M164" s="6">
        <v>45670</v>
      </c>
      <c r="N164" s="5" t="s">
        <v>812</v>
      </c>
      <c r="O164" s="5" t="str">
        <f ca="1">IF(P164&lt;&gt;"EXPEDIÇÃO","Expedido",IF(NETWORKDAYS(C164,TODAY())&gt;=5,"Risco Alto",IF(NETWORKDAYS(C164,TODAY())&gt;=3,IF(NETWORKDAYS(C164,TODAY())&lt;5,"Risco Médio",""),IF(NETWORKDAYS(C164,TODAY())&lt;=2,"Risco Baixo",""))))</f>
        <v>Expedido</v>
      </c>
      <c r="P164" s="5" t="s">
        <v>25</v>
      </c>
      <c r="Q164" s="5" t="s">
        <v>897</v>
      </c>
      <c r="S164" s="7">
        <f>IF(ISBLANK(M164),"Aguardando Previsão/Data",NETWORKDAYS(L164,M164)-1)</f>
        <v>2</v>
      </c>
      <c r="T164" s="5" t="s">
        <v>942</v>
      </c>
    </row>
    <row r="165" spans="1:20" x14ac:dyDescent="0.35">
      <c r="A165" s="8">
        <v>8100269265</v>
      </c>
      <c r="B165" s="5">
        <v>10434</v>
      </c>
      <c r="C165" s="6">
        <v>45659</v>
      </c>
      <c r="D165" s="5" t="s">
        <v>239</v>
      </c>
      <c r="E165" s="5" t="s">
        <v>240</v>
      </c>
      <c r="F165" s="5" t="s">
        <v>242</v>
      </c>
      <c r="G165" s="5" t="s">
        <v>243</v>
      </c>
      <c r="H165" s="5" t="s">
        <v>218</v>
      </c>
      <c r="I165" s="5" t="s">
        <v>564</v>
      </c>
      <c r="J165" s="5" t="s">
        <v>565</v>
      </c>
      <c r="K165" s="5" t="s">
        <v>241</v>
      </c>
      <c r="L165" s="6">
        <v>45666</v>
      </c>
      <c r="M165" s="6">
        <v>45670</v>
      </c>
      <c r="N165" s="5" t="s">
        <v>812</v>
      </c>
      <c r="O165" s="5" t="str">
        <f ca="1">IF(P165&lt;&gt;"EXPEDIÇÃO","Expedido",IF(NETWORKDAYS(C165,TODAY())&gt;=5,"Risco Alto",IF(NETWORKDAYS(C165,TODAY())&gt;=3,IF(NETWORKDAYS(C165,TODAY())&lt;5,"Risco Médio",""),IF(NETWORKDAYS(C165,TODAY())&lt;=2,"Risco Baixo",""))))</f>
        <v>Expedido</v>
      </c>
      <c r="P165" s="5" t="s">
        <v>25</v>
      </c>
      <c r="Q165" s="5" t="s">
        <v>897</v>
      </c>
      <c r="S165" s="7">
        <f>IF(ISBLANK(M165),"Aguardando Previsão/Data",NETWORKDAYS(L165,M165)-1)</f>
        <v>2</v>
      </c>
      <c r="T165" s="5" t="s">
        <v>942</v>
      </c>
    </row>
    <row r="166" spans="1:20" x14ac:dyDescent="0.35">
      <c r="A166" s="5">
        <v>8100269268</v>
      </c>
      <c r="B166" s="5">
        <v>10419</v>
      </c>
      <c r="C166" s="6">
        <v>45659</v>
      </c>
      <c r="D166" s="5" t="s">
        <v>239</v>
      </c>
      <c r="E166" s="5" t="s">
        <v>240</v>
      </c>
      <c r="F166" s="5" t="s">
        <v>160</v>
      </c>
      <c r="G166" s="5" t="s">
        <v>161</v>
      </c>
      <c r="H166" s="5" t="s">
        <v>218</v>
      </c>
      <c r="I166" s="5" t="s">
        <v>354</v>
      </c>
      <c r="J166" s="5" t="s">
        <v>355</v>
      </c>
      <c r="K166" s="5" t="s">
        <v>241</v>
      </c>
      <c r="L166" s="6">
        <v>45665</v>
      </c>
      <c r="M166" s="6">
        <v>45666</v>
      </c>
      <c r="N166" s="5" t="s">
        <v>811</v>
      </c>
      <c r="O166" s="5" t="str">
        <f ca="1">IF(P166&lt;&gt;"EXPEDIÇÃO","Expedido",IF(NETWORKDAYS(C166,TODAY())&gt;=5,"Risco Alto",IF(NETWORKDAYS(C166,TODAY())&gt;=3,IF(NETWORKDAYS(C166,TODAY())&lt;5,"Risco Médio",""),IF(NETWORKDAYS(C166,TODAY())&lt;=2,"Risco Baixo",""))))</f>
        <v>Expedido</v>
      </c>
      <c r="P166" s="5" t="s">
        <v>25</v>
      </c>
      <c r="Q166" s="5" t="s">
        <v>897</v>
      </c>
      <c r="S166" s="7">
        <f>IF(ISBLANK(M166),"Aguardando Previsão/Data",NETWORKDAYS(L166,M166)-1)</f>
        <v>1</v>
      </c>
      <c r="T166" s="5" t="s">
        <v>942</v>
      </c>
    </row>
    <row r="167" spans="1:20" x14ac:dyDescent="0.35">
      <c r="A167" s="8">
        <v>8100269269</v>
      </c>
      <c r="B167" s="5">
        <v>10422</v>
      </c>
      <c r="C167" s="6">
        <v>45659</v>
      </c>
      <c r="D167" s="5" t="s">
        <v>239</v>
      </c>
      <c r="E167" s="5" t="s">
        <v>240</v>
      </c>
      <c r="F167" s="5" t="s">
        <v>242</v>
      </c>
      <c r="G167" s="5" t="s">
        <v>243</v>
      </c>
      <c r="H167" s="5" t="s">
        <v>218</v>
      </c>
      <c r="I167" s="5" t="s">
        <v>251</v>
      </c>
      <c r="J167" s="5" t="s">
        <v>252</v>
      </c>
      <c r="K167" s="5" t="s">
        <v>241</v>
      </c>
      <c r="L167" s="6">
        <v>45665</v>
      </c>
      <c r="M167" s="6">
        <v>45667</v>
      </c>
      <c r="N167" s="5" t="s">
        <v>812</v>
      </c>
      <c r="O167" s="5" t="str">
        <f ca="1">IF(P167&lt;&gt;"EXPEDIÇÃO","Expedido",IF(NETWORKDAYS(C167,TODAY())&gt;=5,"Risco Alto",IF(NETWORKDAYS(C167,TODAY())&gt;=3,IF(NETWORKDAYS(C167,TODAY())&lt;5,"Risco Médio",""),IF(NETWORKDAYS(C167,TODAY())&lt;=2,"Risco Baixo",""))))</f>
        <v>Expedido</v>
      </c>
      <c r="P167" s="5" t="s">
        <v>25</v>
      </c>
      <c r="Q167" s="5" t="s">
        <v>897</v>
      </c>
      <c r="S167" s="7">
        <f>IF(ISBLANK(M167),"Aguardando Previsão/Data",NETWORKDAYS(L167,M167)-1)</f>
        <v>2</v>
      </c>
      <c r="T167" s="5" t="s">
        <v>942</v>
      </c>
    </row>
    <row r="168" spans="1:20" x14ac:dyDescent="0.35">
      <c r="A168" s="8">
        <v>8100269291</v>
      </c>
      <c r="B168" s="5">
        <v>10468</v>
      </c>
      <c r="C168" s="6">
        <v>45659</v>
      </c>
      <c r="D168" s="5" t="s">
        <v>239</v>
      </c>
      <c r="E168" s="5" t="s">
        <v>240</v>
      </c>
      <c r="F168" s="5" t="s">
        <v>176</v>
      </c>
      <c r="G168" s="5" t="s">
        <v>177</v>
      </c>
      <c r="H168" s="5" t="s">
        <v>218</v>
      </c>
      <c r="I168" s="5" t="s">
        <v>909</v>
      </c>
      <c r="J168" s="5" t="s">
        <v>1129</v>
      </c>
      <c r="K168" s="5" t="s">
        <v>241</v>
      </c>
      <c r="L168" s="6">
        <v>45666</v>
      </c>
      <c r="M168" s="6">
        <v>45670</v>
      </c>
      <c r="N168" s="5" t="s">
        <v>812</v>
      </c>
      <c r="O168" s="5" t="str">
        <f ca="1">IF(P168&lt;&gt;"EXPEDIÇÃO","Expedido",IF(NETWORKDAYS(C168,TODAY())&gt;=5,"Risco Alto",IF(NETWORKDAYS(C168,TODAY())&gt;=3,IF(NETWORKDAYS(C168,TODAY())&lt;5,"Risco Médio",""),IF(NETWORKDAYS(C168,TODAY())&lt;=2,"Risco Baixo",""))))</f>
        <v>Expedido</v>
      </c>
      <c r="P168" s="5" t="s">
        <v>25</v>
      </c>
      <c r="Q168" s="5" t="s">
        <v>897</v>
      </c>
      <c r="S168" s="7">
        <f>IF(ISBLANK(M168),"Aguardando Previsão/Data",NETWORKDAYS(L168,M168)-1)</f>
        <v>2</v>
      </c>
      <c r="T168" s="5" t="s">
        <v>942</v>
      </c>
    </row>
    <row r="169" spans="1:20" x14ac:dyDescent="0.35">
      <c r="A169" s="5">
        <v>8100269292</v>
      </c>
      <c r="B169" s="5">
        <v>10426</v>
      </c>
      <c r="C169" s="6">
        <v>45659</v>
      </c>
      <c r="D169" s="5" t="s">
        <v>239</v>
      </c>
      <c r="E169" s="5" t="s">
        <v>240</v>
      </c>
      <c r="F169" s="5" t="s">
        <v>242</v>
      </c>
      <c r="G169" s="5" t="s">
        <v>243</v>
      </c>
      <c r="H169" s="5" t="s">
        <v>218</v>
      </c>
      <c r="I169" s="5" t="s">
        <v>706</v>
      </c>
      <c r="J169" s="5" t="s">
        <v>707</v>
      </c>
      <c r="K169" s="5" t="s">
        <v>241</v>
      </c>
      <c r="L169" s="6">
        <v>45666</v>
      </c>
      <c r="M169" s="6">
        <v>45667</v>
      </c>
      <c r="N169" s="5"/>
      <c r="O169" s="5" t="str">
        <f ca="1">IF(P169&lt;&gt;"EXPEDIÇÃO","Expedido",IF(NETWORKDAYS(C169,TODAY())&gt;=5,"Risco Alto",IF(NETWORKDAYS(C169,TODAY())&gt;=3,IF(NETWORKDAYS(C169,TODAY())&lt;5,"Risco Médio",""),IF(NETWORKDAYS(C169,TODAY())&lt;=2,"Risco Baixo",""))))</f>
        <v>Expedido</v>
      </c>
      <c r="P169" s="5" t="s">
        <v>145</v>
      </c>
      <c r="Q169" s="5" t="s">
        <v>363</v>
      </c>
      <c r="R169" s="5">
        <v>3078385</v>
      </c>
      <c r="S169" s="7">
        <f>IF(ISBLANK(M169),"Aguardando Previsão/Data",NETWORKDAYS(L169,M169)-1)</f>
        <v>1</v>
      </c>
      <c r="T169" s="5" t="s">
        <v>942</v>
      </c>
    </row>
    <row r="170" spans="1:20" x14ac:dyDescent="0.35">
      <c r="A170" s="5">
        <v>8100269293</v>
      </c>
      <c r="B170" s="5">
        <v>10427</v>
      </c>
      <c r="C170" s="6">
        <v>45659</v>
      </c>
      <c r="D170" s="5" t="s">
        <v>239</v>
      </c>
      <c r="E170" s="5" t="s">
        <v>240</v>
      </c>
      <c r="F170" s="5" t="s">
        <v>242</v>
      </c>
      <c r="G170" s="5" t="s">
        <v>243</v>
      </c>
      <c r="H170" s="5" t="s">
        <v>218</v>
      </c>
      <c r="I170" s="5" t="s">
        <v>706</v>
      </c>
      <c r="J170" s="5" t="s">
        <v>707</v>
      </c>
      <c r="K170" s="5" t="s">
        <v>241</v>
      </c>
      <c r="L170" s="6">
        <v>45666</v>
      </c>
      <c r="M170" s="6">
        <v>45667</v>
      </c>
      <c r="N170" s="5"/>
      <c r="O170" s="5" t="str">
        <f ca="1">IF(P170&lt;&gt;"EXPEDIÇÃO","Expedido",IF(NETWORKDAYS(C170,TODAY())&gt;=5,"Risco Alto",IF(NETWORKDAYS(C170,TODAY())&gt;=3,IF(NETWORKDAYS(C170,TODAY())&lt;5,"Risco Médio",""),IF(NETWORKDAYS(C170,TODAY())&lt;=2,"Risco Baixo",""))))</f>
        <v>Expedido</v>
      </c>
      <c r="P170" s="5" t="s">
        <v>145</v>
      </c>
      <c r="Q170" s="5" t="s">
        <v>363</v>
      </c>
      <c r="R170" s="5">
        <v>3078385</v>
      </c>
      <c r="S170" s="7">
        <f>IF(ISBLANK(M170),"Aguardando Previsão/Data",NETWORKDAYS(L170,M170)-1)</f>
        <v>1</v>
      </c>
      <c r="T170" s="5" t="s">
        <v>942</v>
      </c>
    </row>
    <row r="171" spans="1:20" x14ac:dyDescent="0.35">
      <c r="A171" s="5">
        <v>8100269294</v>
      </c>
      <c r="B171" s="5">
        <v>10428</v>
      </c>
      <c r="C171" s="6">
        <v>45659</v>
      </c>
      <c r="D171" s="5" t="s">
        <v>239</v>
      </c>
      <c r="E171" s="5" t="s">
        <v>240</v>
      </c>
      <c r="F171" s="5" t="s">
        <v>242</v>
      </c>
      <c r="G171" s="5" t="s">
        <v>243</v>
      </c>
      <c r="H171" s="5" t="s">
        <v>218</v>
      </c>
      <c r="I171" s="5" t="s">
        <v>706</v>
      </c>
      <c r="J171" s="5" t="s">
        <v>707</v>
      </c>
      <c r="K171" s="5" t="s">
        <v>241</v>
      </c>
      <c r="L171" s="6">
        <v>45666</v>
      </c>
      <c r="M171" s="6">
        <v>45667</v>
      </c>
      <c r="N171" s="5" t="s">
        <v>811</v>
      </c>
      <c r="O171" s="5" t="str">
        <f ca="1">IF(P171&lt;&gt;"EXPEDIÇÃO","Expedido",IF(NETWORKDAYS(C171,TODAY())&gt;=5,"Risco Alto",IF(NETWORKDAYS(C171,TODAY())&gt;=3,IF(NETWORKDAYS(C171,TODAY())&lt;5,"Risco Médio",""),IF(NETWORKDAYS(C171,TODAY())&lt;=2,"Risco Baixo",""))))</f>
        <v>Expedido</v>
      </c>
      <c r="P171" s="5" t="s">
        <v>25</v>
      </c>
      <c r="Q171" s="5" t="s">
        <v>897</v>
      </c>
      <c r="S171" s="7">
        <f>IF(ISBLANK(M171),"Aguardando Previsão/Data",NETWORKDAYS(L171,M171)-1)</f>
        <v>1</v>
      </c>
      <c r="T171" s="5" t="s">
        <v>942</v>
      </c>
    </row>
    <row r="172" spans="1:20" x14ac:dyDescent="0.35">
      <c r="A172" s="5">
        <v>8100269295</v>
      </c>
      <c r="B172" s="5">
        <v>10438</v>
      </c>
      <c r="C172" s="6">
        <v>45659</v>
      </c>
      <c r="D172" s="5" t="s">
        <v>239</v>
      </c>
      <c r="E172" s="5" t="s">
        <v>240</v>
      </c>
      <c r="F172" s="5" t="s">
        <v>242</v>
      </c>
      <c r="G172" s="5" t="s">
        <v>243</v>
      </c>
      <c r="H172" s="5" t="s">
        <v>218</v>
      </c>
      <c r="I172" s="5" t="s">
        <v>706</v>
      </c>
      <c r="J172" s="5" t="s">
        <v>707</v>
      </c>
      <c r="K172" s="5" t="s">
        <v>241</v>
      </c>
      <c r="L172" s="6">
        <v>45666</v>
      </c>
      <c r="M172" s="6">
        <v>45667</v>
      </c>
      <c r="N172" s="5"/>
      <c r="O172" s="5" t="str">
        <f ca="1">IF(P172&lt;&gt;"EXPEDIÇÃO","Expedido",IF(NETWORKDAYS(C172,TODAY())&gt;=5,"Risco Alto",IF(NETWORKDAYS(C172,TODAY())&gt;=3,IF(NETWORKDAYS(C172,TODAY())&lt;5,"Risco Médio",""),IF(NETWORKDAYS(C172,TODAY())&lt;=2,"Risco Baixo",""))))</f>
        <v>Expedido</v>
      </c>
      <c r="P172" s="5" t="s">
        <v>145</v>
      </c>
      <c r="Q172" s="5" t="s">
        <v>363</v>
      </c>
      <c r="R172" s="5">
        <v>3078385</v>
      </c>
      <c r="S172" s="7">
        <f>IF(ISBLANK(M172),"Aguardando Previsão/Data",NETWORKDAYS(L172,M172)-1)</f>
        <v>1</v>
      </c>
      <c r="T172" s="5" t="s">
        <v>942</v>
      </c>
    </row>
    <row r="173" spans="1:20" x14ac:dyDescent="0.35">
      <c r="A173" s="5">
        <v>8100269296</v>
      </c>
      <c r="B173" s="5">
        <v>10439</v>
      </c>
      <c r="C173" s="6">
        <v>45659</v>
      </c>
      <c r="D173" s="5" t="s">
        <v>239</v>
      </c>
      <c r="E173" s="5" t="s">
        <v>240</v>
      </c>
      <c r="F173" s="5" t="s">
        <v>242</v>
      </c>
      <c r="G173" s="5" t="s">
        <v>243</v>
      </c>
      <c r="H173" s="5" t="s">
        <v>218</v>
      </c>
      <c r="I173" s="5" t="s">
        <v>706</v>
      </c>
      <c r="J173" s="5" t="s">
        <v>707</v>
      </c>
      <c r="K173" s="5" t="s">
        <v>241</v>
      </c>
      <c r="L173" s="6">
        <v>45666</v>
      </c>
      <c r="M173" s="6">
        <v>45667</v>
      </c>
      <c r="N173" s="5" t="s">
        <v>811</v>
      </c>
      <c r="O173" s="5" t="str">
        <f ca="1">IF(P173&lt;&gt;"EXPEDIÇÃO","Expedido",IF(NETWORKDAYS(C173,TODAY())&gt;=5,"Risco Alto",IF(NETWORKDAYS(C173,TODAY())&gt;=3,IF(NETWORKDAYS(C173,TODAY())&lt;5,"Risco Médio",""),IF(NETWORKDAYS(C173,TODAY())&lt;=2,"Risco Baixo",""))))</f>
        <v>Expedido</v>
      </c>
      <c r="P173" s="5" t="s">
        <v>25</v>
      </c>
      <c r="Q173" s="5" t="s">
        <v>897</v>
      </c>
      <c r="S173" s="7">
        <f>IF(ISBLANK(M173),"Aguardando Previsão/Data",NETWORKDAYS(L173,M173)-1)</f>
        <v>1</v>
      </c>
      <c r="T173" s="5" t="s">
        <v>942</v>
      </c>
    </row>
    <row r="174" spans="1:20" x14ac:dyDescent="0.35">
      <c r="A174" s="5">
        <v>8100269301</v>
      </c>
      <c r="B174" s="5">
        <v>10425</v>
      </c>
      <c r="C174" s="6">
        <v>45659</v>
      </c>
      <c r="D174" s="5" t="s">
        <v>239</v>
      </c>
      <c r="E174" s="5" t="s">
        <v>240</v>
      </c>
      <c r="F174" s="5" t="s">
        <v>160</v>
      </c>
      <c r="G174" s="5" t="s">
        <v>161</v>
      </c>
      <c r="H174" s="5" t="s">
        <v>218</v>
      </c>
      <c r="I174" s="5" t="s">
        <v>414</v>
      </c>
      <c r="J174" s="5" t="s">
        <v>718</v>
      </c>
      <c r="K174" s="5" t="s">
        <v>241</v>
      </c>
      <c r="L174" s="6">
        <v>45665</v>
      </c>
      <c r="M174" s="6">
        <v>45664</v>
      </c>
      <c r="N174" s="5" t="s">
        <v>811</v>
      </c>
      <c r="O174" s="5" t="str">
        <f ca="1">IF(P174&lt;&gt;"EXPEDIÇÃO","Expedido",IF(NETWORKDAYS(C174,TODAY())&gt;=5,"Risco Alto",IF(NETWORKDAYS(C174,TODAY())&gt;=3,IF(NETWORKDAYS(C174,TODAY())&lt;5,"Risco Médio",""),IF(NETWORKDAYS(C174,TODAY())&lt;=2,"Risco Baixo",""))))</f>
        <v>Expedido</v>
      </c>
      <c r="P174" s="5" t="s">
        <v>25</v>
      </c>
      <c r="Q174" s="5" t="s">
        <v>793</v>
      </c>
      <c r="S174" s="7">
        <f>IF(ISBLANK(M174),"Aguardando Previsão/Data",NETWORKDAYS(L174,M174)-1)</f>
        <v>-3</v>
      </c>
      <c r="T174" s="5" t="s">
        <v>942</v>
      </c>
    </row>
    <row r="175" spans="1:20" x14ac:dyDescent="0.35">
      <c r="A175" s="5">
        <v>8100269302</v>
      </c>
      <c r="B175" s="5">
        <v>10423</v>
      </c>
      <c r="C175" s="6">
        <v>45659</v>
      </c>
      <c r="D175" s="5" t="s">
        <v>239</v>
      </c>
      <c r="E175" s="5" t="s">
        <v>240</v>
      </c>
      <c r="F175" s="5" t="s">
        <v>160</v>
      </c>
      <c r="G175" s="5" t="s">
        <v>161</v>
      </c>
      <c r="H175" s="5" t="s">
        <v>218</v>
      </c>
      <c r="I175" s="5" t="s">
        <v>414</v>
      </c>
      <c r="J175" s="5" t="s">
        <v>718</v>
      </c>
      <c r="K175" s="5" t="s">
        <v>241</v>
      </c>
      <c r="L175" s="6">
        <v>45665</v>
      </c>
      <c r="M175" s="6">
        <v>45664</v>
      </c>
      <c r="N175" s="5" t="s">
        <v>811</v>
      </c>
      <c r="O175" s="5" t="str">
        <f ca="1">IF(P175&lt;&gt;"EXPEDIÇÃO","Expedido",IF(NETWORKDAYS(C175,TODAY())&gt;=5,"Risco Alto",IF(NETWORKDAYS(C175,TODAY())&gt;=3,IF(NETWORKDAYS(C175,TODAY())&lt;5,"Risco Médio",""),IF(NETWORKDAYS(C175,TODAY())&lt;=2,"Risco Baixo",""))))</f>
        <v>Expedido</v>
      </c>
      <c r="P175" s="5" t="s">
        <v>25</v>
      </c>
      <c r="Q175" s="5" t="s">
        <v>793</v>
      </c>
      <c r="S175" s="7">
        <f>IF(ISBLANK(M175),"Aguardando Previsão/Data",NETWORKDAYS(L175,M175)-1)</f>
        <v>-3</v>
      </c>
      <c r="T175" s="5" t="s">
        <v>942</v>
      </c>
    </row>
    <row r="176" spans="1:20" x14ac:dyDescent="0.35">
      <c r="A176" s="5">
        <v>8100269303</v>
      </c>
      <c r="B176" s="5">
        <v>10420</v>
      </c>
      <c r="C176" s="6">
        <v>45659</v>
      </c>
      <c r="D176" s="5" t="s">
        <v>239</v>
      </c>
      <c r="E176" s="5" t="s">
        <v>240</v>
      </c>
      <c r="F176" s="5" t="s">
        <v>160</v>
      </c>
      <c r="G176" s="5" t="s">
        <v>161</v>
      </c>
      <c r="H176" s="5" t="s">
        <v>218</v>
      </c>
      <c r="I176" s="5" t="s">
        <v>354</v>
      </c>
      <c r="J176" s="5" t="s">
        <v>355</v>
      </c>
      <c r="K176" s="5" t="s">
        <v>241</v>
      </c>
      <c r="L176" s="6">
        <v>45665</v>
      </c>
      <c r="M176" s="6">
        <v>45666</v>
      </c>
      <c r="N176" s="5" t="s">
        <v>811</v>
      </c>
      <c r="O176" s="5" t="str">
        <f ca="1">IF(P176&lt;&gt;"EXPEDIÇÃO","Expedido",IF(NETWORKDAYS(C176,TODAY())&gt;=5,"Risco Alto",IF(NETWORKDAYS(C176,TODAY())&gt;=3,IF(NETWORKDAYS(C176,TODAY())&lt;5,"Risco Médio",""),IF(NETWORKDAYS(C176,TODAY())&lt;=2,"Risco Baixo",""))))</f>
        <v>Expedido</v>
      </c>
      <c r="P176" s="5" t="s">
        <v>25</v>
      </c>
      <c r="Q176" s="5" t="s">
        <v>897</v>
      </c>
      <c r="S176" s="7">
        <f>IF(ISBLANK(M176),"Aguardando Previsão/Data",NETWORKDAYS(L176,M176)-1)</f>
        <v>1</v>
      </c>
      <c r="T176" s="5" t="s">
        <v>942</v>
      </c>
    </row>
    <row r="177" spans="1:20" x14ac:dyDescent="0.35">
      <c r="A177" s="8">
        <v>8100269304</v>
      </c>
      <c r="B177" s="5">
        <v>10417</v>
      </c>
      <c r="C177" s="6">
        <v>45659</v>
      </c>
      <c r="D177" s="5" t="s">
        <v>239</v>
      </c>
      <c r="E177" s="5" t="s">
        <v>240</v>
      </c>
      <c r="F177" s="5" t="s">
        <v>176</v>
      </c>
      <c r="G177" s="5" t="s">
        <v>177</v>
      </c>
      <c r="H177" s="5" t="s">
        <v>218</v>
      </c>
      <c r="I177" s="5" t="s">
        <v>429</v>
      </c>
      <c r="J177" s="5" t="s">
        <v>430</v>
      </c>
      <c r="K177" s="5" t="s">
        <v>241</v>
      </c>
      <c r="L177" s="6">
        <v>45666</v>
      </c>
      <c r="M177" s="6">
        <v>45670</v>
      </c>
      <c r="N177" s="5" t="s">
        <v>812</v>
      </c>
      <c r="O177" s="5" t="str">
        <f ca="1">IF(P177&lt;&gt;"EXPEDIÇÃO","Expedido",IF(NETWORKDAYS(C177,TODAY())&gt;=5,"Risco Alto",IF(NETWORKDAYS(C177,TODAY())&gt;=3,IF(NETWORKDAYS(C177,TODAY())&lt;5,"Risco Médio",""),IF(NETWORKDAYS(C177,TODAY())&lt;=2,"Risco Baixo",""))))</f>
        <v>Expedido</v>
      </c>
      <c r="P177" s="5" t="s">
        <v>25</v>
      </c>
      <c r="Q177" s="5" t="s">
        <v>1181</v>
      </c>
      <c r="S177" s="7">
        <f>IF(ISBLANK(M177),"Aguardando Previsão/Data",NETWORKDAYS(L177,M177)-1)</f>
        <v>2</v>
      </c>
      <c r="T177" s="5" t="s">
        <v>942</v>
      </c>
    </row>
    <row r="178" spans="1:20" x14ac:dyDescent="0.35">
      <c r="A178" s="8">
        <v>8100269305</v>
      </c>
      <c r="B178" s="5">
        <v>10435</v>
      </c>
      <c r="C178" s="6">
        <v>45659</v>
      </c>
      <c r="D178" s="5" t="s">
        <v>239</v>
      </c>
      <c r="E178" s="5" t="s">
        <v>240</v>
      </c>
      <c r="F178" s="5" t="s">
        <v>242</v>
      </c>
      <c r="G178" s="5" t="s">
        <v>243</v>
      </c>
      <c r="H178" s="5" t="s">
        <v>218</v>
      </c>
      <c r="I178" s="5" t="s">
        <v>564</v>
      </c>
      <c r="J178" s="5" t="s">
        <v>565</v>
      </c>
      <c r="K178" s="5" t="s">
        <v>241</v>
      </c>
      <c r="L178" s="6">
        <v>45666</v>
      </c>
      <c r="M178" s="6">
        <v>45670</v>
      </c>
      <c r="N178" s="5" t="s">
        <v>812</v>
      </c>
      <c r="O178" s="5" t="str">
        <f ca="1">IF(P178&lt;&gt;"EXPEDIÇÃO","Expedido",IF(NETWORKDAYS(C178,TODAY())&gt;=5,"Risco Alto",IF(NETWORKDAYS(C178,TODAY())&gt;=3,IF(NETWORKDAYS(C178,TODAY())&lt;5,"Risco Médio",""),IF(NETWORKDAYS(C178,TODAY())&lt;=2,"Risco Baixo",""))))</f>
        <v>Expedido</v>
      </c>
      <c r="P178" s="5" t="s">
        <v>25</v>
      </c>
      <c r="Q178" s="5" t="s">
        <v>897</v>
      </c>
      <c r="S178" s="7">
        <f>IF(ISBLANK(M178),"Aguardando Previsão/Data",NETWORKDAYS(L178,M178)-1)</f>
        <v>2</v>
      </c>
      <c r="T178" s="5" t="s">
        <v>942</v>
      </c>
    </row>
    <row r="179" spans="1:20" x14ac:dyDescent="0.35">
      <c r="A179" s="5">
        <v>8100269314</v>
      </c>
      <c r="B179" s="5">
        <v>10429</v>
      </c>
      <c r="C179" s="6">
        <v>45659</v>
      </c>
      <c r="D179" s="5" t="s">
        <v>239</v>
      </c>
      <c r="E179" s="5" t="s">
        <v>240</v>
      </c>
      <c r="F179" s="5" t="s">
        <v>242</v>
      </c>
      <c r="G179" s="5" t="s">
        <v>243</v>
      </c>
      <c r="H179" s="5" t="s">
        <v>218</v>
      </c>
      <c r="I179" s="5" t="s">
        <v>245</v>
      </c>
      <c r="J179" s="5" t="s">
        <v>656</v>
      </c>
      <c r="K179" s="5" t="s">
        <v>241</v>
      </c>
      <c r="L179" s="6">
        <v>45665</v>
      </c>
      <c r="M179" s="6">
        <v>45666</v>
      </c>
      <c r="N179" s="5" t="s">
        <v>811</v>
      </c>
      <c r="O179" s="5" t="str">
        <f ca="1">IF(P179&lt;&gt;"EXPEDIÇÃO","Expedido",IF(NETWORKDAYS(C179,TODAY())&gt;=5,"Risco Alto",IF(NETWORKDAYS(C179,TODAY())&gt;=3,IF(NETWORKDAYS(C179,TODAY())&lt;5,"Risco Médio",""),IF(NETWORKDAYS(C179,TODAY())&lt;=2,"Risco Baixo",""))))</f>
        <v>Expedido</v>
      </c>
      <c r="P179" s="5" t="s">
        <v>25</v>
      </c>
      <c r="Q179" s="5" t="s">
        <v>897</v>
      </c>
      <c r="S179" s="7">
        <f>IF(ISBLANK(M179),"Aguardando Previsão/Data",NETWORKDAYS(L179,M179)-1)</f>
        <v>1</v>
      </c>
      <c r="T179" s="5" t="s">
        <v>942</v>
      </c>
    </row>
    <row r="180" spans="1:20" x14ac:dyDescent="0.35">
      <c r="A180" s="5">
        <v>8100269315</v>
      </c>
      <c r="B180" s="5">
        <v>10416</v>
      </c>
      <c r="C180" s="6">
        <v>45659</v>
      </c>
      <c r="D180" s="5" t="s">
        <v>239</v>
      </c>
      <c r="E180" s="5" t="s">
        <v>240</v>
      </c>
      <c r="F180" s="5" t="s">
        <v>242</v>
      </c>
      <c r="G180" s="5" t="s">
        <v>243</v>
      </c>
      <c r="H180" s="5" t="s">
        <v>218</v>
      </c>
      <c r="I180" s="5" t="s">
        <v>245</v>
      </c>
      <c r="J180" s="5" t="s">
        <v>656</v>
      </c>
      <c r="K180" s="5" t="s">
        <v>241</v>
      </c>
      <c r="L180" s="6">
        <v>45665</v>
      </c>
      <c r="M180" s="6">
        <v>45666</v>
      </c>
      <c r="N180" s="5" t="s">
        <v>811</v>
      </c>
      <c r="O180" s="5" t="str">
        <f ca="1">IF(P180&lt;&gt;"EXPEDIÇÃO","Expedido",IF(NETWORKDAYS(C180,TODAY())&gt;=5,"Risco Alto",IF(NETWORKDAYS(C180,TODAY())&gt;=3,IF(NETWORKDAYS(C180,TODAY())&lt;5,"Risco Médio",""),IF(NETWORKDAYS(C180,TODAY())&lt;=2,"Risco Baixo",""))))</f>
        <v>Expedido</v>
      </c>
      <c r="P180" s="5" t="s">
        <v>25</v>
      </c>
      <c r="Q180" s="5" t="s">
        <v>897</v>
      </c>
      <c r="S180" s="7">
        <f>IF(ISBLANK(M180),"Aguardando Previsão/Data",NETWORKDAYS(L180,M180)-1)</f>
        <v>1</v>
      </c>
      <c r="T180" s="5" t="s">
        <v>942</v>
      </c>
    </row>
    <row r="181" spans="1:20" x14ac:dyDescent="0.35">
      <c r="A181" s="5">
        <v>8100269316</v>
      </c>
      <c r="B181" s="5">
        <v>10412</v>
      </c>
      <c r="C181" s="6">
        <v>45659</v>
      </c>
      <c r="D181" s="5" t="s">
        <v>239</v>
      </c>
      <c r="E181" s="5" t="s">
        <v>240</v>
      </c>
      <c r="F181" s="5" t="s">
        <v>176</v>
      </c>
      <c r="G181" s="5" t="s">
        <v>177</v>
      </c>
      <c r="H181" s="5" t="s">
        <v>218</v>
      </c>
      <c r="I181" s="5" t="s">
        <v>429</v>
      </c>
      <c r="J181" s="5" t="s">
        <v>430</v>
      </c>
      <c r="K181" s="5" t="s">
        <v>241</v>
      </c>
      <c r="L181" s="6">
        <v>45666</v>
      </c>
      <c r="M181" s="6">
        <v>45666</v>
      </c>
      <c r="N181" s="5" t="s">
        <v>811</v>
      </c>
      <c r="O181" s="5" t="str">
        <f ca="1">IF(P181&lt;&gt;"EXPEDIÇÃO","Expedido",IF(NETWORKDAYS(C181,TODAY())&gt;=5,"Risco Alto",IF(NETWORKDAYS(C181,TODAY())&gt;=3,IF(NETWORKDAYS(C181,TODAY())&lt;5,"Risco Médio",""),IF(NETWORKDAYS(C181,TODAY())&lt;=2,"Risco Baixo",""))))</f>
        <v>Expedido</v>
      </c>
      <c r="P181" s="5" t="s">
        <v>25</v>
      </c>
      <c r="Q181" s="5" t="s">
        <v>897</v>
      </c>
      <c r="S181" s="7">
        <f>IF(ISBLANK(M181),"Aguardando Previsão/Data",NETWORKDAYS(L181,M181)-1)</f>
        <v>0</v>
      </c>
      <c r="T181" s="5" t="s">
        <v>942</v>
      </c>
    </row>
    <row r="182" spans="1:20" x14ac:dyDescent="0.35">
      <c r="A182" s="5">
        <v>8100269317</v>
      </c>
      <c r="B182" s="5">
        <v>10430</v>
      </c>
      <c r="C182" s="6">
        <v>45659</v>
      </c>
      <c r="D182" s="5" t="s">
        <v>239</v>
      </c>
      <c r="E182" s="5" t="s">
        <v>240</v>
      </c>
      <c r="F182" s="5" t="s">
        <v>160</v>
      </c>
      <c r="G182" s="5" t="s">
        <v>161</v>
      </c>
      <c r="H182" s="5" t="s">
        <v>218</v>
      </c>
      <c r="I182" s="5" t="s">
        <v>1115</v>
      </c>
      <c r="J182" s="5" t="s">
        <v>1116</v>
      </c>
      <c r="K182" s="5" t="s">
        <v>241</v>
      </c>
      <c r="L182" s="6">
        <v>45665</v>
      </c>
      <c r="M182" s="6">
        <v>45666</v>
      </c>
      <c r="N182" s="5" t="s">
        <v>811</v>
      </c>
      <c r="O182" s="5" t="str">
        <f ca="1">IF(P182&lt;&gt;"EXPEDIÇÃO","Expedido",IF(NETWORKDAYS(C182,TODAY())&gt;=5,"Risco Alto",IF(NETWORKDAYS(C182,TODAY())&gt;=3,IF(NETWORKDAYS(C182,TODAY())&lt;5,"Risco Médio",""),IF(NETWORKDAYS(C182,TODAY())&lt;=2,"Risco Baixo",""))))</f>
        <v>Expedido</v>
      </c>
      <c r="P182" s="5" t="s">
        <v>25</v>
      </c>
      <c r="Q182" s="5" t="s">
        <v>897</v>
      </c>
      <c r="S182" s="7">
        <f>IF(ISBLANK(M182),"Aguardando Previsão/Data",NETWORKDAYS(L182,M182)-1)</f>
        <v>1</v>
      </c>
      <c r="T182" s="5" t="s">
        <v>942</v>
      </c>
    </row>
    <row r="183" spans="1:20" x14ac:dyDescent="0.35">
      <c r="A183" s="5">
        <v>8100269318</v>
      </c>
      <c r="B183" s="5">
        <v>10431</v>
      </c>
      <c r="C183" s="6">
        <v>45659</v>
      </c>
      <c r="D183" s="5" t="s">
        <v>239</v>
      </c>
      <c r="E183" s="5" t="s">
        <v>240</v>
      </c>
      <c r="F183" s="5" t="s">
        <v>160</v>
      </c>
      <c r="G183" s="5" t="s">
        <v>161</v>
      </c>
      <c r="H183" s="5" t="s">
        <v>218</v>
      </c>
      <c r="I183" s="5" t="s">
        <v>1115</v>
      </c>
      <c r="J183" s="5" t="s">
        <v>1116</v>
      </c>
      <c r="K183" s="5" t="s">
        <v>241</v>
      </c>
      <c r="L183" s="6">
        <v>45665</v>
      </c>
      <c r="M183" s="6">
        <v>45666</v>
      </c>
      <c r="N183" s="5" t="s">
        <v>811</v>
      </c>
      <c r="O183" s="5" t="str">
        <f ca="1">IF(P183&lt;&gt;"EXPEDIÇÃO","Expedido",IF(NETWORKDAYS(C183,TODAY())&gt;=5,"Risco Alto",IF(NETWORKDAYS(C183,TODAY())&gt;=3,IF(NETWORKDAYS(C183,TODAY())&lt;5,"Risco Médio",""),IF(NETWORKDAYS(C183,TODAY())&lt;=2,"Risco Baixo",""))))</f>
        <v>Expedido</v>
      </c>
      <c r="P183" s="5" t="s">
        <v>25</v>
      </c>
      <c r="Q183" s="5" t="s">
        <v>897</v>
      </c>
      <c r="S183" s="7">
        <f>IF(ISBLANK(M183),"Aguardando Previsão/Data",NETWORKDAYS(L183,M183)-1)</f>
        <v>1</v>
      </c>
      <c r="T183" s="5" t="s">
        <v>942</v>
      </c>
    </row>
    <row r="184" spans="1:20" x14ac:dyDescent="0.35">
      <c r="A184" s="5">
        <v>8100269323</v>
      </c>
      <c r="B184" s="5">
        <v>10466</v>
      </c>
      <c r="C184" s="6">
        <v>45659</v>
      </c>
      <c r="D184" s="5" t="s">
        <v>239</v>
      </c>
      <c r="E184" s="5" t="s">
        <v>240</v>
      </c>
      <c r="F184" s="5" t="s">
        <v>160</v>
      </c>
      <c r="G184" s="5" t="s">
        <v>161</v>
      </c>
      <c r="H184" s="5" t="s">
        <v>218</v>
      </c>
      <c r="I184" s="5" t="s">
        <v>162</v>
      </c>
      <c r="J184" s="5" t="s">
        <v>244</v>
      </c>
      <c r="K184" s="5" t="s">
        <v>241</v>
      </c>
      <c r="L184" s="6">
        <v>45665</v>
      </c>
      <c r="M184" s="6">
        <v>45670</v>
      </c>
      <c r="N184" s="5" t="s">
        <v>812</v>
      </c>
      <c r="O184" s="5" t="str">
        <f ca="1">IF(P184&lt;&gt;"EXPEDIÇÃO","Expedido",IF(NETWORKDAYS(C184,TODAY())&gt;=5,"Risco Alto",IF(NETWORKDAYS(C184,TODAY())&gt;=3,IF(NETWORKDAYS(C184,TODAY())&lt;5,"Risco Médio",""),IF(NETWORKDAYS(C184,TODAY())&lt;=2,"Risco Baixo",""))))</f>
        <v>Expedido</v>
      </c>
      <c r="P184" s="5" t="s">
        <v>25</v>
      </c>
      <c r="Q184" s="5" t="s">
        <v>899</v>
      </c>
      <c r="S184" s="7">
        <f>IF(ISBLANK(M184),"Aguardando Previsão/Data",NETWORKDAYS(L184,M184)-1)</f>
        <v>3</v>
      </c>
      <c r="T184" s="5" t="s">
        <v>942</v>
      </c>
    </row>
    <row r="185" spans="1:20" x14ac:dyDescent="0.35">
      <c r="A185" s="8">
        <v>8100269391</v>
      </c>
      <c r="B185" s="5">
        <v>10446</v>
      </c>
      <c r="C185" s="6">
        <v>45659</v>
      </c>
      <c r="D185" s="5" t="s">
        <v>239</v>
      </c>
      <c r="E185" s="5" t="s">
        <v>240</v>
      </c>
      <c r="F185" s="5" t="s">
        <v>160</v>
      </c>
      <c r="G185" s="5" t="s">
        <v>161</v>
      </c>
      <c r="H185" s="5" t="s">
        <v>218</v>
      </c>
      <c r="I185" s="5" t="s">
        <v>162</v>
      </c>
      <c r="J185" s="5" t="s">
        <v>244</v>
      </c>
      <c r="K185" s="5" t="s">
        <v>241</v>
      </c>
      <c r="L185" s="6">
        <v>45665</v>
      </c>
      <c r="M185" s="6">
        <v>45667</v>
      </c>
      <c r="N185" s="5" t="s">
        <v>812</v>
      </c>
      <c r="O185" s="5" t="str">
        <f ca="1">IF(P185&lt;&gt;"EXPEDIÇÃO","Expedido",IF(NETWORKDAYS(C185,TODAY())&gt;=5,"Risco Alto",IF(NETWORKDAYS(C185,TODAY())&gt;=3,IF(NETWORKDAYS(C185,TODAY())&lt;5,"Risco Médio",""),IF(NETWORKDAYS(C185,TODAY())&lt;=2,"Risco Baixo",""))))</f>
        <v>Expedido</v>
      </c>
      <c r="P185" s="5" t="s">
        <v>25</v>
      </c>
      <c r="Q185" s="5" t="s">
        <v>897</v>
      </c>
      <c r="S185" s="7">
        <f>IF(ISBLANK(M185),"Aguardando Previsão/Data",NETWORKDAYS(L185,M185)-1)</f>
        <v>2</v>
      </c>
      <c r="T185" s="5" t="s">
        <v>942</v>
      </c>
    </row>
    <row r="186" spans="1:20" x14ac:dyDescent="0.35">
      <c r="A186" s="8">
        <v>8100269392</v>
      </c>
      <c r="B186" s="5">
        <v>10459</v>
      </c>
      <c r="C186" s="6">
        <v>45659</v>
      </c>
      <c r="D186" s="5" t="s">
        <v>239</v>
      </c>
      <c r="E186" s="5" t="s">
        <v>240</v>
      </c>
      <c r="F186" s="5" t="s">
        <v>160</v>
      </c>
      <c r="G186" s="5" t="s">
        <v>161</v>
      </c>
      <c r="H186" s="5" t="s">
        <v>218</v>
      </c>
      <c r="I186" s="5" t="s">
        <v>162</v>
      </c>
      <c r="J186" s="5" t="s">
        <v>244</v>
      </c>
      <c r="K186" s="5" t="s">
        <v>241</v>
      </c>
      <c r="L186" s="6">
        <v>45665</v>
      </c>
      <c r="M186" s="6">
        <v>45667</v>
      </c>
      <c r="N186" s="5" t="s">
        <v>812</v>
      </c>
      <c r="O186" s="5" t="str">
        <f ca="1">IF(P186&lt;&gt;"EXPEDIÇÃO","Expedido",IF(NETWORKDAYS(C186,TODAY())&gt;=5,"Risco Alto",IF(NETWORKDAYS(C186,TODAY())&gt;=3,IF(NETWORKDAYS(C186,TODAY())&lt;5,"Risco Médio",""),IF(NETWORKDAYS(C186,TODAY())&lt;=2,"Risco Baixo",""))))</f>
        <v>Expedido</v>
      </c>
      <c r="P186" s="5" t="s">
        <v>25</v>
      </c>
      <c r="Q186" s="5" t="s">
        <v>897</v>
      </c>
      <c r="S186" s="7">
        <f>IF(ISBLANK(M186),"Aguardando Previsão/Data",NETWORKDAYS(L186,M186)-1)</f>
        <v>2</v>
      </c>
      <c r="T186" s="5" t="s">
        <v>942</v>
      </c>
    </row>
    <row r="187" spans="1:20" x14ac:dyDescent="0.35">
      <c r="A187" s="5">
        <v>8100269393</v>
      </c>
      <c r="B187" s="5">
        <v>10433</v>
      </c>
      <c r="C187" s="6">
        <v>45659</v>
      </c>
      <c r="D187" s="5" t="s">
        <v>239</v>
      </c>
      <c r="E187" s="5" t="s">
        <v>240</v>
      </c>
      <c r="F187" s="5" t="s">
        <v>176</v>
      </c>
      <c r="G187" s="5" t="s">
        <v>177</v>
      </c>
      <c r="H187" s="5" t="s">
        <v>218</v>
      </c>
      <c r="I187" s="5" t="s">
        <v>429</v>
      </c>
      <c r="J187" s="5" t="s">
        <v>430</v>
      </c>
      <c r="K187" s="5" t="s">
        <v>241</v>
      </c>
      <c r="L187" s="6">
        <v>45666</v>
      </c>
      <c r="M187" s="6">
        <v>45666</v>
      </c>
      <c r="N187" s="5" t="s">
        <v>811</v>
      </c>
      <c r="O187" s="5" t="str">
        <f ca="1">IF(P187&lt;&gt;"EXPEDIÇÃO","Expedido",IF(NETWORKDAYS(C187,TODAY())&gt;=5,"Risco Alto",IF(NETWORKDAYS(C187,TODAY())&gt;=3,IF(NETWORKDAYS(C187,TODAY())&lt;5,"Risco Médio",""),IF(NETWORKDAYS(C187,TODAY())&lt;=2,"Risco Baixo",""))))</f>
        <v>Expedido</v>
      </c>
      <c r="P187" s="5" t="s">
        <v>25</v>
      </c>
      <c r="Q187" s="5" t="s">
        <v>897</v>
      </c>
      <c r="S187" s="7">
        <f>IF(ISBLANK(M187),"Aguardando Previsão/Data",NETWORKDAYS(L187,M187)-1)</f>
        <v>0</v>
      </c>
      <c r="T187" s="5" t="s">
        <v>942</v>
      </c>
    </row>
    <row r="188" spans="1:20" x14ac:dyDescent="0.35">
      <c r="A188" s="8">
        <v>8100269394</v>
      </c>
      <c r="B188" s="5">
        <v>10440</v>
      </c>
      <c r="C188" s="6">
        <v>45659</v>
      </c>
      <c r="D188" s="5" t="s">
        <v>239</v>
      </c>
      <c r="E188" s="5" t="s">
        <v>240</v>
      </c>
      <c r="F188" s="5" t="s">
        <v>176</v>
      </c>
      <c r="G188" s="5" t="s">
        <v>177</v>
      </c>
      <c r="H188" s="5" t="s">
        <v>218</v>
      </c>
      <c r="I188" s="5" t="s">
        <v>429</v>
      </c>
      <c r="J188" s="5" t="s">
        <v>430</v>
      </c>
      <c r="K188" s="5" t="s">
        <v>241</v>
      </c>
      <c r="L188" s="6">
        <v>45666</v>
      </c>
      <c r="M188" s="6">
        <v>45670</v>
      </c>
      <c r="N188" s="5" t="s">
        <v>812</v>
      </c>
      <c r="O188" s="5" t="str">
        <f ca="1">IF(P188&lt;&gt;"EXPEDIÇÃO","Expedido",IF(NETWORKDAYS(C188,TODAY())&gt;=5,"Risco Alto",IF(NETWORKDAYS(C188,TODAY())&gt;=3,IF(NETWORKDAYS(C188,TODAY())&lt;5,"Risco Médio",""),IF(NETWORKDAYS(C188,TODAY())&lt;=2,"Risco Baixo",""))))</f>
        <v>Expedido</v>
      </c>
      <c r="P188" s="5" t="s">
        <v>25</v>
      </c>
      <c r="Q188" s="5" t="s">
        <v>1181</v>
      </c>
      <c r="S188" s="7">
        <f>IF(ISBLANK(M188),"Aguardando Previsão/Data",NETWORKDAYS(L188,M188)-1)</f>
        <v>2</v>
      </c>
      <c r="T188" s="5" t="s">
        <v>942</v>
      </c>
    </row>
    <row r="189" spans="1:20" x14ac:dyDescent="0.35">
      <c r="A189" s="8">
        <v>8100269395</v>
      </c>
      <c r="B189" s="5">
        <v>10457</v>
      </c>
      <c r="C189" s="6">
        <v>45659</v>
      </c>
      <c r="D189" s="5" t="s">
        <v>239</v>
      </c>
      <c r="E189" s="5" t="s">
        <v>240</v>
      </c>
      <c r="F189" s="5" t="s">
        <v>242</v>
      </c>
      <c r="G189" s="5" t="s">
        <v>243</v>
      </c>
      <c r="H189" s="5" t="s">
        <v>218</v>
      </c>
      <c r="I189" s="5" t="s">
        <v>429</v>
      </c>
      <c r="J189" s="5" t="s">
        <v>430</v>
      </c>
      <c r="K189" s="5" t="s">
        <v>241</v>
      </c>
      <c r="L189" s="6">
        <v>45666</v>
      </c>
      <c r="M189" s="6">
        <v>45670</v>
      </c>
      <c r="N189" s="5" t="s">
        <v>812</v>
      </c>
      <c r="O189" s="5" t="str">
        <f ca="1">IF(P189&lt;&gt;"EXPEDIÇÃO","Expedido",IF(NETWORKDAYS(C189,TODAY())&gt;=5,"Risco Alto",IF(NETWORKDAYS(C189,TODAY())&gt;=3,IF(NETWORKDAYS(C189,TODAY())&lt;5,"Risco Médio",""),IF(NETWORKDAYS(C189,TODAY())&lt;=2,"Risco Baixo",""))))</f>
        <v>Expedido</v>
      </c>
      <c r="P189" s="5" t="s">
        <v>25</v>
      </c>
      <c r="Q189" s="5" t="s">
        <v>1181</v>
      </c>
      <c r="S189" s="7">
        <f>IF(ISBLANK(M189),"Aguardando Previsão/Data",NETWORKDAYS(L189,M189)-1)</f>
        <v>2</v>
      </c>
      <c r="T189" s="5" t="s">
        <v>942</v>
      </c>
    </row>
    <row r="190" spans="1:20" x14ac:dyDescent="0.35">
      <c r="A190" s="8">
        <v>8100269398</v>
      </c>
      <c r="B190" s="5">
        <v>10441</v>
      </c>
      <c r="C190" s="6">
        <v>45659</v>
      </c>
      <c r="D190" s="5" t="s">
        <v>239</v>
      </c>
      <c r="E190" s="5" t="s">
        <v>240</v>
      </c>
      <c r="F190" s="5" t="s">
        <v>242</v>
      </c>
      <c r="G190" s="5" t="s">
        <v>243</v>
      </c>
      <c r="H190" s="5" t="s">
        <v>218</v>
      </c>
      <c r="I190" s="5" t="s">
        <v>429</v>
      </c>
      <c r="J190" s="5" t="s">
        <v>430</v>
      </c>
      <c r="K190" s="5" t="s">
        <v>241</v>
      </c>
      <c r="L190" s="6">
        <v>45666</v>
      </c>
      <c r="M190" s="6">
        <v>45670</v>
      </c>
      <c r="N190" s="5" t="s">
        <v>812</v>
      </c>
      <c r="O190" s="5" t="str">
        <f ca="1">IF(P190&lt;&gt;"EXPEDIÇÃO","Expedido",IF(NETWORKDAYS(C190,TODAY())&gt;=5,"Risco Alto",IF(NETWORKDAYS(C190,TODAY())&gt;=3,IF(NETWORKDAYS(C190,TODAY())&lt;5,"Risco Médio",""),IF(NETWORKDAYS(C190,TODAY())&lt;=2,"Risco Baixo",""))))</f>
        <v>Expedido</v>
      </c>
      <c r="P190" s="5" t="s">
        <v>25</v>
      </c>
      <c r="Q190" s="5" t="s">
        <v>1181</v>
      </c>
      <c r="S190" s="7">
        <f>IF(ISBLANK(M190),"Aguardando Previsão/Data",NETWORKDAYS(L190,M190)-1)</f>
        <v>2</v>
      </c>
      <c r="T190" s="5" t="s">
        <v>942</v>
      </c>
    </row>
    <row r="191" spans="1:20" x14ac:dyDescent="0.35">
      <c r="A191" s="8">
        <v>8100269399</v>
      </c>
      <c r="B191" s="5">
        <v>10442</v>
      </c>
      <c r="C191" s="6">
        <v>45659</v>
      </c>
      <c r="D191" s="5" t="s">
        <v>239</v>
      </c>
      <c r="E191" s="5" t="s">
        <v>240</v>
      </c>
      <c r="F191" s="5" t="s">
        <v>160</v>
      </c>
      <c r="G191" s="5" t="s">
        <v>161</v>
      </c>
      <c r="H191" s="5" t="s">
        <v>218</v>
      </c>
      <c r="I191" s="5" t="s">
        <v>429</v>
      </c>
      <c r="J191" s="5" t="s">
        <v>430</v>
      </c>
      <c r="K191" s="5" t="s">
        <v>241</v>
      </c>
      <c r="L191" s="6">
        <v>45666</v>
      </c>
      <c r="M191" s="6">
        <v>45670</v>
      </c>
      <c r="N191" s="5" t="s">
        <v>812</v>
      </c>
      <c r="O191" s="5" t="str">
        <f ca="1">IF(P191&lt;&gt;"EXPEDIÇÃO","Expedido",IF(NETWORKDAYS(C191,TODAY())&gt;=5,"Risco Alto",IF(NETWORKDAYS(C191,TODAY())&gt;=3,IF(NETWORKDAYS(C191,TODAY())&lt;5,"Risco Médio",""),IF(NETWORKDAYS(C191,TODAY())&lt;=2,"Risco Baixo",""))))</f>
        <v>Expedido</v>
      </c>
      <c r="P191" s="5" t="s">
        <v>25</v>
      </c>
      <c r="Q191" s="5" t="s">
        <v>1181</v>
      </c>
      <c r="S191" s="7">
        <f>IF(ISBLANK(M191),"Aguardando Previsão/Data",NETWORKDAYS(L191,M191)-1)</f>
        <v>2</v>
      </c>
      <c r="T191" s="5" t="s">
        <v>942</v>
      </c>
    </row>
    <row r="192" spans="1:20" x14ac:dyDescent="0.35">
      <c r="A192" s="5">
        <v>8100269403</v>
      </c>
      <c r="B192" s="5">
        <v>10436</v>
      </c>
      <c r="C192" s="6">
        <v>45659</v>
      </c>
      <c r="D192" s="5" t="s">
        <v>239</v>
      </c>
      <c r="E192" s="5" t="s">
        <v>240</v>
      </c>
      <c r="F192" s="5" t="s">
        <v>160</v>
      </c>
      <c r="G192" s="5" t="s">
        <v>161</v>
      </c>
      <c r="H192" s="5" t="s">
        <v>218</v>
      </c>
      <c r="I192" s="5" t="s">
        <v>429</v>
      </c>
      <c r="J192" s="5" t="s">
        <v>430</v>
      </c>
      <c r="K192" s="5" t="s">
        <v>241</v>
      </c>
      <c r="L192" s="6">
        <v>45666</v>
      </c>
      <c r="M192" s="6">
        <v>45665</v>
      </c>
      <c r="N192" s="5" t="s">
        <v>811</v>
      </c>
      <c r="O192" s="5" t="str">
        <f ca="1">IF(P192&lt;&gt;"EXPEDIÇÃO","Expedido",IF(NETWORKDAYS(C192,TODAY())&gt;=5,"Risco Alto",IF(NETWORKDAYS(C192,TODAY())&gt;=3,IF(NETWORKDAYS(C192,TODAY())&lt;5,"Risco Médio",""),IF(NETWORKDAYS(C192,TODAY())&lt;=2,"Risco Baixo",""))))</f>
        <v>Expedido</v>
      </c>
      <c r="P192" s="5" t="s">
        <v>25</v>
      </c>
      <c r="Q192" s="5" t="s">
        <v>793</v>
      </c>
      <c r="S192" s="7">
        <f>IF(ISBLANK(M192),"Aguardando Previsão/Data",NETWORKDAYS(L192,M192)-1)</f>
        <v>-3</v>
      </c>
      <c r="T192" s="5" t="s">
        <v>942</v>
      </c>
    </row>
    <row r="193" spans="1:20" x14ac:dyDescent="0.35">
      <c r="A193" s="5">
        <v>8100269404</v>
      </c>
      <c r="B193" s="5">
        <v>10445</v>
      </c>
      <c r="C193" s="6">
        <v>45659</v>
      </c>
      <c r="D193" s="5" t="s">
        <v>239</v>
      </c>
      <c r="E193" s="5" t="s">
        <v>240</v>
      </c>
      <c r="F193" s="5" t="s">
        <v>160</v>
      </c>
      <c r="G193" s="5" t="s">
        <v>161</v>
      </c>
      <c r="H193" s="5" t="s">
        <v>218</v>
      </c>
      <c r="I193" s="5" t="s">
        <v>354</v>
      </c>
      <c r="J193" s="5" t="s">
        <v>355</v>
      </c>
      <c r="K193" s="5" t="s">
        <v>241</v>
      </c>
      <c r="L193" s="6">
        <v>45665</v>
      </c>
      <c r="M193" s="6">
        <v>45666</v>
      </c>
      <c r="N193" s="5" t="s">
        <v>811</v>
      </c>
      <c r="O193" s="5" t="str">
        <f ca="1">IF(P193&lt;&gt;"EXPEDIÇÃO","Expedido",IF(NETWORKDAYS(C193,TODAY())&gt;=5,"Risco Alto",IF(NETWORKDAYS(C193,TODAY())&gt;=3,IF(NETWORKDAYS(C193,TODAY())&lt;5,"Risco Médio",""),IF(NETWORKDAYS(C193,TODAY())&lt;=2,"Risco Baixo",""))))</f>
        <v>Expedido</v>
      </c>
      <c r="P193" s="5" t="s">
        <v>25</v>
      </c>
      <c r="Q193" s="5" t="s">
        <v>897</v>
      </c>
      <c r="S193" s="7">
        <f>IF(ISBLANK(M193),"Aguardando Previsão/Data",NETWORKDAYS(L193,M193)-1)</f>
        <v>1</v>
      </c>
      <c r="T193" s="5" t="s">
        <v>942</v>
      </c>
    </row>
    <row r="194" spans="1:20" x14ac:dyDescent="0.35">
      <c r="A194" s="5">
        <v>8100269405</v>
      </c>
      <c r="B194" s="5">
        <v>10452</v>
      </c>
      <c r="C194" s="6">
        <v>45659</v>
      </c>
      <c r="D194" s="5" t="s">
        <v>239</v>
      </c>
      <c r="E194" s="5" t="s">
        <v>240</v>
      </c>
      <c r="F194" s="5" t="s">
        <v>160</v>
      </c>
      <c r="G194" s="5" t="s">
        <v>161</v>
      </c>
      <c r="H194" s="5" t="s">
        <v>218</v>
      </c>
      <c r="I194" s="5" t="s">
        <v>354</v>
      </c>
      <c r="J194" s="5" t="s">
        <v>355</v>
      </c>
      <c r="K194" s="5" t="s">
        <v>241</v>
      </c>
      <c r="L194" s="6">
        <v>45665</v>
      </c>
      <c r="M194" s="6">
        <v>45665</v>
      </c>
      <c r="N194" s="5" t="s">
        <v>811</v>
      </c>
      <c r="O194" s="5" t="str">
        <f ca="1">IF(P194&lt;&gt;"EXPEDIÇÃO","Expedido",IF(NETWORKDAYS(C194,TODAY())&gt;=5,"Risco Alto",IF(NETWORKDAYS(C194,TODAY())&gt;=3,IF(NETWORKDAYS(C194,TODAY())&lt;5,"Risco Médio",""),IF(NETWORKDAYS(C194,TODAY())&lt;=2,"Risco Baixo",""))))</f>
        <v>Expedido</v>
      </c>
      <c r="P194" s="5" t="s">
        <v>25</v>
      </c>
      <c r="Q194" s="5" t="s">
        <v>793</v>
      </c>
      <c r="S194" s="7">
        <f>IF(ISBLANK(M194),"Aguardando Previsão/Data",NETWORKDAYS(L194,M194)-1)</f>
        <v>0</v>
      </c>
      <c r="T194" s="5" t="s">
        <v>942</v>
      </c>
    </row>
    <row r="195" spans="1:20" x14ac:dyDescent="0.35">
      <c r="A195" s="5">
        <v>8100269406</v>
      </c>
      <c r="B195" s="5">
        <v>10450</v>
      </c>
      <c r="C195" s="6">
        <v>45659</v>
      </c>
      <c r="D195" s="5" t="s">
        <v>239</v>
      </c>
      <c r="E195" s="5" t="s">
        <v>240</v>
      </c>
      <c r="F195" s="5" t="s">
        <v>160</v>
      </c>
      <c r="G195" s="5" t="s">
        <v>161</v>
      </c>
      <c r="H195" s="5" t="s">
        <v>218</v>
      </c>
      <c r="I195" s="5" t="s">
        <v>687</v>
      </c>
      <c r="J195" s="5" t="s">
        <v>688</v>
      </c>
      <c r="K195" s="5" t="s">
        <v>241</v>
      </c>
      <c r="L195" s="6">
        <v>45665</v>
      </c>
      <c r="M195" s="6">
        <v>45666</v>
      </c>
      <c r="N195" s="5" t="s">
        <v>811</v>
      </c>
      <c r="O195" s="5" t="str">
        <f ca="1">IF(P195&lt;&gt;"EXPEDIÇÃO","Expedido",IF(NETWORKDAYS(C195,TODAY())&gt;=5,"Risco Alto",IF(NETWORKDAYS(C195,TODAY())&gt;=3,IF(NETWORKDAYS(C195,TODAY())&lt;5,"Risco Médio",""),IF(NETWORKDAYS(C195,TODAY())&lt;=2,"Risco Baixo",""))))</f>
        <v>Expedido</v>
      </c>
      <c r="P195" s="5" t="s">
        <v>25</v>
      </c>
      <c r="Q195" s="5" t="s">
        <v>897</v>
      </c>
      <c r="S195" s="7">
        <f>IF(ISBLANK(M195),"Aguardando Previsão/Data",NETWORKDAYS(L195,M195)-1)</f>
        <v>1</v>
      </c>
      <c r="T195" s="5" t="s">
        <v>942</v>
      </c>
    </row>
    <row r="196" spans="1:20" x14ac:dyDescent="0.35">
      <c r="A196" s="5">
        <v>8100269407</v>
      </c>
      <c r="B196" s="5">
        <v>10443</v>
      </c>
      <c r="C196" s="6">
        <v>45659</v>
      </c>
      <c r="D196" s="5" t="s">
        <v>239</v>
      </c>
      <c r="E196" s="5" t="s">
        <v>240</v>
      </c>
      <c r="F196" s="5" t="s">
        <v>160</v>
      </c>
      <c r="G196" s="5" t="s">
        <v>161</v>
      </c>
      <c r="H196" s="5" t="s">
        <v>218</v>
      </c>
      <c r="I196" s="5" t="s">
        <v>687</v>
      </c>
      <c r="J196" s="5" t="s">
        <v>688</v>
      </c>
      <c r="K196" s="5" t="s">
        <v>241</v>
      </c>
      <c r="L196" s="6">
        <v>45665</v>
      </c>
      <c r="M196" s="6">
        <v>45666</v>
      </c>
      <c r="N196" s="5" t="s">
        <v>811</v>
      </c>
      <c r="O196" s="5" t="str">
        <f ca="1">IF(P196&lt;&gt;"EXPEDIÇÃO","Expedido",IF(NETWORKDAYS(C196,TODAY())&gt;=5,"Risco Alto",IF(NETWORKDAYS(C196,TODAY())&gt;=3,IF(NETWORKDAYS(C196,TODAY())&lt;5,"Risco Médio",""),IF(NETWORKDAYS(C196,TODAY())&lt;=2,"Risco Baixo",""))))</f>
        <v>Expedido</v>
      </c>
      <c r="P196" s="5" t="s">
        <v>25</v>
      </c>
      <c r="Q196" s="5" t="s">
        <v>897</v>
      </c>
      <c r="S196" s="7">
        <f>IF(ISBLANK(M196),"Aguardando Previsão/Data",NETWORKDAYS(L196,M196)-1)</f>
        <v>1</v>
      </c>
      <c r="T196" s="5" t="s">
        <v>942</v>
      </c>
    </row>
    <row r="197" spans="1:20" x14ac:dyDescent="0.35">
      <c r="A197" s="5">
        <v>8100269411</v>
      </c>
      <c r="B197" s="5">
        <v>10451</v>
      </c>
      <c r="C197" s="6">
        <v>45659</v>
      </c>
      <c r="D197" s="5" t="s">
        <v>239</v>
      </c>
      <c r="E197" s="5" t="s">
        <v>240</v>
      </c>
      <c r="F197" s="5" t="s">
        <v>160</v>
      </c>
      <c r="G197" s="5" t="s">
        <v>161</v>
      </c>
      <c r="H197" s="5" t="s">
        <v>218</v>
      </c>
      <c r="I197" s="5" t="s">
        <v>687</v>
      </c>
      <c r="J197" s="5" t="s">
        <v>688</v>
      </c>
      <c r="K197" s="5" t="s">
        <v>241</v>
      </c>
      <c r="L197" s="6">
        <v>45665</v>
      </c>
      <c r="M197" s="6">
        <v>45666</v>
      </c>
      <c r="N197" s="5" t="s">
        <v>811</v>
      </c>
      <c r="O197" s="5" t="str">
        <f ca="1">IF(P197&lt;&gt;"EXPEDIÇÃO","Expedido",IF(NETWORKDAYS(C197,TODAY())&gt;=5,"Risco Alto",IF(NETWORKDAYS(C197,TODAY())&gt;=3,IF(NETWORKDAYS(C197,TODAY())&lt;5,"Risco Médio",""),IF(NETWORKDAYS(C197,TODAY())&lt;=2,"Risco Baixo",""))))</f>
        <v>Expedido</v>
      </c>
      <c r="P197" s="5" t="s">
        <v>25</v>
      </c>
      <c r="Q197" s="5" t="s">
        <v>897</v>
      </c>
      <c r="S197" s="7">
        <f>IF(ISBLANK(M197),"Aguardando Previsão/Data",NETWORKDAYS(L197,M197)-1)</f>
        <v>1</v>
      </c>
      <c r="T197" s="5" t="s">
        <v>942</v>
      </c>
    </row>
    <row r="198" spans="1:20" x14ac:dyDescent="0.35">
      <c r="A198" s="5">
        <v>8100269412</v>
      </c>
      <c r="B198" s="5">
        <v>10460</v>
      </c>
      <c r="C198" s="6">
        <v>45659</v>
      </c>
      <c r="D198" s="5" t="s">
        <v>239</v>
      </c>
      <c r="E198" s="5" t="s">
        <v>240</v>
      </c>
      <c r="F198" s="5" t="s">
        <v>160</v>
      </c>
      <c r="G198" s="5" t="s">
        <v>161</v>
      </c>
      <c r="H198" s="5" t="s">
        <v>218</v>
      </c>
      <c r="I198" s="5" t="s">
        <v>687</v>
      </c>
      <c r="J198" s="5" t="s">
        <v>688</v>
      </c>
      <c r="K198" s="5" t="s">
        <v>241</v>
      </c>
      <c r="L198" s="6">
        <v>45665</v>
      </c>
      <c r="M198" s="6">
        <v>45666</v>
      </c>
      <c r="N198" s="5" t="s">
        <v>811</v>
      </c>
      <c r="O198" s="5" t="str">
        <f ca="1">IF(P198&lt;&gt;"EXPEDIÇÃO","Expedido",IF(NETWORKDAYS(C198,TODAY())&gt;=5,"Risco Alto",IF(NETWORKDAYS(C198,TODAY())&gt;=3,IF(NETWORKDAYS(C198,TODAY())&lt;5,"Risco Médio",""),IF(NETWORKDAYS(C198,TODAY())&lt;=2,"Risco Baixo",""))))</f>
        <v>Expedido</v>
      </c>
      <c r="P198" s="5" t="s">
        <v>25</v>
      </c>
      <c r="Q198" s="5" t="s">
        <v>897</v>
      </c>
      <c r="S198" s="7">
        <f>IF(ISBLANK(M198),"Aguardando Previsão/Data",NETWORKDAYS(L198,M198)-1)</f>
        <v>1</v>
      </c>
      <c r="T198" s="5" t="s">
        <v>942</v>
      </c>
    </row>
    <row r="199" spans="1:20" x14ac:dyDescent="0.35">
      <c r="A199" s="5">
        <v>8100269413</v>
      </c>
      <c r="B199" s="5">
        <v>10447</v>
      </c>
      <c r="C199" s="6">
        <v>45659</v>
      </c>
      <c r="D199" s="5" t="s">
        <v>239</v>
      </c>
      <c r="E199" s="5" t="s">
        <v>240</v>
      </c>
      <c r="F199" s="5" t="s">
        <v>160</v>
      </c>
      <c r="G199" s="5" t="s">
        <v>161</v>
      </c>
      <c r="H199" s="5" t="s">
        <v>218</v>
      </c>
      <c r="I199" s="5" t="s">
        <v>687</v>
      </c>
      <c r="J199" s="5" t="s">
        <v>688</v>
      </c>
      <c r="K199" s="5" t="s">
        <v>241</v>
      </c>
      <c r="L199" s="6">
        <v>45665</v>
      </c>
      <c r="M199" s="6">
        <v>45666</v>
      </c>
      <c r="N199" s="5" t="s">
        <v>811</v>
      </c>
      <c r="O199" s="5" t="str">
        <f ca="1">IF(P199&lt;&gt;"EXPEDIÇÃO","Expedido",IF(NETWORKDAYS(C199,TODAY())&gt;=5,"Risco Alto",IF(NETWORKDAYS(C199,TODAY())&gt;=3,IF(NETWORKDAYS(C199,TODAY())&lt;5,"Risco Médio",""),IF(NETWORKDAYS(C199,TODAY())&lt;=2,"Risco Baixo",""))))</f>
        <v>Expedido</v>
      </c>
      <c r="P199" s="5" t="s">
        <v>25</v>
      </c>
      <c r="Q199" s="5" t="s">
        <v>897</v>
      </c>
      <c r="S199" s="7">
        <f>IF(ISBLANK(M199),"Aguardando Previsão/Data",NETWORKDAYS(L199,M199)-1)</f>
        <v>1</v>
      </c>
      <c r="T199" s="5" t="s">
        <v>942</v>
      </c>
    </row>
    <row r="200" spans="1:20" x14ac:dyDescent="0.35">
      <c r="A200" s="5">
        <v>8100269415</v>
      </c>
      <c r="B200" s="5">
        <v>10444</v>
      </c>
      <c r="C200" s="6">
        <v>45659</v>
      </c>
      <c r="D200" s="5" t="s">
        <v>239</v>
      </c>
      <c r="E200" s="5" t="s">
        <v>240</v>
      </c>
      <c r="F200" s="5" t="s">
        <v>160</v>
      </c>
      <c r="G200" s="5" t="s">
        <v>161</v>
      </c>
      <c r="H200" s="5" t="s">
        <v>218</v>
      </c>
      <c r="I200" s="5" t="s">
        <v>687</v>
      </c>
      <c r="J200" s="5" t="s">
        <v>688</v>
      </c>
      <c r="K200" s="5" t="s">
        <v>241</v>
      </c>
      <c r="L200" s="6">
        <v>45665</v>
      </c>
      <c r="M200" s="6">
        <v>45666</v>
      </c>
      <c r="N200" s="5" t="s">
        <v>811</v>
      </c>
      <c r="O200" s="5" t="str">
        <f ca="1">IF(P200&lt;&gt;"EXPEDIÇÃO","Expedido",IF(NETWORKDAYS(C200,TODAY())&gt;=5,"Risco Alto",IF(NETWORKDAYS(C200,TODAY())&gt;=3,IF(NETWORKDAYS(C200,TODAY())&lt;5,"Risco Médio",""),IF(NETWORKDAYS(C200,TODAY())&lt;=2,"Risco Baixo",""))))</f>
        <v>Expedido</v>
      </c>
      <c r="P200" s="5" t="s">
        <v>25</v>
      </c>
      <c r="Q200" s="5" t="s">
        <v>897</v>
      </c>
      <c r="S200" s="7">
        <f>IF(ISBLANK(M200),"Aguardando Previsão/Data",NETWORKDAYS(L200,M200)-1)</f>
        <v>1</v>
      </c>
      <c r="T200" s="5" t="s">
        <v>942</v>
      </c>
    </row>
    <row r="201" spans="1:20" x14ac:dyDescent="0.35">
      <c r="A201" s="8">
        <v>8100269416</v>
      </c>
      <c r="B201" s="5">
        <v>10432</v>
      </c>
      <c r="C201" s="6">
        <v>45659</v>
      </c>
      <c r="D201" s="5" t="s">
        <v>239</v>
      </c>
      <c r="E201" s="5" t="s">
        <v>240</v>
      </c>
      <c r="F201" s="5" t="s">
        <v>242</v>
      </c>
      <c r="G201" s="5" t="s">
        <v>243</v>
      </c>
      <c r="H201" s="5" t="s">
        <v>218</v>
      </c>
      <c r="I201" s="5" t="s">
        <v>1130</v>
      </c>
      <c r="J201" s="5" t="s">
        <v>246</v>
      </c>
      <c r="K201" s="5" t="s">
        <v>241</v>
      </c>
      <c r="L201" s="6">
        <v>45666</v>
      </c>
      <c r="M201" s="6">
        <v>45670</v>
      </c>
      <c r="N201" s="5" t="s">
        <v>812</v>
      </c>
      <c r="O201" s="5" t="str">
        <f ca="1">IF(P201&lt;&gt;"EXPEDIÇÃO","Expedido",IF(NETWORKDAYS(C201,TODAY())&gt;=5,"Risco Alto",IF(NETWORKDAYS(C201,TODAY())&gt;=3,IF(NETWORKDAYS(C201,TODAY())&lt;5,"Risco Médio",""),IF(NETWORKDAYS(C201,TODAY())&lt;=2,"Risco Baixo",""))))</f>
        <v>Expedido</v>
      </c>
      <c r="P201" s="5" t="s">
        <v>25</v>
      </c>
      <c r="Q201" s="5" t="s">
        <v>897</v>
      </c>
      <c r="S201" s="7">
        <f>IF(ISBLANK(M201),"Aguardando Previsão/Data",NETWORKDAYS(L201,M201)-1)</f>
        <v>2</v>
      </c>
      <c r="T201" s="5" t="s">
        <v>942</v>
      </c>
    </row>
    <row r="202" spans="1:20" x14ac:dyDescent="0.35">
      <c r="A202" s="5">
        <v>8100269417</v>
      </c>
      <c r="B202" s="5">
        <v>10437</v>
      </c>
      <c r="C202" s="6">
        <v>45659</v>
      </c>
      <c r="D202" s="5" t="s">
        <v>239</v>
      </c>
      <c r="E202" s="5" t="s">
        <v>240</v>
      </c>
      <c r="F202" s="5" t="s">
        <v>160</v>
      </c>
      <c r="G202" s="5" t="s">
        <v>161</v>
      </c>
      <c r="H202" s="5" t="s">
        <v>218</v>
      </c>
      <c r="I202" s="5" t="s">
        <v>429</v>
      </c>
      <c r="J202" s="5" t="s">
        <v>430</v>
      </c>
      <c r="K202" s="5" t="s">
        <v>241</v>
      </c>
      <c r="L202" s="6">
        <v>45666</v>
      </c>
      <c r="M202" s="6">
        <v>45665</v>
      </c>
      <c r="N202" s="5" t="s">
        <v>811</v>
      </c>
      <c r="O202" s="5" t="str">
        <f ca="1">IF(P202&lt;&gt;"EXPEDIÇÃO","Expedido",IF(NETWORKDAYS(C202,TODAY())&gt;=5,"Risco Alto",IF(NETWORKDAYS(C202,TODAY())&gt;=3,IF(NETWORKDAYS(C202,TODAY())&lt;5,"Risco Médio",""),IF(NETWORKDAYS(C202,TODAY())&lt;=2,"Risco Baixo",""))))</f>
        <v>Expedido</v>
      </c>
      <c r="P202" s="5" t="s">
        <v>25</v>
      </c>
      <c r="Q202" s="5" t="s">
        <v>793</v>
      </c>
      <c r="S202" s="7">
        <f>IF(ISBLANK(M202),"Aguardando Previsão/Data",NETWORKDAYS(L202,M202)-1)</f>
        <v>-3</v>
      </c>
      <c r="T202" s="5" t="s">
        <v>942</v>
      </c>
    </row>
    <row r="203" spans="1:20" x14ac:dyDescent="0.35">
      <c r="A203" s="5">
        <v>8100269419</v>
      </c>
      <c r="B203" s="5">
        <v>10448</v>
      </c>
      <c r="C203" s="6">
        <v>45659</v>
      </c>
      <c r="D203" s="5" t="s">
        <v>239</v>
      </c>
      <c r="E203" s="5" t="s">
        <v>240</v>
      </c>
      <c r="F203" s="5" t="s">
        <v>176</v>
      </c>
      <c r="G203" s="5" t="s">
        <v>177</v>
      </c>
      <c r="H203" s="5" t="s">
        <v>218</v>
      </c>
      <c r="I203" s="5" t="s">
        <v>324</v>
      </c>
      <c r="J203" s="5" t="s">
        <v>325</v>
      </c>
      <c r="K203" s="5" t="s">
        <v>241</v>
      </c>
      <c r="L203" s="6">
        <v>45667</v>
      </c>
      <c r="M203" s="6">
        <v>45667</v>
      </c>
      <c r="N203" s="5" t="s">
        <v>811</v>
      </c>
      <c r="O203" s="5" t="str">
        <f ca="1">IF(P203&lt;&gt;"EXPEDIÇÃO","Expedido",IF(NETWORKDAYS(C203,TODAY())&gt;=5,"Risco Alto",IF(NETWORKDAYS(C203,TODAY())&gt;=3,IF(NETWORKDAYS(C203,TODAY())&lt;5,"Risco Médio",""),IF(NETWORKDAYS(C203,TODAY())&lt;=2,"Risco Baixo",""))))</f>
        <v>Expedido</v>
      </c>
      <c r="P203" s="5" t="s">
        <v>25</v>
      </c>
      <c r="Q203" s="5" t="s">
        <v>793</v>
      </c>
      <c r="S203" s="7">
        <f>IF(ISBLANK(M203),"Aguardando Previsão/Data",NETWORKDAYS(L203,M203)-1)</f>
        <v>0</v>
      </c>
      <c r="T203" s="5" t="s">
        <v>942</v>
      </c>
    </row>
    <row r="204" spans="1:20" x14ac:dyDescent="0.35">
      <c r="A204" s="5">
        <v>8100269420</v>
      </c>
      <c r="B204" s="5">
        <v>10449</v>
      </c>
      <c r="C204" s="6">
        <v>45659</v>
      </c>
      <c r="D204" s="5" t="s">
        <v>239</v>
      </c>
      <c r="E204" s="5" t="s">
        <v>240</v>
      </c>
      <c r="F204" s="5" t="s">
        <v>176</v>
      </c>
      <c r="G204" s="5" t="s">
        <v>177</v>
      </c>
      <c r="H204" s="5" t="s">
        <v>218</v>
      </c>
      <c r="I204" s="5" t="s">
        <v>324</v>
      </c>
      <c r="J204" s="5" t="s">
        <v>325</v>
      </c>
      <c r="K204" s="5" t="s">
        <v>241</v>
      </c>
      <c r="L204" s="6">
        <v>45667</v>
      </c>
      <c r="M204" s="6">
        <v>45667</v>
      </c>
      <c r="N204" s="5" t="s">
        <v>811</v>
      </c>
      <c r="O204" s="5" t="str">
        <f ca="1">IF(P204&lt;&gt;"EXPEDIÇÃO","Expedido",IF(NETWORKDAYS(C204,TODAY())&gt;=5,"Risco Alto",IF(NETWORKDAYS(C204,TODAY())&gt;=3,IF(NETWORKDAYS(C204,TODAY())&lt;5,"Risco Médio",""),IF(NETWORKDAYS(C204,TODAY())&lt;=2,"Risco Baixo",""))))</f>
        <v>Expedido</v>
      </c>
      <c r="P204" s="5" t="s">
        <v>25</v>
      </c>
      <c r="Q204" s="5" t="s">
        <v>793</v>
      </c>
      <c r="S204" s="7">
        <f>IF(ISBLANK(M204),"Aguardando Previsão/Data",NETWORKDAYS(L204,M204)-1)</f>
        <v>0</v>
      </c>
      <c r="T204" s="5" t="s">
        <v>942</v>
      </c>
    </row>
    <row r="205" spans="1:20" x14ac:dyDescent="0.35">
      <c r="A205" s="5">
        <v>8100269421</v>
      </c>
      <c r="B205" s="5">
        <v>10453</v>
      </c>
      <c r="C205" s="6">
        <v>45659</v>
      </c>
      <c r="D205" s="5" t="s">
        <v>239</v>
      </c>
      <c r="E205" s="5" t="s">
        <v>240</v>
      </c>
      <c r="F205" s="5" t="s">
        <v>160</v>
      </c>
      <c r="G205" s="5" t="s">
        <v>161</v>
      </c>
      <c r="H205" s="5" t="s">
        <v>218</v>
      </c>
      <c r="I205" s="5" t="s">
        <v>354</v>
      </c>
      <c r="J205" s="5" t="s">
        <v>355</v>
      </c>
      <c r="K205" s="5" t="s">
        <v>241</v>
      </c>
      <c r="L205" s="6">
        <v>45665</v>
      </c>
      <c r="M205" s="6">
        <v>45665</v>
      </c>
      <c r="N205" s="5" t="s">
        <v>811</v>
      </c>
      <c r="O205" s="5" t="str">
        <f ca="1">IF(P205&lt;&gt;"EXPEDIÇÃO","Expedido",IF(NETWORKDAYS(C205,TODAY())&gt;=5,"Risco Alto",IF(NETWORKDAYS(C205,TODAY())&gt;=3,IF(NETWORKDAYS(C205,TODAY())&lt;5,"Risco Médio",""),IF(NETWORKDAYS(C205,TODAY())&lt;=2,"Risco Baixo",""))))</f>
        <v>Expedido</v>
      </c>
      <c r="P205" s="5" t="s">
        <v>25</v>
      </c>
      <c r="Q205" s="5" t="s">
        <v>793</v>
      </c>
      <c r="S205" s="7">
        <f>IF(ISBLANK(M205),"Aguardando Previsão/Data",NETWORKDAYS(L205,M205)-1)</f>
        <v>0</v>
      </c>
      <c r="T205" s="5" t="s">
        <v>942</v>
      </c>
    </row>
    <row r="206" spans="1:20" x14ac:dyDescent="0.35">
      <c r="A206" s="5">
        <v>8100269538</v>
      </c>
      <c r="B206" s="5">
        <v>10461</v>
      </c>
      <c r="C206" s="6">
        <v>45659</v>
      </c>
      <c r="D206" s="5" t="s">
        <v>239</v>
      </c>
      <c r="E206" s="5" t="s">
        <v>240</v>
      </c>
      <c r="F206" s="5" t="s">
        <v>160</v>
      </c>
      <c r="G206" s="5" t="s">
        <v>161</v>
      </c>
      <c r="H206" s="5" t="s">
        <v>218</v>
      </c>
      <c r="I206" s="5" t="s">
        <v>562</v>
      </c>
      <c r="J206" s="5" t="s">
        <v>563</v>
      </c>
      <c r="K206" s="5" t="s">
        <v>241</v>
      </c>
      <c r="L206" s="6">
        <v>45665</v>
      </c>
      <c r="M206" s="6">
        <v>45665</v>
      </c>
      <c r="N206" s="5" t="s">
        <v>811</v>
      </c>
      <c r="O206" s="5" t="str">
        <f ca="1">IF(P206&lt;&gt;"EXPEDIÇÃO","Expedido",IF(NETWORKDAYS(C206,TODAY())&gt;=5,"Risco Alto",IF(NETWORKDAYS(C206,TODAY())&gt;=3,IF(NETWORKDAYS(C206,TODAY())&lt;5,"Risco Médio",""),IF(NETWORKDAYS(C206,TODAY())&lt;=2,"Risco Baixo",""))))</f>
        <v>Expedido</v>
      </c>
      <c r="P206" s="5" t="s">
        <v>25</v>
      </c>
      <c r="Q206" s="5" t="s">
        <v>793</v>
      </c>
      <c r="S206" s="7">
        <f>IF(ISBLANK(M206),"Aguardando Previsão/Data",NETWORKDAYS(L206,M206)-1)</f>
        <v>0</v>
      </c>
      <c r="T206" s="5" t="s">
        <v>942</v>
      </c>
    </row>
    <row r="207" spans="1:20" x14ac:dyDescent="0.35">
      <c r="A207" s="5">
        <v>8100269539</v>
      </c>
      <c r="B207" s="5">
        <v>10469</v>
      </c>
      <c r="C207" s="6">
        <v>45659</v>
      </c>
      <c r="D207" s="5" t="s">
        <v>239</v>
      </c>
      <c r="E207" s="5" t="s">
        <v>240</v>
      </c>
      <c r="F207" s="5" t="s">
        <v>160</v>
      </c>
      <c r="G207" s="5" t="s">
        <v>161</v>
      </c>
      <c r="H207" s="5" t="s">
        <v>218</v>
      </c>
      <c r="I207" s="5" t="s">
        <v>356</v>
      </c>
      <c r="J207" s="5" t="s">
        <v>357</v>
      </c>
      <c r="K207" s="5" t="s">
        <v>241</v>
      </c>
      <c r="L207" s="6">
        <v>45665</v>
      </c>
      <c r="M207" s="6">
        <v>45665</v>
      </c>
      <c r="N207" s="5" t="s">
        <v>811</v>
      </c>
      <c r="O207" s="5" t="str">
        <f ca="1">IF(P207&lt;&gt;"EXPEDIÇÃO","Expedido",IF(NETWORKDAYS(C207,TODAY())&gt;=5,"Risco Alto",IF(NETWORKDAYS(C207,TODAY())&gt;=3,IF(NETWORKDAYS(C207,TODAY())&lt;5,"Risco Médio",""),IF(NETWORKDAYS(C207,TODAY())&lt;=2,"Risco Baixo",""))))</f>
        <v>Expedido</v>
      </c>
      <c r="P207" s="5" t="s">
        <v>25</v>
      </c>
      <c r="Q207" s="5" t="s">
        <v>793</v>
      </c>
      <c r="S207" s="7">
        <f>IF(ISBLANK(M207),"Aguardando Previsão/Data",NETWORKDAYS(L207,M207)-1)</f>
        <v>0</v>
      </c>
      <c r="T207" s="5" t="s">
        <v>942</v>
      </c>
    </row>
    <row r="208" spans="1:20" x14ac:dyDescent="0.35">
      <c r="A208" s="5">
        <v>8100269540</v>
      </c>
      <c r="B208" s="5">
        <v>10462</v>
      </c>
      <c r="C208" s="6">
        <v>45659</v>
      </c>
      <c r="D208" s="5" t="s">
        <v>239</v>
      </c>
      <c r="E208" s="5" t="s">
        <v>240</v>
      </c>
      <c r="F208" s="5" t="s">
        <v>160</v>
      </c>
      <c r="G208" s="5" t="s">
        <v>161</v>
      </c>
      <c r="H208" s="5" t="s">
        <v>218</v>
      </c>
      <c r="I208" s="5" t="s">
        <v>562</v>
      </c>
      <c r="J208" s="5" t="s">
        <v>563</v>
      </c>
      <c r="K208" s="5" t="s">
        <v>241</v>
      </c>
      <c r="L208" s="6">
        <v>45665</v>
      </c>
      <c r="M208" s="6">
        <v>45665</v>
      </c>
      <c r="N208" s="5" t="s">
        <v>811</v>
      </c>
      <c r="O208" s="5" t="str">
        <f ca="1">IF(P208&lt;&gt;"EXPEDIÇÃO","Expedido",IF(NETWORKDAYS(C208,TODAY())&gt;=5,"Risco Alto",IF(NETWORKDAYS(C208,TODAY())&gt;=3,IF(NETWORKDAYS(C208,TODAY())&lt;5,"Risco Médio",""),IF(NETWORKDAYS(C208,TODAY())&lt;=2,"Risco Baixo",""))))</f>
        <v>Expedido</v>
      </c>
      <c r="P208" s="5" t="s">
        <v>25</v>
      </c>
      <c r="Q208" s="5" t="s">
        <v>793</v>
      </c>
      <c r="S208" s="7">
        <f>IF(ISBLANK(M208),"Aguardando Previsão/Data",NETWORKDAYS(L208,M208)-1)</f>
        <v>0</v>
      </c>
      <c r="T208" s="5" t="s">
        <v>942</v>
      </c>
    </row>
    <row r="209" spans="1:20" x14ac:dyDescent="0.35">
      <c r="A209" s="5">
        <v>8100269541</v>
      </c>
      <c r="B209" s="5">
        <v>10463</v>
      </c>
      <c r="C209" s="6">
        <v>45659</v>
      </c>
      <c r="D209" s="5" t="s">
        <v>239</v>
      </c>
      <c r="E209" s="5" t="s">
        <v>240</v>
      </c>
      <c r="F209" s="5" t="s">
        <v>160</v>
      </c>
      <c r="G209" s="5" t="s">
        <v>161</v>
      </c>
      <c r="H209" s="5" t="s">
        <v>218</v>
      </c>
      <c r="I209" s="5" t="s">
        <v>562</v>
      </c>
      <c r="J209" s="5" t="s">
        <v>563</v>
      </c>
      <c r="K209" s="5" t="s">
        <v>241</v>
      </c>
      <c r="L209" s="6">
        <v>45665</v>
      </c>
      <c r="M209" s="6">
        <v>45665</v>
      </c>
      <c r="N209" s="5" t="s">
        <v>811</v>
      </c>
      <c r="O209" s="5" t="str">
        <f ca="1">IF(P209&lt;&gt;"EXPEDIÇÃO","Expedido",IF(NETWORKDAYS(C209,TODAY())&gt;=5,"Risco Alto",IF(NETWORKDAYS(C209,TODAY())&gt;=3,IF(NETWORKDAYS(C209,TODAY())&lt;5,"Risco Médio",""),IF(NETWORKDAYS(C209,TODAY())&lt;=2,"Risco Baixo",""))))</f>
        <v>Expedido</v>
      </c>
      <c r="P209" s="5" t="s">
        <v>25</v>
      </c>
      <c r="Q209" s="5" t="s">
        <v>793</v>
      </c>
      <c r="S209" s="7">
        <f>IF(ISBLANK(M209),"Aguardando Previsão/Data",NETWORKDAYS(L209,M209)-1)</f>
        <v>0</v>
      </c>
      <c r="T209" s="5" t="s">
        <v>942</v>
      </c>
    </row>
    <row r="210" spans="1:20" x14ac:dyDescent="0.35">
      <c r="A210" s="5">
        <v>8100269542</v>
      </c>
      <c r="B210" s="5">
        <v>10470</v>
      </c>
      <c r="C210" s="6">
        <v>45659</v>
      </c>
      <c r="D210" s="5" t="s">
        <v>239</v>
      </c>
      <c r="E210" s="5" t="s">
        <v>240</v>
      </c>
      <c r="F210" s="5" t="s">
        <v>160</v>
      </c>
      <c r="G210" s="5" t="s">
        <v>161</v>
      </c>
      <c r="H210" s="5" t="s">
        <v>218</v>
      </c>
      <c r="I210" s="5" t="s">
        <v>356</v>
      </c>
      <c r="J210" s="5" t="s">
        <v>357</v>
      </c>
      <c r="K210" s="5" t="s">
        <v>241</v>
      </c>
      <c r="L210" s="6">
        <v>45665</v>
      </c>
      <c r="M210" s="6">
        <v>45665</v>
      </c>
      <c r="N210" s="5" t="s">
        <v>811</v>
      </c>
      <c r="O210" s="5" t="str">
        <f ca="1">IF(P210&lt;&gt;"EXPEDIÇÃO","Expedido",IF(NETWORKDAYS(C210,TODAY())&gt;=5,"Risco Alto",IF(NETWORKDAYS(C210,TODAY())&gt;=3,IF(NETWORKDAYS(C210,TODAY())&lt;5,"Risco Médio",""),IF(NETWORKDAYS(C210,TODAY())&lt;=2,"Risco Baixo",""))))</f>
        <v>Expedido</v>
      </c>
      <c r="P210" s="5" t="s">
        <v>25</v>
      </c>
      <c r="Q210" s="5" t="s">
        <v>793</v>
      </c>
      <c r="S210" s="7">
        <f>IF(ISBLANK(M210),"Aguardando Previsão/Data",NETWORKDAYS(L210,M210)-1)</f>
        <v>0</v>
      </c>
      <c r="T210" s="5" t="s">
        <v>942</v>
      </c>
    </row>
    <row r="211" spans="1:20" x14ac:dyDescent="0.35">
      <c r="A211" s="5">
        <v>8100269543</v>
      </c>
      <c r="B211" s="5">
        <v>10458</v>
      </c>
      <c r="C211" s="6">
        <v>45659</v>
      </c>
      <c r="D211" s="5" t="s">
        <v>239</v>
      </c>
      <c r="E211" s="5" t="s">
        <v>240</v>
      </c>
      <c r="F211" s="5" t="s">
        <v>160</v>
      </c>
      <c r="G211" s="5" t="s">
        <v>161</v>
      </c>
      <c r="H211" s="5" t="s">
        <v>218</v>
      </c>
      <c r="I211" s="5" t="s">
        <v>354</v>
      </c>
      <c r="J211" s="5" t="s">
        <v>355</v>
      </c>
      <c r="K211" s="5" t="s">
        <v>241</v>
      </c>
      <c r="L211" s="6">
        <v>45665</v>
      </c>
      <c r="M211" s="6">
        <v>45665</v>
      </c>
      <c r="N211" s="5" t="s">
        <v>811</v>
      </c>
      <c r="O211" s="5" t="str">
        <f ca="1">IF(P211&lt;&gt;"EXPEDIÇÃO","Expedido",IF(NETWORKDAYS(C211,TODAY())&gt;=5,"Risco Alto",IF(NETWORKDAYS(C211,TODAY())&gt;=3,IF(NETWORKDAYS(C211,TODAY())&lt;5,"Risco Médio",""),IF(NETWORKDAYS(C211,TODAY())&lt;=2,"Risco Baixo",""))))</f>
        <v>Expedido</v>
      </c>
      <c r="P211" s="5" t="s">
        <v>25</v>
      </c>
      <c r="Q211" s="5" t="s">
        <v>793</v>
      </c>
      <c r="S211" s="7">
        <f>IF(ISBLANK(M211),"Aguardando Previsão/Data",NETWORKDAYS(L211,M211)-1)</f>
        <v>0</v>
      </c>
      <c r="T211" s="5" t="s">
        <v>942</v>
      </c>
    </row>
    <row r="212" spans="1:20" x14ac:dyDescent="0.35">
      <c r="A212" s="5">
        <v>8100269544</v>
      </c>
      <c r="B212" s="5">
        <v>10456</v>
      </c>
      <c r="C212" s="6">
        <v>45659</v>
      </c>
      <c r="D212" s="5" t="s">
        <v>239</v>
      </c>
      <c r="E212" s="5" t="s">
        <v>240</v>
      </c>
      <c r="F212" s="5" t="s">
        <v>160</v>
      </c>
      <c r="G212" s="5" t="s">
        <v>161</v>
      </c>
      <c r="H212" s="5" t="s">
        <v>218</v>
      </c>
      <c r="I212" s="5" t="s">
        <v>687</v>
      </c>
      <c r="J212" s="5" t="s">
        <v>688</v>
      </c>
      <c r="K212" s="5" t="s">
        <v>241</v>
      </c>
      <c r="L212" s="6">
        <v>45665</v>
      </c>
      <c r="M212" s="6">
        <v>45666</v>
      </c>
      <c r="N212" s="5" t="s">
        <v>811</v>
      </c>
      <c r="O212" s="5" t="str">
        <f ca="1">IF(P212&lt;&gt;"EXPEDIÇÃO","Expedido",IF(NETWORKDAYS(C212,TODAY())&gt;=5,"Risco Alto",IF(NETWORKDAYS(C212,TODAY())&gt;=3,IF(NETWORKDAYS(C212,TODAY())&lt;5,"Risco Médio",""),IF(NETWORKDAYS(C212,TODAY())&lt;=2,"Risco Baixo",""))))</f>
        <v>Expedido</v>
      </c>
      <c r="P212" s="5" t="s">
        <v>25</v>
      </c>
      <c r="Q212" s="5" t="s">
        <v>897</v>
      </c>
      <c r="S212" s="7">
        <f>IF(ISBLANK(M212),"Aguardando Previsão/Data",NETWORKDAYS(L212,M212)-1)</f>
        <v>1</v>
      </c>
      <c r="T212" s="5" t="s">
        <v>942</v>
      </c>
    </row>
    <row r="213" spans="1:20" x14ac:dyDescent="0.35">
      <c r="A213" s="5">
        <v>8100269639</v>
      </c>
      <c r="B213" s="5">
        <v>10472</v>
      </c>
      <c r="C213" s="6">
        <v>45659</v>
      </c>
      <c r="D213" s="5" t="s">
        <v>239</v>
      </c>
      <c r="E213" s="5" t="s">
        <v>240</v>
      </c>
      <c r="F213" s="5" t="s">
        <v>160</v>
      </c>
      <c r="G213" s="5" t="s">
        <v>161</v>
      </c>
      <c r="H213" s="5" t="s">
        <v>218</v>
      </c>
      <c r="I213" s="5" t="s">
        <v>347</v>
      </c>
      <c r="J213" s="5" t="s">
        <v>1148</v>
      </c>
      <c r="K213" s="5" t="s">
        <v>241</v>
      </c>
      <c r="L213" s="6">
        <v>45665</v>
      </c>
      <c r="M213" s="6">
        <v>45665</v>
      </c>
      <c r="N213" s="5" t="s">
        <v>811</v>
      </c>
      <c r="O213" s="5" t="str">
        <f ca="1">IF(P213&lt;&gt;"EXPEDIÇÃO","Expedido",IF(NETWORKDAYS(C213,TODAY())&gt;=5,"Risco Alto",IF(NETWORKDAYS(C213,TODAY())&gt;=3,IF(NETWORKDAYS(C213,TODAY())&lt;5,"Risco Médio",""),IF(NETWORKDAYS(C213,TODAY())&lt;=2,"Risco Baixo",""))))</f>
        <v>Expedido</v>
      </c>
      <c r="P213" s="5" t="s">
        <v>25</v>
      </c>
      <c r="Q213" s="5" t="s">
        <v>793</v>
      </c>
      <c r="S213" s="7">
        <f>IF(ISBLANK(M213),"Aguardando Previsão/Data",NETWORKDAYS(L213,M213)-1)</f>
        <v>0</v>
      </c>
      <c r="T213" s="5" t="s">
        <v>942</v>
      </c>
    </row>
    <row r="214" spans="1:20" x14ac:dyDescent="0.35">
      <c r="A214" s="5">
        <v>8100269640</v>
      </c>
      <c r="B214" s="5">
        <v>10473</v>
      </c>
      <c r="C214" s="6">
        <v>45659</v>
      </c>
      <c r="D214" s="5" t="s">
        <v>239</v>
      </c>
      <c r="E214" s="5" t="s">
        <v>240</v>
      </c>
      <c r="F214" s="5" t="s">
        <v>160</v>
      </c>
      <c r="G214" s="5" t="s">
        <v>161</v>
      </c>
      <c r="H214" s="5" t="s">
        <v>218</v>
      </c>
      <c r="I214" s="5" t="s">
        <v>347</v>
      </c>
      <c r="J214" s="5" t="s">
        <v>1148</v>
      </c>
      <c r="K214" s="5" t="s">
        <v>241</v>
      </c>
      <c r="L214" s="6">
        <v>45665</v>
      </c>
      <c r="M214" s="6">
        <v>45665</v>
      </c>
      <c r="N214" s="5" t="s">
        <v>811</v>
      </c>
      <c r="O214" s="5" t="str">
        <f ca="1">IF(P214&lt;&gt;"EXPEDIÇÃO","Expedido",IF(NETWORKDAYS(C214,TODAY())&gt;=5,"Risco Alto",IF(NETWORKDAYS(C214,TODAY())&gt;=3,IF(NETWORKDAYS(C214,TODAY())&lt;5,"Risco Médio",""),IF(NETWORKDAYS(C214,TODAY())&lt;=2,"Risco Baixo",""))))</f>
        <v>Expedido</v>
      </c>
      <c r="P214" s="5" t="s">
        <v>25</v>
      </c>
      <c r="Q214" s="5" t="s">
        <v>793</v>
      </c>
      <c r="S214" s="7">
        <f>IF(ISBLANK(M214),"Aguardando Previsão/Data",NETWORKDAYS(L214,M214)-1)</f>
        <v>0</v>
      </c>
      <c r="T214" s="5" t="s">
        <v>942</v>
      </c>
    </row>
    <row r="215" spans="1:20" x14ac:dyDescent="0.35">
      <c r="A215" s="5">
        <v>8100269659</v>
      </c>
      <c r="B215" s="5">
        <v>10476</v>
      </c>
      <c r="C215" s="6">
        <v>45659</v>
      </c>
      <c r="D215" s="5" t="s">
        <v>239</v>
      </c>
      <c r="E215" s="5" t="s">
        <v>240</v>
      </c>
      <c r="F215" s="5" t="s">
        <v>242</v>
      </c>
      <c r="G215" s="5" t="s">
        <v>243</v>
      </c>
      <c r="H215" s="5" t="s">
        <v>218</v>
      </c>
      <c r="I215" s="5" t="s">
        <v>251</v>
      </c>
      <c r="J215" s="5" t="s">
        <v>252</v>
      </c>
      <c r="K215" s="5" t="s">
        <v>241</v>
      </c>
      <c r="L215" s="6">
        <v>45665</v>
      </c>
      <c r="M215" s="6">
        <v>45670</v>
      </c>
      <c r="N215" s="5" t="s">
        <v>812</v>
      </c>
      <c r="O215" s="5" t="str">
        <f ca="1">IF(P215&lt;&gt;"EXPEDIÇÃO","Expedido",IF(NETWORKDAYS(C215,TODAY())&gt;=5,"Risco Alto",IF(NETWORKDAYS(C215,TODAY())&gt;=3,IF(NETWORKDAYS(C215,TODAY())&lt;5,"Risco Médio",""),IF(NETWORKDAYS(C215,TODAY())&lt;=2,"Risco Baixo",""))))</f>
        <v>Expedido</v>
      </c>
      <c r="P215" s="5" t="s">
        <v>25</v>
      </c>
      <c r="Q215" s="5" t="s">
        <v>899</v>
      </c>
      <c r="S215" s="7">
        <f>IF(ISBLANK(M215),"Aguardando Previsão/Data",NETWORKDAYS(L215,M215)-1)</f>
        <v>3</v>
      </c>
      <c r="T215" s="5" t="s">
        <v>942</v>
      </c>
    </row>
    <row r="216" spans="1:20" x14ac:dyDescent="0.35">
      <c r="A216" s="5">
        <v>8100269663</v>
      </c>
      <c r="B216" s="5">
        <v>10477</v>
      </c>
      <c r="C216" s="6">
        <v>45659</v>
      </c>
      <c r="D216" s="5" t="s">
        <v>239</v>
      </c>
      <c r="E216" s="5" t="s">
        <v>240</v>
      </c>
      <c r="F216" s="5" t="s">
        <v>242</v>
      </c>
      <c r="G216" s="5" t="s">
        <v>243</v>
      </c>
      <c r="H216" s="5" t="s">
        <v>218</v>
      </c>
      <c r="I216" s="5" t="s">
        <v>251</v>
      </c>
      <c r="J216" s="5" t="s">
        <v>252</v>
      </c>
      <c r="K216" s="5" t="s">
        <v>241</v>
      </c>
      <c r="L216" s="6">
        <v>45665</v>
      </c>
      <c r="M216" s="6">
        <v>45670</v>
      </c>
      <c r="N216" s="5" t="s">
        <v>812</v>
      </c>
      <c r="O216" s="5" t="str">
        <f ca="1">IF(P216&lt;&gt;"EXPEDIÇÃO","Expedido",IF(NETWORKDAYS(C216,TODAY())&gt;=5,"Risco Alto",IF(NETWORKDAYS(C216,TODAY())&gt;=3,IF(NETWORKDAYS(C216,TODAY())&lt;5,"Risco Médio",""),IF(NETWORKDAYS(C216,TODAY())&lt;=2,"Risco Baixo",""))))</f>
        <v>Expedido</v>
      </c>
      <c r="P216" s="5" t="s">
        <v>25</v>
      </c>
      <c r="Q216" s="5" t="s">
        <v>899</v>
      </c>
      <c r="S216" s="7">
        <f>IF(ISBLANK(M216),"Aguardando Previsão/Data",NETWORKDAYS(L216,M216)-1)</f>
        <v>3</v>
      </c>
      <c r="T216" s="5" t="s">
        <v>942</v>
      </c>
    </row>
    <row r="217" spans="1:20" x14ac:dyDescent="0.35">
      <c r="A217" s="5">
        <v>8100269664</v>
      </c>
      <c r="B217" s="5">
        <v>10478</v>
      </c>
      <c r="C217" s="6">
        <v>45659</v>
      </c>
      <c r="D217" s="5" t="s">
        <v>239</v>
      </c>
      <c r="E217" s="5" t="s">
        <v>240</v>
      </c>
      <c r="F217" s="5" t="s">
        <v>242</v>
      </c>
      <c r="G217" s="5" t="s">
        <v>243</v>
      </c>
      <c r="H217" s="5" t="s">
        <v>218</v>
      </c>
      <c r="I217" s="5" t="s">
        <v>251</v>
      </c>
      <c r="J217" s="5" t="s">
        <v>252</v>
      </c>
      <c r="K217" s="5" t="s">
        <v>241</v>
      </c>
      <c r="L217" s="6">
        <v>45665</v>
      </c>
      <c r="M217" s="6">
        <v>45670</v>
      </c>
      <c r="N217" s="5" t="s">
        <v>812</v>
      </c>
      <c r="O217" s="5" t="str">
        <f ca="1">IF(P217&lt;&gt;"EXPEDIÇÃO","Expedido",IF(NETWORKDAYS(C217,TODAY())&gt;=5,"Risco Alto",IF(NETWORKDAYS(C217,TODAY())&gt;=3,IF(NETWORKDAYS(C217,TODAY())&lt;5,"Risco Médio",""),IF(NETWORKDAYS(C217,TODAY())&lt;=2,"Risco Baixo",""))))</f>
        <v>Expedido</v>
      </c>
      <c r="P217" s="5" t="s">
        <v>25</v>
      </c>
      <c r="Q217" s="5" t="s">
        <v>899</v>
      </c>
      <c r="S217" s="7">
        <f>IF(ISBLANK(M217),"Aguardando Previsão/Data",NETWORKDAYS(L217,M217)-1)</f>
        <v>3</v>
      </c>
      <c r="T217" s="5" t="s">
        <v>942</v>
      </c>
    </row>
    <row r="218" spans="1:20" x14ac:dyDescent="0.35">
      <c r="A218" s="5">
        <v>8100269665</v>
      </c>
      <c r="B218" s="5">
        <v>10496</v>
      </c>
      <c r="C218" s="6">
        <v>45659</v>
      </c>
      <c r="D218" s="5" t="s">
        <v>239</v>
      </c>
      <c r="E218" s="5" t="s">
        <v>240</v>
      </c>
      <c r="F218" s="5" t="s">
        <v>242</v>
      </c>
      <c r="G218" s="5" t="s">
        <v>243</v>
      </c>
      <c r="H218" s="5" t="s">
        <v>218</v>
      </c>
      <c r="I218" s="5" t="s">
        <v>706</v>
      </c>
      <c r="J218" s="5" t="s">
        <v>707</v>
      </c>
      <c r="K218" s="5" t="s">
        <v>241</v>
      </c>
      <c r="L218" s="6">
        <v>45666</v>
      </c>
      <c r="M218" s="6">
        <v>45667</v>
      </c>
      <c r="N218" s="5"/>
      <c r="O218" s="5" t="str">
        <f ca="1">IF(P218&lt;&gt;"EXPEDIÇÃO","Expedido",IF(NETWORKDAYS(C218,TODAY())&gt;=5,"Risco Alto",IF(NETWORKDAYS(C218,TODAY())&gt;=3,IF(NETWORKDAYS(C218,TODAY())&lt;5,"Risco Médio",""),IF(NETWORKDAYS(C218,TODAY())&lt;=2,"Risco Baixo",""))))</f>
        <v>Expedido</v>
      </c>
      <c r="P218" s="5" t="s">
        <v>145</v>
      </c>
      <c r="Q218" s="5" t="s">
        <v>363</v>
      </c>
      <c r="R218" s="5">
        <v>3078385</v>
      </c>
      <c r="S218" s="7">
        <f>IF(ISBLANK(M218),"Aguardando Previsão/Data",NETWORKDAYS(L218,M218)-1)</f>
        <v>1</v>
      </c>
      <c r="T218" s="5" t="s">
        <v>942</v>
      </c>
    </row>
    <row r="219" spans="1:20" x14ac:dyDescent="0.35">
      <c r="A219" s="5">
        <v>8100269666</v>
      </c>
      <c r="B219" s="5">
        <v>10497</v>
      </c>
      <c r="C219" s="6">
        <v>45659</v>
      </c>
      <c r="D219" s="5" t="s">
        <v>239</v>
      </c>
      <c r="E219" s="5" t="s">
        <v>240</v>
      </c>
      <c r="F219" s="5" t="s">
        <v>242</v>
      </c>
      <c r="G219" s="5" t="s">
        <v>243</v>
      </c>
      <c r="H219" s="5" t="s">
        <v>218</v>
      </c>
      <c r="I219" s="5" t="s">
        <v>706</v>
      </c>
      <c r="J219" s="5" t="s">
        <v>707</v>
      </c>
      <c r="K219" s="5" t="s">
        <v>241</v>
      </c>
      <c r="L219" s="6">
        <v>45666</v>
      </c>
      <c r="M219" s="6">
        <v>45667</v>
      </c>
      <c r="N219" s="5" t="s">
        <v>811</v>
      </c>
      <c r="O219" s="5" t="str">
        <f ca="1">IF(P219&lt;&gt;"EXPEDIÇÃO","Expedido",IF(NETWORKDAYS(C219,TODAY())&gt;=5,"Risco Alto",IF(NETWORKDAYS(C219,TODAY())&gt;=3,IF(NETWORKDAYS(C219,TODAY())&lt;5,"Risco Médio",""),IF(NETWORKDAYS(C219,TODAY())&lt;=2,"Risco Baixo",""))))</f>
        <v>Expedido</v>
      </c>
      <c r="P219" s="5" t="s">
        <v>25</v>
      </c>
      <c r="Q219" s="5" t="s">
        <v>897</v>
      </c>
      <c r="S219" s="7">
        <f>IF(ISBLANK(M219),"Aguardando Previsão/Data",NETWORKDAYS(L219,M219)-1)</f>
        <v>1</v>
      </c>
      <c r="T219" s="5" t="s">
        <v>942</v>
      </c>
    </row>
    <row r="220" spans="1:20" x14ac:dyDescent="0.35">
      <c r="A220" s="5">
        <v>8100269667</v>
      </c>
      <c r="B220" s="5">
        <v>10501</v>
      </c>
      <c r="C220" s="6">
        <v>45659</v>
      </c>
      <c r="D220" s="5" t="s">
        <v>239</v>
      </c>
      <c r="E220" s="5" t="s">
        <v>240</v>
      </c>
      <c r="F220" s="5" t="s">
        <v>242</v>
      </c>
      <c r="G220" s="5" t="s">
        <v>243</v>
      </c>
      <c r="H220" s="5" t="s">
        <v>218</v>
      </c>
      <c r="I220" s="5" t="s">
        <v>251</v>
      </c>
      <c r="J220" s="5" t="s">
        <v>252</v>
      </c>
      <c r="K220" s="5" t="s">
        <v>241</v>
      </c>
      <c r="L220" s="6">
        <v>45665</v>
      </c>
      <c r="M220" s="6">
        <v>45670</v>
      </c>
      <c r="N220" s="5" t="s">
        <v>812</v>
      </c>
      <c r="O220" s="5" t="str">
        <f ca="1">IF(P220&lt;&gt;"EXPEDIÇÃO","Expedido",IF(NETWORKDAYS(C220,TODAY())&gt;=5,"Risco Alto",IF(NETWORKDAYS(C220,TODAY())&gt;=3,IF(NETWORKDAYS(C220,TODAY())&lt;5,"Risco Médio",""),IF(NETWORKDAYS(C220,TODAY())&lt;=2,"Risco Baixo",""))))</f>
        <v>Expedido</v>
      </c>
      <c r="P220" s="5" t="s">
        <v>25</v>
      </c>
      <c r="Q220" s="5" t="s">
        <v>899</v>
      </c>
      <c r="S220" s="7">
        <f>IF(ISBLANK(M220),"Aguardando Previsão/Data",NETWORKDAYS(L220,M220)-1)</f>
        <v>3</v>
      </c>
      <c r="T220" s="5" t="s">
        <v>942</v>
      </c>
    </row>
    <row r="221" spans="1:20" x14ac:dyDescent="0.35">
      <c r="A221" s="5">
        <v>8100269668</v>
      </c>
      <c r="B221" s="5">
        <v>10488</v>
      </c>
      <c r="C221" s="6">
        <v>45659</v>
      </c>
      <c r="D221" s="5" t="s">
        <v>239</v>
      </c>
      <c r="E221" s="5" t="s">
        <v>240</v>
      </c>
      <c r="F221" s="5" t="s">
        <v>242</v>
      </c>
      <c r="G221" s="5" t="s">
        <v>243</v>
      </c>
      <c r="H221" s="5" t="s">
        <v>218</v>
      </c>
      <c r="I221" s="5" t="s">
        <v>460</v>
      </c>
      <c r="J221" s="5" t="s">
        <v>461</v>
      </c>
      <c r="K221" s="5" t="s">
        <v>241</v>
      </c>
      <c r="L221" s="6">
        <v>45665</v>
      </c>
      <c r="M221" s="6">
        <v>45666</v>
      </c>
      <c r="N221" s="5" t="s">
        <v>811</v>
      </c>
      <c r="O221" s="5" t="str">
        <f ca="1">IF(P221&lt;&gt;"EXPEDIÇÃO","Expedido",IF(NETWORKDAYS(C221,TODAY())&gt;=5,"Risco Alto",IF(NETWORKDAYS(C221,TODAY())&gt;=3,IF(NETWORKDAYS(C221,TODAY())&lt;5,"Risco Médio",""),IF(NETWORKDAYS(C221,TODAY())&lt;=2,"Risco Baixo",""))))</f>
        <v>Expedido</v>
      </c>
      <c r="P221" s="5" t="s">
        <v>25</v>
      </c>
      <c r="Q221" s="5" t="s">
        <v>897</v>
      </c>
      <c r="S221" s="7">
        <f>IF(ISBLANK(M221),"Aguardando Previsão/Data",NETWORKDAYS(L221,M221)-1)</f>
        <v>1</v>
      </c>
      <c r="T221" s="5" t="s">
        <v>942</v>
      </c>
    </row>
    <row r="222" spans="1:20" x14ac:dyDescent="0.35">
      <c r="A222" s="5">
        <v>8100269671</v>
      </c>
      <c r="B222" s="5">
        <v>10479</v>
      </c>
      <c r="C222" s="6">
        <v>45659</v>
      </c>
      <c r="D222" s="5" t="s">
        <v>239</v>
      </c>
      <c r="E222" s="5" t="s">
        <v>240</v>
      </c>
      <c r="F222" s="5" t="s">
        <v>242</v>
      </c>
      <c r="G222" s="5" t="s">
        <v>243</v>
      </c>
      <c r="H222" s="5" t="s">
        <v>218</v>
      </c>
      <c r="I222" s="5" t="s">
        <v>251</v>
      </c>
      <c r="J222" s="5" t="s">
        <v>252</v>
      </c>
      <c r="K222" s="5" t="s">
        <v>241</v>
      </c>
      <c r="L222" s="6">
        <v>45665</v>
      </c>
      <c r="M222" s="6">
        <v>45670</v>
      </c>
      <c r="N222" s="5" t="s">
        <v>812</v>
      </c>
      <c r="O222" s="5" t="str">
        <f ca="1">IF(P222&lt;&gt;"EXPEDIÇÃO","Expedido",IF(NETWORKDAYS(C222,TODAY())&gt;=5,"Risco Alto",IF(NETWORKDAYS(C222,TODAY())&gt;=3,IF(NETWORKDAYS(C222,TODAY())&lt;5,"Risco Médio",""),IF(NETWORKDAYS(C222,TODAY())&lt;=2,"Risco Baixo",""))))</f>
        <v>Expedido</v>
      </c>
      <c r="P222" s="5" t="s">
        <v>25</v>
      </c>
      <c r="Q222" s="5" t="s">
        <v>899</v>
      </c>
      <c r="S222" s="7">
        <f>IF(ISBLANK(M222),"Aguardando Previsão/Data",NETWORKDAYS(L222,M222)-1)</f>
        <v>3</v>
      </c>
      <c r="T222" s="5" t="s">
        <v>942</v>
      </c>
    </row>
    <row r="223" spans="1:20" x14ac:dyDescent="0.35">
      <c r="A223" s="5">
        <v>8100269672</v>
      </c>
      <c r="B223" s="5">
        <v>10489</v>
      </c>
      <c r="C223" s="6">
        <v>45659</v>
      </c>
      <c r="D223" s="5" t="s">
        <v>239</v>
      </c>
      <c r="E223" s="5" t="s">
        <v>240</v>
      </c>
      <c r="F223" s="5" t="s">
        <v>242</v>
      </c>
      <c r="G223" s="5" t="s">
        <v>243</v>
      </c>
      <c r="H223" s="5" t="s">
        <v>218</v>
      </c>
      <c r="I223" s="5" t="s">
        <v>182</v>
      </c>
      <c r="J223" s="5" t="s">
        <v>668</v>
      </c>
      <c r="K223" s="5" t="s">
        <v>241</v>
      </c>
      <c r="L223" s="6">
        <v>45665</v>
      </c>
      <c r="M223" s="6">
        <v>45671</v>
      </c>
      <c r="N223" s="5" t="s">
        <v>812</v>
      </c>
      <c r="O223" s="5" t="str">
        <f ca="1">IF(P223&lt;&gt;"EXPEDIÇÃO","Expedido",IF(NETWORKDAYS(C223,TODAY())&gt;=5,"Risco Alto",IF(NETWORKDAYS(C223,TODAY())&gt;=3,IF(NETWORKDAYS(C223,TODAY())&lt;5,"Risco Médio",""),IF(NETWORKDAYS(C223,TODAY())&lt;=2,"Risco Baixo",""))))</f>
        <v>Expedido</v>
      </c>
      <c r="P223" s="5" t="s">
        <v>25</v>
      </c>
      <c r="Q223" s="5" t="s">
        <v>899</v>
      </c>
      <c r="S223" s="7">
        <f>IF(ISBLANK(M223),"Aguardando Previsão/Data",NETWORKDAYS(L223,M223)-1)</f>
        <v>4</v>
      </c>
      <c r="T223" s="5" t="s">
        <v>942</v>
      </c>
    </row>
    <row r="224" spans="1:20" x14ac:dyDescent="0.35">
      <c r="A224" s="5">
        <v>8100269673</v>
      </c>
      <c r="B224" s="5">
        <v>10498</v>
      </c>
      <c r="C224" s="6">
        <v>45659</v>
      </c>
      <c r="D224" s="5" t="s">
        <v>239</v>
      </c>
      <c r="E224" s="5" t="s">
        <v>240</v>
      </c>
      <c r="F224" s="5" t="s">
        <v>242</v>
      </c>
      <c r="G224" s="5" t="s">
        <v>243</v>
      </c>
      <c r="H224" s="5" t="s">
        <v>218</v>
      </c>
      <c r="I224" s="5" t="s">
        <v>706</v>
      </c>
      <c r="J224" s="5" t="s">
        <v>707</v>
      </c>
      <c r="K224" s="5" t="s">
        <v>241</v>
      </c>
      <c r="L224" s="6">
        <v>45666</v>
      </c>
      <c r="M224" s="6">
        <v>45667</v>
      </c>
      <c r="N224" s="5" t="s">
        <v>811</v>
      </c>
      <c r="O224" s="5" t="str">
        <f ca="1">IF(P224&lt;&gt;"EXPEDIÇÃO","Expedido",IF(NETWORKDAYS(C224,TODAY())&gt;=5,"Risco Alto",IF(NETWORKDAYS(C224,TODAY())&gt;=3,IF(NETWORKDAYS(C224,TODAY())&lt;5,"Risco Médio",""),IF(NETWORKDAYS(C224,TODAY())&lt;=2,"Risco Baixo",""))))</f>
        <v>Expedido</v>
      </c>
      <c r="P224" s="5" t="s">
        <v>25</v>
      </c>
      <c r="Q224" s="5" t="s">
        <v>897</v>
      </c>
      <c r="S224" s="7">
        <f>IF(ISBLANK(M224),"Aguardando Previsão/Data",NETWORKDAYS(L224,M224)-1)</f>
        <v>1</v>
      </c>
      <c r="T224" s="5" t="s">
        <v>942</v>
      </c>
    </row>
    <row r="225" spans="1:20" x14ac:dyDescent="0.35">
      <c r="A225" s="5">
        <v>8100269674</v>
      </c>
      <c r="B225" s="5">
        <v>10499</v>
      </c>
      <c r="C225" s="6">
        <v>45659</v>
      </c>
      <c r="D225" s="5" t="s">
        <v>239</v>
      </c>
      <c r="E225" s="5" t="s">
        <v>240</v>
      </c>
      <c r="F225" s="5" t="s">
        <v>242</v>
      </c>
      <c r="G225" s="5" t="s">
        <v>243</v>
      </c>
      <c r="H225" s="5" t="s">
        <v>218</v>
      </c>
      <c r="I225" s="5" t="s">
        <v>706</v>
      </c>
      <c r="J225" s="5" t="s">
        <v>707</v>
      </c>
      <c r="K225" s="5" t="s">
        <v>241</v>
      </c>
      <c r="L225" s="6">
        <v>45666</v>
      </c>
      <c r="M225" s="6">
        <v>45667</v>
      </c>
      <c r="N225" s="5" t="s">
        <v>811</v>
      </c>
      <c r="O225" s="5" t="str">
        <f ca="1">IF(P225&lt;&gt;"EXPEDIÇÃO","Expedido",IF(NETWORKDAYS(C225,TODAY())&gt;=5,"Risco Alto",IF(NETWORKDAYS(C225,TODAY())&gt;=3,IF(NETWORKDAYS(C225,TODAY())&lt;5,"Risco Médio",""),IF(NETWORKDAYS(C225,TODAY())&lt;=2,"Risco Baixo",""))))</f>
        <v>Expedido</v>
      </c>
      <c r="P225" s="5" t="s">
        <v>25</v>
      </c>
      <c r="Q225" s="5" t="s">
        <v>897</v>
      </c>
      <c r="S225" s="7">
        <f>IF(ISBLANK(M225),"Aguardando Previsão/Data",NETWORKDAYS(L225,M225)-1)</f>
        <v>1</v>
      </c>
      <c r="T225" s="5" t="s">
        <v>942</v>
      </c>
    </row>
    <row r="226" spans="1:20" x14ac:dyDescent="0.35">
      <c r="A226" s="5">
        <v>8100269675</v>
      </c>
      <c r="B226" s="5">
        <v>10482</v>
      </c>
      <c r="C226" s="6">
        <v>45659</v>
      </c>
      <c r="D226" s="5" t="s">
        <v>239</v>
      </c>
      <c r="E226" s="5" t="s">
        <v>240</v>
      </c>
      <c r="F226" s="5" t="s">
        <v>242</v>
      </c>
      <c r="G226" s="5" t="s">
        <v>243</v>
      </c>
      <c r="H226" s="5" t="s">
        <v>218</v>
      </c>
      <c r="I226" s="5" t="s">
        <v>182</v>
      </c>
      <c r="J226" s="5" t="s">
        <v>668</v>
      </c>
      <c r="K226" s="5" t="s">
        <v>241</v>
      </c>
      <c r="L226" s="6">
        <v>45665</v>
      </c>
      <c r="M226" s="6">
        <v>45671</v>
      </c>
      <c r="N226" s="5" t="s">
        <v>812</v>
      </c>
      <c r="O226" s="5" t="str">
        <f ca="1">IF(P226&lt;&gt;"EXPEDIÇÃO","Expedido",IF(NETWORKDAYS(C226,TODAY())&gt;=5,"Risco Alto",IF(NETWORKDAYS(C226,TODAY())&gt;=3,IF(NETWORKDAYS(C226,TODAY())&lt;5,"Risco Médio",""),IF(NETWORKDAYS(C226,TODAY())&lt;=2,"Risco Baixo",""))))</f>
        <v>Expedido</v>
      </c>
      <c r="P226" s="5" t="s">
        <v>25</v>
      </c>
      <c r="Q226" s="5" t="s">
        <v>899</v>
      </c>
      <c r="S226" s="7">
        <f>IF(ISBLANK(M226),"Aguardando Previsão/Data",NETWORKDAYS(L226,M226)-1)</f>
        <v>4</v>
      </c>
      <c r="T226" s="5" t="s">
        <v>942</v>
      </c>
    </row>
    <row r="227" spans="1:20" x14ac:dyDescent="0.35">
      <c r="A227" s="5">
        <v>8100269676</v>
      </c>
      <c r="B227" s="5">
        <v>10490</v>
      </c>
      <c r="C227" s="6">
        <v>45659</v>
      </c>
      <c r="D227" s="5" t="s">
        <v>239</v>
      </c>
      <c r="E227" s="5" t="s">
        <v>240</v>
      </c>
      <c r="F227" s="5" t="s">
        <v>242</v>
      </c>
      <c r="G227" s="5" t="s">
        <v>243</v>
      </c>
      <c r="H227" s="5" t="s">
        <v>218</v>
      </c>
      <c r="I227" s="5" t="s">
        <v>182</v>
      </c>
      <c r="J227" s="5" t="s">
        <v>668</v>
      </c>
      <c r="K227" s="5" t="s">
        <v>241</v>
      </c>
      <c r="L227" s="6">
        <v>45665</v>
      </c>
      <c r="M227" s="6">
        <v>45671</v>
      </c>
      <c r="N227" s="5" t="s">
        <v>812</v>
      </c>
      <c r="O227" s="5" t="str">
        <f ca="1">IF(P227&lt;&gt;"EXPEDIÇÃO","Expedido",IF(NETWORKDAYS(C227,TODAY())&gt;=5,"Risco Alto",IF(NETWORKDAYS(C227,TODAY())&gt;=3,IF(NETWORKDAYS(C227,TODAY())&lt;5,"Risco Médio",""),IF(NETWORKDAYS(C227,TODAY())&lt;=2,"Risco Baixo",""))))</f>
        <v>Expedido</v>
      </c>
      <c r="P227" s="5" t="s">
        <v>25</v>
      </c>
      <c r="Q227" s="5" t="s">
        <v>899</v>
      </c>
      <c r="S227" s="7">
        <f>IF(ISBLANK(M227),"Aguardando Previsão/Data",NETWORKDAYS(L227,M227)-1)</f>
        <v>4</v>
      </c>
      <c r="T227" s="5" t="s">
        <v>942</v>
      </c>
    </row>
    <row r="228" spans="1:20" x14ac:dyDescent="0.35">
      <c r="A228" s="5">
        <v>8100269677</v>
      </c>
      <c r="B228" s="5">
        <v>10491</v>
      </c>
      <c r="C228" s="6">
        <v>45659</v>
      </c>
      <c r="D228" s="5" t="s">
        <v>239</v>
      </c>
      <c r="E228" s="5" t="s">
        <v>240</v>
      </c>
      <c r="F228" s="5" t="s">
        <v>242</v>
      </c>
      <c r="G228" s="5" t="s">
        <v>243</v>
      </c>
      <c r="H228" s="5" t="s">
        <v>218</v>
      </c>
      <c r="I228" s="5" t="s">
        <v>182</v>
      </c>
      <c r="J228" s="5" t="s">
        <v>668</v>
      </c>
      <c r="K228" s="5" t="s">
        <v>241</v>
      </c>
      <c r="L228" s="6">
        <v>45665</v>
      </c>
      <c r="M228" s="6">
        <v>45671</v>
      </c>
      <c r="N228" s="5" t="s">
        <v>812</v>
      </c>
      <c r="O228" s="5" t="str">
        <f ca="1">IF(P228&lt;&gt;"EXPEDIÇÃO","Expedido",IF(NETWORKDAYS(C228,TODAY())&gt;=5,"Risco Alto",IF(NETWORKDAYS(C228,TODAY())&gt;=3,IF(NETWORKDAYS(C228,TODAY())&lt;5,"Risco Médio",""),IF(NETWORKDAYS(C228,TODAY())&lt;=2,"Risco Baixo",""))))</f>
        <v>Expedido</v>
      </c>
      <c r="P228" s="5" t="s">
        <v>25</v>
      </c>
      <c r="Q228" s="5" t="s">
        <v>899</v>
      </c>
      <c r="S228" s="7">
        <f>IF(ISBLANK(M228),"Aguardando Previsão/Data",NETWORKDAYS(L228,M228)-1)</f>
        <v>4</v>
      </c>
      <c r="T228" s="5" t="s">
        <v>942</v>
      </c>
    </row>
    <row r="229" spans="1:20" x14ac:dyDescent="0.35">
      <c r="A229" s="5">
        <v>8100269678</v>
      </c>
      <c r="B229" s="5">
        <v>10483</v>
      </c>
      <c r="C229" s="6">
        <v>45659</v>
      </c>
      <c r="D229" s="5" t="s">
        <v>239</v>
      </c>
      <c r="E229" s="5" t="s">
        <v>240</v>
      </c>
      <c r="F229" s="5" t="s">
        <v>242</v>
      </c>
      <c r="G229" s="5" t="s">
        <v>243</v>
      </c>
      <c r="H229" s="5" t="s">
        <v>218</v>
      </c>
      <c r="I229" s="5" t="s">
        <v>182</v>
      </c>
      <c r="J229" s="5" t="s">
        <v>668</v>
      </c>
      <c r="K229" s="5" t="s">
        <v>241</v>
      </c>
      <c r="L229" s="6">
        <v>45665</v>
      </c>
      <c r="M229" s="6">
        <v>45671</v>
      </c>
      <c r="N229" s="5" t="s">
        <v>812</v>
      </c>
      <c r="O229" s="5" t="str">
        <f ca="1">IF(P229&lt;&gt;"EXPEDIÇÃO","Expedido",IF(NETWORKDAYS(C229,TODAY())&gt;=5,"Risco Alto",IF(NETWORKDAYS(C229,TODAY())&gt;=3,IF(NETWORKDAYS(C229,TODAY())&lt;5,"Risco Médio",""),IF(NETWORKDAYS(C229,TODAY())&lt;=2,"Risco Baixo",""))))</f>
        <v>Expedido</v>
      </c>
      <c r="P229" s="5" t="s">
        <v>25</v>
      </c>
      <c r="Q229" s="5" t="s">
        <v>899</v>
      </c>
      <c r="S229" s="7">
        <f>IF(ISBLANK(M229),"Aguardando Previsão/Data",NETWORKDAYS(L229,M229)-1)</f>
        <v>4</v>
      </c>
      <c r="T229" s="5" t="s">
        <v>942</v>
      </c>
    </row>
    <row r="230" spans="1:20" x14ac:dyDescent="0.35">
      <c r="A230" s="5">
        <v>8100269680</v>
      </c>
      <c r="B230" s="5">
        <v>10474</v>
      </c>
      <c r="C230" s="6">
        <v>45659</v>
      </c>
      <c r="D230" s="5" t="s">
        <v>239</v>
      </c>
      <c r="E230" s="5" t="s">
        <v>240</v>
      </c>
      <c r="F230" s="5" t="s">
        <v>242</v>
      </c>
      <c r="G230" s="5" t="s">
        <v>243</v>
      </c>
      <c r="H230" s="5" t="s">
        <v>218</v>
      </c>
      <c r="I230" s="5" t="s">
        <v>352</v>
      </c>
      <c r="J230" s="5" t="s">
        <v>353</v>
      </c>
      <c r="K230" s="5" t="s">
        <v>241</v>
      </c>
      <c r="L230" s="6">
        <v>45665</v>
      </c>
      <c r="M230" s="6">
        <v>45670</v>
      </c>
      <c r="N230" s="5" t="s">
        <v>812</v>
      </c>
      <c r="O230" s="5" t="str">
        <f ca="1">IF(P230&lt;&gt;"EXPEDIÇÃO","Expedido",IF(NETWORKDAYS(C230,TODAY())&gt;=5,"Risco Alto",IF(NETWORKDAYS(C230,TODAY())&gt;=3,IF(NETWORKDAYS(C230,TODAY())&lt;5,"Risco Médio",""),IF(NETWORKDAYS(C230,TODAY())&lt;=2,"Risco Baixo",""))))</f>
        <v>Expedido</v>
      </c>
      <c r="P230" s="5" t="s">
        <v>25</v>
      </c>
      <c r="Q230" s="5" t="s">
        <v>899</v>
      </c>
      <c r="S230" s="7">
        <f>IF(ISBLANK(M230),"Aguardando Previsão/Data",NETWORKDAYS(L230,M230)-1)</f>
        <v>3</v>
      </c>
      <c r="T230" s="5" t="s">
        <v>942</v>
      </c>
    </row>
    <row r="231" spans="1:20" x14ac:dyDescent="0.35">
      <c r="A231" s="5">
        <v>8100269681</v>
      </c>
      <c r="B231" s="5">
        <v>10480</v>
      </c>
      <c r="C231" s="6">
        <v>45659</v>
      </c>
      <c r="D231" s="5" t="s">
        <v>239</v>
      </c>
      <c r="E231" s="5" t="s">
        <v>240</v>
      </c>
      <c r="F231" s="5" t="s">
        <v>242</v>
      </c>
      <c r="G231" s="5" t="s">
        <v>243</v>
      </c>
      <c r="H231" s="5" t="s">
        <v>218</v>
      </c>
      <c r="I231" s="5" t="s">
        <v>251</v>
      </c>
      <c r="J231" s="5" t="s">
        <v>252</v>
      </c>
      <c r="K231" s="5" t="s">
        <v>241</v>
      </c>
      <c r="L231" s="6">
        <v>45665</v>
      </c>
      <c r="M231" s="6">
        <v>45670</v>
      </c>
      <c r="N231" s="5" t="s">
        <v>812</v>
      </c>
      <c r="O231" s="5" t="str">
        <f ca="1">IF(P231&lt;&gt;"EXPEDIÇÃO","Expedido",IF(NETWORKDAYS(C231,TODAY())&gt;=5,"Risco Alto",IF(NETWORKDAYS(C231,TODAY())&gt;=3,IF(NETWORKDAYS(C231,TODAY())&lt;5,"Risco Médio",""),IF(NETWORKDAYS(C231,TODAY())&lt;=2,"Risco Baixo",""))))</f>
        <v>Expedido</v>
      </c>
      <c r="P231" s="5" t="s">
        <v>25</v>
      </c>
      <c r="Q231" s="5" t="s">
        <v>899</v>
      </c>
      <c r="S231" s="7">
        <f>IF(ISBLANK(M231),"Aguardando Previsão/Data",NETWORKDAYS(L231,M231)-1)</f>
        <v>3</v>
      </c>
      <c r="T231" s="5" t="s">
        <v>942</v>
      </c>
    </row>
    <row r="232" spans="1:20" x14ac:dyDescent="0.35">
      <c r="A232" s="5">
        <v>8100269682</v>
      </c>
      <c r="B232" s="5">
        <v>10485</v>
      </c>
      <c r="C232" s="6">
        <v>45659</v>
      </c>
      <c r="D232" s="5" t="s">
        <v>239</v>
      </c>
      <c r="E232" s="5" t="s">
        <v>240</v>
      </c>
      <c r="F232" s="5" t="s">
        <v>242</v>
      </c>
      <c r="G232" s="5" t="s">
        <v>243</v>
      </c>
      <c r="H232" s="5" t="s">
        <v>218</v>
      </c>
      <c r="I232" s="5" t="s">
        <v>251</v>
      </c>
      <c r="J232" s="5" t="s">
        <v>252</v>
      </c>
      <c r="K232" s="5" t="s">
        <v>241</v>
      </c>
      <c r="L232" s="6">
        <v>45665</v>
      </c>
      <c r="M232" s="6">
        <v>45670</v>
      </c>
      <c r="N232" s="5" t="s">
        <v>812</v>
      </c>
      <c r="O232" s="5" t="str">
        <f ca="1">IF(P232&lt;&gt;"EXPEDIÇÃO","Expedido",IF(NETWORKDAYS(C232,TODAY())&gt;=5,"Risco Alto",IF(NETWORKDAYS(C232,TODAY())&gt;=3,IF(NETWORKDAYS(C232,TODAY())&lt;5,"Risco Médio",""),IF(NETWORKDAYS(C232,TODAY())&lt;=2,"Risco Baixo",""))))</f>
        <v>Expedido</v>
      </c>
      <c r="P232" s="5" t="s">
        <v>25</v>
      </c>
      <c r="Q232" s="5" t="s">
        <v>899</v>
      </c>
      <c r="S232" s="7">
        <f>IF(ISBLANK(M232),"Aguardando Previsão/Data",NETWORKDAYS(L232,M232)-1)</f>
        <v>3</v>
      </c>
      <c r="T232" s="5" t="s">
        <v>942</v>
      </c>
    </row>
    <row r="233" spans="1:20" x14ac:dyDescent="0.35">
      <c r="A233" s="5">
        <v>8100269683</v>
      </c>
      <c r="B233" s="5">
        <v>10492</v>
      </c>
      <c r="C233" s="6">
        <v>45659</v>
      </c>
      <c r="D233" s="5" t="s">
        <v>239</v>
      </c>
      <c r="E233" s="5" t="s">
        <v>240</v>
      </c>
      <c r="F233" s="5" t="s">
        <v>242</v>
      </c>
      <c r="G233" s="5" t="s">
        <v>243</v>
      </c>
      <c r="H233" s="5" t="s">
        <v>218</v>
      </c>
      <c r="I233" s="5" t="s">
        <v>182</v>
      </c>
      <c r="J233" s="5" t="s">
        <v>668</v>
      </c>
      <c r="K233" s="5" t="s">
        <v>241</v>
      </c>
      <c r="L233" s="6">
        <v>45665</v>
      </c>
      <c r="M233" s="6">
        <v>45671</v>
      </c>
      <c r="N233" s="5" t="s">
        <v>812</v>
      </c>
      <c r="O233" s="5" t="str">
        <f ca="1">IF(P233&lt;&gt;"EXPEDIÇÃO","Expedido",IF(NETWORKDAYS(C233,TODAY())&gt;=5,"Risco Alto",IF(NETWORKDAYS(C233,TODAY())&gt;=3,IF(NETWORKDAYS(C233,TODAY())&lt;5,"Risco Médio",""),IF(NETWORKDAYS(C233,TODAY())&lt;=2,"Risco Baixo",""))))</f>
        <v>Expedido</v>
      </c>
      <c r="P233" s="5" t="s">
        <v>25</v>
      </c>
      <c r="Q233" s="5" t="s">
        <v>899</v>
      </c>
      <c r="S233" s="7">
        <f>IF(ISBLANK(M233),"Aguardando Previsão/Data",NETWORKDAYS(L233,M233)-1)</f>
        <v>4</v>
      </c>
      <c r="T233" s="5" t="s">
        <v>942</v>
      </c>
    </row>
    <row r="234" spans="1:20" x14ac:dyDescent="0.35">
      <c r="A234" s="5">
        <v>8100269684</v>
      </c>
      <c r="B234" s="5">
        <v>10484</v>
      </c>
      <c r="C234" s="6">
        <v>45659</v>
      </c>
      <c r="D234" s="5" t="s">
        <v>239</v>
      </c>
      <c r="E234" s="5" t="s">
        <v>240</v>
      </c>
      <c r="F234" s="5" t="s">
        <v>242</v>
      </c>
      <c r="G234" s="5" t="s">
        <v>243</v>
      </c>
      <c r="H234" s="5" t="s">
        <v>218</v>
      </c>
      <c r="I234" s="5" t="s">
        <v>182</v>
      </c>
      <c r="J234" s="5" t="s">
        <v>668</v>
      </c>
      <c r="K234" s="5" t="s">
        <v>241</v>
      </c>
      <c r="L234" s="6">
        <v>45665</v>
      </c>
      <c r="M234" s="6">
        <v>45671</v>
      </c>
      <c r="N234" s="5" t="s">
        <v>812</v>
      </c>
      <c r="O234" s="5" t="str">
        <f ca="1">IF(P234&lt;&gt;"EXPEDIÇÃO","Expedido",IF(NETWORKDAYS(C234,TODAY())&gt;=5,"Risco Alto",IF(NETWORKDAYS(C234,TODAY())&gt;=3,IF(NETWORKDAYS(C234,TODAY())&lt;5,"Risco Médio",""),IF(NETWORKDAYS(C234,TODAY())&lt;=2,"Risco Baixo",""))))</f>
        <v>Expedido</v>
      </c>
      <c r="P234" s="5" t="s">
        <v>25</v>
      </c>
      <c r="Q234" s="5" t="s">
        <v>899</v>
      </c>
      <c r="S234" s="7">
        <f>IF(ISBLANK(M234),"Aguardando Previsão/Data",NETWORKDAYS(L234,M234)-1)</f>
        <v>4</v>
      </c>
      <c r="T234" s="5" t="s">
        <v>942</v>
      </c>
    </row>
    <row r="235" spans="1:20" x14ac:dyDescent="0.35">
      <c r="A235" s="5">
        <v>8100269685</v>
      </c>
      <c r="B235" s="5">
        <v>10494</v>
      </c>
      <c r="C235" s="6">
        <v>45659</v>
      </c>
      <c r="D235" s="5" t="s">
        <v>239</v>
      </c>
      <c r="E235" s="5" t="s">
        <v>240</v>
      </c>
      <c r="F235" s="5" t="s">
        <v>242</v>
      </c>
      <c r="G235" s="5" t="s">
        <v>243</v>
      </c>
      <c r="H235" s="5" t="s">
        <v>218</v>
      </c>
      <c r="I235" s="5" t="s">
        <v>547</v>
      </c>
      <c r="J235" s="5" t="s">
        <v>428</v>
      </c>
      <c r="K235" s="5" t="s">
        <v>241</v>
      </c>
      <c r="L235" s="6">
        <v>45666</v>
      </c>
      <c r="M235" s="6">
        <v>45666</v>
      </c>
      <c r="N235" s="5" t="s">
        <v>811</v>
      </c>
      <c r="O235" s="5" t="str">
        <f ca="1">IF(P235&lt;&gt;"EXPEDIÇÃO","Expedido",IF(NETWORKDAYS(C235,TODAY())&gt;=5,"Risco Alto",IF(NETWORKDAYS(C235,TODAY())&gt;=3,IF(NETWORKDAYS(C235,TODAY())&lt;5,"Risco Médio",""),IF(NETWORKDAYS(C235,TODAY())&lt;=2,"Risco Baixo",""))))</f>
        <v>Expedido</v>
      </c>
      <c r="P235" s="5" t="s">
        <v>25</v>
      </c>
      <c r="Q235" s="5" t="s">
        <v>793</v>
      </c>
      <c r="S235" s="7">
        <f>IF(ISBLANK(M235),"Aguardando Previsão/Data",NETWORKDAYS(L235,M235)-1)</f>
        <v>0</v>
      </c>
      <c r="T235" s="5" t="s">
        <v>942</v>
      </c>
    </row>
    <row r="236" spans="1:20" x14ac:dyDescent="0.35">
      <c r="A236" s="5">
        <v>8100269686</v>
      </c>
      <c r="B236" s="5">
        <v>10493</v>
      </c>
      <c r="C236" s="6">
        <v>45659</v>
      </c>
      <c r="D236" s="5" t="s">
        <v>239</v>
      </c>
      <c r="E236" s="5" t="s">
        <v>240</v>
      </c>
      <c r="F236" s="5" t="s">
        <v>242</v>
      </c>
      <c r="G236" s="5" t="s">
        <v>243</v>
      </c>
      <c r="H236" s="5" t="s">
        <v>218</v>
      </c>
      <c r="I236" s="5" t="s">
        <v>182</v>
      </c>
      <c r="J236" s="5" t="s">
        <v>668</v>
      </c>
      <c r="K236" s="5" t="s">
        <v>241</v>
      </c>
      <c r="L236" s="6">
        <v>45665</v>
      </c>
      <c r="M236" s="6">
        <v>45671</v>
      </c>
      <c r="N236" s="5" t="s">
        <v>812</v>
      </c>
      <c r="O236" s="5" t="str">
        <f ca="1">IF(P236&lt;&gt;"EXPEDIÇÃO","Expedido",IF(NETWORKDAYS(C236,TODAY())&gt;=5,"Risco Alto",IF(NETWORKDAYS(C236,TODAY())&gt;=3,IF(NETWORKDAYS(C236,TODAY())&lt;5,"Risco Médio",""),IF(NETWORKDAYS(C236,TODAY())&lt;=2,"Risco Baixo",""))))</f>
        <v>Expedido</v>
      </c>
      <c r="P236" s="5" t="s">
        <v>25</v>
      </c>
      <c r="Q236" s="5" t="s">
        <v>899</v>
      </c>
      <c r="S236" s="7">
        <f>IF(ISBLANK(M236),"Aguardando Previsão/Data",NETWORKDAYS(L236,M236)-1)</f>
        <v>4</v>
      </c>
      <c r="T236" s="5" t="s">
        <v>942</v>
      </c>
    </row>
    <row r="237" spans="1:20" x14ac:dyDescent="0.35">
      <c r="A237" s="5">
        <v>8100269687</v>
      </c>
      <c r="B237" s="5">
        <v>10495</v>
      </c>
      <c r="C237" s="6">
        <v>45659</v>
      </c>
      <c r="D237" s="5" t="s">
        <v>239</v>
      </c>
      <c r="E237" s="5" t="s">
        <v>240</v>
      </c>
      <c r="F237" s="5" t="s">
        <v>242</v>
      </c>
      <c r="G237" s="5" t="s">
        <v>243</v>
      </c>
      <c r="H237" s="5" t="s">
        <v>218</v>
      </c>
      <c r="I237" s="5" t="s">
        <v>547</v>
      </c>
      <c r="J237" s="5" t="s">
        <v>428</v>
      </c>
      <c r="K237" s="5" t="s">
        <v>241</v>
      </c>
      <c r="L237" s="6">
        <v>45666</v>
      </c>
      <c r="M237" s="6">
        <v>45666</v>
      </c>
      <c r="N237" s="5" t="s">
        <v>811</v>
      </c>
      <c r="O237" s="5" t="str">
        <f ca="1">IF(P237&lt;&gt;"EXPEDIÇÃO","Expedido",IF(NETWORKDAYS(C237,TODAY())&gt;=5,"Risco Alto",IF(NETWORKDAYS(C237,TODAY())&gt;=3,IF(NETWORKDAYS(C237,TODAY())&lt;5,"Risco Médio",""),IF(NETWORKDAYS(C237,TODAY())&lt;=2,"Risco Baixo",""))))</f>
        <v>Expedido</v>
      </c>
      <c r="P237" s="5" t="s">
        <v>25</v>
      </c>
      <c r="Q237" s="5" t="s">
        <v>793</v>
      </c>
      <c r="S237" s="7">
        <f>IF(ISBLANK(M237),"Aguardando Previsão/Data",NETWORKDAYS(L237,M237)-1)</f>
        <v>0</v>
      </c>
      <c r="T237" s="5" t="s">
        <v>942</v>
      </c>
    </row>
    <row r="238" spans="1:20" x14ac:dyDescent="0.35">
      <c r="A238" s="5">
        <v>8100269689</v>
      </c>
      <c r="B238" s="5">
        <v>10475</v>
      </c>
      <c r="C238" s="6">
        <v>45659</v>
      </c>
      <c r="D238" s="5" t="s">
        <v>239</v>
      </c>
      <c r="E238" s="5" t="s">
        <v>240</v>
      </c>
      <c r="F238" s="5" t="s">
        <v>242</v>
      </c>
      <c r="G238" s="5" t="s">
        <v>243</v>
      </c>
      <c r="H238" s="5" t="s">
        <v>218</v>
      </c>
      <c r="I238" s="5" t="s">
        <v>352</v>
      </c>
      <c r="J238" s="5" t="s">
        <v>353</v>
      </c>
      <c r="K238" s="5" t="s">
        <v>241</v>
      </c>
      <c r="L238" s="6">
        <v>45665</v>
      </c>
      <c r="M238" s="6">
        <v>45670</v>
      </c>
      <c r="N238" s="5" t="s">
        <v>812</v>
      </c>
      <c r="O238" s="5" t="str">
        <f ca="1">IF(P238&lt;&gt;"EXPEDIÇÃO","Expedido",IF(NETWORKDAYS(C238,TODAY())&gt;=5,"Risco Alto",IF(NETWORKDAYS(C238,TODAY())&gt;=3,IF(NETWORKDAYS(C238,TODAY())&lt;5,"Risco Médio",""),IF(NETWORKDAYS(C238,TODAY())&lt;=2,"Risco Baixo",""))))</f>
        <v>Expedido</v>
      </c>
      <c r="P238" s="5" t="s">
        <v>25</v>
      </c>
      <c r="Q238" s="5" t="s">
        <v>899</v>
      </c>
      <c r="S238" s="7">
        <f>IF(ISBLANK(M238),"Aguardando Previsão/Data",NETWORKDAYS(L238,M238)-1)</f>
        <v>3</v>
      </c>
      <c r="T238" s="5" t="s">
        <v>942</v>
      </c>
    </row>
    <row r="239" spans="1:20" x14ac:dyDescent="0.35">
      <c r="A239" s="5">
        <v>8100269692</v>
      </c>
      <c r="B239" s="5">
        <v>10500</v>
      </c>
      <c r="C239" s="6">
        <v>45659</v>
      </c>
      <c r="D239" s="5" t="s">
        <v>239</v>
      </c>
      <c r="E239" s="5" t="s">
        <v>240</v>
      </c>
      <c r="F239" s="5" t="s">
        <v>176</v>
      </c>
      <c r="G239" s="5" t="s">
        <v>177</v>
      </c>
      <c r="H239" s="5" t="s">
        <v>218</v>
      </c>
      <c r="I239" s="5" t="s">
        <v>324</v>
      </c>
      <c r="J239" s="5" t="s">
        <v>325</v>
      </c>
      <c r="K239" s="5" t="s">
        <v>241</v>
      </c>
      <c r="L239" s="6">
        <v>45667</v>
      </c>
      <c r="M239" s="6">
        <v>45667</v>
      </c>
      <c r="N239" s="5" t="s">
        <v>811</v>
      </c>
      <c r="O239" s="5" t="str">
        <f ca="1">IF(P239&lt;&gt;"EXPEDIÇÃO","Expedido",IF(NETWORKDAYS(C239,TODAY())&gt;=5,"Risco Alto",IF(NETWORKDAYS(C239,TODAY())&gt;=3,IF(NETWORKDAYS(C239,TODAY())&lt;5,"Risco Médio",""),IF(NETWORKDAYS(C239,TODAY())&lt;=2,"Risco Baixo",""))))</f>
        <v>Expedido</v>
      </c>
      <c r="P239" s="5" t="s">
        <v>25</v>
      </c>
      <c r="Q239" s="5" t="s">
        <v>793</v>
      </c>
      <c r="S239" s="7">
        <f>IF(ISBLANK(M239),"Aguardando Previsão/Data",NETWORKDAYS(L239,M239)-1)</f>
        <v>0</v>
      </c>
      <c r="T239" s="5" t="s">
        <v>942</v>
      </c>
    </row>
    <row r="240" spans="1:20" x14ac:dyDescent="0.35">
      <c r="A240" s="8">
        <v>8100269695</v>
      </c>
      <c r="B240" s="5">
        <v>10487</v>
      </c>
      <c r="C240" s="6">
        <v>45659</v>
      </c>
      <c r="D240" s="5" t="s">
        <v>239</v>
      </c>
      <c r="E240" s="5" t="s">
        <v>240</v>
      </c>
      <c r="F240" s="5" t="s">
        <v>242</v>
      </c>
      <c r="G240" s="5" t="s">
        <v>243</v>
      </c>
      <c r="H240" s="5" t="s">
        <v>218</v>
      </c>
      <c r="I240" s="5" t="s">
        <v>245</v>
      </c>
      <c r="J240" s="5" t="s">
        <v>246</v>
      </c>
      <c r="K240" s="5" t="s">
        <v>241</v>
      </c>
      <c r="L240" s="6">
        <v>45666</v>
      </c>
      <c r="M240" s="6">
        <v>45670</v>
      </c>
      <c r="N240" s="5" t="s">
        <v>812</v>
      </c>
      <c r="O240" s="5" t="str">
        <f ca="1">IF(P240&lt;&gt;"EXPEDIÇÃO","Expedido",IF(NETWORKDAYS(C240,TODAY())&gt;=5,"Risco Alto",IF(NETWORKDAYS(C240,TODAY())&gt;=3,IF(NETWORKDAYS(C240,TODAY())&lt;5,"Risco Médio",""),IF(NETWORKDAYS(C240,TODAY())&lt;=2,"Risco Baixo",""))))</f>
        <v>Expedido</v>
      </c>
      <c r="P240" s="5" t="s">
        <v>25</v>
      </c>
      <c r="Q240" s="5" t="s">
        <v>897</v>
      </c>
      <c r="S240" s="7">
        <f>IF(ISBLANK(M240),"Aguardando Previsão/Data",NETWORKDAYS(L240,M240)-1)</f>
        <v>2</v>
      </c>
      <c r="T240" s="5" t="s">
        <v>942</v>
      </c>
    </row>
    <row r="241" spans="1:20" x14ac:dyDescent="0.35">
      <c r="A241" s="8">
        <v>8100269700</v>
      </c>
      <c r="B241" s="5">
        <v>10503</v>
      </c>
      <c r="C241" s="6">
        <v>45659</v>
      </c>
      <c r="D241" s="5" t="s">
        <v>239</v>
      </c>
      <c r="E241" s="5" t="s">
        <v>240</v>
      </c>
      <c r="F241" s="5" t="s">
        <v>176</v>
      </c>
      <c r="G241" s="5" t="s">
        <v>177</v>
      </c>
      <c r="H241" s="5" t="s">
        <v>218</v>
      </c>
      <c r="I241" s="5" t="s">
        <v>429</v>
      </c>
      <c r="J241" s="5" t="s">
        <v>430</v>
      </c>
      <c r="K241" s="5" t="s">
        <v>241</v>
      </c>
      <c r="L241" s="6">
        <v>45666</v>
      </c>
      <c r="M241" s="6">
        <v>45670</v>
      </c>
      <c r="N241" s="5" t="s">
        <v>812</v>
      </c>
      <c r="O241" s="5" t="str">
        <f ca="1">IF(P241&lt;&gt;"EXPEDIÇÃO","Expedido",IF(NETWORKDAYS(C241,TODAY())&gt;=5,"Risco Alto",IF(NETWORKDAYS(C241,TODAY())&gt;=3,IF(NETWORKDAYS(C241,TODAY())&lt;5,"Risco Médio",""),IF(NETWORKDAYS(C241,TODAY())&lt;=2,"Risco Baixo",""))))</f>
        <v>Expedido</v>
      </c>
      <c r="P241" s="5" t="s">
        <v>25</v>
      </c>
      <c r="Q241" s="5" t="s">
        <v>1181</v>
      </c>
      <c r="S241" s="7">
        <f>IF(ISBLANK(M241),"Aguardando Previsão/Data",NETWORKDAYS(L241,M241)-1)</f>
        <v>2</v>
      </c>
      <c r="T241" s="5" t="s">
        <v>942</v>
      </c>
    </row>
    <row r="242" spans="1:20" x14ac:dyDescent="0.35">
      <c r="A242" s="5">
        <v>8100269701</v>
      </c>
      <c r="B242" s="5">
        <v>10502</v>
      </c>
      <c r="C242" s="6">
        <v>45659</v>
      </c>
      <c r="D242" s="5" t="s">
        <v>239</v>
      </c>
      <c r="E242" s="5" t="s">
        <v>240</v>
      </c>
      <c r="F242" s="5" t="s">
        <v>242</v>
      </c>
      <c r="G242" s="5" t="s">
        <v>243</v>
      </c>
      <c r="H242" s="5" t="s">
        <v>218</v>
      </c>
      <c r="I242" s="5" t="s">
        <v>251</v>
      </c>
      <c r="J242" s="5" t="s">
        <v>252</v>
      </c>
      <c r="K242" s="5" t="s">
        <v>241</v>
      </c>
      <c r="L242" s="6">
        <v>45665</v>
      </c>
      <c r="M242" s="6">
        <v>45670</v>
      </c>
      <c r="N242" s="5" t="s">
        <v>812</v>
      </c>
      <c r="O242" s="5" t="str">
        <f ca="1">IF(P242&lt;&gt;"EXPEDIÇÃO","Expedido",IF(NETWORKDAYS(C242,TODAY())&gt;=5,"Risco Alto",IF(NETWORKDAYS(C242,TODAY())&gt;=3,IF(NETWORKDAYS(C242,TODAY())&lt;5,"Risco Médio",""),IF(NETWORKDAYS(C242,TODAY())&lt;=2,"Risco Baixo",""))))</f>
        <v>Expedido</v>
      </c>
      <c r="P242" s="5" t="s">
        <v>25</v>
      </c>
      <c r="Q242" s="5" t="s">
        <v>899</v>
      </c>
      <c r="S242" s="7">
        <f>IF(ISBLANK(M242),"Aguardando Previsão/Data",NETWORKDAYS(L242,M242)-1)</f>
        <v>3</v>
      </c>
      <c r="T242" s="5" t="s">
        <v>942</v>
      </c>
    </row>
    <row r="243" spans="1:20" x14ac:dyDescent="0.35">
      <c r="A243" s="5">
        <v>8100269702</v>
      </c>
      <c r="B243" s="5">
        <v>10486</v>
      </c>
      <c r="C243" s="6">
        <v>45659</v>
      </c>
      <c r="D243" s="5" t="s">
        <v>239</v>
      </c>
      <c r="E243" s="5" t="s">
        <v>240</v>
      </c>
      <c r="F243" s="5" t="s">
        <v>242</v>
      </c>
      <c r="G243" s="5" t="s">
        <v>243</v>
      </c>
      <c r="H243" s="5" t="s">
        <v>218</v>
      </c>
      <c r="I243" s="5" t="s">
        <v>251</v>
      </c>
      <c r="J243" s="5" t="s">
        <v>252</v>
      </c>
      <c r="K243" s="5" t="s">
        <v>241</v>
      </c>
      <c r="L243" s="6">
        <v>45665</v>
      </c>
      <c r="M243" s="6">
        <v>45670</v>
      </c>
      <c r="N243" s="5" t="s">
        <v>812</v>
      </c>
      <c r="O243" s="5" t="str">
        <f ca="1">IF(P243&lt;&gt;"EXPEDIÇÃO","Expedido",IF(NETWORKDAYS(C243,TODAY())&gt;=5,"Risco Alto",IF(NETWORKDAYS(C243,TODAY())&gt;=3,IF(NETWORKDAYS(C243,TODAY())&lt;5,"Risco Médio",""),IF(NETWORKDAYS(C243,TODAY())&lt;=2,"Risco Baixo",""))))</f>
        <v>Expedido</v>
      </c>
      <c r="P243" s="5" t="s">
        <v>25</v>
      </c>
      <c r="Q243" s="5" t="s">
        <v>899</v>
      </c>
      <c r="S243" s="7">
        <f>IF(ISBLANK(M243),"Aguardando Previsão/Data",NETWORKDAYS(L243,M243)-1)</f>
        <v>3</v>
      </c>
      <c r="T243" s="5" t="s">
        <v>942</v>
      </c>
    </row>
    <row r="244" spans="1:20" x14ac:dyDescent="0.35">
      <c r="A244" s="5">
        <v>8100269708</v>
      </c>
      <c r="B244" s="5">
        <v>10481</v>
      </c>
      <c r="C244" s="6">
        <v>45659</v>
      </c>
      <c r="D244" s="5" t="s">
        <v>239</v>
      </c>
      <c r="E244" s="5" t="s">
        <v>240</v>
      </c>
      <c r="F244" s="5" t="s">
        <v>242</v>
      </c>
      <c r="G244" s="5" t="s">
        <v>243</v>
      </c>
      <c r="H244" s="5" t="s">
        <v>218</v>
      </c>
      <c r="I244" s="5" t="s">
        <v>251</v>
      </c>
      <c r="J244" s="5" t="s">
        <v>252</v>
      </c>
      <c r="K244" s="5" t="s">
        <v>241</v>
      </c>
      <c r="L244" s="6">
        <v>45665</v>
      </c>
      <c r="M244" s="6">
        <v>45670</v>
      </c>
      <c r="N244" s="5" t="s">
        <v>812</v>
      </c>
      <c r="O244" s="5" t="str">
        <f ca="1">IF(P244&lt;&gt;"EXPEDIÇÃO","Expedido",IF(NETWORKDAYS(C244,TODAY())&gt;=5,"Risco Alto",IF(NETWORKDAYS(C244,TODAY())&gt;=3,IF(NETWORKDAYS(C244,TODAY())&lt;5,"Risco Médio",""),IF(NETWORKDAYS(C244,TODAY())&lt;=2,"Risco Baixo",""))))</f>
        <v>Expedido</v>
      </c>
      <c r="P244" s="5" t="s">
        <v>25</v>
      </c>
      <c r="Q244" s="5" t="s">
        <v>899</v>
      </c>
      <c r="S244" s="7">
        <f>IF(ISBLANK(M244),"Aguardando Previsão/Data",NETWORKDAYS(L244,M244)-1)</f>
        <v>3</v>
      </c>
      <c r="T244" s="5" t="s">
        <v>942</v>
      </c>
    </row>
    <row r="245" spans="1:20" x14ac:dyDescent="0.35">
      <c r="A245" s="8">
        <v>8100269802</v>
      </c>
      <c r="B245" s="5">
        <v>10505</v>
      </c>
      <c r="C245" s="6">
        <v>45659</v>
      </c>
      <c r="D245" s="5" t="s">
        <v>239</v>
      </c>
      <c r="E245" s="5" t="s">
        <v>240</v>
      </c>
      <c r="F245" s="5" t="s">
        <v>242</v>
      </c>
      <c r="G245" s="5" t="s">
        <v>243</v>
      </c>
      <c r="H245" s="5" t="s">
        <v>218</v>
      </c>
      <c r="I245" s="5" t="s">
        <v>1130</v>
      </c>
      <c r="J245" s="5" t="s">
        <v>246</v>
      </c>
      <c r="K245" s="5" t="s">
        <v>241</v>
      </c>
      <c r="L245" s="6">
        <v>45666</v>
      </c>
      <c r="M245" s="6">
        <v>45670</v>
      </c>
      <c r="N245" s="5" t="s">
        <v>812</v>
      </c>
      <c r="O245" s="5" t="str">
        <f ca="1">IF(P245&lt;&gt;"EXPEDIÇÃO","Expedido",IF(NETWORKDAYS(C245,TODAY())&gt;=5,"Risco Alto",IF(NETWORKDAYS(C245,TODAY())&gt;=3,IF(NETWORKDAYS(C245,TODAY())&lt;5,"Risco Médio",""),IF(NETWORKDAYS(C245,TODAY())&lt;=2,"Risco Baixo",""))))</f>
        <v>Expedido</v>
      </c>
      <c r="P245" s="5" t="s">
        <v>25</v>
      </c>
      <c r="Q245" s="5" t="s">
        <v>897</v>
      </c>
      <c r="S245" s="7">
        <f>IF(ISBLANK(M245),"Aguardando Previsão/Data",NETWORKDAYS(L245,M245)-1)</f>
        <v>2</v>
      </c>
      <c r="T245" s="5" t="s">
        <v>942</v>
      </c>
    </row>
    <row r="246" spans="1:20" x14ac:dyDescent="0.35">
      <c r="A246" s="8">
        <v>8100269809</v>
      </c>
      <c r="B246" s="5">
        <v>10506</v>
      </c>
      <c r="C246" s="6">
        <v>45659</v>
      </c>
      <c r="D246" s="5" t="s">
        <v>239</v>
      </c>
      <c r="E246" s="5" t="s">
        <v>240</v>
      </c>
      <c r="F246" s="5" t="s">
        <v>242</v>
      </c>
      <c r="G246" s="5" t="s">
        <v>243</v>
      </c>
      <c r="H246" s="5" t="s">
        <v>218</v>
      </c>
      <c r="I246" s="5" t="s">
        <v>458</v>
      </c>
      <c r="J246" s="5" t="s">
        <v>459</v>
      </c>
      <c r="K246" s="5" t="s">
        <v>241</v>
      </c>
      <c r="L246" s="6">
        <v>45665</v>
      </c>
      <c r="M246" s="6">
        <v>45667</v>
      </c>
      <c r="N246" s="5" t="s">
        <v>812</v>
      </c>
      <c r="O246" s="5" t="str">
        <f ca="1">IF(P246&lt;&gt;"EXPEDIÇÃO","Expedido",IF(NETWORKDAYS(C246,TODAY())&gt;=5,"Risco Alto",IF(NETWORKDAYS(C246,TODAY())&gt;=3,IF(NETWORKDAYS(C246,TODAY())&lt;5,"Risco Médio",""),IF(NETWORKDAYS(C246,TODAY())&lt;=2,"Risco Baixo",""))))</f>
        <v>Expedido</v>
      </c>
      <c r="P246" s="5" t="s">
        <v>25</v>
      </c>
      <c r="Q246" s="5" t="s">
        <v>897</v>
      </c>
      <c r="S246" s="7">
        <f>IF(ISBLANK(M246),"Aguardando Previsão/Data",NETWORKDAYS(L246,M246)-1)</f>
        <v>2</v>
      </c>
      <c r="T246" s="5" t="s">
        <v>942</v>
      </c>
    </row>
    <row r="247" spans="1:20" x14ac:dyDescent="0.35">
      <c r="A247" s="5">
        <v>8100269460</v>
      </c>
      <c r="B247" s="5">
        <v>18749</v>
      </c>
      <c r="C247" s="6">
        <v>45659</v>
      </c>
      <c r="D247" s="5" t="s">
        <v>106</v>
      </c>
      <c r="E247" s="5" t="s">
        <v>107</v>
      </c>
      <c r="F247" s="5" t="s">
        <v>58</v>
      </c>
      <c r="G247" s="5" t="s">
        <v>59</v>
      </c>
      <c r="H247" s="5" t="s">
        <v>218</v>
      </c>
      <c r="I247" s="5" t="s">
        <v>317</v>
      </c>
      <c r="J247" s="5" t="s">
        <v>770</v>
      </c>
      <c r="K247" s="5" t="s">
        <v>238</v>
      </c>
      <c r="L247" s="6">
        <v>45678</v>
      </c>
      <c r="M247" s="6">
        <v>45680</v>
      </c>
      <c r="N247" s="5" t="s">
        <v>812</v>
      </c>
      <c r="O247" s="5" t="str">
        <f ca="1">IF(P247&lt;&gt;"EXPEDIÇÃO","Expedido",IF(NETWORKDAYS(C247,TODAY())&gt;=5,"Risco Alto",IF(NETWORKDAYS(C247,TODAY())&gt;=3,IF(NETWORKDAYS(C247,TODAY())&lt;5,"Risco Médio",""),IF(NETWORKDAYS(C247,TODAY())&lt;=2,"Risco Baixo",""))))</f>
        <v>Expedido</v>
      </c>
      <c r="P247" s="5" t="s">
        <v>25</v>
      </c>
      <c r="Q247" s="5" t="s">
        <v>899</v>
      </c>
      <c r="R247" s="5" t="s">
        <v>1418</v>
      </c>
      <c r="S247" s="7">
        <f>IF(ISBLANK(M247),"Aguardando Previsão/Data",NETWORKDAYS(L247,M247)-1)</f>
        <v>2</v>
      </c>
      <c r="T247" s="5" t="s">
        <v>942</v>
      </c>
    </row>
    <row r="248" spans="1:20" x14ac:dyDescent="0.35">
      <c r="A248" s="5">
        <v>8100269445</v>
      </c>
      <c r="B248" s="5">
        <v>18753</v>
      </c>
      <c r="C248" s="6">
        <v>45659</v>
      </c>
      <c r="D248" s="5" t="s">
        <v>106</v>
      </c>
      <c r="E248" s="5" t="s">
        <v>107</v>
      </c>
      <c r="F248" s="5" t="s">
        <v>58</v>
      </c>
      <c r="G248" s="5" t="s">
        <v>59</v>
      </c>
      <c r="H248" s="5" t="s">
        <v>218</v>
      </c>
      <c r="I248" s="5" t="s">
        <v>219</v>
      </c>
      <c r="J248" s="5" t="s">
        <v>220</v>
      </c>
      <c r="K248" s="5" t="s">
        <v>221</v>
      </c>
      <c r="L248" s="6">
        <v>45674</v>
      </c>
      <c r="M248" s="6">
        <v>45672</v>
      </c>
      <c r="N248" s="5" t="s">
        <v>811</v>
      </c>
      <c r="O248" s="5" t="str">
        <f ca="1">IF(P248&lt;&gt;"EXPEDIÇÃO","Expedido",IF(NETWORKDAYS(C248,TODAY())&gt;=5,"Risco Alto",IF(NETWORKDAYS(C248,TODAY())&gt;=3,IF(NETWORKDAYS(C248,TODAY())&lt;5,"Risco Médio",""),IF(NETWORKDAYS(C248,TODAY())&lt;=2,"Risco Baixo",""))))</f>
        <v>Expedido</v>
      </c>
      <c r="P248" s="5" t="s">
        <v>25</v>
      </c>
      <c r="S248" s="7">
        <f>IF(ISBLANK(M248),"Aguardando Previsão/Data",NETWORKDAYS(L248,M248)-1)</f>
        <v>-4</v>
      </c>
      <c r="T248" s="5" t="s">
        <v>942</v>
      </c>
    </row>
    <row r="249" spans="1:20" x14ac:dyDescent="0.35">
      <c r="A249" s="5">
        <v>8100269451</v>
      </c>
      <c r="B249" s="5">
        <v>18760</v>
      </c>
      <c r="C249" s="6">
        <v>45659</v>
      </c>
      <c r="D249" s="5" t="s">
        <v>106</v>
      </c>
      <c r="E249" s="5" t="s">
        <v>107</v>
      </c>
      <c r="F249" s="5" t="s">
        <v>58</v>
      </c>
      <c r="G249" s="5" t="s">
        <v>59</v>
      </c>
      <c r="H249" s="5" t="s">
        <v>218</v>
      </c>
      <c r="I249" s="5" t="s">
        <v>227</v>
      </c>
      <c r="J249" s="5" t="s">
        <v>228</v>
      </c>
      <c r="K249" s="5" t="s">
        <v>229</v>
      </c>
      <c r="L249" s="6">
        <v>45677</v>
      </c>
      <c r="M249" s="6">
        <v>45671</v>
      </c>
      <c r="N249" s="5" t="s">
        <v>811</v>
      </c>
      <c r="O249" s="5" t="str">
        <f ca="1">IF(P249&lt;&gt;"EXPEDIÇÃO","Expedido",IF(NETWORKDAYS(C249,TODAY())&gt;=5,"Risco Alto",IF(NETWORKDAYS(C249,TODAY())&gt;=3,IF(NETWORKDAYS(C249,TODAY())&lt;5,"Risco Médio",""),IF(NETWORKDAYS(C249,TODAY())&lt;=2,"Risco Baixo",""))))</f>
        <v>Expedido</v>
      </c>
      <c r="P249" s="5" t="s">
        <v>25</v>
      </c>
      <c r="S249" s="7">
        <f>IF(ISBLANK(M249),"Aguardando Previsão/Data",NETWORKDAYS(L249,M249)-1)</f>
        <v>-6</v>
      </c>
      <c r="T249" s="5" t="s">
        <v>942</v>
      </c>
    </row>
    <row r="250" spans="1:20" x14ac:dyDescent="0.35">
      <c r="A250" s="5">
        <v>8100269452</v>
      </c>
      <c r="B250" s="5">
        <v>18761</v>
      </c>
      <c r="C250" s="6">
        <v>45659</v>
      </c>
      <c r="D250" s="5" t="s">
        <v>106</v>
      </c>
      <c r="E250" s="5" t="s">
        <v>107</v>
      </c>
      <c r="F250" s="5" t="s">
        <v>58</v>
      </c>
      <c r="G250" s="5" t="s">
        <v>59</v>
      </c>
      <c r="H250" s="5" t="s">
        <v>218</v>
      </c>
      <c r="I250" s="5" t="s">
        <v>227</v>
      </c>
      <c r="J250" s="5" t="s">
        <v>228</v>
      </c>
      <c r="K250" s="5" t="s">
        <v>229</v>
      </c>
      <c r="L250" s="6">
        <v>45677</v>
      </c>
      <c r="M250" s="6">
        <v>45671</v>
      </c>
      <c r="N250" s="5" t="s">
        <v>811</v>
      </c>
      <c r="O250" s="5" t="str">
        <f ca="1">IF(P250&lt;&gt;"EXPEDIÇÃO","Expedido",IF(NETWORKDAYS(C250,TODAY())&gt;=5,"Risco Alto",IF(NETWORKDAYS(C250,TODAY())&gt;=3,IF(NETWORKDAYS(C250,TODAY())&lt;5,"Risco Médio",""),IF(NETWORKDAYS(C250,TODAY())&lt;=2,"Risco Baixo",""))))</f>
        <v>Expedido</v>
      </c>
      <c r="P250" s="5" t="s">
        <v>25</v>
      </c>
      <c r="S250" s="7">
        <f>IF(ISBLANK(M250),"Aguardando Previsão/Data",NETWORKDAYS(L250,M250)-1)</f>
        <v>-6</v>
      </c>
      <c r="T250" s="5" t="s">
        <v>942</v>
      </c>
    </row>
    <row r="251" spans="1:20" x14ac:dyDescent="0.35">
      <c r="A251" s="5">
        <v>8100269453</v>
      </c>
      <c r="B251" s="5">
        <v>18751</v>
      </c>
      <c r="C251" s="6">
        <v>45659</v>
      </c>
      <c r="D251" s="5" t="s">
        <v>106</v>
      </c>
      <c r="E251" s="5" t="s">
        <v>107</v>
      </c>
      <c r="F251" s="5" t="s">
        <v>58</v>
      </c>
      <c r="G251" s="5" t="s">
        <v>59</v>
      </c>
      <c r="H251" s="5" t="s">
        <v>218</v>
      </c>
      <c r="I251" s="5" t="s">
        <v>230</v>
      </c>
      <c r="J251" s="5" t="s">
        <v>231</v>
      </c>
      <c r="K251" s="5" t="s">
        <v>232</v>
      </c>
      <c r="L251" s="6">
        <v>45677</v>
      </c>
      <c r="M251" s="6">
        <v>45672</v>
      </c>
      <c r="N251" s="5" t="s">
        <v>811</v>
      </c>
      <c r="O251" s="5" t="str">
        <f ca="1">IF(P251&lt;&gt;"EXPEDIÇÃO","Expedido",IF(NETWORKDAYS(C251,TODAY())&gt;=5,"Risco Alto",IF(NETWORKDAYS(C251,TODAY())&gt;=3,IF(NETWORKDAYS(C251,TODAY())&lt;5,"Risco Médio",""),IF(NETWORKDAYS(C251,TODAY())&lt;=2,"Risco Baixo",""))))</f>
        <v>Expedido</v>
      </c>
      <c r="P251" s="5" t="s">
        <v>25</v>
      </c>
      <c r="S251" s="7">
        <f>IF(ISBLANK(M251),"Aguardando Previsão/Data",NETWORKDAYS(L251,M251)-1)</f>
        <v>-5</v>
      </c>
      <c r="T251" s="5" t="s">
        <v>942</v>
      </c>
    </row>
    <row r="252" spans="1:20" x14ac:dyDescent="0.35">
      <c r="A252" s="5">
        <v>8100269454</v>
      </c>
      <c r="B252" s="5">
        <v>18762</v>
      </c>
      <c r="C252" s="6">
        <v>45659</v>
      </c>
      <c r="D252" s="5" t="s">
        <v>106</v>
      </c>
      <c r="E252" s="5" t="s">
        <v>107</v>
      </c>
      <c r="F252" s="5" t="s">
        <v>58</v>
      </c>
      <c r="G252" s="5" t="s">
        <v>59</v>
      </c>
      <c r="H252" s="5" t="s">
        <v>218</v>
      </c>
      <c r="I252" s="5" t="s">
        <v>230</v>
      </c>
      <c r="J252" s="5" t="s">
        <v>684</v>
      </c>
      <c r="K252" s="5" t="s">
        <v>238</v>
      </c>
      <c r="L252" s="6">
        <v>45678</v>
      </c>
      <c r="M252" s="6">
        <v>45671</v>
      </c>
      <c r="N252" s="5" t="s">
        <v>811</v>
      </c>
      <c r="O252" s="5" t="str">
        <f ca="1">IF(P252&lt;&gt;"EXPEDIÇÃO","Expedido",IF(NETWORKDAYS(C252,TODAY())&gt;=5,"Risco Alto",IF(NETWORKDAYS(C252,TODAY())&gt;=3,IF(NETWORKDAYS(C252,TODAY())&lt;5,"Risco Médio",""),IF(NETWORKDAYS(C252,TODAY())&lt;=2,"Risco Baixo",""))))</f>
        <v>Expedido</v>
      </c>
      <c r="P252" s="5" t="s">
        <v>25</v>
      </c>
      <c r="S252" s="7">
        <f>IF(ISBLANK(M252),"Aguardando Previsão/Data",NETWORKDAYS(L252,M252)-1)</f>
        <v>-7</v>
      </c>
      <c r="T252" s="5" t="s">
        <v>942</v>
      </c>
    </row>
    <row r="253" spans="1:20" x14ac:dyDescent="0.35">
      <c r="A253" s="5">
        <v>8100269455</v>
      </c>
      <c r="B253" s="5">
        <v>18763</v>
      </c>
      <c r="C253" s="6">
        <v>45659</v>
      </c>
      <c r="D253" s="5" t="s">
        <v>106</v>
      </c>
      <c r="E253" s="5" t="s">
        <v>107</v>
      </c>
      <c r="F253" s="5" t="s">
        <v>58</v>
      </c>
      <c r="G253" s="5" t="s">
        <v>59</v>
      </c>
      <c r="H253" s="5" t="s">
        <v>218</v>
      </c>
      <c r="I253" s="5" t="s">
        <v>230</v>
      </c>
      <c r="J253" s="5" t="s">
        <v>684</v>
      </c>
      <c r="K253" s="5" t="s">
        <v>238</v>
      </c>
      <c r="L253" s="6">
        <v>45678</v>
      </c>
      <c r="M253" s="6">
        <v>45671</v>
      </c>
      <c r="N253" s="5" t="s">
        <v>811</v>
      </c>
      <c r="O253" s="5" t="str">
        <f ca="1">IF(P253&lt;&gt;"EXPEDIÇÃO","Expedido",IF(NETWORKDAYS(C253,TODAY())&gt;=5,"Risco Alto",IF(NETWORKDAYS(C253,TODAY())&gt;=3,IF(NETWORKDAYS(C253,TODAY())&lt;5,"Risco Médio",""),IF(NETWORKDAYS(C253,TODAY())&lt;=2,"Risco Baixo",""))))</f>
        <v>Expedido</v>
      </c>
      <c r="P253" s="5" t="s">
        <v>25</v>
      </c>
      <c r="S253" s="7">
        <f>IF(ISBLANK(M253),"Aguardando Previsão/Data",NETWORKDAYS(L253,M253)-1)</f>
        <v>-7</v>
      </c>
      <c r="T253" s="5" t="s">
        <v>942</v>
      </c>
    </row>
    <row r="254" spans="1:20" x14ac:dyDescent="0.35">
      <c r="A254" s="5">
        <v>8100269456</v>
      </c>
      <c r="B254" s="5">
        <v>18752</v>
      </c>
      <c r="C254" s="6">
        <v>45659</v>
      </c>
      <c r="D254" s="5" t="s">
        <v>106</v>
      </c>
      <c r="E254" s="5" t="s">
        <v>107</v>
      </c>
      <c r="F254" s="5" t="s">
        <v>58</v>
      </c>
      <c r="G254" s="5" t="s">
        <v>59</v>
      </c>
      <c r="H254" s="5" t="s">
        <v>218</v>
      </c>
      <c r="I254" s="5" t="s">
        <v>223</v>
      </c>
      <c r="J254" s="5" t="s">
        <v>224</v>
      </c>
      <c r="K254" s="5" t="s">
        <v>221</v>
      </c>
      <c r="L254" s="6">
        <v>45677</v>
      </c>
      <c r="M254" s="6">
        <v>45670</v>
      </c>
      <c r="N254" s="5" t="s">
        <v>811</v>
      </c>
      <c r="O254" s="5" t="str">
        <f ca="1">IF(P254&lt;&gt;"EXPEDIÇÃO","Expedido",IF(NETWORKDAYS(C254,TODAY())&gt;=5,"Risco Alto",IF(NETWORKDAYS(C254,TODAY())&gt;=3,IF(NETWORKDAYS(C254,TODAY())&lt;5,"Risco Médio",""),IF(NETWORKDAYS(C254,TODAY())&lt;=2,"Risco Baixo",""))))</f>
        <v>Expedido</v>
      </c>
      <c r="P254" s="5" t="s">
        <v>25</v>
      </c>
      <c r="S254" s="7">
        <f>IF(ISBLANK(M254),"Aguardando Previsão/Data",NETWORKDAYS(L254,M254)-1)</f>
        <v>-7</v>
      </c>
      <c r="T254" s="5" t="s">
        <v>942</v>
      </c>
    </row>
    <row r="255" spans="1:20" x14ac:dyDescent="0.35">
      <c r="A255" s="5">
        <v>8100269458</v>
      </c>
      <c r="B255" s="5">
        <v>18754</v>
      </c>
      <c r="C255" s="6">
        <v>45659</v>
      </c>
      <c r="D255" s="5" t="s">
        <v>106</v>
      </c>
      <c r="E255" s="5" t="s">
        <v>107</v>
      </c>
      <c r="F255" s="5" t="s">
        <v>58</v>
      </c>
      <c r="G255" s="5" t="s">
        <v>59</v>
      </c>
      <c r="H255" s="5" t="s">
        <v>218</v>
      </c>
      <c r="I255" s="5" t="s">
        <v>219</v>
      </c>
      <c r="J255" s="5" t="s">
        <v>220</v>
      </c>
      <c r="K255" s="5" t="s">
        <v>221</v>
      </c>
      <c r="L255" s="6">
        <v>45674</v>
      </c>
      <c r="M255" s="6">
        <v>45672</v>
      </c>
      <c r="N255" s="5" t="s">
        <v>811</v>
      </c>
      <c r="O255" s="5" t="str">
        <f ca="1">IF(P255&lt;&gt;"EXPEDIÇÃO","Expedido",IF(NETWORKDAYS(C255,TODAY())&gt;=5,"Risco Alto",IF(NETWORKDAYS(C255,TODAY())&gt;=3,IF(NETWORKDAYS(C255,TODAY())&lt;5,"Risco Médio",""),IF(NETWORKDAYS(C255,TODAY())&lt;=2,"Risco Baixo",""))))</f>
        <v>Expedido</v>
      </c>
      <c r="P255" s="5" t="s">
        <v>25</v>
      </c>
      <c r="S255" s="7">
        <f>IF(ISBLANK(M255),"Aguardando Previsão/Data",NETWORKDAYS(L255,M255)-1)</f>
        <v>-4</v>
      </c>
      <c r="T255" s="5" t="s">
        <v>942</v>
      </c>
    </row>
    <row r="256" spans="1:20" x14ac:dyDescent="0.35">
      <c r="A256" s="5">
        <v>8100269459</v>
      </c>
      <c r="B256" s="5">
        <v>18768</v>
      </c>
      <c r="C256" s="6">
        <v>45659</v>
      </c>
      <c r="D256" s="5" t="s">
        <v>106</v>
      </c>
      <c r="E256" s="5" t="s">
        <v>107</v>
      </c>
      <c r="F256" s="5" t="s">
        <v>58</v>
      </c>
      <c r="G256" s="5" t="s">
        <v>59</v>
      </c>
      <c r="H256" s="5" t="s">
        <v>218</v>
      </c>
      <c r="I256" s="5" t="s">
        <v>520</v>
      </c>
      <c r="J256" s="5" t="s">
        <v>684</v>
      </c>
      <c r="K256" s="5" t="s">
        <v>238</v>
      </c>
      <c r="L256" s="6">
        <v>45678</v>
      </c>
      <c r="M256" s="6">
        <v>45671</v>
      </c>
      <c r="N256" s="5" t="s">
        <v>811</v>
      </c>
      <c r="O256" s="5" t="str">
        <f ca="1">IF(P256&lt;&gt;"EXPEDIÇÃO","Expedido",IF(NETWORKDAYS(C256,TODAY())&gt;=5,"Risco Alto",IF(NETWORKDAYS(C256,TODAY())&gt;=3,IF(NETWORKDAYS(C256,TODAY())&lt;5,"Risco Médio",""),IF(NETWORKDAYS(C256,TODAY())&lt;=2,"Risco Baixo",""))))</f>
        <v>Expedido</v>
      </c>
      <c r="P256" s="5" t="s">
        <v>25</v>
      </c>
      <c r="S256" s="7">
        <f>IF(ISBLANK(M256),"Aguardando Previsão/Data",NETWORKDAYS(L256,M256)-1)</f>
        <v>-7</v>
      </c>
      <c r="T256" s="5" t="s">
        <v>942</v>
      </c>
    </row>
    <row r="257" spans="1:20" x14ac:dyDescent="0.35">
      <c r="A257" s="5">
        <v>8100269461</v>
      </c>
      <c r="B257" s="5">
        <v>18758</v>
      </c>
      <c r="C257" s="6">
        <v>45659</v>
      </c>
      <c r="D257" s="5" t="s">
        <v>106</v>
      </c>
      <c r="E257" s="5" t="s">
        <v>107</v>
      </c>
      <c r="F257" s="5" t="s">
        <v>58</v>
      </c>
      <c r="G257" s="5" t="s">
        <v>59</v>
      </c>
      <c r="H257" s="5" t="s">
        <v>218</v>
      </c>
      <c r="I257" s="5" t="s">
        <v>412</v>
      </c>
      <c r="J257" s="5" t="s">
        <v>413</v>
      </c>
      <c r="K257" s="5" t="s">
        <v>238</v>
      </c>
      <c r="L257" s="6">
        <v>45679</v>
      </c>
      <c r="M257" s="6">
        <v>45673</v>
      </c>
      <c r="N257" s="5" t="s">
        <v>811</v>
      </c>
      <c r="O257" s="5" t="str">
        <f ca="1">IF(P257&lt;&gt;"EXPEDIÇÃO","Expedido",IF(NETWORKDAYS(C257,TODAY())&gt;=5,"Risco Alto",IF(NETWORKDAYS(C257,TODAY())&gt;=3,IF(NETWORKDAYS(C257,TODAY())&lt;5,"Risco Médio",""),IF(NETWORKDAYS(C257,TODAY())&lt;=2,"Risco Baixo",""))))</f>
        <v>Expedido</v>
      </c>
      <c r="P257" s="5" t="s">
        <v>25</v>
      </c>
      <c r="S257" s="7">
        <f>IF(ISBLANK(M257),"Aguardando Previsão/Data",NETWORKDAYS(L257,M257)-1)</f>
        <v>-6</v>
      </c>
      <c r="T257" s="5" t="s">
        <v>942</v>
      </c>
    </row>
    <row r="258" spans="1:20" x14ac:dyDescent="0.35">
      <c r="A258" s="5">
        <v>8100269477</v>
      </c>
      <c r="B258" s="5">
        <v>18755</v>
      </c>
      <c r="C258" s="6">
        <v>45659</v>
      </c>
      <c r="D258" s="5" t="s">
        <v>106</v>
      </c>
      <c r="E258" s="5" t="s">
        <v>107</v>
      </c>
      <c r="F258" s="5" t="s">
        <v>58</v>
      </c>
      <c r="G258" s="5" t="s">
        <v>59</v>
      </c>
      <c r="H258" s="5" t="s">
        <v>218</v>
      </c>
      <c r="I258" s="5" t="s">
        <v>219</v>
      </c>
      <c r="J258" s="5" t="s">
        <v>220</v>
      </c>
      <c r="K258" s="5" t="s">
        <v>221</v>
      </c>
      <c r="L258" s="6">
        <v>45674</v>
      </c>
      <c r="M258" s="6">
        <v>45672</v>
      </c>
      <c r="N258" s="5" t="s">
        <v>811</v>
      </c>
      <c r="O258" s="5" t="str">
        <f ca="1">IF(P258&lt;&gt;"EXPEDIÇÃO","Expedido",IF(NETWORKDAYS(C258,TODAY())&gt;=5,"Risco Alto",IF(NETWORKDAYS(C258,TODAY())&gt;=3,IF(NETWORKDAYS(C258,TODAY())&lt;5,"Risco Médio",""),IF(NETWORKDAYS(C258,TODAY())&lt;=2,"Risco Baixo",""))))</f>
        <v>Expedido</v>
      </c>
      <c r="P258" s="5" t="s">
        <v>25</v>
      </c>
      <c r="S258" s="7">
        <f>IF(ISBLANK(M258),"Aguardando Previsão/Data",NETWORKDAYS(L258,M258)-1)</f>
        <v>-4</v>
      </c>
      <c r="T258" s="5" t="s">
        <v>942</v>
      </c>
    </row>
    <row r="259" spans="1:20" x14ac:dyDescent="0.35">
      <c r="A259" s="5">
        <v>8100269481</v>
      </c>
      <c r="B259" s="5">
        <v>18757</v>
      </c>
      <c r="C259" s="6">
        <v>45659</v>
      </c>
      <c r="D259" s="5" t="s">
        <v>106</v>
      </c>
      <c r="E259" s="5" t="s">
        <v>107</v>
      </c>
      <c r="F259" s="5" t="s">
        <v>58</v>
      </c>
      <c r="G259" s="5" t="s">
        <v>59</v>
      </c>
      <c r="H259" s="5" t="s">
        <v>218</v>
      </c>
      <c r="I259" s="5" t="s">
        <v>237</v>
      </c>
      <c r="J259" s="5" t="s">
        <v>220</v>
      </c>
      <c r="K259" s="5" t="s">
        <v>221</v>
      </c>
      <c r="L259" s="6">
        <v>45674</v>
      </c>
      <c r="M259" s="6">
        <v>45670</v>
      </c>
      <c r="N259" s="5" t="s">
        <v>811</v>
      </c>
      <c r="O259" s="5" t="str">
        <f ca="1">IF(P259&lt;&gt;"EXPEDIÇÃO","Expedido",IF(NETWORKDAYS(C259,TODAY())&gt;=5,"Risco Alto",IF(NETWORKDAYS(C259,TODAY())&gt;=3,IF(NETWORKDAYS(C259,TODAY())&lt;5,"Risco Médio",""),IF(NETWORKDAYS(C259,TODAY())&lt;=2,"Risco Baixo",""))))</f>
        <v>Expedido</v>
      </c>
      <c r="P259" s="5" t="s">
        <v>25</v>
      </c>
      <c r="S259" s="7">
        <f>IF(ISBLANK(M259),"Aguardando Previsão/Data",NETWORKDAYS(L259,M259)-1)</f>
        <v>-6</v>
      </c>
      <c r="T259" s="5" t="s">
        <v>942</v>
      </c>
    </row>
    <row r="260" spans="1:20" x14ac:dyDescent="0.35">
      <c r="A260" s="5">
        <v>8100269483</v>
      </c>
      <c r="B260" s="5">
        <v>18759</v>
      </c>
      <c r="C260" s="6">
        <v>45659</v>
      </c>
      <c r="D260" s="5" t="s">
        <v>106</v>
      </c>
      <c r="E260" s="5" t="s">
        <v>107</v>
      </c>
      <c r="F260" s="5" t="s">
        <v>58</v>
      </c>
      <c r="G260" s="5" t="s">
        <v>59</v>
      </c>
      <c r="H260" s="5" t="s">
        <v>218</v>
      </c>
      <c r="I260" s="5" t="s">
        <v>412</v>
      </c>
      <c r="J260" s="5" t="s">
        <v>413</v>
      </c>
      <c r="K260" s="5" t="s">
        <v>238</v>
      </c>
      <c r="L260" s="6">
        <v>45679</v>
      </c>
      <c r="M260" s="6">
        <v>45673</v>
      </c>
      <c r="N260" s="5" t="s">
        <v>811</v>
      </c>
      <c r="O260" s="5" t="str">
        <f ca="1">IF(P260&lt;&gt;"EXPEDIÇÃO","Expedido",IF(NETWORKDAYS(C260,TODAY())&gt;=5,"Risco Alto",IF(NETWORKDAYS(C260,TODAY())&gt;=3,IF(NETWORKDAYS(C260,TODAY())&lt;5,"Risco Médio",""),IF(NETWORKDAYS(C260,TODAY())&lt;=2,"Risco Baixo",""))))</f>
        <v>Expedido</v>
      </c>
      <c r="P260" s="5" t="s">
        <v>25</v>
      </c>
      <c r="S260" s="7">
        <f>IF(ISBLANK(M260),"Aguardando Previsão/Data",NETWORKDAYS(L260,M260)-1)</f>
        <v>-6</v>
      </c>
      <c r="T260" s="5" t="s">
        <v>942</v>
      </c>
    </row>
    <row r="261" spans="1:20" x14ac:dyDescent="0.35">
      <c r="A261" s="5">
        <v>8100269488</v>
      </c>
      <c r="B261" s="5">
        <v>18712</v>
      </c>
      <c r="C261" s="6">
        <v>45659</v>
      </c>
      <c r="D261" s="5" t="s">
        <v>106</v>
      </c>
      <c r="E261" s="5" t="s">
        <v>107</v>
      </c>
      <c r="F261" s="5" t="s">
        <v>58</v>
      </c>
      <c r="G261" s="5" t="s">
        <v>59</v>
      </c>
      <c r="H261" s="5" t="s">
        <v>218</v>
      </c>
      <c r="I261" s="5" t="s">
        <v>317</v>
      </c>
      <c r="J261" s="5" t="s">
        <v>1099</v>
      </c>
      <c r="K261" s="5" t="s">
        <v>233</v>
      </c>
      <c r="L261" s="6">
        <v>45678</v>
      </c>
      <c r="M261" s="6">
        <v>45671</v>
      </c>
      <c r="N261" s="5" t="s">
        <v>811</v>
      </c>
      <c r="O261" s="5" t="str">
        <f ca="1">IF(P261&lt;&gt;"EXPEDIÇÃO","Expedido",IF(NETWORKDAYS(C261,TODAY())&gt;=5,"Risco Alto",IF(NETWORKDAYS(C261,TODAY())&gt;=3,IF(NETWORKDAYS(C261,TODAY())&lt;5,"Risco Médio",""),IF(NETWORKDAYS(C261,TODAY())&lt;=2,"Risco Baixo",""))))</f>
        <v>Expedido</v>
      </c>
      <c r="P261" s="5" t="s">
        <v>25</v>
      </c>
      <c r="S261" s="7">
        <f>IF(ISBLANK(M261),"Aguardando Previsão/Data",NETWORKDAYS(L261,M261)-1)</f>
        <v>-7</v>
      </c>
      <c r="T261" s="5" t="s">
        <v>942</v>
      </c>
    </row>
    <row r="262" spans="1:20" x14ac:dyDescent="0.35">
      <c r="A262" s="5">
        <v>8100269489</v>
      </c>
      <c r="B262" s="5">
        <v>18713</v>
      </c>
      <c r="C262" s="6">
        <v>45659</v>
      </c>
      <c r="D262" s="5" t="s">
        <v>106</v>
      </c>
      <c r="E262" s="5" t="s">
        <v>107</v>
      </c>
      <c r="F262" s="5" t="s">
        <v>58</v>
      </c>
      <c r="G262" s="5" t="s">
        <v>59</v>
      </c>
      <c r="H262" s="5" t="s">
        <v>218</v>
      </c>
      <c r="I262" s="5" t="s">
        <v>317</v>
      </c>
      <c r="J262" s="5" t="s">
        <v>1099</v>
      </c>
      <c r="K262" s="5" t="s">
        <v>233</v>
      </c>
      <c r="L262" s="6">
        <v>45678</v>
      </c>
      <c r="M262" s="6">
        <v>45671</v>
      </c>
      <c r="N262" s="5" t="s">
        <v>811</v>
      </c>
      <c r="O262" s="5" t="str">
        <f ca="1">IF(P262&lt;&gt;"EXPEDIÇÃO","Expedido",IF(NETWORKDAYS(C262,TODAY())&gt;=5,"Risco Alto",IF(NETWORKDAYS(C262,TODAY())&gt;=3,IF(NETWORKDAYS(C262,TODAY())&lt;5,"Risco Médio",""),IF(NETWORKDAYS(C262,TODAY())&lt;=2,"Risco Baixo",""))))</f>
        <v>Expedido</v>
      </c>
      <c r="P262" s="5" t="s">
        <v>25</v>
      </c>
      <c r="S262" s="7">
        <f>IF(ISBLANK(M262),"Aguardando Previsão/Data",NETWORKDAYS(L262,M262)-1)</f>
        <v>-7</v>
      </c>
      <c r="T262" s="5" t="s">
        <v>942</v>
      </c>
    </row>
    <row r="263" spans="1:20" x14ac:dyDescent="0.35">
      <c r="A263" s="5">
        <v>8100269491</v>
      </c>
      <c r="B263" s="5">
        <v>18750</v>
      </c>
      <c r="C263" s="6">
        <v>45659</v>
      </c>
      <c r="D263" s="5" t="s">
        <v>106</v>
      </c>
      <c r="E263" s="5" t="s">
        <v>107</v>
      </c>
      <c r="F263" s="5" t="s">
        <v>58</v>
      </c>
      <c r="G263" s="5" t="s">
        <v>59</v>
      </c>
      <c r="H263" s="5" t="s">
        <v>218</v>
      </c>
      <c r="I263" s="5" t="s">
        <v>317</v>
      </c>
      <c r="J263" s="5" t="s">
        <v>770</v>
      </c>
      <c r="K263" s="5" t="s">
        <v>238</v>
      </c>
      <c r="L263" s="6">
        <v>45678</v>
      </c>
      <c r="M263" s="6">
        <v>45671</v>
      </c>
      <c r="N263" s="5" t="s">
        <v>811</v>
      </c>
      <c r="O263" s="5" t="str">
        <f ca="1">IF(P263&lt;&gt;"EXPEDIÇÃO","Expedido",IF(NETWORKDAYS(C263,TODAY())&gt;=5,"Risco Alto",IF(NETWORKDAYS(C263,TODAY())&gt;=3,IF(NETWORKDAYS(C263,TODAY())&lt;5,"Risco Médio",""),IF(NETWORKDAYS(C263,TODAY())&lt;=2,"Risco Baixo",""))))</f>
        <v>Expedido</v>
      </c>
      <c r="P263" s="5" t="s">
        <v>25</v>
      </c>
      <c r="S263" s="7">
        <f>IF(ISBLANK(M263),"Aguardando Previsão/Data",NETWORKDAYS(L263,M263)-1)</f>
        <v>-7</v>
      </c>
      <c r="T263" s="5" t="s">
        <v>942</v>
      </c>
    </row>
    <row r="264" spans="1:20" x14ac:dyDescent="0.35">
      <c r="A264" s="5">
        <v>8100269500</v>
      </c>
      <c r="B264" s="5">
        <v>18769</v>
      </c>
      <c r="C264" s="6">
        <v>45659</v>
      </c>
      <c r="D264" s="5" t="s">
        <v>106</v>
      </c>
      <c r="E264" s="5" t="s">
        <v>107</v>
      </c>
      <c r="F264" s="5" t="s">
        <v>69</v>
      </c>
      <c r="G264" s="5" t="s">
        <v>70</v>
      </c>
      <c r="H264" s="5" t="s">
        <v>218</v>
      </c>
      <c r="I264" s="5" t="s">
        <v>235</v>
      </c>
      <c r="J264" s="5" t="s">
        <v>236</v>
      </c>
      <c r="K264" s="5" t="s">
        <v>229</v>
      </c>
      <c r="L264" s="6">
        <v>45678</v>
      </c>
      <c r="M264" s="6">
        <v>45679</v>
      </c>
      <c r="N264" s="5" t="s">
        <v>812</v>
      </c>
      <c r="O264" s="5" t="str">
        <f ca="1">IF(P264&lt;&gt;"EXPEDIÇÃO","Expedido",IF(NETWORKDAYS(C264,TODAY())&gt;=5,"Risco Alto",IF(NETWORKDAYS(C264,TODAY())&gt;=3,IF(NETWORKDAYS(C264,TODAY())&lt;5,"Risco Médio",""),IF(NETWORKDAYS(C264,TODAY())&lt;=2,"Risco Baixo",""))))</f>
        <v>Expedido</v>
      </c>
      <c r="P264" s="5" t="s">
        <v>25</v>
      </c>
      <c r="Q264" s="5" t="s">
        <v>899</v>
      </c>
      <c r="R264" s="5" t="s">
        <v>1418</v>
      </c>
      <c r="S264" s="7">
        <f>IF(ISBLANK(M264),"Aguardando Previsão/Data",NETWORKDAYS(L264,M264)-1)</f>
        <v>1</v>
      </c>
      <c r="T264" s="5" t="s">
        <v>942</v>
      </c>
    </row>
    <row r="265" spans="1:20" x14ac:dyDescent="0.35">
      <c r="A265" s="5">
        <v>8100269501</v>
      </c>
      <c r="B265" s="5">
        <v>18770</v>
      </c>
      <c r="C265" s="6">
        <v>45659</v>
      </c>
      <c r="D265" s="5" t="s">
        <v>106</v>
      </c>
      <c r="E265" s="5" t="s">
        <v>107</v>
      </c>
      <c r="F265" s="5" t="s">
        <v>69</v>
      </c>
      <c r="G265" s="5" t="s">
        <v>70</v>
      </c>
      <c r="H265" s="5" t="s">
        <v>218</v>
      </c>
      <c r="I265" s="5" t="s">
        <v>235</v>
      </c>
      <c r="J265" s="5" t="s">
        <v>236</v>
      </c>
      <c r="K265" s="5" t="s">
        <v>229</v>
      </c>
      <c r="L265" s="6">
        <v>45678</v>
      </c>
      <c r="M265" s="6">
        <v>45671</v>
      </c>
      <c r="N265" s="5" t="s">
        <v>811</v>
      </c>
      <c r="O265" s="5" t="str">
        <f ca="1">IF(P265&lt;&gt;"EXPEDIÇÃO","Expedido",IF(NETWORKDAYS(C265,TODAY())&gt;=5,"Risco Alto",IF(NETWORKDAYS(C265,TODAY())&gt;=3,IF(NETWORKDAYS(C265,TODAY())&lt;5,"Risco Médio",""),IF(NETWORKDAYS(C265,TODAY())&lt;=2,"Risco Baixo",""))))</f>
        <v>Expedido</v>
      </c>
      <c r="P265" s="5" t="s">
        <v>25</v>
      </c>
      <c r="S265" s="7">
        <f>IF(ISBLANK(M265),"Aguardando Previsão/Data",NETWORKDAYS(L265,M265)-1)</f>
        <v>-7</v>
      </c>
      <c r="T265" s="5" t="s">
        <v>942</v>
      </c>
    </row>
    <row r="266" spans="1:20" x14ac:dyDescent="0.35">
      <c r="A266" s="5">
        <v>8100269502</v>
      </c>
      <c r="B266" s="5">
        <v>18771</v>
      </c>
      <c r="C266" s="6">
        <v>45659</v>
      </c>
      <c r="D266" s="5" t="s">
        <v>106</v>
      </c>
      <c r="E266" s="5" t="s">
        <v>107</v>
      </c>
      <c r="F266" s="5" t="s">
        <v>69</v>
      </c>
      <c r="G266" s="5" t="s">
        <v>70</v>
      </c>
      <c r="H266" s="5" t="s">
        <v>218</v>
      </c>
      <c r="I266" s="5" t="s">
        <v>235</v>
      </c>
      <c r="J266" s="5" t="s">
        <v>236</v>
      </c>
      <c r="K266" s="5" t="s">
        <v>229</v>
      </c>
      <c r="L266" s="6">
        <v>45678</v>
      </c>
      <c r="M266" s="6">
        <v>45679</v>
      </c>
      <c r="N266" s="5" t="s">
        <v>812</v>
      </c>
      <c r="O266" s="5" t="str">
        <f ca="1">IF(P266&lt;&gt;"EXPEDIÇÃO","Expedido",IF(NETWORKDAYS(C266,TODAY())&gt;=5,"Risco Alto",IF(NETWORKDAYS(C266,TODAY())&gt;=3,IF(NETWORKDAYS(C266,TODAY())&lt;5,"Risco Médio",""),IF(NETWORKDAYS(C266,TODAY())&lt;=2,"Risco Baixo",""))))</f>
        <v>Expedido</v>
      </c>
      <c r="P266" s="5" t="s">
        <v>25</v>
      </c>
      <c r="Q266" s="5" t="s">
        <v>899</v>
      </c>
      <c r="R266" s="5" t="s">
        <v>1418</v>
      </c>
      <c r="S266" s="7">
        <f>IF(ISBLANK(M266),"Aguardando Previsão/Data",NETWORKDAYS(L266,M266)-1)</f>
        <v>1</v>
      </c>
      <c r="T266" s="5" t="s">
        <v>942</v>
      </c>
    </row>
    <row r="267" spans="1:20" x14ac:dyDescent="0.35">
      <c r="A267" s="5">
        <v>8100269503</v>
      </c>
      <c r="B267" s="5">
        <v>18772</v>
      </c>
      <c r="C267" s="6">
        <v>45659</v>
      </c>
      <c r="D267" s="5" t="s">
        <v>106</v>
      </c>
      <c r="E267" s="5" t="s">
        <v>107</v>
      </c>
      <c r="F267" s="5" t="s">
        <v>69</v>
      </c>
      <c r="G267" s="5" t="s">
        <v>70</v>
      </c>
      <c r="H267" s="5" t="s">
        <v>218</v>
      </c>
      <c r="I267" s="5" t="s">
        <v>235</v>
      </c>
      <c r="J267" s="5" t="s">
        <v>236</v>
      </c>
      <c r="K267" s="5" t="s">
        <v>229</v>
      </c>
      <c r="L267" s="6">
        <v>45678</v>
      </c>
      <c r="M267" s="6">
        <v>45671</v>
      </c>
      <c r="N267" s="5" t="s">
        <v>811</v>
      </c>
      <c r="O267" s="5" t="str">
        <f ca="1">IF(P267&lt;&gt;"EXPEDIÇÃO","Expedido",IF(NETWORKDAYS(C267,TODAY())&gt;=5,"Risco Alto",IF(NETWORKDAYS(C267,TODAY())&gt;=3,IF(NETWORKDAYS(C267,TODAY())&lt;5,"Risco Médio",""),IF(NETWORKDAYS(C267,TODAY())&lt;=2,"Risco Baixo",""))))</f>
        <v>Expedido</v>
      </c>
      <c r="P267" s="5" t="s">
        <v>25</v>
      </c>
      <c r="S267" s="7">
        <f>IF(ISBLANK(M267),"Aguardando Previsão/Data",NETWORKDAYS(L267,M267)-1)</f>
        <v>-7</v>
      </c>
      <c r="T267" s="5" t="s">
        <v>942</v>
      </c>
    </row>
    <row r="268" spans="1:20" x14ac:dyDescent="0.35">
      <c r="A268" s="5">
        <v>8100269511</v>
      </c>
      <c r="B268" s="5">
        <v>18748</v>
      </c>
      <c r="C268" s="6">
        <v>45659</v>
      </c>
      <c r="D268" s="5" t="s">
        <v>106</v>
      </c>
      <c r="E268" s="5" t="s">
        <v>107</v>
      </c>
      <c r="F268" s="5" t="s">
        <v>58</v>
      </c>
      <c r="G268" s="5" t="s">
        <v>59</v>
      </c>
      <c r="H268" s="5" t="s">
        <v>218</v>
      </c>
      <c r="I268" s="5" t="s">
        <v>222</v>
      </c>
      <c r="J268" s="5" t="s">
        <v>220</v>
      </c>
      <c r="K268" s="5" t="s">
        <v>221</v>
      </c>
      <c r="L268" s="6">
        <v>45674</v>
      </c>
      <c r="M268" s="6">
        <v>45672</v>
      </c>
      <c r="N268" s="5" t="s">
        <v>811</v>
      </c>
      <c r="O268" s="5" t="str">
        <f ca="1">IF(P268&lt;&gt;"EXPEDIÇÃO","Expedido",IF(NETWORKDAYS(C268,TODAY())&gt;=5,"Risco Alto",IF(NETWORKDAYS(C268,TODAY())&gt;=3,IF(NETWORKDAYS(C268,TODAY())&lt;5,"Risco Médio",""),IF(NETWORKDAYS(C268,TODAY())&lt;=2,"Risco Baixo",""))))</f>
        <v>Expedido</v>
      </c>
      <c r="P268" s="5" t="s">
        <v>25</v>
      </c>
      <c r="S268" s="7">
        <f>IF(ISBLANK(M268),"Aguardando Previsão/Data",NETWORKDAYS(L268,M268)-1)</f>
        <v>-4</v>
      </c>
      <c r="T268" s="5" t="s">
        <v>942</v>
      </c>
    </row>
    <row r="269" spans="1:20" x14ac:dyDescent="0.35">
      <c r="A269" s="5">
        <v>8100269547</v>
      </c>
      <c r="B269" s="5">
        <v>18714</v>
      </c>
      <c r="C269" s="6">
        <v>45659</v>
      </c>
      <c r="D269" s="5" t="s">
        <v>106</v>
      </c>
      <c r="E269" s="5" t="s">
        <v>107</v>
      </c>
      <c r="F269" s="5" t="s">
        <v>58</v>
      </c>
      <c r="G269" s="5" t="s">
        <v>59</v>
      </c>
      <c r="H269" s="5" t="s">
        <v>218</v>
      </c>
      <c r="I269" s="5" t="s">
        <v>317</v>
      </c>
      <c r="J269" s="5" t="s">
        <v>1099</v>
      </c>
      <c r="K269" s="5" t="s">
        <v>233</v>
      </c>
      <c r="L269" s="6">
        <v>45678</v>
      </c>
      <c r="M269" s="6">
        <v>45671</v>
      </c>
      <c r="N269" s="5" t="s">
        <v>811</v>
      </c>
      <c r="O269" s="5" t="str">
        <f ca="1">IF(P269&lt;&gt;"EXPEDIÇÃO","Expedido",IF(NETWORKDAYS(C269,TODAY())&gt;=5,"Risco Alto",IF(NETWORKDAYS(C269,TODAY())&gt;=3,IF(NETWORKDAYS(C269,TODAY())&lt;5,"Risco Médio",""),IF(NETWORKDAYS(C269,TODAY())&lt;=2,"Risco Baixo",""))))</f>
        <v>Expedido</v>
      </c>
      <c r="P269" s="5" t="s">
        <v>25</v>
      </c>
      <c r="S269" s="7">
        <f>IF(ISBLANK(M269),"Aguardando Previsão/Data",NETWORKDAYS(L269,M269)-1)</f>
        <v>-7</v>
      </c>
      <c r="T269" s="5" t="s">
        <v>942</v>
      </c>
    </row>
    <row r="270" spans="1:20" x14ac:dyDescent="0.35">
      <c r="A270" s="5">
        <v>8100269446</v>
      </c>
      <c r="B270" s="5">
        <v>18764</v>
      </c>
      <c r="C270" s="6">
        <v>45659</v>
      </c>
      <c r="D270" s="5" t="s">
        <v>106</v>
      </c>
      <c r="E270" s="5" t="s">
        <v>107</v>
      </c>
      <c r="F270" s="5" t="s">
        <v>147</v>
      </c>
      <c r="G270" s="5" t="s">
        <v>148</v>
      </c>
      <c r="H270" s="5" t="s">
        <v>108</v>
      </c>
      <c r="I270" s="5" t="s">
        <v>905</v>
      </c>
      <c r="J270" s="5" t="s">
        <v>906</v>
      </c>
      <c r="K270" s="5" t="s">
        <v>110</v>
      </c>
      <c r="L270" s="6">
        <v>45667</v>
      </c>
      <c r="M270" s="6">
        <v>45665</v>
      </c>
      <c r="N270" s="5" t="s">
        <v>811</v>
      </c>
      <c r="O270" s="5" t="str">
        <f ca="1">IF(P270&lt;&gt;"EXPEDIÇÃO","Expedido",IF(NETWORKDAYS(C270,TODAY())&gt;=5,"Risco Alto",IF(NETWORKDAYS(C270,TODAY())&gt;=3,IF(NETWORKDAYS(C270,TODAY())&lt;5,"Risco Médio",""),IF(NETWORKDAYS(C270,TODAY())&lt;=2,"Risco Baixo",""))))</f>
        <v>Expedido</v>
      </c>
      <c r="P270" s="5" t="s">
        <v>25</v>
      </c>
      <c r="S270" s="7">
        <f>IF(ISBLANK(M270),"Aguardando Previsão/Data",NETWORKDAYS(L270,M270)-1)</f>
        <v>-4</v>
      </c>
      <c r="T270" s="5" t="s">
        <v>942</v>
      </c>
    </row>
    <row r="271" spans="1:20" x14ac:dyDescent="0.35">
      <c r="A271" s="5">
        <v>8100269447</v>
      </c>
      <c r="B271" s="5">
        <v>18747</v>
      </c>
      <c r="C271" s="6">
        <v>45659</v>
      </c>
      <c r="D271" s="5" t="s">
        <v>106</v>
      </c>
      <c r="E271" s="5" t="s">
        <v>107</v>
      </c>
      <c r="F271" s="5" t="s">
        <v>147</v>
      </c>
      <c r="G271" s="5" t="s">
        <v>148</v>
      </c>
      <c r="H271" s="5" t="s">
        <v>108</v>
      </c>
      <c r="I271" s="5" t="s">
        <v>678</v>
      </c>
      <c r="J271" s="5" t="s">
        <v>679</v>
      </c>
      <c r="K271" s="5" t="s">
        <v>110</v>
      </c>
      <c r="L271" s="6">
        <v>45667</v>
      </c>
      <c r="M271" s="6">
        <v>45665</v>
      </c>
      <c r="N271" s="5" t="s">
        <v>811</v>
      </c>
      <c r="O271" s="5" t="str">
        <f ca="1">IF(P271&lt;&gt;"EXPEDIÇÃO","Expedido",IF(NETWORKDAYS(C271,TODAY())&gt;=5,"Risco Alto",IF(NETWORKDAYS(C271,TODAY())&gt;=3,IF(NETWORKDAYS(C271,TODAY())&lt;5,"Risco Médio",""),IF(NETWORKDAYS(C271,TODAY())&lt;=2,"Risco Baixo",""))))</f>
        <v>Expedido</v>
      </c>
      <c r="P271" s="5" t="s">
        <v>25</v>
      </c>
      <c r="S271" s="7">
        <f>IF(ISBLANK(M271),"Aguardando Previsão/Data",NETWORKDAYS(L271,M271)-1)</f>
        <v>-4</v>
      </c>
      <c r="T271" s="5" t="s">
        <v>942</v>
      </c>
    </row>
    <row r="272" spans="1:20" x14ac:dyDescent="0.35">
      <c r="A272" s="5">
        <v>8100269448</v>
      </c>
      <c r="B272" s="5">
        <v>18732</v>
      </c>
      <c r="C272" s="6">
        <v>45659</v>
      </c>
      <c r="D272" s="5" t="s">
        <v>106</v>
      </c>
      <c r="E272" s="5" t="s">
        <v>107</v>
      </c>
      <c r="F272" s="5" t="s">
        <v>58</v>
      </c>
      <c r="G272" s="5" t="s">
        <v>59</v>
      </c>
      <c r="H272" s="5" t="s">
        <v>108</v>
      </c>
      <c r="I272" s="5" t="s">
        <v>126</v>
      </c>
      <c r="J272" s="5" t="s">
        <v>127</v>
      </c>
      <c r="K272" s="5" t="s">
        <v>110</v>
      </c>
      <c r="L272" s="6">
        <v>45665</v>
      </c>
      <c r="M272" s="6">
        <v>45663</v>
      </c>
      <c r="N272" s="5" t="s">
        <v>811</v>
      </c>
      <c r="O272" s="5" t="str">
        <f ca="1">IF(P272&lt;&gt;"EXPEDIÇÃO","Expedido",IF(NETWORKDAYS(C272,TODAY())&gt;=5,"Risco Alto",IF(NETWORKDAYS(C272,TODAY())&gt;=3,IF(NETWORKDAYS(C272,TODAY())&lt;5,"Risco Médio",""),IF(NETWORKDAYS(C272,TODAY())&lt;=2,"Risco Baixo",""))))</f>
        <v>Expedido</v>
      </c>
      <c r="P272" s="5" t="s">
        <v>25</v>
      </c>
      <c r="S272" s="7">
        <f>IF(ISBLANK(M272),"Aguardando Previsão/Data",NETWORKDAYS(L272,M272)-1)</f>
        <v>-4</v>
      </c>
      <c r="T272" s="5" t="s">
        <v>942</v>
      </c>
    </row>
    <row r="273" spans="1:20" x14ac:dyDescent="0.35">
      <c r="A273" s="5">
        <v>8100269449</v>
      </c>
      <c r="B273" s="5">
        <v>18733</v>
      </c>
      <c r="C273" s="6">
        <v>45659</v>
      </c>
      <c r="D273" s="5" t="s">
        <v>106</v>
      </c>
      <c r="E273" s="5" t="s">
        <v>107</v>
      </c>
      <c r="F273" s="5" t="s">
        <v>58</v>
      </c>
      <c r="G273" s="5" t="s">
        <v>59</v>
      </c>
      <c r="H273" s="5" t="s">
        <v>108</v>
      </c>
      <c r="I273" s="5" t="s">
        <v>126</v>
      </c>
      <c r="J273" s="5" t="s">
        <v>127</v>
      </c>
      <c r="K273" s="5" t="s">
        <v>110</v>
      </c>
      <c r="L273" s="6">
        <v>45665</v>
      </c>
      <c r="M273" s="6">
        <v>45663</v>
      </c>
      <c r="N273" s="5" t="s">
        <v>811</v>
      </c>
      <c r="O273" s="5" t="str">
        <f ca="1">IF(P273&lt;&gt;"EXPEDIÇÃO","Expedido",IF(NETWORKDAYS(C273,TODAY())&gt;=5,"Risco Alto",IF(NETWORKDAYS(C273,TODAY())&gt;=3,IF(NETWORKDAYS(C273,TODAY())&lt;5,"Risco Médio",""),IF(NETWORKDAYS(C273,TODAY())&lt;=2,"Risco Baixo",""))))</f>
        <v>Expedido</v>
      </c>
      <c r="P273" s="5" t="s">
        <v>25</v>
      </c>
      <c r="S273" s="7">
        <f>IF(ISBLANK(M273),"Aguardando Previsão/Data",NETWORKDAYS(L273,M273)-1)</f>
        <v>-4</v>
      </c>
      <c r="T273" s="5" t="s">
        <v>942</v>
      </c>
    </row>
    <row r="274" spans="1:20" x14ac:dyDescent="0.35">
      <c r="A274" s="5">
        <v>8100269450</v>
      </c>
      <c r="B274" s="5">
        <v>18734</v>
      </c>
      <c r="C274" s="6">
        <v>45659</v>
      </c>
      <c r="D274" s="5" t="s">
        <v>106</v>
      </c>
      <c r="E274" s="5" t="s">
        <v>107</v>
      </c>
      <c r="F274" s="5" t="s">
        <v>58</v>
      </c>
      <c r="G274" s="5" t="s">
        <v>59</v>
      </c>
      <c r="H274" s="5" t="s">
        <v>108</v>
      </c>
      <c r="I274" s="5" t="s">
        <v>126</v>
      </c>
      <c r="J274" s="5" t="s">
        <v>127</v>
      </c>
      <c r="K274" s="5" t="s">
        <v>110</v>
      </c>
      <c r="L274" s="6">
        <v>45665</v>
      </c>
      <c r="M274" s="6">
        <v>45663</v>
      </c>
      <c r="N274" s="5" t="s">
        <v>811</v>
      </c>
      <c r="O274" s="5" t="str">
        <f ca="1">IF(P274&lt;&gt;"EXPEDIÇÃO","Expedido",IF(NETWORKDAYS(C274,TODAY())&gt;=5,"Risco Alto",IF(NETWORKDAYS(C274,TODAY())&gt;=3,IF(NETWORKDAYS(C274,TODAY())&lt;5,"Risco Médio",""),IF(NETWORKDAYS(C274,TODAY())&lt;=2,"Risco Baixo",""))))</f>
        <v>Expedido</v>
      </c>
      <c r="P274" s="5" t="s">
        <v>25</v>
      </c>
      <c r="S274" s="7">
        <f>IF(ISBLANK(M274),"Aguardando Previsão/Data",NETWORKDAYS(L274,M274)-1)</f>
        <v>-4</v>
      </c>
      <c r="T274" s="5" t="s">
        <v>942</v>
      </c>
    </row>
    <row r="275" spans="1:20" x14ac:dyDescent="0.35">
      <c r="A275" s="5">
        <v>8100269457</v>
      </c>
      <c r="B275" s="5">
        <v>18723</v>
      </c>
      <c r="C275" s="6">
        <v>45659</v>
      </c>
      <c r="D275" s="5" t="s">
        <v>106</v>
      </c>
      <c r="E275" s="5" t="s">
        <v>107</v>
      </c>
      <c r="F275" s="5" t="s">
        <v>147</v>
      </c>
      <c r="G275" s="5" t="s">
        <v>148</v>
      </c>
      <c r="H275" s="5" t="s">
        <v>108</v>
      </c>
      <c r="I275" s="5" t="s">
        <v>82</v>
      </c>
      <c r="J275" s="5" t="s">
        <v>151</v>
      </c>
      <c r="K275" s="5" t="s">
        <v>110</v>
      </c>
      <c r="L275" s="6">
        <v>45667</v>
      </c>
      <c r="M275" s="6">
        <v>45665</v>
      </c>
      <c r="N275" s="5" t="s">
        <v>811</v>
      </c>
      <c r="O275" s="5" t="str">
        <f ca="1">IF(P275&lt;&gt;"EXPEDIÇÃO","Expedido",IF(NETWORKDAYS(C275,TODAY())&gt;=5,"Risco Alto",IF(NETWORKDAYS(C275,TODAY())&gt;=3,IF(NETWORKDAYS(C275,TODAY())&lt;5,"Risco Médio",""),IF(NETWORKDAYS(C275,TODAY())&lt;=2,"Risco Baixo",""))))</f>
        <v>Expedido</v>
      </c>
      <c r="P275" s="5" t="s">
        <v>25</v>
      </c>
      <c r="S275" s="7">
        <f>IF(ISBLANK(M275),"Aguardando Previsão/Data",NETWORKDAYS(L275,M275)-1)</f>
        <v>-4</v>
      </c>
      <c r="T275" s="5" t="s">
        <v>942</v>
      </c>
    </row>
    <row r="276" spans="1:20" x14ac:dyDescent="0.35">
      <c r="A276" s="5">
        <v>8100269462</v>
      </c>
      <c r="B276" s="5">
        <v>18735</v>
      </c>
      <c r="C276" s="6">
        <v>45659</v>
      </c>
      <c r="D276" s="5" t="s">
        <v>106</v>
      </c>
      <c r="E276" s="5" t="s">
        <v>107</v>
      </c>
      <c r="F276" s="5" t="s">
        <v>58</v>
      </c>
      <c r="G276" s="5" t="s">
        <v>59</v>
      </c>
      <c r="H276" s="5" t="s">
        <v>108</v>
      </c>
      <c r="I276" s="5" t="s">
        <v>130</v>
      </c>
      <c r="J276" s="5" t="s">
        <v>131</v>
      </c>
      <c r="K276" s="5" t="s">
        <v>110</v>
      </c>
      <c r="L276" s="6">
        <v>45665</v>
      </c>
      <c r="M276" s="6">
        <v>45663</v>
      </c>
      <c r="N276" s="5" t="s">
        <v>811</v>
      </c>
      <c r="O276" s="5" t="str">
        <f ca="1">IF(P276&lt;&gt;"EXPEDIÇÃO","Expedido",IF(NETWORKDAYS(C276,TODAY())&gt;=5,"Risco Alto",IF(NETWORKDAYS(C276,TODAY())&gt;=3,IF(NETWORKDAYS(C276,TODAY())&lt;5,"Risco Médio",""),IF(NETWORKDAYS(C276,TODAY())&lt;=2,"Risco Baixo",""))))</f>
        <v>Expedido</v>
      </c>
      <c r="P276" s="5" t="s">
        <v>25</v>
      </c>
      <c r="S276" s="7">
        <f>IF(ISBLANK(M276),"Aguardando Previsão/Data",NETWORKDAYS(L276,M276)-1)</f>
        <v>-4</v>
      </c>
      <c r="T276" s="5" t="s">
        <v>942</v>
      </c>
    </row>
    <row r="277" spans="1:20" x14ac:dyDescent="0.35">
      <c r="A277" s="5">
        <v>8100269463</v>
      </c>
      <c r="B277" s="5">
        <v>18736</v>
      </c>
      <c r="C277" s="6">
        <v>45659</v>
      </c>
      <c r="D277" s="5" t="s">
        <v>106</v>
      </c>
      <c r="E277" s="5" t="s">
        <v>107</v>
      </c>
      <c r="F277" s="5" t="s">
        <v>58</v>
      </c>
      <c r="G277" s="5" t="s">
        <v>59</v>
      </c>
      <c r="H277" s="5" t="s">
        <v>108</v>
      </c>
      <c r="I277" s="5" t="s">
        <v>130</v>
      </c>
      <c r="J277" s="5" t="s">
        <v>131</v>
      </c>
      <c r="K277" s="5" t="s">
        <v>110</v>
      </c>
      <c r="L277" s="6">
        <v>45665</v>
      </c>
      <c r="M277" s="6">
        <v>45663</v>
      </c>
      <c r="N277" s="5" t="s">
        <v>811</v>
      </c>
      <c r="O277" s="5" t="str">
        <f ca="1">IF(P277&lt;&gt;"EXPEDIÇÃO","Expedido",IF(NETWORKDAYS(C277,TODAY())&gt;=5,"Risco Alto",IF(NETWORKDAYS(C277,TODAY())&gt;=3,IF(NETWORKDAYS(C277,TODAY())&lt;5,"Risco Médio",""),IF(NETWORKDAYS(C277,TODAY())&lt;=2,"Risco Baixo",""))))</f>
        <v>Expedido</v>
      </c>
      <c r="P277" s="5" t="s">
        <v>25</v>
      </c>
      <c r="S277" s="7">
        <f>IF(ISBLANK(M277),"Aguardando Previsão/Data",NETWORKDAYS(L277,M277)-1)</f>
        <v>-4</v>
      </c>
      <c r="T277" s="5" t="s">
        <v>942</v>
      </c>
    </row>
    <row r="278" spans="1:20" x14ac:dyDescent="0.35">
      <c r="A278" s="5">
        <v>8100269464</v>
      </c>
      <c r="B278" s="5">
        <v>18737</v>
      </c>
      <c r="C278" s="6">
        <v>45659</v>
      </c>
      <c r="D278" s="5" t="s">
        <v>106</v>
      </c>
      <c r="E278" s="5" t="s">
        <v>107</v>
      </c>
      <c r="F278" s="5" t="s">
        <v>58</v>
      </c>
      <c r="G278" s="5" t="s">
        <v>59</v>
      </c>
      <c r="H278" s="5" t="s">
        <v>108</v>
      </c>
      <c r="I278" s="5" t="s">
        <v>130</v>
      </c>
      <c r="J278" s="5" t="s">
        <v>131</v>
      </c>
      <c r="K278" s="5" t="s">
        <v>110</v>
      </c>
      <c r="L278" s="6">
        <v>45665</v>
      </c>
      <c r="M278" s="6">
        <v>45663</v>
      </c>
      <c r="N278" s="5" t="s">
        <v>811</v>
      </c>
      <c r="O278" s="5" t="str">
        <f ca="1">IF(P278&lt;&gt;"EXPEDIÇÃO","Expedido",IF(NETWORKDAYS(C278,TODAY())&gt;=5,"Risco Alto",IF(NETWORKDAYS(C278,TODAY())&gt;=3,IF(NETWORKDAYS(C278,TODAY())&lt;5,"Risco Médio",""),IF(NETWORKDAYS(C278,TODAY())&lt;=2,"Risco Baixo",""))))</f>
        <v>Expedido</v>
      </c>
      <c r="P278" s="5" t="s">
        <v>25</v>
      </c>
      <c r="S278" s="7">
        <f>IF(ISBLANK(M278),"Aguardando Previsão/Data",NETWORKDAYS(L278,M278)-1)</f>
        <v>-4</v>
      </c>
      <c r="T278" s="5" t="s">
        <v>942</v>
      </c>
    </row>
    <row r="279" spans="1:20" x14ac:dyDescent="0.35">
      <c r="A279" s="5">
        <v>8100269465</v>
      </c>
      <c r="B279" s="5">
        <v>18738</v>
      </c>
      <c r="C279" s="6">
        <v>45659</v>
      </c>
      <c r="D279" s="5" t="s">
        <v>106</v>
      </c>
      <c r="E279" s="5" t="s">
        <v>107</v>
      </c>
      <c r="F279" s="5" t="s">
        <v>58</v>
      </c>
      <c r="G279" s="5" t="s">
        <v>59</v>
      </c>
      <c r="H279" s="5" t="s">
        <v>108</v>
      </c>
      <c r="I279" s="5" t="s">
        <v>130</v>
      </c>
      <c r="J279" s="5" t="s">
        <v>131</v>
      </c>
      <c r="K279" s="5" t="s">
        <v>110</v>
      </c>
      <c r="L279" s="6">
        <v>45665</v>
      </c>
      <c r="M279" s="6">
        <v>45663</v>
      </c>
      <c r="N279" s="5" t="s">
        <v>811</v>
      </c>
      <c r="O279" s="5" t="str">
        <f ca="1">IF(P279&lt;&gt;"EXPEDIÇÃO","Expedido",IF(NETWORKDAYS(C279,TODAY())&gt;=5,"Risco Alto",IF(NETWORKDAYS(C279,TODAY())&gt;=3,IF(NETWORKDAYS(C279,TODAY())&lt;5,"Risco Médio",""),IF(NETWORKDAYS(C279,TODAY())&lt;=2,"Risco Baixo",""))))</f>
        <v>Expedido</v>
      </c>
      <c r="P279" s="5" t="s">
        <v>25</v>
      </c>
      <c r="S279" s="7">
        <f>IF(ISBLANK(M279),"Aguardando Previsão/Data",NETWORKDAYS(L279,M279)-1)</f>
        <v>-4</v>
      </c>
      <c r="T279" s="5" t="s">
        <v>942</v>
      </c>
    </row>
    <row r="280" spans="1:20" x14ac:dyDescent="0.35">
      <c r="A280" s="5">
        <v>8100269466</v>
      </c>
      <c r="B280" s="5">
        <v>18693</v>
      </c>
      <c r="C280" s="6">
        <v>45659</v>
      </c>
      <c r="D280" s="5" t="s">
        <v>106</v>
      </c>
      <c r="E280" s="5" t="s">
        <v>107</v>
      </c>
      <c r="F280" s="5" t="s">
        <v>58</v>
      </c>
      <c r="G280" s="5" t="s">
        <v>59</v>
      </c>
      <c r="H280" s="5" t="s">
        <v>108</v>
      </c>
      <c r="I280" s="5" t="s">
        <v>140</v>
      </c>
      <c r="J280" s="5" t="s">
        <v>141</v>
      </c>
      <c r="K280" s="5" t="s">
        <v>110</v>
      </c>
      <c r="L280" s="6">
        <v>45663</v>
      </c>
      <c r="M280" s="6">
        <v>45659</v>
      </c>
      <c r="N280" s="5" t="s">
        <v>811</v>
      </c>
      <c r="O280" s="5" t="str">
        <f ca="1">IF(P280&lt;&gt;"EXPEDIÇÃO","Expedido",IF(NETWORKDAYS(C280,TODAY())&gt;=5,"Risco Alto",IF(NETWORKDAYS(C280,TODAY())&gt;=3,IF(NETWORKDAYS(C280,TODAY())&lt;5,"Risco Médio",""),IF(NETWORKDAYS(C280,TODAY())&lt;=2,"Risco Baixo",""))))</f>
        <v>Expedido</v>
      </c>
      <c r="P280" s="5" t="s">
        <v>25</v>
      </c>
      <c r="Q280" s="5" t="s">
        <v>900</v>
      </c>
      <c r="S280" s="7">
        <f>IF(ISBLANK(M280),"Aguardando Previsão/Data",NETWORKDAYS(L280,M280)-1)</f>
        <v>-4</v>
      </c>
      <c r="T280" s="5" t="s">
        <v>942</v>
      </c>
    </row>
    <row r="281" spans="1:20" x14ac:dyDescent="0.35">
      <c r="A281" s="5">
        <v>8100269467</v>
      </c>
      <c r="B281" s="5">
        <v>18694</v>
      </c>
      <c r="C281" s="6">
        <v>45659</v>
      </c>
      <c r="D281" s="5" t="s">
        <v>106</v>
      </c>
      <c r="E281" s="5" t="s">
        <v>107</v>
      </c>
      <c r="F281" s="5" t="s">
        <v>58</v>
      </c>
      <c r="G281" s="5" t="s">
        <v>59</v>
      </c>
      <c r="H281" s="5" t="s">
        <v>108</v>
      </c>
      <c r="I281" s="5" t="s">
        <v>140</v>
      </c>
      <c r="J281" s="5" t="s">
        <v>141</v>
      </c>
      <c r="K281" s="5" t="s">
        <v>110</v>
      </c>
      <c r="L281" s="6">
        <v>45663</v>
      </c>
      <c r="M281" s="6">
        <v>45659</v>
      </c>
      <c r="N281" s="5" t="s">
        <v>811</v>
      </c>
      <c r="O281" s="5" t="str">
        <f ca="1">IF(P281&lt;&gt;"EXPEDIÇÃO","Expedido",IF(NETWORKDAYS(C281,TODAY())&gt;=5,"Risco Alto",IF(NETWORKDAYS(C281,TODAY())&gt;=3,IF(NETWORKDAYS(C281,TODAY())&lt;5,"Risco Médio",""),IF(NETWORKDAYS(C281,TODAY())&lt;=2,"Risco Baixo",""))))</f>
        <v>Expedido</v>
      </c>
      <c r="P281" s="5" t="s">
        <v>25</v>
      </c>
      <c r="Q281" s="5" t="s">
        <v>900</v>
      </c>
      <c r="S281" s="7">
        <f>IF(ISBLANK(M281),"Aguardando Previsão/Data",NETWORKDAYS(L281,M281)-1)</f>
        <v>-4</v>
      </c>
      <c r="T281" s="5" t="s">
        <v>942</v>
      </c>
    </row>
    <row r="282" spans="1:20" x14ac:dyDescent="0.35">
      <c r="A282" s="5">
        <v>8100269468</v>
      </c>
      <c r="B282" s="5">
        <v>18695</v>
      </c>
      <c r="C282" s="6">
        <v>45659</v>
      </c>
      <c r="D282" s="5" t="s">
        <v>106</v>
      </c>
      <c r="E282" s="5" t="s">
        <v>107</v>
      </c>
      <c r="F282" s="5" t="s">
        <v>58</v>
      </c>
      <c r="G282" s="5" t="s">
        <v>59</v>
      </c>
      <c r="H282" s="5" t="s">
        <v>108</v>
      </c>
      <c r="I282" s="5" t="s">
        <v>140</v>
      </c>
      <c r="J282" s="5" t="s">
        <v>141</v>
      </c>
      <c r="K282" s="5" t="s">
        <v>110</v>
      </c>
      <c r="L282" s="6">
        <v>45663</v>
      </c>
      <c r="M282" s="6">
        <v>45659</v>
      </c>
      <c r="N282" s="5" t="s">
        <v>811</v>
      </c>
      <c r="O282" s="5" t="str">
        <f ca="1">IF(P282&lt;&gt;"EXPEDIÇÃO","Expedido",IF(NETWORKDAYS(C282,TODAY())&gt;=5,"Risco Alto",IF(NETWORKDAYS(C282,TODAY())&gt;=3,IF(NETWORKDAYS(C282,TODAY())&lt;5,"Risco Médio",""),IF(NETWORKDAYS(C282,TODAY())&lt;=2,"Risco Baixo",""))))</f>
        <v>Expedido</v>
      </c>
      <c r="P282" s="5" t="s">
        <v>25</v>
      </c>
      <c r="Q282" s="5" t="s">
        <v>900</v>
      </c>
      <c r="S282" s="7">
        <f>IF(ISBLANK(M282),"Aguardando Previsão/Data",NETWORKDAYS(L282,M282)-1)</f>
        <v>-4</v>
      </c>
      <c r="T282" s="5" t="s">
        <v>942</v>
      </c>
    </row>
    <row r="283" spans="1:20" x14ac:dyDescent="0.35">
      <c r="A283" s="5">
        <v>8100269469</v>
      </c>
      <c r="B283" s="5">
        <v>18696</v>
      </c>
      <c r="C283" s="6">
        <v>45659</v>
      </c>
      <c r="D283" s="5" t="s">
        <v>106</v>
      </c>
      <c r="E283" s="5" t="s">
        <v>107</v>
      </c>
      <c r="F283" s="5" t="s">
        <v>58</v>
      </c>
      <c r="G283" s="5" t="s">
        <v>59</v>
      </c>
      <c r="H283" s="5" t="s">
        <v>108</v>
      </c>
      <c r="I283" s="5" t="s">
        <v>140</v>
      </c>
      <c r="J283" s="5" t="s">
        <v>141</v>
      </c>
      <c r="K283" s="5" t="s">
        <v>110</v>
      </c>
      <c r="L283" s="6">
        <v>45663</v>
      </c>
      <c r="M283" s="6">
        <v>45659</v>
      </c>
      <c r="N283" s="5" t="s">
        <v>811</v>
      </c>
      <c r="O283" s="5" t="str">
        <f ca="1">IF(P283&lt;&gt;"EXPEDIÇÃO","Expedido",IF(NETWORKDAYS(C283,TODAY())&gt;=5,"Risco Alto",IF(NETWORKDAYS(C283,TODAY())&gt;=3,IF(NETWORKDAYS(C283,TODAY())&lt;5,"Risco Médio",""),IF(NETWORKDAYS(C283,TODAY())&lt;=2,"Risco Baixo",""))))</f>
        <v>Expedido</v>
      </c>
      <c r="P283" s="5" t="s">
        <v>25</v>
      </c>
      <c r="Q283" s="5" t="s">
        <v>900</v>
      </c>
      <c r="S283" s="7">
        <f>IF(ISBLANK(M283),"Aguardando Previsão/Data",NETWORKDAYS(L283,M283)-1)</f>
        <v>-4</v>
      </c>
      <c r="T283" s="5" t="s">
        <v>942</v>
      </c>
    </row>
    <row r="284" spans="1:20" x14ac:dyDescent="0.35">
      <c r="A284" s="5">
        <v>8100269470</v>
      </c>
      <c r="B284" s="5">
        <v>18697</v>
      </c>
      <c r="C284" s="6">
        <v>45659</v>
      </c>
      <c r="D284" s="5" t="s">
        <v>106</v>
      </c>
      <c r="E284" s="5" t="s">
        <v>107</v>
      </c>
      <c r="F284" s="5" t="s">
        <v>58</v>
      </c>
      <c r="G284" s="5" t="s">
        <v>59</v>
      </c>
      <c r="H284" s="5" t="s">
        <v>108</v>
      </c>
      <c r="I284" s="5" t="s">
        <v>140</v>
      </c>
      <c r="J284" s="5" t="s">
        <v>141</v>
      </c>
      <c r="K284" s="5" t="s">
        <v>110</v>
      </c>
      <c r="L284" s="6">
        <v>45663</v>
      </c>
      <c r="M284" s="6">
        <v>45659</v>
      </c>
      <c r="N284" s="5" t="s">
        <v>811</v>
      </c>
      <c r="O284" s="5" t="str">
        <f ca="1">IF(P284&lt;&gt;"EXPEDIÇÃO","Expedido",IF(NETWORKDAYS(C284,TODAY())&gt;=5,"Risco Alto",IF(NETWORKDAYS(C284,TODAY())&gt;=3,IF(NETWORKDAYS(C284,TODAY())&lt;5,"Risco Médio",""),IF(NETWORKDAYS(C284,TODAY())&lt;=2,"Risco Baixo",""))))</f>
        <v>Expedido</v>
      </c>
      <c r="P284" s="5" t="s">
        <v>25</v>
      </c>
      <c r="Q284" s="5" t="s">
        <v>900</v>
      </c>
      <c r="S284" s="7">
        <f>IF(ISBLANK(M284),"Aguardando Previsão/Data",NETWORKDAYS(L284,M284)-1)</f>
        <v>-4</v>
      </c>
      <c r="T284" s="5" t="s">
        <v>942</v>
      </c>
    </row>
    <row r="285" spans="1:20" x14ac:dyDescent="0.35">
      <c r="A285" s="5">
        <v>8100269471</v>
      </c>
      <c r="B285" s="5">
        <v>18698</v>
      </c>
      <c r="C285" s="6">
        <v>45659</v>
      </c>
      <c r="D285" s="5" t="s">
        <v>106</v>
      </c>
      <c r="E285" s="5" t="s">
        <v>107</v>
      </c>
      <c r="F285" s="5" t="s">
        <v>58</v>
      </c>
      <c r="G285" s="5" t="s">
        <v>59</v>
      </c>
      <c r="H285" s="5" t="s">
        <v>108</v>
      </c>
      <c r="I285" s="5" t="s">
        <v>140</v>
      </c>
      <c r="J285" s="5" t="s">
        <v>141</v>
      </c>
      <c r="K285" s="5" t="s">
        <v>110</v>
      </c>
      <c r="L285" s="6">
        <v>45663</v>
      </c>
      <c r="M285" s="6">
        <v>45659</v>
      </c>
      <c r="N285" s="5" t="s">
        <v>811</v>
      </c>
      <c r="O285" s="5" t="str">
        <f ca="1">IF(P285&lt;&gt;"EXPEDIÇÃO","Expedido",IF(NETWORKDAYS(C285,TODAY())&gt;=5,"Risco Alto",IF(NETWORKDAYS(C285,TODAY())&gt;=3,IF(NETWORKDAYS(C285,TODAY())&lt;5,"Risco Médio",""),IF(NETWORKDAYS(C285,TODAY())&lt;=2,"Risco Baixo",""))))</f>
        <v>Expedido</v>
      </c>
      <c r="P285" s="5" t="s">
        <v>25</v>
      </c>
      <c r="Q285" s="5" t="s">
        <v>900</v>
      </c>
      <c r="S285" s="7">
        <f>IF(ISBLANK(M285),"Aguardando Previsão/Data",NETWORKDAYS(L285,M285)-1)</f>
        <v>-4</v>
      </c>
      <c r="T285" s="5" t="s">
        <v>942</v>
      </c>
    </row>
    <row r="286" spans="1:20" x14ac:dyDescent="0.35">
      <c r="A286" s="5">
        <v>8100269472</v>
      </c>
      <c r="B286" s="5">
        <v>18699</v>
      </c>
      <c r="C286" s="6">
        <v>45659</v>
      </c>
      <c r="D286" s="5" t="s">
        <v>106</v>
      </c>
      <c r="E286" s="5" t="s">
        <v>107</v>
      </c>
      <c r="F286" s="5" t="s">
        <v>58</v>
      </c>
      <c r="G286" s="5" t="s">
        <v>59</v>
      </c>
      <c r="H286" s="5" t="s">
        <v>108</v>
      </c>
      <c r="I286" s="5" t="s">
        <v>140</v>
      </c>
      <c r="J286" s="5" t="s">
        <v>141</v>
      </c>
      <c r="K286" s="5" t="s">
        <v>110</v>
      </c>
      <c r="L286" s="6">
        <v>45663</v>
      </c>
      <c r="M286" s="6">
        <v>45659</v>
      </c>
      <c r="N286" s="5" t="s">
        <v>811</v>
      </c>
      <c r="O286" s="5" t="str">
        <f ca="1">IF(P286&lt;&gt;"EXPEDIÇÃO","Expedido",IF(NETWORKDAYS(C286,TODAY())&gt;=5,"Risco Alto",IF(NETWORKDAYS(C286,TODAY())&gt;=3,IF(NETWORKDAYS(C286,TODAY())&lt;5,"Risco Médio",""),IF(NETWORKDAYS(C286,TODAY())&lt;=2,"Risco Baixo",""))))</f>
        <v>Expedido</v>
      </c>
      <c r="P286" s="5" t="s">
        <v>25</v>
      </c>
      <c r="Q286" s="5" t="s">
        <v>900</v>
      </c>
      <c r="S286" s="7">
        <f>IF(ISBLANK(M286),"Aguardando Previsão/Data",NETWORKDAYS(L286,M286)-1)</f>
        <v>-4</v>
      </c>
      <c r="T286" s="5" t="s">
        <v>942</v>
      </c>
    </row>
    <row r="287" spans="1:20" x14ac:dyDescent="0.35">
      <c r="A287" s="5">
        <v>8100269473</v>
      </c>
      <c r="B287" s="5">
        <v>18700</v>
      </c>
      <c r="C287" s="6">
        <v>45659</v>
      </c>
      <c r="D287" s="5" t="s">
        <v>106</v>
      </c>
      <c r="E287" s="5" t="s">
        <v>107</v>
      </c>
      <c r="F287" s="5" t="s">
        <v>58</v>
      </c>
      <c r="G287" s="5" t="s">
        <v>59</v>
      </c>
      <c r="H287" s="5" t="s">
        <v>108</v>
      </c>
      <c r="I287" s="5" t="s">
        <v>140</v>
      </c>
      <c r="J287" s="5" t="s">
        <v>141</v>
      </c>
      <c r="K287" s="5" t="s">
        <v>110</v>
      </c>
      <c r="L287" s="6">
        <v>45663</v>
      </c>
      <c r="M287" s="6">
        <v>45659</v>
      </c>
      <c r="N287" s="5" t="s">
        <v>811</v>
      </c>
      <c r="O287" s="5" t="str">
        <f ca="1">IF(P287&lt;&gt;"EXPEDIÇÃO","Expedido",IF(NETWORKDAYS(C287,TODAY())&gt;=5,"Risco Alto",IF(NETWORKDAYS(C287,TODAY())&gt;=3,IF(NETWORKDAYS(C287,TODAY())&lt;5,"Risco Médio",""),IF(NETWORKDAYS(C287,TODAY())&lt;=2,"Risco Baixo",""))))</f>
        <v>Expedido</v>
      </c>
      <c r="P287" s="5" t="s">
        <v>25</v>
      </c>
      <c r="Q287" s="5" t="s">
        <v>900</v>
      </c>
      <c r="S287" s="7">
        <f>IF(ISBLANK(M287),"Aguardando Previsão/Data",NETWORKDAYS(L287,M287)-1)</f>
        <v>-4</v>
      </c>
      <c r="T287" s="5" t="s">
        <v>942</v>
      </c>
    </row>
    <row r="288" spans="1:20" x14ac:dyDescent="0.35">
      <c r="A288" s="5">
        <v>8100269474</v>
      </c>
      <c r="B288" s="5">
        <v>18701</v>
      </c>
      <c r="C288" s="6">
        <v>45659</v>
      </c>
      <c r="D288" s="5" t="s">
        <v>106</v>
      </c>
      <c r="E288" s="5" t="s">
        <v>107</v>
      </c>
      <c r="F288" s="5" t="s">
        <v>58</v>
      </c>
      <c r="G288" s="5" t="s">
        <v>59</v>
      </c>
      <c r="H288" s="5" t="s">
        <v>108</v>
      </c>
      <c r="I288" s="5" t="s">
        <v>140</v>
      </c>
      <c r="J288" s="5" t="s">
        <v>141</v>
      </c>
      <c r="K288" s="5" t="s">
        <v>110</v>
      </c>
      <c r="L288" s="6">
        <v>45663</v>
      </c>
      <c r="M288" s="6">
        <v>45659</v>
      </c>
      <c r="N288" s="5" t="s">
        <v>811</v>
      </c>
      <c r="O288" s="5" t="str">
        <f ca="1">IF(P288&lt;&gt;"EXPEDIÇÃO","Expedido",IF(NETWORKDAYS(C288,TODAY())&gt;=5,"Risco Alto",IF(NETWORKDAYS(C288,TODAY())&gt;=3,IF(NETWORKDAYS(C288,TODAY())&lt;5,"Risco Médio",""),IF(NETWORKDAYS(C288,TODAY())&lt;=2,"Risco Baixo",""))))</f>
        <v>Expedido</v>
      </c>
      <c r="P288" s="5" t="s">
        <v>25</v>
      </c>
      <c r="Q288" s="5" t="s">
        <v>900</v>
      </c>
      <c r="S288" s="7">
        <f>IF(ISBLANK(M288),"Aguardando Previsão/Data",NETWORKDAYS(L288,M288)-1)</f>
        <v>-4</v>
      </c>
      <c r="T288" s="5" t="s">
        <v>942</v>
      </c>
    </row>
    <row r="289" spans="1:20" x14ac:dyDescent="0.35">
      <c r="A289" s="5">
        <v>8100269475</v>
      </c>
      <c r="B289" s="5">
        <v>18702</v>
      </c>
      <c r="C289" s="6">
        <v>45659</v>
      </c>
      <c r="D289" s="5" t="s">
        <v>106</v>
      </c>
      <c r="E289" s="5" t="s">
        <v>107</v>
      </c>
      <c r="F289" s="5" t="s">
        <v>58</v>
      </c>
      <c r="G289" s="5" t="s">
        <v>59</v>
      </c>
      <c r="H289" s="5" t="s">
        <v>108</v>
      </c>
      <c r="I289" s="5" t="s">
        <v>140</v>
      </c>
      <c r="J289" s="5" t="s">
        <v>141</v>
      </c>
      <c r="K289" s="5" t="s">
        <v>110</v>
      </c>
      <c r="L289" s="6">
        <v>45663</v>
      </c>
      <c r="M289" s="6">
        <v>45659</v>
      </c>
      <c r="N289" s="5" t="s">
        <v>811</v>
      </c>
      <c r="O289" s="5" t="str">
        <f ca="1">IF(P289&lt;&gt;"EXPEDIÇÃO","Expedido",IF(NETWORKDAYS(C289,TODAY())&gt;=5,"Risco Alto",IF(NETWORKDAYS(C289,TODAY())&gt;=3,IF(NETWORKDAYS(C289,TODAY())&lt;5,"Risco Médio",""),IF(NETWORKDAYS(C289,TODAY())&lt;=2,"Risco Baixo",""))))</f>
        <v>Expedido</v>
      </c>
      <c r="P289" s="5" t="s">
        <v>25</v>
      </c>
      <c r="Q289" s="5" t="s">
        <v>900</v>
      </c>
      <c r="S289" s="7">
        <f>IF(ISBLANK(M289),"Aguardando Previsão/Data",NETWORKDAYS(L289,M289)-1)</f>
        <v>-4</v>
      </c>
      <c r="T289" s="5" t="s">
        <v>942</v>
      </c>
    </row>
    <row r="290" spans="1:20" x14ac:dyDescent="0.35">
      <c r="A290" s="5">
        <v>8100269476</v>
      </c>
      <c r="B290" s="5">
        <v>18703</v>
      </c>
      <c r="C290" s="6">
        <v>45659</v>
      </c>
      <c r="D290" s="5" t="s">
        <v>106</v>
      </c>
      <c r="E290" s="5" t="s">
        <v>107</v>
      </c>
      <c r="F290" s="5" t="s">
        <v>58</v>
      </c>
      <c r="G290" s="5" t="s">
        <v>59</v>
      </c>
      <c r="H290" s="5" t="s">
        <v>108</v>
      </c>
      <c r="I290" s="5" t="s">
        <v>140</v>
      </c>
      <c r="J290" s="5" t="s">
        <v>141</v>
      </c>
      <c r="K290" s="5" t="s">
        <v>110</v>
      </c>
      <c r="L290" s="6">
        <v>45663</v>
      </c>
      <c r="M290" s="6">
        <v>45659</v>
      </c>
      <c r="N290" s="5" t="s">
        <v>811</v>
      </c>
      <c r="O290" s="5" t="str">
        <f ca="1">IF(P290&lt;&gt;"EXPEDIÇÃO","Expedido",IF(NETWORKDAYS(C290,TODAY())&gt;=5,"Risco Alto",IF(NETWORKDAYS(C290,TODAY())&gt;=3,IF(NETWORKDAYS(C290,TODAY())&lt;5,"Risco Médio",""),IF(NETWORKDAYS(C290,TODAY())&lt;=2,"Risco Baixo",""))))</f>
        <v>Expedido</v>
      </c>
      <c r="P290" s="5" t="s">
        <v>25</v>
      </c>
      <c r="Q290" s="5" t="s">
        <v>900</v>
      </c>
      <c r="S290" s="7">
        <f>IF(ISBLANK(M290),"Aguardando Previsão/Data",NETWORKDAYS(L290,M290)-1)</f>
        <v>-4</v>
      </c>
      <c r="T290" s="5" t="s">
        <v>942</v>
      </c>
    </row>
    <row r="291" spans="1:20" x14ac:dyDescent="0.35">
      <c r="A291" s="5">
        <v>8100269478</v>
      </c>
      <c r="B291" s="5">
        <v>18709</v>
      </c>
      <c r="C291" s="6">
        <v>45659</v>
      </c>
      <c r="D291" s="5" t="s">
        <v>106</v>
      </c>
      <c r="E291" s="5" t="s">
        <v>107</v>
      </c>
      <c r="F291" s="5" t="s">
        <v>58</v>
      </c>
      <c r="G291" s="5" t="s">
        <v>59</v>
      </c>
      <c r="H291" s="5" t="s">
        <v>108</v>
      </c>
      <c r="I291" s="5" t="s">
        <v>394</v>
      </c>
      <c r="J291" s="5" t="s">
        <v>395</v>
      </c>
      <c r="K291" s="5" t="s">
        <v>110</v>
      </c>
      <c r="L291" s="6">
        <v>45666</v>
      </c>
      <c r="M291" s="6">
        <v>45663</v>
      </c>
      <c r="N291" s="5" t="s">
        <v>811</v>
      </c>
      <c r="O291" s="5" t="str">
        <f ca="1">IF(P291&lt;&gt;"EXPEDIÇÃO","Expedido",IF(NETWORKDAYS(C291,TODAY())&gt;=5,"Risco Alto",IF(NETWORKDAYS(C291,TODAY())&gt;=3,IF(NETWORKDAYS(C291,TODAY())&lt;5,"Risco Médio",""),IF(NETWORKDAYS(C291,TODAY())&lt;=2,"Risco Baixo",""))))</f>
        <v>Expedido</v>
      </c>
      <c r="P291" s="5" t="s">
        <v>25</v>
      </c>
      <c r="S291" s="7">
        <f>IF(ISBLANK(M291),"Aguardando Previsão/Data",NETWORKDAYS(L291,M291)-1)</f>
        <v>-5</v>
      </c>
      <c r="T291" s="5" t="s">
        <v>942</v>
      </c>
    </row>
    <row r="292" spans="1:20" x14ac:dyDescent="0.35">
      <c r="A292" s="5">
        <v>8100269479</v>
      </c>
      <c r="B292" s="5">
        <v>18704</v>
      </c>
      <c r="C292" s="6">
        <v>45659</v>
      </c>
      <c r="D292" s="5" t="s">
        <v>106</v>
      </c>
      <c r="E292" s="5" t="s">
        <v>107</v>
      </c>
      <c r="F292" s="5" t="s">
        <v>58</v>
      </c>
      <c r="G292" s="5" t="s">
        <v>59</v>
      </c>
      <c r="H292" s="5" t="s">
        <v>108</v>
      </c>
      <c r="I292" s="5" t="s">
        <v>140</v>
      </c>
      <c r="J292" s="5" t="s">
        <v>141</v>
      </c>
      <c r="K292" s="5" t="s">
        <v>110</v>
      </c>
      <c r="L292" s="6">
        <v>45663</v>
      </c>
      <c r="M292" s="6">
        <v>45659</v>
      </c>
      <c r="N292" s="5" t="s">
        <v>811</v>
      </c>
      <c r="O292" s="5" t="str">
        <f ca="1">IF(P292&lt;&gt;"EXPEDIÇÃO","Expedido",IF(NETWORKDAYS(C292,TODAY())&gt;=5,"Risco Alto",IF(NETWORKDAYS(C292,TODAY())&gt;=3,IF(NETWORKDAYS(C292,TODAY())&lt;5,"Risco Médio",""),IF(NETWORKDAYS(C292,TODAY())&lt;=2,"Risco Baixo",""))))</f>
        <v>Expedido</v>
      </c>
      <c r="P292" s="5" t="s">
        <v>25</v>
      </c>
      <c r="Q292" s="5" t="s">
        <v>900</v>
      </c>
      <c r="S292" s="7">
        <f>IF(ISBLANK(M292),"Aguardando Previsão/Data",NETWORKDAYS(L292,M292)-1)</f>
        <v>-4</v>
      </c>
      <c r="T292" s="5" t="s">
        <v>942</v>
      </c>
    </row>
    <row r="293" spans="1:20" x14ac:dyDescent="0.35">
      <c r="A293" s="5">
        <v>8100269480</v>
      </c>
      <c r="B293" s="5">
        <v>18705</v>
      </c>
      <c r="C293" s="6">
        <v>45659</v>
      </c>
      <c r="D293" s="5" t="s">
        <v>106</v>
      </c>
      <c r="E293" s="5" t="s">
        <v>107</v>
      </c>
      <c r="F293" s="5" t="s">
        <v>58</v>
      </c>
      <c r="G293" s="5" t="s">
        <v>59</v>
      </c>
      <c r="H293" s="5" t="s">
        <v>108</v>
      </c>
      <c r="I293" s="5" t="s">
        <v>140</v>
      </c>
      <c r="J293" s="5" t="s">
        <v>141</v>
      </c>
      <c r="K293" s="5" t="s">
        <v>110</v>
      </c>
      <c r="L293" s="6">
        <v>45663</v>
      </c>
      <c r="M293" s="6">
        <v>45659</v>
      </c>
      <c r="N293" s="5" t="s">
        <v>811</v>
      </c>
      <c r="O293" s="5" t="str">
        <f ca="1">IF(P293&lt;&gt;"EXPEDIÇÃO","Expedido",IF(NETWORKDAYS(C293,TODAY())&gt;=5,"Risco Alto",IF(NETWORKDAYS(C293,TODAY())&gt;=3,IF(NETWORKDAYS(C293,TODAY())&lt;5,"Risco Médio",""),IF(NETWORKDAYS(C293,TODAY())&lt;=2,"Risco Baixo",""))))</f>
        <v>Expedido</v>
      </c>
      <c r="P293" s="5" t="s">
        <v>25</v>
      </c>
      <c r="Q293" s="5" t="s">
        <v>900</v>
      </c>
      <c r="S293" s="7">
        <f>IF(ISBLANK(M293),"Aguardando Previsão/Data",NETWORKDAYS(L293,M293)-1)</f>
        <v>-4</v>
      </c>
      <c r="T293" s="5" t="s">
        <v>942</v>
      </c>
    </row>
    <row r="294" spans="1:20" x14ac:dyDescent="0.35">
      <c r="A294" s="5">
        <v>8100269482</v>
      </c>
      <c r="B294" s="5">
        <v>18731</v>
      </c>
      <c r="C294" s="6">
        <v>45659</v>
      </c>
      <c r="D294" s="5" t="s">
        <v>106</v>
      </c>
      <c r="E294" s="5" t="s">
        <v>107</v>
      </c>
      <c r="F294" s="5" t="s">
        <v>53</v>
      </c>
      <c r="G294" s="5" t="s">
        <v>54</v>
      </c>
      <c r="H294" s="5" t="s">
        <v>108</v>
      </c>
      <c r="I294" s="5" t="s">
        <v>341</v>
      </c>
      <c r="J294" s="5" t="s">
        <v>109</v>
      </c>
      <c r="K294" s="5" t="s">
        <v>110</v>
      </c>
      <c r="L294" s="6">
        <v>45666</v>
      </c>
      <c r="M294" s="6">
        <v>45663</v>
      </c>
      <c r="N294" s="5" t="s">
        <v>811</v>
      </c>
      <c r="O294" s="5" t="str">
        <f ca="1">IF(P294&lt;&gt;"EXPEDIÇÃO","Expedido",IF(NETWORKDAYS(C294,TODAY())&gt;=5,"Risco Alto",IF(NETWORKDAYS(C294,TODAY())&gt;=3,IF(NETWORKDAYS(C294,TODAY())&lt;5,"Risco Médio",""),IF(NETWORKDAYS(C294,TODAY())&lt;=2,"Risco Baixo",""))))</f>
        <v>Expedido</v>
      </c>
      <c r="P294" s="5" t="s">
        <v>25</v>
      </c>
      <c r="S294" s="7">
        <f>IF(ISBLANK(M294),"Aguardando Previsão/Data",NETWORKDAYS(L294,M294)-1)</f>
        <v>-5</v>
      </c>
      <c r="T294" s="5" t="s">
        <v>942</v>
      </c>
    </row>
    <row r="295" spans="1:20" x14ac:dyDescent="0.35">
      <c r="A295" s="5">
        <v>8100269484</v>
      </c>
      <c r="B295" s="5">
        <v>18727</v>
      </c>
      <c r="C295" s="6">
        <v>45659</v>
      </c>
      <c r="D295" s="5" t="s">
        <v>106</v>
      </c>
      <c r="E295" s="5" t="s">
        <v>107</v>
      </c>
      <c r="F295" s="5" t="s">
        <v>53</v>
      </c>
      <c r="G295" s="5" t="s">
        <v>54</v>
      </c>
      <c r="H295" s="5" t="s">
        <v>108</v>
      </c>
      <c r="I295" s="5" t="s">
        <v>447</v>
      </c>
      <c r="J295" s="5" t="s">
        <v>448</v>
      </c>
      <c r="K295" s="5" t="s">
        <v>110</v>
      </c>
      <c r="L295" s="6">
        <v>45666</v>
      </c>
      <c r="M295" s="6">
        <v>45664</v>
      </c>
      <c r="N295" s="5" t="s">
        <v>811</v>
      </c>
      <c r="O295" s="5" t="str">
        <f ca="1">IF(P295&lt;&gt;"EXPEDIÇÃO","Expedido",IF(NETWORKDAYS(C295,TODAY())&gt;=5,"Risco Alto",IF(NETWORKDAYS(C295,TODAY())&gt;=3,IF(NETWORKDAYS(C295,TODAY())&lt;5,"Risco Médio",""),IF(NETWORKDAYS(C295,TODAY())&lt;=2,"Risco Baixo",""))))</f>
        <v>Expedido</v>
      </c>
      <c r="P295" s="5" t="s">
        <v>25</v>
      </c>
      <c r="S295" s="7">
        <f>IF(ISBLANK(M295),"Aguardando Previsão/Data",NETWORKDAYS(L295,M295)-1)</f>
        <v>-4</v>
      </c>
      <c r="T295" s="5" t="s">
        <v>942</v>
      </c>
    </row>
    <row r="296" spans="1:20" x14ac:dyDescent="0.35">
      <c r="A296" s="5">
        <v>8100269485</v>
      </c>
      <c r="B296" s="5">
        <v>18719</v>
      </c>
      <c r="C296" s="6">
        <v>45659</v>
      </c>
      <c r="D296" s="5" t="s">
        <v>106</v>
      </c>
      <c r="E296" s="5" t="s">
        <v>107</v>
      </c>
      <c r="F296" s="5" t="s">
        <v>69</v>
      </c>
      <c r="G296" s="5" t="s">
        <v>70</v>
      </c>
      <c r="H296" s="5" t="s">
        <v>108</v>
      </c>
      <c r="I296" s="5" t="s">
        <v>82</v>
      </c>
      <c r="J296" s="5" t="s">
        <v>146</v>
      </c>
      <c r="K296" s="5" t="s">
        <v>110</v>
      </c>
      <c r="L296" s="6">
        <v>45666</v>
      </c>
      <c r="M296" s="6">
        <v>45665</v>
      </c>
      <c r="N296" s="5" t="s">
        <v>811</v>
      </c>
      <c r="O296" s="5" t="str">
        <f ca="1">IF(P296&lt;&gt;"EXPEDIÇÃO","Expedido",IF(NETWORKDAYS(C296,TODAY())&gt;=5,"Risco Alto",IF(NETWORKDAYS(C296,TODAY())&gt;=3,IF(NETWORKDAYS(C296,TODAY())&lt;5,"Risco Médio",""),IF(NETWORKDAYS(C296,TODAY())&lt;=2,"Risco Baixo",""))))</f>
        <v>Expedido</v>
      </c>
      <c r="P296" s="5" t="s">
        <v>25</v>
      </c>
      <c r="R296" s="5" t="s">
        <v>1176</v>
      </c>
      <c r="S296" s="7">
        <f>IF(ISBLANK(M296),"Aguardando Previsão/Data",NETWORKDAYS(L296,M296)-1)</f>
        <v>-3</v>
      </c>
      <c r="T296" s="5" t="s">
        <v>942</v>
      </c>
    </row>
    <row r="297" spans="1:20" x14ac:dyDescent="0.35">
      <c r="A297" s="5">
        <v>8100269486</v>
      </c>
      <c r="B297" s="5">
        <v>18721</v>
      </c>
      <c r="C297" s="6">
        <v>45659</v>
      </c>
      <c r="D297" s="5" t="s">
        <v>106</v>
      </c>
      <c r="E297" s="5" t="s">
        <v>107</v>
      </c>
      <c r="F297" s="5" t="s">
        <v>329</v>
      </c>
      <c r="G297" s="5" t="s">
        <v>330</v>
      </c>
      <c r="H297" s="5" t="s">
        <v>108</v>
      </c>
      <c r="I297" s="5" t="s">
        <v>775</v>
      </c>
      <c r="J297" s="5" t="s">
        <v>295</v>
      </c>
      <c r="K297" s="5" t="s">
        <v>110</v>
      </c>
      <c r="L297" s="6">
        <v>45665</v>
      </c>
      <c r="M297" s="6">
        <v>45665</v>
      </c>
      <c r="N297" s="5" t="s">
        <v>811</v>
      </c>
      <c r="O297" s="5" t="str">
        <f ca="1">IF(P297&lt;&gt;"EXPEDIÇÃO","Expedido",IF(NETWORKDAYS(C297,TODAY())&gt;=5,"Risco Alto",IF(NETWORKDAYS(C297,TODAY())&gt;=3,IF(NETWORKDAYS(C297,TODAY())&lt;5,"Risco Médio",""),IF(NETWORKDAYS(C297,TODAY())&lt;=2,"Risco Baixo",""))))</f>
        <v>Expedido</v>
      </c>
      <c r="P297" s="5" t="s">
        <v>25</v>
      </c>
      <c r="Q297" s="5" t="s">
        <v>897</v>
      </c>
      <c r="S297" s="7">
        <f>IF(ISBLANK(M297),"Aguardando Previsão/Data",NETWORKDAYS(L297,M297)-1)</f>
        <v>0</v>
      </c>
      <c r="T297" s="5" t="s">
        <v>942</v>
      </c>
    </row>
    <row r="298" spans="1:20" x14ac:dyDescent="0.35">
      <c r="A298" s="5">
        <v>8100269487</v>
      </c>
      <c r="B298" s="5">
        <v>18729</v>
      </c>
      <c r="C298" s="6">
        <v>45659</v>
      </c>
      <c r="D298" s="5" t="s">
        <v>106</v>
      </c>
      <c r="E298" s="5" t="s">
        <v>107</v>
      </c>
      <c r="F298" s="5" t="s">
        <v>53</v>
      </c>
      <c r="G298" s="5" t="s">
        <v>54</v>
      </c>
      <c r="H298" s="5" t="s">
        <v>108</v>
      </c>
      <c r="I298" s="5" t="s">
        <v>727</v>
      </c>
      <c r="J298" s="5" t="s">
        <v>582</v>
      </c>
      <c r="K298" s="5" t="s">
        <v>110</v>
      </c>
      <c r="L298" s="6">
        <v>45667</v>
      </c>
      <c r="M298" s="6">
        <v>45664</v>
      </c>
      <c r="N298" s="5" t="s">
        <v>811</v>
      </c>
      <c r="O298" s="5" t="str">
        <f ca="1">IF(P298&lt;&gt;"EXPEDIÇÃO","Expedido",IF(NETWORKDAYS(C298,TODAY())&gt;=5,"Risco Alto",IF(NETWORKDAYS(C298,TODAY())&gt;=3,IF(NETWORKDAYS(C298,TODAY())&lt;5,"Risco Médio",""),IF(NETWORKDAYS(C298,TODAY())&lt;=2,"Risco Baixo",""))))</f>
        <v>Expedido</v>
      </c>
      <c r="P298" s="5" t="s">
        <v>25</v>
      </c>
      <c r="S298" s="7">
        <f>IF(ISBLANK(M298),"Aguardando Previsão/Data",NETWORKDAYS(L298,M298)-1)</f>
        <v>-5</v>
      </c>
      <c r="T298" s="5" t="s">
        <v>942</v>
      </c>
    </row>
    <row r="299" spans="1:20" x14ac:dyDescent="0.35">
      <c r="A299" s="5">
        <v>8100269490</v>
      </c>
      <c r="B299" s="5">
        <v>18730</v>
      </c>
      <c r="C299" s="6">
        <v>45659</v>
      </c>
      <c r="D299" s="5" t="s">
        <v>106</v>
      </c>
      <c r="E299" s="5" t="s">
        <v>107</v>
      </c>
      <c r="F299" s="5" t="s">
        <v>66</v>
      </c>
      <c r="G299" s="5" t="s">
        <v>67</v>
      </c>
      <c r="H299" s="5" t="s">
        <v>108</v>
      </c>
      <c r="I299" s="5" t="s">
        <v>154</v>
      </c>
      <c r="J299" s="5" t="s">
        <v>155</v>
      </c>
      <c r="K299" s="5" t="s">
        <v>156</v>
      </c>
      <c r="L299" s="6">
        <v>45671</v>
      </c>
      <c r="M299" s="6">
        <v>45672</v>
      </c>
      <c r="N299" s="5" t="s">
        <v>811</v>
      </c>
      <c r="O299" s="5" t="str">
        <f ca="1">IF(P299&lt;&gt;"EXPEDIÇÃO","Expedido",IF(NETWORKDAYS(C299,TODAY())&gt;=5,"Risco Alto",IF(NETWORKDAYS(C299,TODAY())&gt;=3,IF(NETWORKDAYS(C299,TODAY())&lt;5,"Risco Médio",""),IF(NETWORKDAYS(C299,TODAY())&lt;=2,"Risco Baixo",""))))</f>
        <v>Expedido</v>
      </c>
      <c r="P299" s="5" t="s">
        <v>25</v>
      </c>
      <c r="Q299" s="5" t="s">
        <v>897</v>
      </c>
      <c r="R299" s="5" t="s">
        <v>1308</v>
      </c>
      <c r="S299" s="7">
        <f>IF(ISBLANK(M299),"Aguardando Previsão/Data",NETWORKDAYS(L299,M299)-1)</f>
        <v>1</v>
      </c>
      <c r="T299" s="5" t="s">
        <v>942</v>
      </c>
    </row>
    <row r="300" spans="1:20" x14ac:dyDescent="0.35">
      <c r="A300" s="5">
        <v>8100269492</v>
      </c>
      <c r="B300" s="5">
        <v>18740</v>
      </c>
      <c r="C300" s="6">
        <v>45659</v>
      </c>
      <c r="D300" s="5" t="s">
        <v>106</v>
      </c>
      <c r="E300" s="5" t="s">
        <v>107</v>
      </c>
      <c r="F300" s="5" t="s">
        <v>53</v>
      </c>
      <c r="G300" s="5" t="s">
        <v>54</v>
      </c>
      <c r="H300" s="5" t="s">
        <v>108</v>
      </c>
      <c r="I300" s="5" t="s">
        <v>132</v>
      </c>
      <c r="J300" s="5" t="s">
        <v>133</v>
      </c>
      <c r="K300" s="5" t="s">
        <v>110</v>
      </c>
      <c r="L300" s="6">
        <v>45667</v>
      </c>
      <c r="M300" s="6">
        <v>45664</v>
      </c>
      <c r="N300" s="5" t="s">
        <v>811</v>
      </c>
      <c r="O300" s="5" t="str">
        <f ca="1">IF(P300&lt;&gt;"EXPEDIÇÃO","Expedido",IF(NETWORKDAYS(C300,TODAY())&gt;=5,"Risco Alto",IF(NETWORKDAYS(C300,TODAY())&gt;=3,IF(NETWORKDAYS(C300,TODAY())&lt;5,"Risco Médio",""),IF(NETWORKDAYS(C300,TODAY())&lt;=2,"Risco Baixo",""))))</f>
        <v>Expedido</v>
      </c>
      <c r="P300" s="5" t="s">
        <v>25</v>
      </c>
      <c r="S300" s="7">
        <f>IF(ISBLANK(M300),"Aguardando Previsão/Data",NETWORKDAYS(L300,M300)-1)</f>
        <v>-5</v>
      </c>
      <c r="T300" s="5" t="s">
        <v>942</v>
      </c>
    </row>
    <row r="301" spans="1:20" x14ac:dyDescent="0.35">
      <c r="A301" s="5">
        <v>8100269493</v>
      </c>
      <c r="B301" s="5">
        <v>18718</v>
      </c>
      <c r="C301" s="6">
        <v>45659</v>
      </c>
      <c r="D301" s="5" t="s">
        <v>106</v>
      </c>
      <c r="E301" s="5" t="s">
        <v>107</v>
      </c>
      <c r="F301" s="5" t="s">
        <v>111</v>
      </c>
      <c r="G301" s="5" t="s">
        <v>112</v>
      </c>
      <c r="H301" s="5" t="s">
        <v>108</v>
      </c>
      <c r="I301" s="5" t="s">
        <v>113</v>
      </c>
      <c r="J301" s="5" t="s">
        <v>114</v>
      </c>
      <c r="K301" s="5" t="s">
        <v>110</v>
      </c>
      <c r="L301" s="6">
        <v>45667</v>
      </c>
      <c r="M301" s="6">
        <v>45666</v>
      </c>
      <c r="N301" s="5" t="s">
        <v>811</v>
      </c>
      <c r="O301" s="5" t="str">
        <f ca="1">IF(P301&lt;&gt;"EXPEDIÇÃO","Expedido",IF(NETWORKDAYS(C301,TODAY())&gt;=5,"Risco Alto",IF(NETWORKDAYS(C301,TODAY())&gt;=3,IF(NETWORKDAYS(C301,TODAY())&lt;5,"Risco Médio",""),IF(NETWORKDAYS(C301,TODAY())&lt;=2,"Risco Baixo",""))))</f>
        <v>Expedido</v>
      </c>
      <c r="P301" s="5" t="s">
        <v>25</v>
      </c>
      <c r="R301" s="5" t="s">
        <v>1176</v>
      </c>
      <c r="S301" s="7">
        <f>IF(ISBLANK(M301),"Aguardando Previsão/Data",NETWORKDAYS(L301,M301)-1)</f>
        <v>-3</v>
      </c>
      <c r="T301" s="5" t="s">
        <v>942</v>
      </c>
    </row>
    <row r="302" spans="1:20" x14ac:dyDescent="0.35">
      <c r="A302" s="5">
        <v>8100269494</v>
      </c>
      <c r="B302" s="5">
        <v>18710</v>
      </c>
      <c r="C302" s="6">
        <v>45659</v>
      </c>
      <c r="D302" s="5" t="s">
        <v>106</v>
      </c>
      <c r="E302" s="5" t="s">
        <v>107</v>
      </c>
      <c r="F302" s="5" t="s">
        <v>66</v>
      </c>
      <c r="G302" s="5" t="s">
        <v>67</v>
      </c>
      <c r="H302" s="5" t="s">
        <v>108</v>
      </c>
      <c r="I302" s="5" t="s">
        <v>394</v>
      </c>
      <c r="J302" s="5" t="s">
        <v>395</v>
      </c>
      <c r="K302" s="5" t="s">
        <v>110</v>
      </c>
      <c r="L302" s="6">
        <v>45666</v>
      </c>
      <c r="M302" s="6">
        <v>45663</v>
      </c>
      <c r="N302" s="5" t="s">
        <v>811</v>
      </c>
      <c r="O302" s="5" t="str">
        <f ca="1">IF(P302&lt;&gt;"EXPEDIÇÃO","Expedido",IF(NETWORKDAYS(C302,TODAY())&gt;=5,"Risco Alto",IF(NETWORKDAYS(C302,TODAY())&gt;=3,IF(NETWORKDAYS(C302,TODAY())&lt;5,"Risco Médio",""),IF(NETWORKDAYS(C302,TODAY())&lt;=2,"Risco Baixo",""))))</f>
        <v>Expedido</v>
      </c>
      <c r="P302" s="5" t="s">
        <v>25</v>
      </c>
      <c r="S302" s="7">
        <f>IF(ISBLANK(M302),"Aguardando Previsão/Data",NETWORKDAYS(L302,M302)-1)</f>
        <v>-5</v>
      </c>
      <c r="T302" s="5" t="s">
        <v>942</v>
      </c>
    </row>
    <row r="303" spans="1:20" x14ac:dyDescent="0.35">
      <c r="A303" s="5">
        <v>8100269495</v>
      </c>
      <c r="B303" s="5">
        <v>18717</v>
      </c>
      <c r="C303" s="6">
        <v>45659</v>
      </c>
      <c r="D303" s="5" t="s">
        <v>106</v>
      </c>
      <c r="E303" s="5" t="s">
        <v>107</v>
      </c>
      <c r="F303" s="5" t="s">
        <v>66</v>
      </c>
      <c r="G303" s="5" t="s">
        <v>67</v>
      </c>
      <c r="H303" s="5" t="s">
        <v>108</v>
      </c>
      <c r="I303" s="5" t="s">
        <v>475</v>
      </c>
      <c r="J303" s="5" t="s">
        <v>476</v>
      </c>
      <c r="K303" s="5" t="s">
        <v>110</v>
      </c>
      <c r="L303" s="6">
        <v>45667</v>
      </c>
      <c r="M303" s="6">
        <v>45667</v>
      </c>
      <c r="N303" s="5" t="s">
        <v>811</v>
      </c>
      <c r="O303" s="5" t="str">
        <f ca="1">IF(P303&lt;&gt;"EXPEDIÇÃO","Expedido",IF(NETWORKDAYS(C303,TODAY())&gt;=5,"Risco Alto",IF(NETWORKDAYS(C303,TODAY())&gt;=3,IF(NETWORKDAYS(C303,TODAY())&lt;5,"Risco Médio",""),IF(NETWORKDAYS(C303,TODAY())&lt;=2,"Risco Baixo",""))))</f>
        <v>Expedido</v>
      </c>
      <c r="P303" s="5" t="s">
        <v>25</v>
      </c>
      <c r="R303" s="5" t="s">
        <v>1176</v>
      </c>
      <c r="S303" s="7">
        <f>IF(ISBLANK(M303),"Aguardando Previsão/Data",NETWORKDAYS(L303,M303)-1)</f>
        <v>0</v>
      </c>
      <c r="T303" s="5" t="s">
        <v>942</v>
      </c>
    </row>
    <row r="304" spans="1:20" x14ac:dyDescent="0.35">
      <c r="A304" s="5">
        <v>8100269496</v>
      </c>
      <c r="B304" s="5">
        <v>18739</v>
      </c>
      <c r="C304" s="6">
        <v>45659</v>
      </c>
      <c r="D304" s="5" t="s">
        <v>106</v>
      </c>
      <c r="E304" s="5" t="s">
        <v>107</v>
      </c>
      <c r="F304" s="5" t="s">
        <v>111</v>
      </c>
      <c r="G304" s="5" t="s">
        <v>112</v>
      </c>
      <c r="H304" s="5" t="s">
        <v>108</v>
      </c>
      <c r="I304" s="5" t="s">
        <v>113</v>
      </c>
      <c r="J304" s="5" t="s">
        <v>142</v>
      </c>
      <c r="K304" s="5" t="s">
        <v>110</v>
      </c>
      <c r="L304" s="6">
        <v>45666</v>
      </c>
      <c r="M304" s="6">
        <v>45666</v>
      </c>
      <c r="N304" s="5" t="s">
        <v>811</v>
      </c>
      <c r="O304" s="5" t="str">
        <f ca="1">IF(P304&lt;&gt;"EXPEDIÇÃO","Expedido",IF(NETWORKDAYS(C304,TODAY())&gt;=5,"Risco Alto",IF(NETWORKDAYS(C304,TODAY())&gt;=3,IF(NETWORKDAYS(C304,TODAY())&lt;5,"Risco Médio",""),IF(NETWORKDAYS(C304,TODAY())&lt;=2,"Risco Baixo",""))))</f>
        <v>Expedido</v>
      </c>
      <c r="P304" s="5" t="s">
        <v>25</v>
      </c>
      <c r="R304" s="5" t="s">
        <v>1176</v>
      </c>
      <c r="S304" s="7">
        <f>IF(ISBLANK(M304),"Aguardando Previsão/Data",NETWORKDAYS(L304,M304)-1)</f>
        <v>0</v>
      </c>
      <c r="T304" s="5" t="s">
        <v>942</v>
      </c>
    </row>
    <row r="305" spans="1:20" x14ac:dyDescent="0.35">
      <c r="A305" s="5">
        <v>8100269497</v>
      </c>
      <c r="B305" s="5">
        <v>18722</v>
      </c>
      <c r="C305" s="6">
        <v>45659</v>
      </c>
      <c r="D305" s="5" t="s">
        <v>106</v>
      </c>
      <c r="E305" s="5" t="s">
        <v>107</v>
      </c>
      <c r="F305" s="5" t="s">
        <v>66</v>
      </c>
      <c r="G305" s="5" t="s">
        <v>67</v>
      </c>
      <c r="H305" s="5" t="s">
        <v>108</v>
      </c>
      <c r="I305" s="5" t="s">
        <v>398</v>
      </c>
      <c r="J305" s="5" t="s">
        <v>399</v>
      </c>
      <c r="K305" s="5" t="s">
        <v>156</v>
      </c>
      <c r="L305" s="6">
        <v>45672</v>
      </c>
      <c r="M305" s="6">
        <v>45672</v>
      </c>
      <c r="N305" s="5" t="s">
        <v>811</v>
      </c>
      <c r="O305" s="5" t="str">
        <f ca="1">IF(P305&lt;&gt;"EXPEDIÇÃO","Expedido",IF(NETWORKDAYS(C305,TODAY())&gt;=5,"Risco Alto",IF(NETWORKDAYS(C305,TODAY())&gt;=3,IF(NETWORKDAYS(C305,TODAY())&lt;5,"Risco Médio",""),IF(NETWORKDAYS(C305,TODAY())&lt;=2,"Risco Baixo",""))))</f>
        <v>Expedido</v>
      </c>
      <c r="P305" s="5" t="s">
        <v>25</v>
      </c>
      <c r="S305" s="7">
        <f>IF(ISBLANK(M305),"Aguardando Previsão/Data",NETWORKDAYS(L305,M305)-1)</f>
        <v>0</v>
      </c>
      <c r="T305" s="5" t="s">
        <v>942</v>
      </c>
    </row>
    <row r="306" spans="1:20" x14ac:dyDescent="0.35">
      <c r="A306" s="5">
        <v>8100269508</v>
      </c>
      <c r="B306" s="5">
        <v>18765</v>
      </c>
      <c r="C306" s="6">
        <v>45659</v>
      </c>
      <c r="D306" s="5" t="s">
        <v>106</v>
      </c>
      <c r="E306" s="5" t="s">
        <v>107</v>
      </c>
      <c r="F306" s="5" t="s">
        <v>53</v>
      </c>
      <c r="G306" s="5" t="s">
        <v>54</v>
      </c>
      <c r="H306" s="5" t="s">
        <v>108</v>
      </c>
      <c r="I306" s="5" t="s">
        <v>447</v>
      </c>
      <c r="J306" s="5" t="s">
        <v>448</v>
      </c>
      <c r="K306" s="5" t="s">
        <v>110</v>
      </c>
      <c r="L306" s="6">
        <v>45666</v>
      </c>
      <c r="M306" s="6">
        <v>45664</v>
      </c>
      <c r="N306" s="5" t="s">
        <v>811</v>
      </c>
      <c r="O306" s="5" t="str">
        <f ca="1">IF(P306&lt;&gt;"EXPEDIÇÃO","Expedido",IF(NETWORKDAYS(C306,TODAY())&gt;=5,"Risco Alto",IF(NETWORKDAYS(C306,TODAY())&gt;=3,IF(NETWORKDAYS(C306,TODAY())&lt;5,"Risco Médio",""),IF(NETWORKDAYS(C306,TODAY())&lt;=2,"Risco Baixo",""))))</f>
        <v>Expedido</v>
      </c>
      <c r="P306" s="5" t="s">
        <v>25</v>
      </c>
      <c r="S306" s="7">
        <f>IF(ISBLANK(M306),"Aguardando Previsão/Data",NETWORKDAYS(L306,M306)-1)</f>
        <v>-4</v>
      </c>
      <c r="T306" s="5" t="s">
        <v>942</v>
      </c>
    </row>
    <row r="307" spans="1:20" x14ac:dyDescent="0.35">
      <c r="A307" s="5">
        <v>8100269509</v>
      </c>
      <c r="B307" s="5">
        <v>18725</v>
      </c>
      <c r="C307" s="6">
        <v>45659</v>
      </c>
      <c r="D307" s="5" t="s">
        <v>106</v>
      </c>
      <c r="E307" s="5" t="s">
        <v>107</v>
      </c>
      <c r="F307" s="5" t="s">
        <v>69</v>
      </c>
      <c r="G307" s="5" t="s">
        <v>70</v>
      </c>
      <c r="H307" s="5" t="s">
        <v>108</v>
      </c>
      <c r="I307" s="5" t="s">
        <v>82</v>
      </c>
      <c r="J307" s="5" t="s">
        <v>124</v>
      </c>
      <c r="K307" s="5" t="s">
        <v>110</v>
      </c>
      <c r="L307" s="6">
        <v>45667</v>
      </c>
      <c r="M307" s="6">
        <v>45665</v>
      </c>
      <c r="N307" s="5"/>
      <c r="O307" s="5" t="str">
        <f ca="1">IF(P307&lt;&gt;"EXPEDIÇÃO","Expedido",IF(NETWORKDAYS(C307,TODAY())&gt;=5,"Risco Alto",IF(NETWORKDAYS(C307,TODAY())&gt;=3,IF(NETWORKDAYS(C307,TODAY())&lt;5,"Risco Médio",""),IF(NETWORKDAYS(C307,TODAY())&lt;=2,"Risco Baixo",""))))</f>
        <v>Expedido</v>
      </c>
      <c r="P307" s="5" t="s">
        <v>145</v>
      </c>
      <c r="Q307" s="5" t="s">
        <v>363</v>
      </c>
      <c r="R307" s="5">
        <v>3066283</v>
      </c>
      <c r="S307" s="7">
        <f>IF(ISBLANK(M307),"Aguardando Previsão/Data",NETWORKDAYS(L307,M307)-1)</f>
        <v>-4</v>
      </c>
      <c r="T307" s="5" t="s">
        <v>942</v>
      </c>
    </row>
    <row r="308" spans="1:20" x14ac:dyDescent="0.35">
      <c r="A308" s="5">
        <v>8100269512</v>
      </c>
      <c r="B308" s="5">
        <v>18766</v>
      </c>
      <c r="C308" s="6">
        <v>45659</v>
      </c>
      <c r="D308" s="5" t="s">
        <v>106</v>
      </c>
      <c r="E308" s="5" t="s">
        <v>107</v>
      </c>
      <c r="F308" s="5" t="s">
        <v>53</v>
      </c>
      <c r="G308" s="5" t="s">
        <v>54</v>
      </c>
      <c r="H308" s="5" t="s">
        <v>108</v>
      </c>
      <c r="I308" s="5" t="s">
        <v>447</v>
      </c>
      <c r="J308" s="5" t="s">
        <v>448</v>
      </c>
      <c r="K308" s="5" t="s">
        <v>110</v>
      </c>
      <c r="L308" s="6">
        <v>45666</v>
      </c>
      <c r="M308" s="6">
        <v>45664</v>
      </c>
      <c r="N308" s="5" t="s">
        <v>811</v>
      </c>
      <c r="O308" s="5" t="str">
        <f ca="1">IF(P308&lt;&gt;"EXPEDIÇÃO","Expedido",IF(NETWORKDAYS(C308,TODAY())&gt;=5,"Risco Alto",IF(NETWORKDAYS(C308,TODAY())&gt;=3,IF(NETWORKDAYS(C308,TODAY())&lt;5,"Risco Médio",""),IF(NETWORKDAYS(C308,TODAY())&lt;=2,"Risco Baixo",""))))</f>
        <v>Expedido</v>
      </c>
      <c r="P308" s="5" t="s">
        <v>25</v>
      </c>
      <c r="S308" s="7">
        <f>IF(ISBLANK(M308),"Aguardando Previsão/Data",NETWORKDAYS(L308,M308)-1)</f>
        <v>-4</v>
      </c>
      <c r="T308" s="5" t="s">
        <v>942</v>
      </c>
    </row>
    <row r="309" spans="1:20" x14ac:dyDescent="0.35">
      <c r="A309" s="5">
        <v>8100269513</v>
      </c>
      <c r="B309" s="5">
        <v>18716</v>
      </c>
      <c r="C309" s="6">
        <v>45659</v>
      </c>
      <c r="D309" s="5" t="s">
        <v>106</v>
      </c>
      <c r="E309" s="5" t="s">
        <v>107</v>
      </c>
      <c r="F309" s="5" t="s">
        <v>147</v>
      </c>
      <c r="G309" s="5" t="s">
        <v>148</v>
      </c>
      <c r="H309" s="5" t="s">
        <v>108</v>
      </c>
      <c r="I309" s="5" t="s">
        <v>840</v>
      </c>
      <c r="J309" s="5" t="s">
        <v>582</v>
      </c>
      <c r="K309" s="5" t="s">
        <v>110</v>
      </c>
      <c r="L309" s="6">
        <v>45667</v>
      </c>
      <c r="M309" s="6">
        <v>45663</v>
      </c>
      <c r="N309" s="5" t="s">
        <v>811</v>
      </c>
      <c r="O309" s="5" t="str">
        <f ca="1">IF(P309&lt;&gt;"EXPEDIÇÃO","Expedido",IF(NETWORKDAYS(C309,TODAY())&gt;=5,"Risco Alto",IF(NETWORKDAYS(C309,TODAY())&gt;=3,IF(NETWORKDAYS(C309,TODAY())&lt;5,"Risco Médio",""),IF(NETWORKDAYS(C309,TODAY())&lt;=2,"Risco Baixo",""))))</f>
        <v>Expedido</v>
      </c>
      <c r="P309" s="5" t="s">
        <v>25</v>
      </c>
      <c r="S309" s="7">
        <f>IF(ISBLANK(M309),"Aguardando Previsão/Data",NETWORKDAYS(L309,M309)-1)</f>
        <v>-6</v>
      </c>
      <c r="T309" s="5" t="s">
        <v>942</v>
      </c>
    </row>
    <row r="310" spans="1:20" x14ac:dyDescent="0.35">
      <c r="A310" s="5">
        <v>8100269514</v>
      </c>
      <c r="B310" s="5">
        <v>18724</v>
      </c>
      <c r="C310" s="6">
        <v>45659</v>
      </c>
      <c r="D310" s="5" t="s">
        <v>106</v>
      </c>
      <c r="E310" s="5" t="s">
        <v>107</v>
      </c>
      <c r="F310" s="5" t="s">
        <v>147</v>
      </c>
      <c r="G310" s="5" t="s">
        <v>148</v>
      </c>
      <c r="H310" s="5" t="s">
        <v>108</v>
      </c>
      <c r="I310" s="5" t="s">
        <v>82</v>
      </c>
      <c r="J310" s="5" t="s">
        <v>449</v>
      </c>
      <c r="K310" s="5" t="s">
        <v>110</v>
      </c>
      <c r="L310" s="6">
        <v>45667</v>
      </c>
      <c r="M310" s="6">
        <v>45664</v>
      </c>
      <c r="N310" s="5" t="s">
        <v>811</v>
      </c>
      <c r="O310" s="5" t="str">
        <f ca="1">IF(P310&lt;&gt;"EXPEDIÇÃO","Expedido",IF(NETWORKDAYS(C310,TODAY())&gt;=5,"Risco Alto",IF(NETWORKDAYS(C310,TODAY())&gt;=3,IF(NETWORKDAYS(C310,TODAY())&lt;5,"Risco Médio",""),IF(NETWORKDAYS(C310,TODAY())&lt;=2,"Risco Baixo",""))))</f>
        <v>Expedido</v>
      </c>
      <c r="P310" s="5" t="s">
        <v>25</v>
      </c>
      <c r="S310" s="7">
        <f>IF(ISBLANK(M310),"Aguardando Previsão/Data",NETWORKDAYS(L310,M310)-1)</f>
        <v>-5</v>
      </c>
      <c r="T310" s="5" t="s">
        <v>942</v>
      </c>
    </row>
    <row r="311" spans="1:20" x14ac:dyDescent="0.35">
      <c r="A311" s="5">
        <v>8100269515</v>
      </c>
      <c r="B311" s="5">
        <v>18706</v>
      </c>
      <c r="C311" s="6">
        <v>45659</v>
      </c>
      <c r="D311" s="5" t="s">
        <v>106</v>
      </c>
      <c r="E311" s="5" t="s">
        <v>107</v>
      </c>
      <c r="F311" s="5" t="s">
        <v>58</v>
      </c>
      <c r="G311" s="5" t="s">
        <v>59</v>
      </c>
      <c r="H311" s="5" t="s">
        <v>108</v>
      </c>
      <c r="I311" s="5" t="s">
        <v>140</v>
      </c>
      <c r="J311" s="5" t="s">
        <v>141</v>
      </c>
      <c r="K311" s="5" t="s">
        <v>110</v>
      </c>
      <c r="L311" s="6">
        <v>45663</v>
      </c>
      <c r="M311" s="6">
        <v>45659</v>
      </c>
      <c r="N311" s="5" t="s">
        <v>811</v>
      </c>
      <c r="O311" s="5" t="str">
        <f ca="1">IF(P311&lt;&gt;"EXPEDIÇÃO","Expedido",IF(NETWORKDAYS(C311,TODAY())&gt;=5,"Risco Alto",IF(NETWORKDAYS(C311,TODAY())&gt;=3,IF(NETWORKDAYS(C311,TODAY())&lt;5,"Risco Médio",""),IF(NETWORKDAYS(C311,TODAY())&lt;=2,"Risco Baixo",""))))</f>
        <v>Expedido</v>
      </c>
      <c r="P311" s="5" t="s">
        <v>25</v>
      </c>
      <c r="Q311" s="5" t="s">
        <v>900</v>
      </c>
      <c r="S311" s="7">
        <f>IF(ISBLANK(M311),"Aguardando Previsão/Data",NETWORKDAYS(L311,M311)-1)</f>
        <v>-4</v>
      </c>
      <c r="T311" s="5" t="s">
        <v>942</v>
      </c>
    </row>
    <row r="312" spans="1:20" x14ac:dyDescent="0.35">
      <c r="A312" s="5">
        <v>8100269516</v>
      </c>
      <c r="B312" s="5">
        <v>18726</v>
      </c>
      <c r="C312" s="6">
        <v>45659</v>
      </c>
      <c r="D312" s="5" t="s">
        <v>106</v>
      </c>
      <c r="E312" s="5" t="s">
        <v>107</v>
      </c>
      <c r="F312" s="5" t="s">
        <v>147</v>
      </c>
      <c r="G312" s="5" t="s">
        <v>148</v>
      </c>
      <c r="H312" s="5" t="s">
        <v>108</v>
      </c>
      <c r="I312" s="5" t="s">
        <v>82</v>
      </c>
      <c r="J312" s="5" t="s">
        <v>124</v>
      </c>
      <c r="K312" s="5" t="s">
        <v>110</v>
      </c>
      <c r="L312" s="6">
        <v>45667</v>
      </c>
      <c r="M312" s="6">
        <v>45664</v>
      </c>
      <c r="N312" s="5" t="s">
        <v>811</v>
      </c>
      <c r="O312" s="5" t="str">
        <f ca="1">IF(P312&lt;&gt;"EXPEDIÇÃO","Expedido",IF(NETWORKDAYS(C312,TODAY())&gt;=5,"Risco Alto",IF(NETWORKDAYS(C312,TODAY())&gt;=3,IF(NETWORKDAYS(C312,TODAY())&lt;5,"Risco Médio",""),IF(NETWORKDAYS(C312,TODAY())&lt;=2,"Risco Baixo",""))))</f>
        <v>Expedido</v>
      </c>
      <c r="P312" s="5" t="s">
        <v>25</v>
      </c>
      <c r="S312" s="7">
        <f>IF(ISBLANK(M312),"Aguardando Previsão/Data",NETWORKDAYS(L312,M312)-1)</f>
        <v>-5</v>
      </c>
      <c r="T312" s="5" t="s">
        <v>942</v>
      </c>
    </row>
    <row r="313" spans="1:20" x14ac:dyDescent="0.35">
      <c r="A313" s="5">
        <v>8100269517</v>
      </c>
      <c r="B313" s="5">
        <v>18715</v>
      </c>
      <c r="C313" s="6">
        <v>45659</v>
      </c>
      <c r="D313" s="5" t="s">
        <v>106</v>
      </c>
      <c r="E313" s="5" t="s">
        <v>107</v>
      </c>
      <c r="F313" s="5" t="s">
        <v>58</v>
      </c>
      <c r="G313" s="5" t="s">
        <v>59</v>
      </c>
      <c r="H313" s="5" t="s">
        <v>108</v>
      </c>
      <c r="I313" s="5" t="s">
        <v>1054</v>
      </c>
      <c r="J313" s="5" t="s">
        <v>503</v>
      </c>
      <c r="K313" s="5" t="s">
        <v>110</v>
      </c>
      <c r="L313" s="6">
        <v>45666</v>
      </c>
      <c r="M313" s="6">
        <v>45664</v>
      </c>
      <c r="N313" s="5" t="s">
        <v>811</v>
      </c>
      <c r="O313" s="5" t="str">
        <f ca="1">IF(P313&lt;&gt;"EXPEDIÇÃO","Expedido",IF(NETWORKDAYS(C313,TODAY())&gt;=5,"Risco Alto",IF(NETWORKDAYS(C313,TODAY())&gt;=3,IF(NETWORKDAYS(C313,TODAY())&lt;5,"Risco Médio",""),IF(NETWORKDAYS(C313,TODAY())&lt;=2,"Risco Baixo",""))))</f>
        <v>Expedido</v>
      </c>
      <c r="P313" s="5" t="s">
        <v>25</v>
      </c>
      <c r="S313" s="7">
        <f>IF(ISBLANK(M313),"Aguardando Previsão/Data",NETWORKDAYS(L313,M313)-1)</f>
        <v>-4</v>
      </c>
      <c r="T313" s="5" t="s">
        <v>942</v>
      </c>
    </row>
    <row r="314" spans="1:20" x14ac:dyDescent="0.35">
      <c r="A314" s="5">
        <v>8100269518</v>
      </c>
      <c r="B314" s="5">
        <v>18767</v>
      </c>
      <c r="C314" s="6">
        <v>45659</v>
      </c>
      <c r="D314" s="5" t="s">
        <v>106</v>
      </c>
      <c r="E314" s="5" t="s">
        <v>107</v>
      </c>
      <c r="F314" s="5" t="s">
        <v>53</v>
      </c>
      <c r="G314" s="5" t="s">
        <v>54</v>
      </c>
      <c r="H314" s="5" t="s">
        <v>108</v>
      </c>
      <c r="I314" s="5" t="s">
        <v>447</v>
      </c>
      <c r="J314" s="5" t="s">
        <v>448</v>
      </c>
      <c r="K314" s="5" t="s">
        <v>110</v>
      </c>
      <c r="L314" s="6">
        <v>45666</v>
      </c>
      <c r="M314" s="6">
        <v>45664</v>
      </c>
      <c r="N314" s="5" t="s">
        <v>811</v>
      </c>
      <c r="O314" s="5" t="str">
        <f ca="1">IF(P314&lt;&gt;"EXPEDIÇÃO","Expedido",IF(NETWORKDAYS(C314,TODAY())&gt;=5,"Risco Alto",IF(NETWORKDAYS(C314,TODAY())&gt;=3,IF(NETWORKDAYS(C314,TODAY())&lt;5,"Risco Médio",""),IF(NETWORKDAYS(C314,TODAY())&lt;=2,"Risco Baixo",""))))</f>
        <v>Expedido</v>
      </c>
      <c r="P314" s="5" t="s">
        <v>25</v>
      </c>
      <c r="S314" s="7">
        <f>IF(ISBLANK(M314),"Aguardando Previsão/Data",NETWORKDAYS(L314,M314)-1)</f>
        <v>-4</v>
      </c>
      <c r="T314" s="5" t="s">
        <v>942</v>
      </c>
    </row>
    <row r="315" spans="1:20" x14ac:dyDescent="0.35">
      <c r="A315" s="5">
        <v>8100269519</v>
      </c>
      <c r="B315" s="5">
        <v>18720</v>
      </c>
      <c r="C315" s="6">
        <v>45659</v>
      </c>
      <c r="D315" s="5" t="s">
        <v>106</v>
      </c>
      <c r="E315" s="5" t="s">
        <v>107</v>
      </c>
      <c r="F315" s="5" t="s">
        <v>111</v>
      </c>
      <c r="G315" s="5" t="s">
        <v>112</v>
      </c>
      <c r="H315" s="5" t="s">
        <v>108</v>
      </c>
      <c r="I315" s="5" t="s">
        <v>115</v>
      </c>
      <c r="J315" s="5" t="s">
        <v>117</v>
      </c>
      <c r="K315" s="5" t="s">
        <v>110</v>
      </c>
      <c r="L315" s="6">
        <v>45666</v>
      </c>
      <c r="M315" s="6">
        <v>45663</v>
      </c>
      <c r="N315" s="5" t="s">
        <v>811</v>
      </c>
      <c r="O315" s="5" t="str">
        <f ca="1">IF(P315&lt;&gt;"EXPEDIÇÃO","Expedido",IF(NETWORKDAYS(C315,TODAY())&gt;=5,"Risco Alto",IF(NETWORKDAYS(C315,TODAY())&gt;=3,IF(NETWORKDAYS(C315,TODAY())&lt;5,"Risco Médio",""),IF(NETWORKDAYS(C315,TODAY())&lt;=2,"Risco Baixo",""))))</f>
        <v>Expedido</v>
      </c>
      <c r="P315" s="5" t="s">
        <v>25</v>
      </c>
      <c r="S315" s="7">
        <f>IF(ISBLANK(M315),"Aguardando Previsão/Data",NETWORKDAYS(L315,M315)-1)</f>
        <v>-5</v>
      </c>
      <c r="T315" s="5" t="s">
        <v>942</v>
      </c>
    </row>
    <row r="316" spans="1:20" x14ac:dyDescent="0.35">
      <c r="A316" s="5">
        <v>8100269520</v>
      </c>
      <c r="B316" s="5">
        <v>18711</v>
      </c>
      <c r="C316" s="6">
        <v>45659</v>
      </c>
      <c r="D316" s="5" t="s">
        <v>106</v>
      </c>
      <c r="E316" s="5" t="s">
        <v>107</v>
      </c>
      <c r="F316" s="5" t="s">
        <v>111</v>
      </c>
      <c r="G316" s="5" t="s">
        <v>112</v>
      </c>
      <c r="H316" s="5" t="s">
        <v>108</v>
      </c>
      <c r="I316" s="5" t="s">
        <v>701</v>
      </c>
      <c r="J316" s="5" t="s">
        <v>124</v>
      </c>
      <c r="K316" s="5" t="s">
        <v>110</v>
      </c>
      <c r="L316" s="6">
        <v>45667</v>
      </c>
      <c r="M316" s="6">
        <v>45664</v>
      </c>
      <c r="N316" s="5" t="s">
        <v>811</v>
      </c>
      <c r="O316" s="5" t="str">
        <f ca="1">IF(P316&lt;&gt;"EXPEDIÇÃO","Expedido",IF(NETWORKDAYS(C316,TODAY())&gt;=5,"Risco Alto",IF(NETWORKDAYS(C316,TODAY())&gt;=3,IF(NETWORKDAYS(C316,TODAY())&lt;5,"Risco Médio",""),IF(NETWORKDAYS(C316,TODAY())&lt;=2,"Risco Baixo",""))))</f>
        <v>Expedido</v>
      </c>
      <c r="P316" s="5" t="s">
        <v>25</v>
      </c>
      <c r="S316" s="7">
        <f>IF(ISBLANK(M316),"Aguardando Previsão/Data",NETWORKDAYS(L316,M316)-1)</f>
        <v>-5</v>
      </c>
      <c r="T316" s="5" t="s">
        <v>942</v>
      </c>
    </row>
    <row r="317" spans="1:20" x14ac:dyDescent="0.35">
      <c r="A317" s="5">
        <v>8100269521</v>
      </c>
      <c r="B317" s="5">
        <v>18728</v>
      </c>
      <c r="C317" s="6">
        <v>45659</v>
      </c>
      <c r="D317" s="5" t="s">
        <v>106</v>
      </c>
      <c r="E317" s="5" t="s">
        <v>107</v>
      </c>
      <c r="F317" s="5" t="s">
        <v>69</v>
      </c>
      <c r="G317" s="5" t="s">
        <v>70</v>
      </c>
      <c r="H317" s="5" t="s">
        <v>108</v>
      </c>
      <c r="I317" s="5" t="s">
        <v>278</v>
      </c>
      <c r="J317" s="5" t="s">
        <v>279</v>
      </c>
      <c r="K317" s="5" t="s">
        <v>110</v>
      </c>
      <c r="L317" s="6">
        <v>45666</v>
      </c>
      <c r="M317" s="6">
        <v>45672</v>
      </c>
      <c r="N317" s="5" t="s">
        <v>811</v>
      </c>
      <c r="O317" s="5" t="str">
        <f ca="1">IF(P317&lt;&gt;"EXPEDIÇÃO","Expedido",IF(NETWORKDAYS(C317,TODAY())&gt;=5,"Risco Alto",IF(NETWORKDAYS(C317,TODAY())&gt;=3,IF(NETWORKDAYS(C317,TODAY())&lt;5,"Risco Médio",""),IF(NETWORKDAYS(C317,TODAY())&lt;=2,"Risco Baixo",""))))</f>
        <v>Expedido</v>
      </c>
      <c r="P317" s="5" t="s">
        <v>25</v>
      </c>
      <c r="Q317" s="5" t="s">
        <v>897</v>
      </c>
      <c r="R317" s="5" t="s">
        <v>1247</v>
      </c>
      <c r="S317" s="7">
        <f>IF(ISBLANK(M317),"Aguardando Previsão/Data",NETWORKDAYS(L317,M317)-1)</f>
        <v>4</v>
      </c>
      <c r="T317" s="5" t="s">
        <v>942</v>
      </c>
    </row>
    <row r="318" spans="1:20" x14ac:dyDescent="0.35">
      <c r="A318" s="5">
        <v>8100269546</v>
      </c>
      <c r="B318" s="5">
        <v>18707</v>
      </c>
      <c r="C318" s="6">
        <v>45659</v>
      </c>
      <c r="D318" s="5" t="s">
        <v>106</v>
      </c>
      <c r="E318" s="5" t="s">
        <v>107</v>
      </c>
      <c r="F318" s="5" t="s">
        <v>58</v>
      </c>
      <c r="G318" s="5" t="s">
        <v>59</v>
      </c>
      <c r="H318" s="5" t="s">
        <v>108</v>
      </c>
      <c r="I318" s="5" t="s">
        <v>140</v>
      </c>
      <c r="J318" s="5" t="s">
        <v>141</v>
      </c>
      <c r="K318" s="5" t="s">
        <v>110</v>
      </c>
      <c r="L318" s="6">
        <v>45663</v>
      </c>
      <c r="M318" s="6">
        <v>45659</v>
      </c>
      <c r="N318" s="5" t="s">
        <v>811</v>
      </c>
      <c r="O318" s="5" t="str">
        <f ca="1">IF(P318&lt;&gt;"EXPEDIÇÃO","Expedido",IF(NETWORKDAYS(C318,TODAY())&gt;=5,"Risco Alto",IF(NETWORKDAYS(C318,TODAY())&gt;=3,IF(NETWORKDAYS(C318,TODAY())&lt;5,"Risco Médio",""),IF(NETWORKDAYS(C318,TODAY())&lt;=2,"Risco Baixo",""))))</f>
        <v>Expedido</v>
      </c>
      <c r="P318" s="5" t="s">
        <v>25</v>
      </c>
      <c r="Q318" s="5" t="s">
        <v>900</v>
      </c>
      <c r="S318" s="7">
        <f>IF(ISBLANK(M318),"Aguardando Previsão/Data",NETWORKDAYS(L318,M318)-1)</f>
        <v>-4</v>
      </c>
      <c r="T318" s="5" t="s">
        <v>942</v>
      </c>
    </row>
    <row r="319" spans="1:20" x14ac:dyDescent="0.35">
      <c r="A319" s="5">
        <v>8100269548</v>
      </c>
      <c r="B319" s="5">
        <v>18756</v>
      </c>
      <c r="C319" s="6">
        <v>45659</v>
      </c>
      <c r="D319" s="5" t="s">
        <v>106</v>
      </c>
      <c r="E319" s="5" t="s">
        <v>107</v>
      </c>
      <c r="F319" s="5" t="s">
        <v>111</v>
      </c>
      <c r="G319" s="5" t="s">
        <v>112</v>
      </c>
      <c r="H319" s="5" t="s">
        <v>108</v>
      </c>
      <c r="I319" s="5" t="s">
        <v>120</v>
      </c>
      <c r="J319" s="5" t="s">
        <v>121</v>
      </c>
      <c r="K319" s="5" t="s">
        <v>110</v>
      </c>
      <c r="L319" s="6">
        <v>45666</v>
      </c>
      <c r="M319" s="6">
        <v>45663</v>
      </c>
      <c r="N319" s="5" t="s">
        <v>811</v>
      </c>
      <c r="O319" s="5" t="str">
        <f ca="1">IF(P319&lt;&gt;"EXPEDIÇÃO","Expedido",IF(NETWORKDAYS(C319,TODAY())&gt;=5,"Risco Alto",IF(NETWORKDAYS(C319,TODAY())&gt;=3,IF(NETWORKDAYS(C319,TODAY())&lt;5,"Risco Médio",""),IF(NETWORKDAYS(C319,TODAY())&lt;=2,"Risco Baixo",""))))</f>
        <v>Expedido</v>
      </c>
      <c r="P319" s="5" t="s">
        <v>25</v>
      </c>
      <c r="S319" s="7">
        <f>IF(ISBLANK(M319),"Aguardando Previsão/Data",NETWORKDAYS(L319,M319)-1)</f>
        <v>-5</v>
      </c>
      <c r="T319" s="5" t="s">
        <v>942</v>
      </c>
    </row>
    <row r="320" spans="1:20" x14ac:dyDescent="0.35">
      <c r="A320" s="5">
        <v>8100269620</v>
      </c>
      <c r="B320" s="5">
        <v>18741</v>
      </c>
      <c r="C320" s="6">
        <v>45659</v>
      </c>
      <c r="D320" s="5" t="s">
        <v>106</v>
      </c>
      <c r="E320" s="5" t="s">
        <v>107</v>
      </c>
      <c r="F320" s="5" t="s">
        <v>58</v>
      </c>
      <c r="G320" s="5" t="s">
        <v>59</v>
      </c>
      <c r="H320" s="5" t="s">
        <v>108</v>
      </c>
      <c r="I320" s="5" t="s">
        <v>140</v>
      </c>
      <c r="J320" s="5" t="s">
        <v>141</v>
      </c>
      <c r="K320" s="5" t="s">
        <v>110</v>
      </c>
      <c r="L320" s="6">
        <v>45663</v>
      </c>
      <c r="M320" s="6">
        <v>45659</v>
      </c>
      <c r="N320" s="5" t="s">
        <v>811</v>
      </c>
      <c r="O320" s="5" t="str">
        <f ca="1">IF(P320&lt;&gt;"EXPEDIÇÃO","Expedido",IF(NETWORKDAYS(C320,TODAY())&gt;=5,"Risco Alto",IF(NETWORKDAYS(C320,TODAY())&gt;=3,IF(NETWORKDAYS(C320,TODAY())&lt;5,"Risco Médio",""),IF(NETWORKDAYS(C320,TODAY())&lt;=2,"Risco Baixo",""))))</f>
        <v>Expedido</v>
      </c>
      <c r="P320" s="5" t="s">
        <v>25</v>
      </c>
      <c r="Q320" s="5" t="s">
        <v>900</v>
      </c>
      <c r="S320" s="7">
        <f>IF(ISBLANK(M320),"Aguardando Previsão/Data",NETWORKDAYS(L320,M320)-1)</f>
        <v>-4</v>
      </c>
      <c r="T320" s="5" t="s">
        <v>942</v>
      </c>
    </row>
    <row r="321" spans="1:20" x14ac:dyDescent="0.35">
      <c r="A321" s="5">
        <v>8100269621</v>
      </c>
      <c r="B321" s="5">
        <v>18742</v>
      </c>
      <c r="C321" s="6">
        <v>45659</v>
      </c>
      <c r="D321" s="5" t="s">
        <v>106</v>
      </c>
      <c r="E321" s="5" t="s">
        <v>107</v>
      </c>
      <c r="F321" s="5" t="s">
        <v>58</v>
      </c>
      <c r="G321" s="5" t="s">
        <v>59</v>
      </c>
      <c r="H321" s="5" t="s">
        <v>108</v>
      </c>
      <c r="I321" s="5" t="s">
        <v>140</v>
      </c>
      <c r="J321" s="5" t="s">
        <v>141</v>
      </c>
      <c r="K321" s="5" t="s">
        <v>110</v>
      </c>
      <c r="L321" s="6">
        <v>45663</v>
      </c>
      <c r="M321" s="6">
        <v>45659</v>
      </c>
      <c r="N321" s="5" t="s">
        <v>811</v>
      </c>
      <c r="O321" s="5" t="str">
        <f ca="1">IF(P321&lt;&gt;"EXPEDIÇÃO","Expedido",IF(NETWORKDAYS(C321,TODAY())&gt;=5,"Risco Alto",IF(NETWORKDAYS(C321,TODAY())&gt;=3,IF(NETWORKDAYS(C321,TODAY())&lt;5,"Risco Médio",""),IF(NETWORKDAYS(C321,TODAY())&lt;=2,"Risco Baixo",""))))</f>
        <v>Expedido</v>
      </c>
      <c r="P321" s="5" t="s">
        <v>25</v>
      </c>
      <c r="Q321" s="5" t="s">
        <v>900</v>
      </c>
      <c r="S321" s="7">
        <f>IF(ISBLANK(M321),"Aguardando Previsão/Data",NETWORKDAYS(L321,M321)-1)</f>
        <v>-4</v>
      </c>
      <c r="T321" s="5" t="s">
        <v>942</v>
      </c>
    </row>
    <row r="322" spans="1:20" x14ac:dyDescent="0.35">
      <c r="A322" s="5">
        <v>8100269622</v>
      </c>
      <c r="B322" s="5">
        <v>18777</v>
      </c>
      <c r="C322" s="6">
        <v>45659</v>
      </c>
      <c r="D322" s="5" t="s">
        <v>106</v>
      </c>
      <c r="E322" s="5" t="s">
        <v>107</v>
      </c>
      <c r="F322" s="5" t="s">
        <v>111</v>
      </c>
      <c r="G322" s="5" t="s">
        <v>112</v>
      </c>
      <c r="H322" s="5" t="s">
        <v>108</v>
      </c>
      <c r="I322" s="5" t="s">
        <v>120</v>
      </c>
      <c r="J322" s="5" t="s">
        <v>121</v>
      </c>
      <c r="K322" s="5" t="s">
        <v>110</v>
      </c>
      <c r="L322" s="6">
        <v>45666</v>
      </c>
      <c r="M322" s="6">
        <v>45663</v>
      </c>
      <c r="N322" s="5" t="s">
        <v>811</v>
      </c>
      <c r="O322" s="5" t="str">
        <f ca="1">IF(P322&lt;&gt;"EXPEDIÇÃO","Expedido",IF(NETWORKDAYS(C322,TODAY())&gt;=5,"Risco Alto",IF(NETWORKDAYS(C322,TODAY())&gt;=3,IF(NETWORKDAYS(C322,TODAY())&lt;5,"Risco Médio",""),IF(NETWORKDAYS(C322,TODAY())&lt;=2,"Risco Baixo",""))))</f>
        <v>Expedido</v>
      </c>
      <c r="P322" s="5" t="s">
        <v>25</v>
      </c>
      <c r="S322" s="7">
        <f>IF(ISBLANK(M322),"Aguardando Previsão/Data",NETWORKDAYS(L322,M322)-1)</f>
        <v>-5</v>
      </c>
      <c r="T322" s="5" t="s">
        <v>942</v>
      </c>
    </row>
    <row r="323" spans="1:20" x14ac:dyDescent="0.35">
      <c r="A323" s="5">
        <v>8100269715</v>
      </c>
      <c r="B323" s="5">
        <v>18775</v>
      </c>
      <c r="C323" s="6">
        <v>45659</v>
      </c>
      <c r="D323" s="5" t="s">
        <v>106</v>
      </c>
      <c r="E323" s="5" t="s">
        <v>107</v>
      </c>
      <c r="F323" s="5" t="s">
        <v>58</v>
      </c>
      <c r="G323" s="5" t="s">
        <v>59</v>
      </c>
      <c r="H323" s="5" t="s">
        <v>108</v>
      </c>
      <c r="I323" s="5" t="s">
        <v>140</v>
      </c>
      <c r="J323" s="5" t="s">
        <v>141</v>
      </c>
      <c r="K323" s="5" t="s">
        <v>110</v>
      </c>
      <c r="L323" s="6">
        <v>45663</v>
      </c>
      <c r="M323" s="6">
        <v>45659</v>
      </c>
      <c r="N323" s="5" t="s">
        <v>811</v>
      </c>
      <c r="O323" s="5" t="str">
        <f ca="1">IF(P323&lt;&gt;"EXPEDIÇÃO","Expedido",IF(NETWORKDAYS(C323,TODAY())&gt;=5,"Risco Alto",IF(NETWORKDAYS(C323,TODAY())&gt;=3,IF(NETWORKDAYS(C323,TODAY())&lt;5,"Risco Médio",""),IF(NETWORKDAYS(C323,TODAY())&lt;=2,"Risco Baixo",""))))</f>
        <v>Expedido</v>
      </c>
      <c r="P323" s="5" t="s">
        <v>25</v>
      </c>
      <c r="Q323" s="5" t="s">
        <v>900</v>
      </c>
      <c r="S323" s="7">
        <f>IF(ISBLANK(M323),"Aguardando Previsão/Data",NETWORKDAYS(L323,M323)-1)</f>
        <v>-4</v>
      </c>
      <c r="T323" s="5" t="s">
        <v>942</v>
      </c>
    </row>
    <row r="324" spans="1:20" x14ac:dyDescent="0.35">
      <c r="A324" s="5">
        <v>8100269716</v>
      </c>
      <c r="B324" s="5">
        <v>18778</v>
      </c>
      <c r="C324" s="6">
        <v>45659</v>
      </c>
      <c r="D324" s="5" t="s">
        <v>106</v>
      </c>
      <c r="E324" s="5" t="s">
        <v>107</v>
      </c>
      <c r="F324" s="5" t="s">
        <v>66</v>
      </c>
      <c r="G324" s="5" t="s">
        <v>67</v>
      </c>
      <c r="H324" s="5" t="s">
        <v>108</v>
      </c>
      <c r="I324" s="5" t="s">
        <v>82</v>
      </c>
      <c r="J324" s="5" t="s">
        <v>1149</v>
      </c>
      <c r="K324" s="5" t="s">
        <v>110</v>
      </c>
      <c r="L324" s="6">
        <v>45667</v>
      </c>
      <c r="M324" s="6">
        <v>45664</v>
      </c>
      <c r="N324" s="5" t="s">
        <v>811</v>
      </c>
      <c r="O324" s="5" t="str">
        <f ca="1">IF(P324&lt;&gt;"EXPEDIÇÃO","Expedido",IF(NETWORKDAYS(C324,TODAY())&gt;=5,"Risco Alto",IF(NETWORKDAYS(C324,TODAY())&gt;=3,IF(NETWORKDAYS(C324,TODAY())&lt;5,"Risco Médio",""),IF(NETWORKDAYS(C324,TODAY())&lt;=2,"Risco Baixo",""))))</f>
        <v>Expedido</v>
      </c>
      <c r="P324" s="5" t="s">
        <v>25</v>
      </c>
      <c r="S324" s="7">
        <f>IF(ISBLANK(M324),"Aguardando Previsão/Data",NETWORKDAYS(L324,M324)-1)</f>
        <v>-5</v>
      </c>
      <c r="T324" s="5" t="s">
        <v>942</v>
      </c>
    </row>
    <row r="325" spans="1:20" x14ac:dyDescent="0.35">
      <c r="A325" s="5">
        <v>8100269718</v>
      </c>
      <c r="B325" s="5">
        <v>18779</v>
      </c>
      <c r="C325" s="6">
        <v>45659</v>
      </c>
      <c r="D325" s="5" t="s">
        <v>106</v>
      </c>
      <c r="E325" s="5" t="s">
        <v>107</v>
      </c>
      <c r="F325" s="5" t="s">
        <v>53</v>
      </c>
      <c r="G325" s="5" t="s">
        <v>54</v>
      </c>
      <c r="H325" s="5" t="s">
        <v>108</v>
      </c>
      <c r="I325" s="5" t="s">
        <v>447</v>
      </c>
      <c r="J325" s="5" t="s">
        <v>448</v>
      </c>
      <c r="K325" s="5" t="s">
        <v>110</v>
      </c>
      <c r="L325" s="6">
        <v>45666</v>
      </c>
      <c r="M325" s="6">
        <v>45664</v>
      </c>
      <c r="N325" s="5" t="s">
        <v>811</v>
      </c>
      <c r="O325" s="5" t="str">
        <f ca="1">IF(P325&lt;&gt;"EXPEDIÇÃO","Expedido",IF(NETWORKDAYS(C325,TODAY())&gt;=5,"Risco Alto",IF(NETWORKDAYS(C325,TODAY())&gt;=3,IF(NETWORKDAYS(C325,TODAY())&lt;5,"Risco Médio",""),IF(NETWORKDAYS(C325,TODAY())&lt;=2,"Risco Baixo",""))))</f>
        <v>Expedido</v>
      </c>
      <c r="P325" s="5" t="s">
        <v>25</v>
      </c>
      <c r="S325" s="7">
        <f>IF(ISBLANK(M325),"Aguardando Previsão/Data",NETWORKDAYS(L325,M325)-1)</f>
        <v>-4</v>
      </c>
      <c r="T325" s="5" t="s">
        <v>942</v>
      </c>
    </row>
    <row r="326" spans="1:20" x14ac:dyDescent="0.35">
      <c r="A326" s="5">
        <v>8100269719</v>
      </c>
      <c r="B326" s="5">
        <v>18776</v>
      </c>
      <c r="C326" s="6">
        <v>45659</v>
      </c>
      <c r="D326" s="5" t="s">
        <v>106</v>
      </c>
      <c r="E326" s="5" t="s">
        <v>107</v>
      </c>
      <c r="F326" s="5" t="s">
        <v>111</v>
      </c>
      <c r="G326" s="5" t="s">
        <v>112</v>
      </c>
      <c r="H326" s="5" t="s">
        <v>108</v>
      </c>
      <c r="I326" s="5" t="s">
        <v>115</v>
      </c>
      <c r="J326" s="5" t="s">
        <v>345</v>
      </c>
      <c r="K326" s="5" t="s">
        <v>110</v>
      </c>
      <c r="L326" s="6">
        <v>45667</v>
      </c>
      <c r="M326" s="6">
        <v>45663</v>
      </c>
      <c r="N326" s="5" t="s">
        <v>811</v>
      </c>
      <c r="O326" s="5" t="str">
        <f ca="1">IF(P326&lt;&gt;"EXPEDIÇÃO","Expedido",IF(NETWORKDAYS(C326,TODAY())&gt;=5,"Risco Alto",IF(NETWORKDAYS(C326,TODAY())&gt;=3,IF(NETWORKDAYS(C326,TODAY())&lt;5,"Risco Médio",""),IF(NETWORKDAYS(C326,TODAY())&lt;=2,"Risco Baixo",""))))</f>
        <v>Expedido</v>
      </c>
      <c r="P326" s="5" t="s">
        <v>25</v>
      </c>
      <c r="S326" s="7">
        <f>IF(ISBLANK(M326),"Aguardando Previsão/Data",NETWORKDAYS(L326,M326)-1)</f>
        <v>-6</v>
      </c>
      <c r="T326" s="5" t="s">
        <v>942</v>
      </c>
    </row>
    <row r="327" spans="1:20" x14ac:dyDescent="0.35">
      <c r="A327" s="5">
        <v>8100268263</v>
      </c>
      <c r="B327" s="5">
        <v>6990</v>
      </c>
      <c r="C327" s="6">
        <v>45659</v>
      </c>
      <c r="D327" s="5" t="s">
        <v>194</v>
      </c>
      <c r="E327" s="5" t="s">
        <v>195</v>
      </c>
      <c r="F327" s="5" t="s">
        <v>406</v>
      </c>
      <c r="G327" s="5" t="s">
        <v>407</v>
      </c>
      <c r="H327" s="5" t="s">
        <v>108</v>
      </c>
      <c r="I327" s="5" t="s">
        <v>947</v>
      </c>
      <c r="J327" s="5" t="s">
        <v>407</v>
      </c>
      <c r="K327" s="5" t="s">
        <v>198</v>
      </c>
      <c r="L327" s="6">
        <v>45665</v>
      </c>
      <c r="M327" s="6">
        <v>45664</v>
      </c>
      <c r="N327" s="5" t="s">
        <v>811</v>
      </c>
      <c r="O327" s="5" t="str">
        <f ca="1">IF(P327&lt;&gt;"EXPEDIÇÃO","Expedido",IF(NETWORKDAYS(C327,TODAY())&gt;=5,"Risco Alto",IF(NETWORKDAYS(C327,TODAY())&gt;=3,IF(NETWORKDAYS(C327,TODAY())&lt;5,"Risco Médio",""),IF(NETWORKDAYS(C327,TODAY())&lt;=2,"Risco Baixo",""))))</f>
        <v>Expedido</v>
      </c>
      <c r="P327" s="5" t="s">
        <v>25</v>
      </c>
      <c r="S327" s="7">
        <f>IF(ISBLANK(M327),"Aguardando Previsão/Data",NETWORKDAYS(L327,M327)-1)</f>
        <v>-3</v>
      </c>
      <c r="T327" s="5" t="s">
        <v>942</v>
      </c>
    </row>
    <row r="328" spans="1:20" x14ac:dyDescent="0.35">
      <c r="A328" s="5">
        <v>8100268279</v>
      </c>
      <c r="B328" s="5">
        <v>6985</v>
      </c>
      <c r="C328" s="6">
        <v>45659</v>
      </c>
      <c r="D328" s="5" t="s">
        <v>194</v>
      </c>
      <c r="E328" s="5" t="s">
        <v>195</v>
      </c>
      <c r="F328" s="5" t="s">
        <v>406</v>
      </c>
      <c r="G328" s="5" t="s">
        <v>407</v>
      </c>
      <c r="H328" s="5" t="s">
        <v>108</v>
      </c>
      <c r="I328" s="5" t="s">
        <v>733</v>
      </c>
      <c r="J328" s="5" t="s">
        <v>407</v>
      </c>
      <c r="K328" s="5" t="s">
        <v>198</v>
      </c>
      <c r="L328" s="6">
        <v>45665</v>
      </c>
      <c r="M328" s="6">
        <v>45664</v>
      </c>
      <c r="N328" s="5" t="s">
        <v>811</v>
      </c>
      <c r="O328" s="5" t="str">
        <f ca="1">IF(P328&lt;&gt;"EXPEDIÇÃO","Expedido",IF(NETWORKDAYS(C328,TODAY())&gt;=5,"Risco Alto",IF(NETWORKDAYS(C328,TODAY())&gt;=3,IF(NETWORKDAYS(C328,TODAY())&lt;5,"Risco Médio",""),IF(NETWORKDAYS(C328,TODAY())&lt;=2,"Risco Baixo",""))))</f>
        <v>Expedido</v>
      </c>
      <c r="P328" s="5" t="s">
        <v>25</v>
      </c>
      <c r="S328" s="7">
        <f>IF(ISBLANK(M328),"Aguardando Previsão/Data",NETWORKDAYS(L328,M328)-1)</f>
        <v>-3</v>
      </c>
      <c r="T328" s="5" t="s">
        <v>942</v>
      </c>
    </row>
    <row r="329" spans="1:20" x14ac:dyDescent="0.35">
      <c r="A329" s="5">
        <v>8100269019</v>
      </c>
      <c r="B329" s="5">
        <v>6955</v>
      </c>
      <c r="C329" s="6">
        <v>45659</v>
      </c>
      <c r="D329" s="5" t="s">
        <v>723</v>
      </c>
      <c r="E329" s="5" t="s">
        <v>195</v>
      </c>
      <c r="F329" s="5" t="s">
        <v>724</v>
      </c>
      <c r="G329" s="5" t="s">
        <v>725</v>
      </c>
      <c r="H329" s="5" t="s">
        <v>108</v>
      </c>
      <c r="I329" s="5" t="s">
        <v>868</v>
      </c>
      <c r="J329" s="5" t="s">
        <v>691</v>
      </c>
      <c r="K329" s="5" t="s">
        <v>198</v>
      </c>
      <c r="L329" s="6">
        <v>45666</v>
      </c>
      <c r="M329" s="6">
        <v>45659</v>
      </c>
      <c r="N329" s="5" t="s">
        <v>811</v>
      </c>
      <c r="O329" s="5" t="str">
        <f ca="1">IF(P329&lt;&gt;"EXPEDIÇÃO","Expedido",IF(NETWORKDAYS(C329,TODAY())&gt;=5,"Risco Alto",IF(NETWORKDAYS(C329,TODAY())&gt;=3,IF(NETWORKDAYS(C329,TODAY())&lt;5,"Risco Médio",""),IF(NETWORKDAYS(C329,TODAY())&lt;=2,"Risco Baixo",""))))</f>
        <v>Expedido</v>
      </c>
      <c r="P329" s="5" t="s">
        <v>25</v>
      </c>
      <c r="S329" s="7">
        <f>IF(ISBLANK(M329),"Aguardando Previsão/Data",NETWORKDAYS(L329,M329)-1)</f>
        <v>-7</v>
      </c>
      <c r="T329" s="5" t="s">
        <v>942</v>
      </c>
    </row>
    <row r="330" spans="1:20" x14ac:dyDescent="0.35">
      <c r="A330" s="5">
        <v>8100269034</v>
      </c>
      <c r="B330" s="5">
        <v>6969</v>
      </c>
      <c r="C330" s="6">
        <v>45659</v>
      </c>
      <c r="D330" s="5" t="s">
        <v>194</v>
      </c>
      <c r="E330" s="5" t="s">
        <v>195</v>
      </c>
      <c r="F330" s="5" t="s">
        <v>199</v>
      </c>
      <c r="G330" s="5" t="s">
        <v>200</v>
      </c>
      <c r="H330" s="5" t="s">
        <v>108</v>
      </c>
      <c r="I330" s="5" t="s">
        <v>409</v>
      </c>
      <c r="J330" s="5" t="s">
        <v>717</v>
      </c>
      <c r="K330" s="5" t="s">
        <v>207</v>
      </c>
      <c r="L330" s="6">
        <v>45670</v>
      </c>
      <c r="M330" s="6">
        <v>45666</v>
      </c>
      <c r="N330" s="5" t="s">
        <v>811</v>
      </c>
      <c r="O330" s="5" t="str">
        <f ca="1">IF(P330&lt;&gt;"EXPEDIÇÃO","Expedido",IF(NETWORKDAYS(C330,TODAY())&gt;=5,"Risco Alto",IF(NETWORKDAYS(C330,TODAY())&gt;=3,IF(NETWORKDAYS(C330,TODAY())&lt;5,"Risco Médio",""),IF(NETWORKDAYS(C330,TODAY())&lt;=2,"Risco Baixo",""))))</f>
        <v>Expedido</v>
      </c>
      <c r="P330" s="5" t="s">
        <v>25</v>
      </c>
      <c r="Q330" s="5" t="s">
        <v>899</v>
      </c>
      <c r="S330" s="7">
        <f>IF(ISBLANK(M330),"Aguardando Previsão/Data",NETWORKDAYS(L330,M330)-1)</f>
        <v>-4</v>
      </c>
      <c r="T330" s="5" t="s">
        <v>942</v>
      </c>
    </row>
    <row r="331" spans="1:20" x14ac:dyDescent="0.35">
      <c r="A331" s="5">
        <v>8100269035</v>
      </c>
      <c r="B331" s="5">
        <v>6992</v>
      </c>
      <c r="C331" s="6">
        <v>45659</v>
      </c>
      <c r="D331" s="5" t="s">
        <v>194</v>
      </c>
      <c r="E331" s="5" t="s">
        <v>195</v>
      </c>
      <c r="F331" s="5" t="s">
        <v>69</v>
      </c>
      <c r="G331" s="5" t="s">
        <v>70</v>
      </c>
      <c r="H331" s="5" t="s">
        <v>108</v>
      </c>
      <c r="I331" s="5" t="s">
        <v>1119</v>
      </c>
      <c r="J331" s="5" t="s">
        <v>336</v>
      </c>
      <c r="K331" s="5" t="s">
        <v>198</v>
      </c>
      <c r="L331" s="6">
        <v>45666</v>
      </c>
      <c r="M331" s="6">
        <v>45670</v>
      </c>
      <c r="N331" s="5" t="s">
        <v>812</v>
      </c>
      <c r="O331" s="5" t="str">
        <f ca="1">IF(P331&lt;&gt;"EXPEDIÇÃO","Expedido",IF(NETWORKDAYS(C331,TODAY())&gt;=5,"Risco Alto",IF(NETWORKDAYS(C331,TODAY())&gt;=3,IF(NETWORKDAYS(C331,TODAY())&lt;5,"Risco Médio",""),IF(NETWORKDAYS(C331,TODAY())&lt;=2,"Risco Baixo",""))))</f>
        <v>Expedido</v>
      </c>
      <c r="P331" s="5" t="s">
        <v>25</v>
      </c>
      <c r="S331" s="7">
        <f>IF(ISBLANK(M331),"Aguardando Previsão/Data",NETWORKDAYS(L331,M331)-1)</f>
        <v>2</v>
      </c>
      <c r="T331" s="5" t="s">
        <v>942</v>
      </c>
    </row>
    <row r="332" spans="1:20" x14ac:dyDescent="0.35">
      <c r="A332" s="5">
        <v>8100269036</v>
      </c>
      <c r="B332" s="5">
        <v>6989</v>
      </c>
      <c r="C332" s="6">
        <v>45659</v>
      </c>
      <c r="D332" s="5" t="s">
        <v>194</v>
      </c>
      <c r="E332" s="5" t="s">
        <v>195</v>
      </c>
      <c r="F332" s="5" t="s">
        <v>406</v>
      </c>
      <c r="G332" s="5" t="s">
        <v>407</v>
      </c>
      <c r="H332" s="5" t="s">
        <v>108</v>
      </c>
      <c r="I332" s="5" t="s">
        <v>978</v>
      </c>
      <c r="J332" s="5" t="s">
        <v>290</v>
      </c>
      <c r="K332" s="5" t="s">
        <v>198</v>
      </c>
      <c r="L332" s="6">
        <v>45665</v>
      </c>
      <c r="M332" s="6">
        <v>45665</v>
      </c>
      <c r="N332" s="5" t="s">
        <v>811</v>
      </c>
      <c r="O332" s="5" t="str">
        <f ca="1">IF(P332&lt;&gt;"EXPEDIÇÃO","Expedido",IF(NETWORKDAYS(C332,TODAY())&gt;=5,"Risco Alto",IF(NETWORKDAYS(C332,TODAY())&gt;=3,IF(NETWORKDAYS(C332,TODAY())&lt;5,"Risco Médio",""),IF(NETWORKDAYS(C332,TODAY())&lt;=2,"Risco Baixo",""))))</f>
        <v>Expedido</v>
      </c>
      <c r="P332" s="5" t="s">
        <v>25</v>
      </c>
      <c r="S332" s="7">
        <f>IF(ISBLANK(M332),"Aguardando Previsão/Data",NETWORKDAYS(L332,M332)-1)</f>
        <v>0</v>
      </c>
      <c r="T332" s="5" t="s">
        <v>942</v>
      </c>
    </row>
    <row r="333" spans="1:20" x14ac:dyDescent="0.35">
      <c r="A333" s="5">
        <v>8100269078</v>
      </c>
      <c r="B333" s="5">
        <v>6972</v>
      </c>
      <c r="C333" s="6">
        <v>45659</v>
      </c>
      <c r="D333" s="5" t="s">
        <v>194</v>
      </c>
      <c r="E333" s="5" t="s">
        <v>195</v>
      </c>
      <c r="F333" s="5" t="s">
        <v>58</v>
      </c>
      <c r="G333" s="5" t="s">
        <v>59</v>
      </c>
      <c r="H333" s="5" t="s">
        <v>108</v>
      </c>
      <c r="I333" s="5" t="s">
        <v>514</v>
      </c>
      <c r="J333" s="5" t="s">
        <v>515</v>
      </c>
      <c r="K333" s="5" t="s">
        <v>198</v>
      </c>
      <c r="L333" s="6">
        <v>45666</v>
      </c>
      <c r="M333" s="6">
        <v>45667</v>
      </c>
      <c r="N333" s="5" t="s">
        <v>812</v>
      </c>
      <c r="O333" s="5" t="str">
        <f ca="1">IF(P333&lt;&gt;"EXPEDIÇÃO","Expedido",IF(NETWORKDAYS(C333,TODAY())&gt;=5,"Risco Alto",IF(NETWORKDAYS(C333,TODAY())&gt;=3,IF(NETWORKDAYS(C333,TODAY())&lt;5,"Risco Médio",""),IF(NETWORKDAYS(C333,TODAY())&lt;=2,"Risco Baixo",""))))</f>
        <v>Expedido</v>
      </c>
      <c r="P333" s="5" t="s">
        <v>25</v>
      </c>
      <c r="Q333" s="5" t="s">
        <v>1242</v>
      </c>
      <c r="S333" s="7">
        <f>IF(ISBLANK(M333),"Aguardando Previsão/Data",NETWORKDAYS(L333,M333)-1)</f>
        <v>1</v>
      </c>
      <c r="T333" s="5" t="s">
        <v>942</v>
      </c>
    </row>
    <row r="334" spans="1:20" x14ac:dyDescent="0.35">
      <c r="A334" s="5">
        <v>8100269079</v>
      </c>
      <c r="B334" s="5">
        <v>6971</v>
      </c>
      <c r="C334" s="6">
        <v>45659</v>
      </c>
      <c r="D334" s="5" t="s">
        <v>194</v>
      </c>
      <c r="E334" s="5" t="s">
        <v>195</v>
      </c>
      <c r="F334" s="5" t="s">
        <v>19</v>
      </c>
      <c r="G334" s="5" t="s">
        <v>20</v>
      </c>
      <c r="H334" s="5" t="s">
        <v>108</v>
      </c>
      <c r="I334" s="5" t="s">
        <v>612</v>
      </c>
      <c r="J334" s="5" t="s">
        <v>205</v>
      </c>
      <c r="K334" s="5" t="s">
        <v>198</v>
      </c>
      <c r="L334" s="6">
        <v>45667</v>
      </c>
      <c r="M334" s="6">
        <v>45666</v>
      </c>
      <c r="N334" s="5" t="s">
        <v>811</v>
      </c>
      <c r="O334" s="5" t="str">
        <f ca="1">IF(P334&lt;&gt;"EXPEDIÇÃO","Expedido",IF(NETWORKDAYS(C334,TODAY())&gt;=5,"Risco Alto",IF(NETWORKDAYS(C334,TODAY())&gt;=3,IF(NETWORKDAYS(C334,TODAY())&lt;5,"Risco Médio",""),IF(NETWORKDAYS(C334,TODAY())&lt;=2,"Risco Baixo",""))))</f>
        <v>Expedido</v>
      </c>
      <c r="P334" s="5" t="s">
        <v>25</v>
      </c>
      <c r="Q334" s="5" t="s">
        <v>899</v>
      </c>
      <c r="S334" s="7">
        <f>IF(ISBLANK(M334),"Aguardando Previsão/Data",NETWORKDAYS(L334,M334)-1)</f>
        <v>-3</v>
      </c>
      <c r="T334" s="5" t="s">
        <v>942</v>
      </c>
    </row>
    <row r="335" spans="1:20" x14ac:dyDescent="0.35">
      <c r="A335" s="5">
        <v>8100269080</v>
      </c>
      <c r="B335" s="5">
        <v>6982</v>
      </c>
      <c r="C335" s="6">
        <v>45659</v>
      </c>
      <c r="D335" s="5" t="s">
        <v>194</v>
      </c>
      <c r="E335" s="5" t="s">
        <v>195</v>
      </c>
      <c r="F335" s="5" t="s">
        <v>19</v>
      </c>
      <c r="G335" s="5" t="s">
        <v>20</v>
      </c>
      <c r="H335" s="5" t="s">
        <v>108</v>
      </c>
      <c r="I335" s="5" t="s">
        <v>612</v>
      </c>
      <c r="J335" s="5" t="s">
        <v>734</v>
      </c>
      <c r="K335" s="5" t="s">
        <v>198</v>
      </c>
      <c r="L335" s="6">
        <v>45667</v>
      </c>
      <c r="M335" s="6">
        <v>45666</v>
      </c>
      <c r="N335" s="5" t="s">
        <v>811</v>
      </c>
      <c r="O335" s="5" t="str">
        <f ca="1">IF(P335&lt;&gt;"EXPEDIÇÃO","Expedido",IF(NETWORKDAYS(C335,TODAY())&gt;=5,"Risco Alto",IF(NETWORKDAYS(C335,TODAY())&gt;=3,IF(NETWORKDAYS(C335,TODAY())&lt;5,"Risco Médio",""),IF(NETWORKDAYS(C335,TODAY())&lt;=2,"Risco Baixo",""))))</f>
        <v>Expedido</v>
      </c>
      <c r="P335" s="5" t="s">
        <v>25</v>
      </c>
      <c r="S335" s="7">
        <f>IF(ISBLANK(M335),"Aguardando Previsão/Data",NETWORKDAYS(L335,M335)-1)</f>
        <v>-3</v>
      </c>
      <c r="T335" s="5" t="s">
        <v>942</v>
      </c>
    </row>
    <row r="336" spans="1:20" x14ac:dyDescent="0.35">
      <c r="A336" s="5">
        <v>8100269081</v>
      </c>
      <c r="B336" s="5">
        <v>7003</v>
      </c>
      <c r="C336" s="6">
        <v>45659</v>
      </c>
      <c r="D336" s="5" t="s">
        <v>194</v>
      </c>
      <c r="E336" s="5" t="s">
        <v>195</v>
      </c>
      <c r="F336" s="5" t="s">
        <v>406</v>
      </c>
      <c r="G336" s="5" t="s">
        <v>407</v>
      </c>
      <c r="H336" s="5" t="s">
        <v>108</v>
      </c>
      <c r="I336" s="5" t="s">
        <v>982</v>
      </c>
      <c r="J336" s="5" t="s">
        <v>204</v>
      </c>
      <c r="K336" s="5" t="s">
        <v>198</v>
      </c>
      <c r="L336" s="6">
        <v>45666</v>
      </c>
      <c r="M336" s="6">
        <v>45671</v>
      </c>
      <c r="N336" s="5" t="s">
        <v>812</v>
      </c>
      <c r="O336" s="5" t="str">
        <f ca="1">IF(P336&lt;&gt;"EXPEDIÇÃO","Expedido",IF(NETWORKDAYS(C336,TODAY())&gt;=5,"Risco Alto",IF(NETWORKDAYS(C336,TODAY())&gt;=3,IF(NETWORKDAYS(C336,TODAY())&lt;5,"Risco Médio",""),IF(NETWORKDAYS(C336,TODAY())&lt;=2,"Risco Baixo",""))))</f>
        <v>Expedido</v>
      </c>
      <c r="P336" s="5" t="s">
        <v>25</v>
      </c>
      <c r="Q336" s="5" t="s">
        <v>899</v>
      </c>
      <c r="S336" s="7">
        <f>IF(ISBLANK(M336),"Aguardando Previsão/Data",NETWORKDAYS(L336,M336)-1)</f>
        <v>3</v>
      </c>
      <c r="T336" s="5" t="s">
        <v>942</v>
      </c>
    </row>
    <row r="337" spans="1:20" x14ac:dyDescent="0.35">
      <c r="A337" s="5">
        <v>8100269083</v>
      </c>
      <c r="B337" s="5">
        <v>6997</v>
      </c>
      <c r="C337" s="6">
        <v>45659</v>
      </c>
      <c r="D337" s="5" t="s">
        <v>194</v>
      </c>
      <c r="E337" s="5" t="s">
        <v>195</v>
      </c>
      <c r="F337" s="5" t="s">
        <v>196</v>
      </c>
      <c r="G337" s="5" t="s">
        <v>197</v>
      </c>
      <c r="H337" s="5" t="s">
        <v>108</v>
      </c>
      <c r="I337" s="5" t="s">
        <v>732</v>
      </c>
      <c r="J337" s="5" t="s">
        <v>590</v>
      </c>
      <c r="K337" s="5" t="s">
        <v>198</v>
      </c>
      <c r="L337" s="6">
        <v>45666</v>
      </c>
      <c r="M337" s="6">
        <v>45671</v>
      </c>
      <c r="N337" s="5" t="s">
        <v>812</v>
      </c>
      <c r="O337" s="5" t="str">
        <f ca="1">IF(P337&lt;&gt;"EXPEDIÇÃO","Expedido",IF(NETWORKDAYS(C337,TODAY())&gt;=5,"Risco Alto",IF(NETWORKDAYS(C337,TODAY())&gt;=3,IF(NETWORKDAYS(C337,TODAY())&lt;5,"Risco Médio",""),IF(NETWORKDAYS(C337,TODAY())&lt;=2,"Risco Baixo",""))))</f>
        <v>Expedido</v>
      </c>
      <c r="P337" s="5" t="s">
        <v>25</v>
      </c>
      <c r="Q337" s="5" t="s">
        <v>899</v>
      </c>
      <c r="S337" s="7">
        <f>IF(ISBLANK(M337),"Aguardando Previsão/Data",NETWORKDAYS(L337,M337)-1)</f>
        <v>3</v>
      </c>
      <c r="T337" s="5" t="s">
        <v>942</v>
      </c>
    </row>
    <row r="338" spans="1:20" x14ac:dyDescent="0.35">
      <c r="A338" s="5">
        <v>8100269084</v>
      </c>
      <c r="B338" s="5">
        <v>6980</v>
      </c>
      <c r="C338" s="6">
        <v>45659</v>
      </c>
      <c r="D338" s="5" t="s">
        <v>194</v>
      </c>
      <c r="E338" s="5" t="s">
        <v>195</v>
      </c>
      <c r="F338" s="5" t="s">
        <v>406</v>
      </c>
      <c r="G338" s="5" t="s">
        <v>407</v>
      </c>
      <c r="H338" s="5" t="s">
        <v>108</v>
      </c>
      <c r="I338" s="5" t="s">
        <v>1120</v>
      </c>
      <c r="J338" s="5" t="s">
        <v>407</v>
      </c>
      <c r="K338" s="5" t="s">
        <v>198</v>
      </c>
      <c r="L338" s="6">
        <v>45665</v>
      </c>
      <c r="M338" s="6">
        <v>45666</v>
      </c>
      <c r="N338" s="5" t="s">
        <v>812</v>
      </c>
      <c r="O338" s="5" t="str">
        <f ca="1">IF(P338&lt;&gt;"EXPEDIÇÃO","Expedido",IF(NETWORKDAYS(C338,TODAY())&gt;=5,"Risco Alto",IF(NETWORKDAYS(C338,TODAY())&gt;=3,IF(NETWORKDAYS(C338,TODAY())&lt;5,"Risco Médio",""),IF(NETWORKDAYS(C338,TODAY())&lt;=2,"Risco Baixo",""))))</f>
        <v>Expedido</v>
      </c>
      <c r="P338" s="5" t="s">
        <v>25</v>
      </c>
      <c r="Q338" s="5" t="s">
        <v>899</v>
      </c>
      <c r="S338" s="7">
        <f>IF(ISBLANK(M338),"Aguardando Previsão/Data",NETWORKDAYS(L338,M338)-1)</f>
        <v>1</v>
      </c>
      <c r="T338" s="5" t="s">
        <v>942</v>
      </c>
    </row>
    <row r="339" spans="1:20" x14ac:dyDescent="0.35">
      <c r="A339" s="5">
        <v>8100269085</v>
      </c>
      <c r="B339" s="5">
        <v>6963</v>
      </c>
      <c r="C339" s="6">
        <v>45659</v>
      </c>
      <c r="D339" s="5" t="s">
        <v>194</v>
      </c>
      <c r="E339" s="5" t="s">
        <v>195</v>
      </c>
      <c r="F339" s="5" t="s">
        <v>58</v>
      </c>
      <c r="G339" s="5" t="s">
        <v>59</v>
      </c>
      <c r="H339" s="5" t="s">
        <v>108</v>
      </c>
      <c r="I339" s="5" t="s">
        <v>209</v>
      </c>
      <c r="J339" s="5" t="s">
        <v>210</v>
      </c>
      <c r="K339" s="5" t="s">
        <v>198</v>
      </c>
      <c r="L339" s="6">
        <v>45666</v>
      </c>
      <c r="M339" s="6">
        <v>45664</v>
      </c>
      <c r="N339" s="5" t="s">
        <v>811</v>
      </c>
      <c r="O339" s="5" t="str">
        <f ca="1">IF(P339&lt;&gt;"EXPEDIÇÃO","Expedido",IF(NETWORKDAYS(C339,TODAY())&gt;=5,"Risco Alto",IF(NETWORKDAYS(C339,TODAY())&gt;=3,IF(NETWORKDAYS(C339,TODAY())&lt;5,"Risco Médio",""),IF(NETWORKDAYS(C339,TODAY())&lt;=2,"Risco Baixo",""))))</f>
        <v>Expedido</v>
      </c>
      <c r="P339" s="5" t="s">
        <v>25</v>
      </c>
      <c r="Q339" s="5" t="s">
        <v>899</v>
      </c>
      <c r="S339" s="7">
        <f>IF(ISBLANK(M339),"Aguardando Previsão/Data",NETWORKDAYS(L339,M339)-1)</f>
        <v>-4</v>
      </c>
      <c r="T339" s="5" t="s">
        <v>942</v>
      </c>
    </row>
    <row r="340" spans="1:20" x14ac:dyDescent="0.35">
      <c r="A340" s="5">
        <v>8100269086</v>
      </c>
      <c r="B340" s="5">
        <v>6964</v>
      </c>
      <c r="C340" s="6">
        <v>45659</v>
      </c>
      <c r="D340" s="5" t="s">
        <v>194</v>
      </c>
      <c r="E340" s="5" t="s">
        <v>195</v>
      </c>
      <c r="F340" s="5" t="s">
        <v>58</v>
      </c>
      <c r="G340" s="5" t="s">
        <v>59</v>
      </c>
      <c r="H340" s="5" t="s">
        <v>108</v>
      </c>
      <c r="I340" s="5" t="s">
        <v>209</v>
      </c>
      <c r="J340" s="5" t="s">
        <v>210</v>
      </c>
      <c r="K340" s="5" t="s">
        <v>198</v>
      </c>
      <c r="L340" s="6">
        <v>45666</v>
      </c>
      <c r="M340" s="6">
        <v>45664</v>
      </c>
      <c r="N340" s="5" t="s">
        <v>811</v>
      </c>
      <c r="O340" s="5" t="str">
        <f ca="1">IF(P340&lt;&gt;"EXPEDIÇÃO","Expedido",IF(NETWORKDAYS(C340,TODAY())&gt;=5,"Risco Alto",IF(NETWORKDAYS(C340,TODAY())&gt;=3,IF(NETWORKDAYS(C340,TODAY())&lt;5,"Risco Médio",""),IF(NETWORKDAYS(C340,TODAY())&lt;=2,"Risco Baixo",""))))</f>
        <v>Expedido</v>
      </c>
      <c r="P340" s="5" t="s">
        <v>25</v>
      </c>
      <c r="Q340" s="5" t="s">
        <v>899</v>
      </c>
      <c r="S340" s="7">
        <f>IF(ISBLANK(M340),"Aguardando Previsão/Data",NETWORKDAYS(L340,M340)-1)</f>
        <v>-4</v>
      </c>
      <c r="T340" s="5" t="s">
        <v>942</v>
      </c>
    </row>
    <row r="341" spans="1:20" x14ac:dyDescent="0.35">
      <c r="A341" s="5">
        <v>8100269087</v>
      </c>
      <c r="B341" s="5">
        <v>6965</v>
      </c>
      <c r="C341" s="6">
        <v>45659</v>
      </c>
      <c r="D341" s="5" t="s">
        <v>194</v>
      </c>
      <c r="E341" s="5" t="s">
        <v>195</v>
      </c>
      <c r="F341" s="5" t="s">
        <v>58</v>
      </c>
      <c r="G341" s="5" t="s">
        <v>59</v>
      </c>
      <c r="H341" s="5" t="s">
        <v>108</v>
      </c>
      <c r="I341" s="5" t="s">
        <v>834</v>
      </c>
      <c r="J341" s="5" t="s">
        <v>200</v>
      </c>
      <c r="K341" s="5" t="s">
        <v>198</v>
      </c>
      <c r="L341" s="6">
        <v>45666</v>
      </c>
      <c r="M341" s="6">
        <v>45664</v>
      </c>
      <c r="N341" s="5" t="s">
        <v>811</v>
      </c>
      <c r="O341" s="5" t="str">
        <f ca="1">IF(P341&lt;&gt;"EXPEDIÇÃO","Expedido",IF(NETWORKDAYS(C341,TODAY())&gt;=5,"Risco Alto",IF(NETWORKDAYS(C341,TODAY())&gt;=3,IF(NETWORKDAYS(C341,TODAY())&lt;5,"Risco Médio",""),IF(NETWORKDAYS(C341,TODAY())&lt;=2,"Risco Baixo",""))))</f>
        <v>Expedido</v>
      </c>
      <c r="P341" s="5" t="s">
        <v>25</v>
      </c>
      <c r="Q341" s="5" t="s">
        <v>899</v>
      </c>
      <c r="S341" s="7">
        <f>IF(ISBLANK(M341),"Aguardando Previsão/Data",NETWORKDAYS(L341,M341)-1)</f>
        <v>-4</v>
      </c>
      <c r="T341" s="5" t="s">
        <v>942</v>
      </c>
    </row>
    <row r="342" spans="1:20" x14ac:dyDescent="0.35">
      <c r="A342" s="5">
        <v>8100269088</v>
      </c>
      <c r="B342" s="5">
        <v>6983</v>
      </c>
      <c r="C342" s="6">
        <v>45659</v>
      </c>
      <c r="D342" s="5" t="s">
        <v>194</v>
      </c>
      <c r="E342" s="5" t="s">
        <v>195</v>
      </c>
      <c r="F342" s="5" t="s">
        <v>406</v>
      </c>
      <c r="G342" s="5" t="s">
        <v>407</v>
      </c>
      <c r="H342" s="5" t="s">
        <v>108</v>
      </c>
      <c r="I342" s="5" t="s">
        <v>605</v>
      </c>
      <c r="J342" s="5" t="s">
        <v>407</v>
      </c>
      <c r="K342" s="5" t="s">
        <v>198</v>
      </c>
      <c r="L342" s="6">
        <v>45665</v>
      </c>
      <c r="M342" s="6">
        <v>45663</v>
      </c>
      <c r="N342" s="5" t="s">
        <v>811</v>
      </c>
      <c r="O342" s="5" t="str">
        <f ca="1">IF(P342&lt;&gt;"EXPEDIÇÃO","Expedido",IF(NETWORKDAYS(C342,TODAY())&gt;=5,"Risco Alto",IF(NETWORKDAYS(C342,TODAY())&gt;=3,IF(NETWORKDAYS(C342,TODAY())&lt;5,"Risco Médio",""),IF(NETWORKDAYS(C342,TODAY())&lt;=2,"Risco Baixo",""))))</f>
        <v>Expedido</v>
      </c>
      <c r="P342" s="5" t="s">
        <v>25</v>
      </c>
      <c r="S342" s="7">
        <f>IF(ISBLANK(M342),"Aguardando Previsão/Data",NETWORKDAYS(L342,M342)-1)</f>
        <v>-4</v>
      </c>
      <c r="T342" s="5" t="s">
        <v>942</v>
      </c>
    </row>
    <row r="343" spans="1:20" x14ac:dyDescent="0.35">
      <c r="A343" s="5">
        <v>8100269091</v>
      </c>
      <c r="B343" s="5">
        <v>7001</v>
      </c>
      <c r="C343" s="6">
        <v>45659</v>
      </c>
      <c r="D343" s="5" t="s">
        <v>194</v>
      </c>
      <c r="E343" s="5" t="s">
        <v>195</v>
      </c>
      <c r="F343" s="5" t="s">
        <v>406</v>
      </c>
      <c r="G343" s="5" t="s">
        <v>407</v>
      </c>
      <c r="H343" s="5" t="s">
        <v>108</v>
      </c>
      <c r="I343" s="5" t="s">
        <v>789</v>
      </c>
      <c r="J343" s="5" t="s">
        <v>204</v>
      </c>
      <c r="K343" s="5" t="s">
        <v>198</v>
      </c>
      <c r="L343" s="6">
        <v>45666</v>
      </c>
      <c r="M343" s="6">
        <v>45671</v>
      </c>
      <c r="N343" s="5" t="s">
        <v>812</v>
      </c>
      <c r="O343" s="5" t="str">
        <f ca="1">IF(P343&lt;&gt;"EXPEDIÇÃO","Expedido",IF(NETWORKDAYS(C343,TODAY())&gt;=5,"Risco Alto",IF(NETWORKDAYS(C343,TODAY())&gt;=3,IF(NETWORKDAYS(C343,TODAY())&lt;5,"Risco Médio",""),IF(NETWORKDAYS(C343,TODAY())&lt;=2,"Risco Baixo",""))))</f>
        <v>Expedido</v>
      </c>
      <c r="P343" s="5" t="s">
        <v>25</v>
      </c>
      <c r="Q343" s="5" t="s">
        <v>899</v>
      </c>
      <c r="S343" s="7">
        <f>IF(ISBLANK(M343),"Aguardando Previsão/Data",NETWORKDAYS(L343,M343)-1)</f>
        <v>3</v>
      </c>
      <c r="T343" s="5" t="s">
        <v>942</v>
      </c>
    </row>
    <row r="344" spans="1:20" x14ac:dyDescent="0.35">
      <c r="A344" s="5">
        <v>8100269092</v>
      </c>
      <c r="B344" s="5">
        <v>6976</v>
      </c>
      <c r="C344" s="6">
        <v>45659</v>
      </c>
      <c r="D344" s="5" t="s">
        <v>194</v>
      </c>
      <c r="E344" s="5" t="s">
        <v>195</v>
      </c>
      <c r="F344" s="5" t="s">
        <v>406</v>
      </c>
      <c r="G344" s="5" t="s">
        <v>407</v>
      </c>
      <c r="H344" s="5" t="s">
        <v>108</v>
      </c>
      <c r="I344" s="5" t="s">
        <v>544</v>
      </c>
      <c r="J344" s="5" t="s">
        <v>202</v>
      </c>
      <c r="K344" s="5" t="s">
        <v>198</v>
      </c>
      <c r="L344" s="6">
        <v>45666</v>
      </c>
      <c r="M344" s="6">
        <v>45666</v>
      </c>
      <c r="N344" s="5" t="s">
        <v>811</v>
      </c>
      <c r="O344" s="5" t="str">
        <f ca="1">IF(P344&lt;&gt;"EXPEDIÇÃO","Expedido",IF(NETWORKDAYS(C344,TODAY())&gt;=5,"Risco Alto",IF(NETWORKDAYS(C344,TODAY())&gt;=3,IF(NETWORKDAYS(C344,TODAY())&lt;5,"Risco Médio",""),IF(NETWORKDAYS(C344,TODAY())&lt;=2,"Risco Baixo",""))))</f>
        <v>Expedido</v>
      </c>
      <c r="P344" s="5" t="s">
        <v>25</v>
      </c>
      <c r="Q344" s="5" t="s">
        <v>1243</v>
      </c>
      <c r="S344" s="7">
        <f>IF(ISBLANK(M344),"Aguardando Previsão/Data",NETWORKDAYS(L344,M344)-1)</f>
        <v>0</v>
      </c>
      <c r="T344" s="5" t="s">
        <v>942</v>
      </c>
    </row>
    <row r="345" spans="1:20" x14ac:dyDescent="0.35">
      <c r="A345" s="5">
        <v>8100269093</v>
      </c>
      <c r="B345" s="5">
        <v>6977</v>
      </c>
      <c r="C345" s="6">
        <v>45659</v>
      </c>
      <c r="D345" s="5" t="s">
        <v>194</v>
      </c>
      <c r="E345" s="5" t="s">
        <v>195</v>
      </c>
      <c r="F345" s="5" t="s">
        <v>406</v>
      </c>
      <c r="G345" s="5" t="s">
        <v>407</v>
      </c>
      <c r="H345" s="5" t="s">
        <v>108</v>
      </c>
      <c r="I345" s="5" t="s">
        <v>544</v>
      </c>
      <c r="J345" s="5" t="s">
        <v>202</v>
      </c>
      <c r="K345" s="5" t="s">
        <v>198</v>
      </c>
      <c r="L345" s="6">
        <v>45666</v>
      </c>
      <c r="M345" s="6">
        <v>45666</v>
      </c>
      <c r="N345" s="5" t="s">
        <v>811</v>
      </c>
      <c r="O345" s="5" t="str">
        <f ca="1">IF(P345&lt;&gt;"EXPEDIÇÃO","Expedido",IF(NETWORKDAYS(C345,TODAY())&gt;=5,"Risco Alto",IF(NETWORKDAYS(C345,TODAY())&gt;=3,IF(NETWORKDAYS(C345,TODAY())&lt;5,"Risco Médio",""),IF(NETWORKDAYS(C345,TODAY())&lt;=2,"Risco Baixo",""))))</f>
        <v>Expedido</v>
      </c>
      <c r="P345" s="5" t="s">
        <v>25</v>
      </c>
      <c r="Q345" s="5" t="s">
        <v>1243</v>
      </c>
      <c r="S345" s="7">
        <f>IF(ISBLANK(M345),"Aguardando Previsão/Data",NETWORKDAYS(L345,M345)-1)</f>
        <v>0</v>
      </c>
      <c r="T345" s="5" t="s">
        <v>942</v>
      </c>
    </row>
    <row r="346" spans="1:20" x14ac:dyDescent="0.35">
      <c r="A346" s="5">
        <v>8100269094</v>
      </c>
      <c r="B346" s="5">
        <v>6968</v>
      </c>
      <c r="C346" s="6">
        <v>45659</v>
      </c>
      <c r="D346" s="5" t="s">
        <v>194</v>
      </c>
      <c r="E346" s="5" t="s">
        <v>195</v>
      </c>
      <c r="F346" s="5" t="s">
        <v>406</v>
      </c>
      <c r="G346" s="5" t="s">
        <v>407</v>
      </c>
      <c r="H346" s="5" t="s">
        <v>108</v>
      </c>
      <c r="I346" s="5" t="s">
        <v>1121</v>
      </c>
      <c r="J346" s="5" t="s">
        <v>588</v>
      </c>
      <c r="K346" s="5" t="s">
        <v>198</v>
      </c>
      <c r="L346" s="6">
        <v>45666</v>
      </c>
      <c r="M346" s="6">
        <v>45666</v>
      </c>
      <c r="N346" s="5" t="s">
        <v>811</v>
      </c>
      <c r="O346" s="5" t="str">
        <f ca="1">IF(P346&lt;&gt;"EXPEDIÇÃO","Expedido",IF(NETWORKDAYS(C346,TODAY())&gt;=5,"Risco Alto",IF(NETWORKDAYS(C346,TODAY())&gt;=3,IF(NETWORKDAYS(C346,TODAY())&lt;5,"Risco Médio",""),IF(NETWORKDAYS(C346,TODAY())&lt;=2,"Risco Baixo",""))))</f>
        <v>Expedido</v>
      </c>
      <c r="P346" s="5" t="s">
        <v>25</v>
      </c>
      <c r="S346" s="7">
        <f>IF(ISBLANK(M346),"Aguardando Previsão/Data",NETWORKDAYS(L346,M346)-1)</f>
        <v>0</v>
      </c>
      <c r="T346" s="5" t="s">
        <v>942</v>
      </c>
    </row>
    <row r="347" spans="1:20" x14ac:dyDescent="0.35">
      <c r="A347" s="5">
        <v>8100269095</v>
      </c>
      <c r="B347" s="5">
        <v>6961</v>
      </c>
      <c r="C347" s="6">
        <v>45659</v>
      </c>
      <c r="D347" s="5" t="s">
        <v>194</v>
      </c>
      <c r="E347" s="5" t="s">
        <v>195</v>
      </c>
      <c r="F347" s="5" t="s">
        <v>406</v>
      </c>
      <c r="G347" s="5" t="s">
        <v>407</v>
      </c>
      <c r="H347" s="5" t="s">
        <v>108</v>
      </c>
      <c r="I347" s="5" t="s">
        <v>1122</v>
      </c>
      <c r="J347" s="5" t="s">
        <v>290</v>
      </c>
      <c r="K347" s="5" t="s">
        <v>198</v>
      </c>
      <c r="L347" s="6">
        <v>45665</v>
      </c>
      <c r="M347" s="6">
        <v>45666</v>
      </c>
      <c r="N347" s="5" t="s">
        <v>812</v>
      </c>
      <c r="O347" s="5" t="str">
        <f ca="1">IF(P347&lt;&gt;"EXPEDIÇÃO","Expedido",IF(NETWORKDAYS(C347,TODAY())&gt;=5,"Risco Alto",IF(NETWORKDAYS(C347,TODAY())&gt;=3,IF(NETWORKDAYS(C347,TODAY())&lt;5,"Risco Médio",""),IF(NETWORKDAYS(C347,TODAY())&lt;=2,"Risco Baixo",""))))</f>
        <v>Expedido</v>
      </c>
      <c r="P347" s="5" t="s">
        <v>25</v>
      </c>
      <c r="Q347" s="5" t="s">
        <v>899</v>
      </c>
      <c r="S347" s="7">
        <f>IF(ISBLANK(M347),"Aguardando Previsão/Data",NETWORKDAYS(L347,M347)-1)</f>
        <v>1</v>
      </c>
      <c r="T347" s="5" t="s">
        <v>942</v>
      </c>
    </row>
    <row r="348" spans="1:20" x14ac:dyDescent="0.35">
      <c r="A348" s="5">
        <v>8100269099</v>
      </c>
      <c r="B348" s="5">
        <v>6981</v>
      </c>
      <c r="C348" s="6">
        <v>45659</v>
      </c>
      <c r="D348" s="5" t="s">
        <v>194</v>
      </c>
      <c r="E348" s="5" t="s">
        <v>195</v>
      </c>
      <c r="F348" s="5" t="s">
        <v>406</v>
      </c>
      <c r="G348" s="5" t="s">
        <v>407</v>
      </c>
      <c r="H348" s="5" t="s">
        <v>108</v>
      </c>
      <c r="I348" s="5" t="s">
        <v>804</v>
      </c>
      <c r="J348" s="5" t="s">
        <v>407</v>
      </c>
      <c r="K348" s="5" t="s">
        <v>198</v>
      </c>
      <c r="L348" s="6">
        <v>45665</v>
      </c>
      <c r="M348" s="6">
        <v>45664</v>
      </c>
      <c r="N348" s="5" t="s">
        <v>811</v>
      </c>
      <c r="O348" s="5" t="str">
        <f ca="1">IF(P348&lt;&gt;"EXPEDIÇÃO","Expedido",IF(NETWORKDAYS(C348,TODAY())&gt;=5,"Risco Alto",IF(NETWORKDAYS(C348,TODAY())&gt;=3,IF(NETWORKDAYS(C348,TODAY())&lt;5,"Risco Médio",""),IF(NETWORKDAYS(C348,TODAY())&lt;=2,"Risco Baixo",""))))</f>
        <v>Expedido</v>
      </c>
      <c r="P348" s="5" t="s">
        <v>25</v>
      </c>
      <c r="Q348" s="5" t="s">
        <v>899</v>
      </c>
      <c r="S348" s="7">
        <f>IF(ISBLANK(M348),"Aguardando Previsão/Data",NETWORKDAYS(L348,M348)-1)</f>
        <v>-3</v>
      </c>
      <c r="T348" s="5" t="s">
        <v>942</v>
      </c>
    </row>
    <row r="349" spans="1:20" x14ac:dyDescent="0.35">
      <c r="A349" s="5">
        <v>8100269100</v>
      </c>
      <c r="B349" s="5">
        <v>7002</v>
      </c>
      <c r="C349" s="6">
        <v>45659</v>
      </c>
      <c r="D349" s="5" t="s">
        <v>194</v>
      </c>
      <c r="E349" s="5" t="s">
        <v>195</v>
      </c>
      <c r="F349" s="5" t="s">
        <v>406</v>
      </c>
      <c r="G349" s="5" t="s">
        <v>407</v>
      </c>
      <c r="H349" s="5" t="s">
        <v>108</v>
      </c>
      <c r="I349" s="5" t="s">
        <v>702</v>
      </c>
      <c r="J349" s="5" t="s">
        <v>290</v>
      </c>
      <c r="K349" s="5" t="s">
        <v>198</v>
      </c>
      <c r="L349" s="6">
        <v>45665</v>
      </c>
      <c r="M349" s="6">
        <v>45665</v>
      </c>
      <c r="N349" s="5" t="s">
        <v>811</v>
      </c>
      <c r="O349" s="5" t="str">
        <f ca="1">IF(P349&lt;&gt;"EXPEDIÇÃO","Expedido",IF(NETWORKDAYS(C349,TODAY())&gt;=5,"Risco Alto",IF(NETWORKDAYS(C349,TODAY())&gt;=3,IF(NETWORKDAYS(C349,TODAY())&lt;5,"Risco Médio",""),IF(NETWORKDAYS(C349,TODAY())&lt;=2,"Risco Baixo",""))))</f>
        <v>Expedido</v>
      </c>
      <c r="P349" s="5" t="s">
        <v>25</v>
      </c>
      <c r="S349" s="7">
        <f>IF(ISBLANK(M349),"Aguardando Previsão/Data",NETWORKDAYS(L349,M349)-1)</f>
        <v>0</v>
      </c>
      <c r="T349" s="5" t="s">
        <v>942</v>
      </c>
    </row>
    <row r="350" spans="1:20" x14ac:dyDescent="0.35">
      <c r="A350" s="5">
        <v>8100269101</v>
      </c>
      <c r="B350" s="5">
        <v>6978</v>
      </c>
      <c r="C350" s="6">
        <v>45659</v>
      </c>
      <c r="D350" s="5" t="s">
        <v>194</v>
      </c>
      <c r="E350" s="5" t="s">
        <v>195</v>
      </c>
      <c r="F350" s="5" t="s">
        <v>406</v>
      </c>
      <c r="G350" s="5" t="s">
        <v>407</v>
      </c>
      <c r="H350" s="5" t="s">
        <v>108</v>
      </c>
      <c r="I350" s="5" t="s">
        <v>1123</v>
      </c>
      <c r="J350" s="5" t="s">
        <v>691</v>
      </c>
      <c r="K350" s="5" t="s">
        <v>198</v>
      </c>
      <c r="L350" s="6">
        <v>45666</v>
      </c>
      <c r="M350" s="6">
        <v>45663</v>
      </c>
      <c r="N350" s="5" t="s">
        <v>811</v>
      </c>
      <c r="O350" s="5" t="str">
        <f ca="1">IF(P350&lt;&gt;"EXPEDIÇÃO","Expedido",IF(NETWORKDAYS(C350,TODAY())&gt;=5,"Risco Alto",IF(NETWORKDAYS(C350,TODAY())&gt;=3,IF(NETWORKDAYS(C350,TODAY())&lt;5,"Risco Médio",""),IF(NETWORKDAYS(C350,TODAY())&lt;=2,"Risco Baixo",""))))</f>
        <v>Expedido</v>
      </c>
      <c r="P350" s="5" t="s">
        <v>25</v>
      </c>
      <c r="S350" s="7">
        <f>IF(ISBLANK(M350),"Aguardando Previsão/Data",NETWORKDAYS(L350,M350)-1)</f>
        <v>-5</v>
      </c>
      <c r="T350" s="5" t="s">
        <v>942</v>
      </c>
    </row>
    <row r="351" spans="1:20" x14ac:dyDescent="0.35">
      <c r="A351" s="5">
        <v>8100269102</v>
      </c>
      <c r="B351" s="5">
        <v>6998</v>
      </c>
      <c r="C351" s="6">
        <v>45659</v>
      </c>
      <c r="D351" s="5" t="s">
        <v>194</v>
      </c>
      <c r="E351" s="5" t="s">
        <v>195</v>
      </c>
      <c r="F351" s="5" t="s">
        <v>406</v>
      </c>
      <c r="G351" s="5" t="s">
        <v>407</v>
      </c>
      <c r="H351" s="5" t="s">
        <v>108</v>
      </c>
      <c r="I351" s="5" t="s">
        <v>1124</v>
      </c>
      <c r="J351" s="5" t="s">
        <v>290</v>
      </c>
      <c r="K351" s="5" t="s">
        <v>198</v>
      </c>
      <c r="L351" s="6">
        <v>45665</v>
      </c>
      <c r="M351" s="6">
        <v>45664</v>
      </c>
      <c r="N351" s="5" t="s">
        <v>811</v>
      </c>
      <c r="O351" s="5" t="str">
        <f ca="1">IF(P351&lt;&gt;"EXPEDIÇÃO","Expedido",IF(NETWORKDAYS(C351,TODAY())&gt;=5,"Risco Alto",IF(NETWORKDAYS(C351,TODAY())&gt;=3,IF(NETWORKDAYS(C351,TODAY())&lt;5,"Risco Médio",""),IF(NETWORKDAYS(C351,TODAY())&lt;=2,"Risco Baixo",""))))</f>
        <v>Expedido</v>
      </c>
      <c r="P351" s="5" t="s">
        <v>25</v>
      </c>
      <c r="Q351" s="5" t="s">
        <v>1178</v>
      </c>
      <c r="R351" s="5">
        <v>3067942</v>
      </c>
      <c r="S351" s="7">
        <f>IF(ISBLANK(M351),"Aguardando Previsão/Data",NETWORKDAYS(L351,M351)-1)</f>
        <v>-3</v>
      </c>
      <c r="T351" s="5" t="s">
        <v>942</v>
      </c>
    </row>
    <row r="352" spans="1:20" x14ac:dyDescent="0.35">
      <c r="A352" s="5">
        <v>8100269103</v>
      </c>
      <c r="B352" s="5">
        <v>6958</v>
      </c>
      <c r="C352" s="6">
        <v>45659</v>
      </c>
      <c r="D352" s="5" t="s">
        <v>194</v>
      </c>
      <c r="E352" s="5" t="s">
        <v>195</v>
      </c>
      <c r="F352" s="5" t="s">
        <v>406</v>
      </c>
      <c r="G352" s="5" t="s">
        <v>407</v>
      </c>
      <c r="H352" s="5" t="s">
        <v>108</v>
      </c>
      <c r="I352" s="5" t="s">
        <v>1125</v>
      </c>
      <c r="J352" s="5" t="s">
        <v>588</v>
      </c>
      <c r="K352" s="5" t="s">
        <v>198</v>
      </c>
      <c r="L352" s="6">
        <v>45666</v>
      </c>
      <c r="M352" s="6">
        <v>45663</v>
      </c>
      <c r="N352" s="5" t="s">
        <v>811</v>
      </c>
      <c r="O352" s="5" t="str">
        <f ca="1">IF(P352&lt;&gt;"EXPEDIÇÃO","Expedido",IF(NETWORKDAYS(C352,TODAY())&gt;=5,"Risco Alto",IF(NETWORKDAYS(C352,TODAY())&gt;=3,IF(NETWORKDAYS(C352,TODAY())&lt;5,"Risco Médio",""),IF(NETWORKDAYS(C352,TODAY())&lt;=2,"Risco Baixo",""))))</f>
        <v>Expedido</v>
      </c>
      <c r="P352" s="5" t="s">
        <v>25</v>
      </c>
      <c r="S352" s="7">
        <f>IF(ISBLANK(M352),"Aguardando Previsão/Data",NETWORKDAYS(L352,M352)-1)</f>
        <v>-5</v>
      </c>
      <c r="T352" s="5" t="s">
        <v>942</v>
      </c>
    </row>
    <row r="353" spans="1:20" x14ac:dyDescent="0.35">
      <c r="A353" s="5">
        <v>8100269104</v>
      </c>
      <c r="B353" s="5">
        <v>6959</v>
      </c>
      <c r="C353" s="6">
        <v>45659</v>
      </c>
      <c r="D353" s="5" t="s">
        <v>194</v>
      </c>
      <c r="E353" s="5" t="s">
        <v>195</v>
      </c>
      <c r="F353" s="5" t="s">
        <v>406</v>
      </c>
      <c r="G353" s="5" t="s">
        <v>407</v>
      </c>
      <c r="H353" s="5" t="s">
        <v>108</v>
      </c>
      <c r="I353" s="5" t="s">
        <v>1126</v>
      </c>
      <c r="J353" s="5" t="s">
        <v>588</v>
      </c>
      <c r="K353" s="5" t="s">
        <v>198</v>
      </c>
      <c r="L353" s="6">
        <v>45666</v>
      </c>
      <c r="M353" s="6">
        <v>45671</v>
      </c>
      <c r="N353" s="5" t="s">
        <v>812</v>
      </c>
      <c r="O353" s="5" t="str">
        <f ca="1">IF(P353&lt;&gt;"EXPEDIÇÃO","Expedido",IF(NETWORKDAYS(C353,TODAY())&gt;=5,"Risco Alto",IF(NETWORKDAYS(C353,TODAY())&gt;=3,IF(NETWORKDAYS(C353,TODAY())&lt;5,"Risco Médio",""),IF(NETWORKDAYS(C353,TODAY())&lt;=2,"Risco Baixo",""))))</f>
        <v>Expedido</v>
      </c>
      <c r="P353" s="5" t="s">
        <v>25</v>
      </c>
      <c r="Q353" s="5" t="s">
        <v>899</v>
      </c>
      <c r="S353" s="7">
        <f>IF(ISBLANK(M353),"Aguardando Previsão/Data",NETWORKDAYS(L353,M353)-1)</f>
        <v>3</v>
      </c>
      <c r="T353" s="5" t="s">
        <v>942</v>
      </c>
    </row>
    <row r="354" spans="1:20" x14ac:dyDescent="0.35">
      <c r="A354" s="5">
        <v>8100269105</v>
      </c>
      <c r="B354" s="5">
        <v>6956</v>
      </c>
      <c r="C354" s="6">
        <v>45659</v>
      </c>
      <c r="D354" s="5" t="s">
        <v>194</v>
      </c>
      <c r="E354" s="5" t="s">
        <v>195</v>
      </c>
      <c r="F354" s="5" t="s">
        <v>406</v>
      </c>
      <c r="G354" s="5" t="s">
        <v>407</v>
      </c>
      <c r="H354" s="5" t="s">
        <v>108</v>
      </c>
      <c r="I354" s="5" t="s">
        <v>1127</v>
      </c>
      <c r="J354" s="5" t="s">
        <v>588</v>
      </c>
      <c r="K354" s="5" t="s">
        <v>198</v>
      </c>
      <c r="L354" s="6">
        <v>45666</v>
      </c>
      <c r="M354" s="6">
        <v>45671</v>
      </c>
      <c r="N354" s="5" t="s">
        <v>812</v>
      </c>
      <c r="O354" s="5" t="str">
        <f ca="1">IF(P354&lt;&gt;"EXPEDIÇÃO","Expedido",IF(NETWORKDAYS(C354,TODAY())&gt;=5,"Risco Alto",IF(NETWORKDAYS(C354,TODAY())&gt;=3,IF(NETWORKDAYS(C354,TODAY())&lt;5,"Risco Médio",""),IF(NETWORKDAYS(C354,TODAY())&lt;=2,"Risco Baixo",""))))</f>
        <v>Expedido</v>
      </c>
      <c r="P354" s="5" t="s">
        <v>25</v>
      </c>
      <c r="Q354" s="5" t="s">
        <v>899</v>
      </c>
      <c r="S354" s="7">
        <f>IF(ISBLANK(M354),"Aguardando Previsão/Data",NETWORKDAYS(L354,M354)-1)</f>
        <v>3</v>
      </c>
      <c r="T354" s="5" t="s">
        <v>942</v>
      </c>
    </row>
    <row r="355" spans="1:20" x14ac:dyDescent="0.35">
      <c r="A355" s="5">
        <v>8100269106</v>
      </c>
      <c r="B355" s="5">
        <v>6960</v>
      </c>
      <c r="C355" s="6">
        <v>45659</v>
      </c>
      <c r="D355" s="5" t="s">
        <v>194</v>
      </c>
      <c r="E355" s="5" t="s">
        <v>195</v>
      </c>
      <c r="F355" s="5" t="s">
        <v>406</v>
      </c>
      <c r="G355" s="5" t="s">
        <v>407</v>
      </c>
      <c r="H355" s="5" t="s">
        <v>108</v>
      </c>
      <c r="I355" s="5" t="s">
        <v>1127</v>
      </c>
      <c r="J355" s="5" t="s">
        <v>735</v>
      </c>
      <c r="K355" s="5" t="s">
        <v>198</v>
      </c>
      <c r="L355" s="6">
        <v>45666</v>
      </c>
      <c r="M355" s="6">
        <v>45664</v>
      </c>
      <c r="N355" s="5" t="s">
        <v>811</v>
      </c>
      <c r="O355" s="5" t="str">
        <f ca="1">IF(P355&lt;&gt;"EXPEDIÇÃO","Expedido",IF(NETWORKDAYS(C355,TODAY())&gt;=5,"Risco Alto",IF(NETWORKDAYS(C355,TODAY())&gt;=3,IF(NETWORKDAYS(C355,TODAY())&lt;5,"Risco Médio",""),IF(NETWORKDAYS(C355,TODAY())&lt;=2,"Risco Baixo",""))))</f>
        <v>Expedido</v>
      </c>
      <c r="P355" s="5" t="s">
        <v>25</v>
      </c>
      <c r="Q355" s="5" t="s">
        <v>899</v>
      </c>
      <c r="S355" s="7">
        <f>IF(ISBLANK(M355),"Aguardando Previsão/Data",NETWORKDAYS(L355,M355)-1)</f>
        <v>-4</v>
      </c>
      <c r="T355" s="5" t="s">
        <v>942</v>
      </c>
    </row>
    <row r="356" spans="1:20" x14ac:dyDescent="0.35">
      <c r="A356" s="5">
        <v>8100269107</v>
      </c>
      <c r="B356" s="5">
        <v>6970</v>
      </c>
      <c r="C356" s="6">
        <v>45659</v>
      </c>
      <c r="D356" s="5" t="s">
        <v>194</v>
      </c>
      <c r="E356" s="5" t="s">
        <v>195</v>
      </c>
      <c r="F356" s="5" t="s">
        <v>406</v>
      </c>
      <c r="G356" s="5" t="s">
        <v>407</v>
      </c>
      <c r="H356" s="5" t="s">
        <v>108</v>
      </c>
      <c r="I356" s="5" t="s">
        <v>1125</v>
      </c>
      <c r="J356" s="5" t="s">
        <v>735</v>
      </c>
      <c r="K356" s="5" t="s">
        <v>198</v>
      </c>
      <c r="L356" s="6">
        <v>45666</v>
      </c>
      <c r="M356" s="6">
        <v>45664</v>
      </c>
      <c r="N356" s="5" t="s">
        <v>811</v>
      </c>
      <c r="O356" s="5" t="str">
        <f ca="1">IF(P356&lt;&gt;"EXPEDIÇÃO","Expedido",IF(NETWORKDAYS(C356,TODAY())&gt;=5,"Risco Alto",IF(NETWORKDAYS(C356,TODAY())&gt;=3,IF(NETWORKDAYS(C356,TODAY())&lt;5,"Risco Médio",""),IF(NETWORKDAYS(C356,TODAY())&lt;=2,"Risco Baixo",""))))</f>
        <v>Expedido</v>
      </c>
      <c r="P356" s="5" t="s">
        <v>25</v>
      </c>
      <c r="Q356" s="5" t="s">
        <v>899</v>
      </c>
      <c r="S356" s="7">
        <f>IF(ISBLANK(M356),"Aguardando Previsão/Data",NETWORKDAYS(L356,M356)-1)</f>
        <v>-4</v>
      </c>
      <c r="T356" s="5" t="s">
        <v>942</v>
      </c>
    </row>
    <row r="357" spans="1:20" x14ac:dyDescent="0.35">
      <c r="A357" s="5">
        <v>8100269108</v>
      </c>
      <c r="B357" s="5">
        <v>6988</v>
      </c>
      <c r="C357" s="6">
        <v>45659</v>
      </c>
      <c r="D357" s="5" t="s">
        <v>194</v>
      </c>
      <c r="E357" s="5" t="s">
        <v>195</v>
      </c>
      <c r="F357" s="5" t="s">
        <v>199</v>
      </c>
      <c r="G357" s="5" t="s">
        <v>200</v>
      </c>
      <c r="H357" s="5" t="s">
        <v>108</v>
      </c>
      <c r="I357" s="5" t="s">
        <v>201</v>
      </c>
      <c r="J357" s="5" t="s">
        <v>202</v>
      </c>
      <c r="K357" s="5" t="s">
        <v>198</v>
      </c>
      <c r="L357" s="6">
        <v>45666</v>
      </c>
      <c r="M357" s="6">
        <v>45666</v>
      </c>
      <c r="N357" s="5" t="s">
        <v>811</v>
      </c>
      <c r="O357" s="5" t="str">
        <f ca="1">IF(P357&lt;&gt;"EXPEDIÇÃO","Expedido",IF(NETWORKDAYS(C357,TODAY())&gt;=5,"Risco Alto",IF(NETWORKDAYS(C357,TODAY())&gt;=3,IF(NETWORKDAYS(C357,TODAY())&lt;5,"Risco Médio",""),IF(NETWORKDAYS(C357,TODAY())&lt;=2,"Risco Baixo",""))))</f>
        <v>Expedido</v>
      </c>
      <c r="P357" s="5" t="s">
        <v>25</v>
      </c>
      <c r="Q357" s="5" t="s">
        <v>1179</v>
      </c>
      <c r="S357" s="7">
        <f>IF(ISBLANK(M357),"Aguardando Previsão/Data",NETWORKDAYS(L357,M357)-1)</f>
        <v>0</v>
      </c>
      <c r="T357" s="5" t="s">
        <v>942</v>
      </c>
    </row>
    <row r="358" spans="1:20" x14ac:dyDescent="0.35">
      <c r="A358" s="5">
        <v>8100269110</v>
      </c>
      <c r="B358" s="5">
        <v>6973</v>
      </c>
      <c r="C358" s="6">
        <v>45659</v>
      </c>
      <c r="D358" s="5" t="s">
        <v>194</v>
      </c>
      <c r="E358" s="5" t="s">
        <v>195</v>
      </c>
      <c r="F358" s="5" t="s">
        <v>58</v>
      </c>
      <c r="G358" s="5" t="s">
        <v>59</v>
      </c>
      <c r="H358" s="5" t="s">
        <v>108</v>
      </c>
      <c r="I358" s="5" t="s">
        <v>514</v>
      </c>
      <c r="J358" s="5" t="s">
        <v>515</v>
      </c>
      <c r="K358" s="5" t="s">
        <v>198</v>
      </c>
      <c r="L358" s="6">
        <v>45666</v>
      </c>
      <c r="M358" s="6">
        <v>45667</v>
      </c>
      <c r="N358" s="5" t="s">
        <v>812</v>
      </c>
      <c r="O358" s="5" t="str">
        <f ca="1">IF(P358&lt;&gt;"EXPEDIÇÃO","Expedido",IF(NETWORKDAYS(C358,TODAY())&gt;=5,"Risco Alto",IF(NETWORKDAYS(C358,TODAY())&gt;=3,IF(NETWORKDAYS(C358,TODAY())&lt;5,"Risco Médio",""),IF(NETWORKDAYS(C358,TODAY())&lt;=2,"Risco Baixo",""))))</f>
        <v>Expedido</v>
      </c>
      <c r="P358" s="5" t="s">
        <v>25</v>
      </c>
      <c r="Q358" s="5" t="s">
        <v>1242</v>
      </c>
      <c r="S358" s="7">
        <f>IF(ISBLANK(M358),"Aguardando Previsão/Data",NETWORKDAYS(L358,M358)-1)</f>
        <v>1</v>
      </c>
      <c r="T358" s="5" t="s">
        <v>942</v>
      </c>
    </row>
    <row r="359" spans="1:20" x14ac:dyDescent="0.35">
      <c r="A359" s="5">
        <v>8100269111</v>
      </c>
      <c r="B359" s="5">
        <v>7000</v>
      </c>
      <c r="C359" s="6">
        <v>45659</v>
      </c>
      <c r="D359" s="5" t="s">
        <v>194</v>
      </c>
      <c r="E359" s="5" t="s">
        <v>195</v>
      </c>
      <c r="F359" s="5" t="s">
        <v>19</v>
      </c>
      <c r="G359" s="5" t="s">
        <v>20</v>
      </c>
      <c r="H359" s="5" t="s">
        <v>108</v>
      </c>
      <c r="I359" s="5" t="s">
        <v>612</v>
      </c>
      <c r="J359" s="5" t="s">
        <v>205</v>
      </c>
      <c r="K359" s="5" t="s">
        <v>198</v>
      </c>
      <c r="L359" s="6">
        <v>45667</v>
      </c>
      <c r="M359" s="6">
        <v>45666</v>
      </c>
      <c r="N359" s="5" t="s">
        <v>811</v>
      </c>
      <c r="O359" s="5" t="str">
        <f ca="1">IF(P359&lt;&gt;"EXPEDIÇÃO","Expedido",IF(NETWORKDAYS(C359,TODAY())&gt;=5,"Risco Alto",IF(NETWORKDAYS(C359,TODAY())&gt;=3,IF(NETWORKDAYS(C359,TODAY())&lt;5,"Risco Médio",""),IF(NETWORKDAYS(C359,TODAY())&lt;=2,"Risco Baixo",""))))</f>
        <v>Expedido</v>
      </c>
      <c r="P359" s="5" t="s">
        <v>25</v>
      </c>
      <c r="Q359" s="5" t="s">
        <v>899</v>
      </c>
      <c r="S359" s="7">
        <f>IF(ISBLANK(M359),"Aguardando Previsão/Data",NETWORKDAYS(L359,M359)-1)</f>
        <v>-3</v>
      </c>
      <c r="T359" s="5" t="s">
        <v>942</v>
      </c>
    </row>
    <row r="360" spans="1:20" x14ac:dyDescent="0.35">
      <c r="A360" s="5">
        <v>8100269112</v>
      </c>
      <c r="B360" s="5">
        <v>6957</v>
      </c>
      <c r="C360" s="6">
        <v>45659</v>
      </c>
      <c r="D360" s="5" t="s">
        <v>194</v>
      </c>
      <c r="E360" s="5" t="s">
        <v>195</v>
      </c>
      <c r="F360" s="5" t="s">
        <v>406</v>
      </c>
      <c r="G360" s="5" t="s">
        <v>407</v>
      </c>
      <c r="H360" s="5" t="s">
        <v>108</v>
      </c>
      <c r="I360" s="5" t="s">
        <v>934</v>
      </c>
      <c r="J360" s="5" t="s">
        <v>735</v>
      </c>
      <c r="K360" s="5" t="s">
        <v>198</v>
      </c>
      <c r="L360" s="6">
        <v>45666</v>
      </c>
      <c r="M360" s="6">
        <v>45665</v>
      </c>
      <c r="N360" s="5" t="s">
        <v>811</v>
      </c>
      <c r="O360" s="5" t="str">
        <f ca="1">IF(P360&lt;&gt;"EXPEDIÇÃO","Expedido",IF(NETWORKDAYS(C360,TODAY())&gt;=5,"Risco Alto",IF(NETWORKDAYS(C360,TODAY())&gt;=3,IF(NETWORKDAYS(C360,TODAY())&lt;5,"Risco Médio",""),IF(NETWORKDAYS(C360,TODAY())&lt;=2,"Risco Baixo",""))))</f>
        <v>Expedido</v>
      </c>
      <c r="P360" s="5" t="s">
        <v>25</v>
      </c>
      <c r="Q360" s="5" t="s">
        <v>899</v>
      </c>
      <c r="S360" s="7">
        <f>IF(ISBLANK(M360),"Aguardando Previsão/Data",NETWORKDAYS(L360,M360)-1)</f>
        <v>-3</v>
      </c>
      <c r="T360" s="5" t="s">
        <v>942</v>
      </c>
    </row>
    <row r="361" spans="1:20" x14ac:dyDescent="0.35">
      <c r="A361" s="5">
        <v>8100269113</v>
      </c>
      <c r="B361" s="5">
        <v>6984</v>
      </c>
      <c r="C361" s="6">
        <v>45659</v>
      </c>
      <c r="D361" s="5" t="s">
        <v>194</v>
      </c>
      <c r="E361" s="5" t="s">
        <v>195</v>
      </c>
      <c r="F361" s="5" t="s">
        <v>406</v>
      </c>
      <c r="G361" s="5" t="s">
        <v>407</v>
      </c>
      <c r="H361" s="5" t="s">
        <v>108</v>
      </c>
      <c r="I361" s="5" t="s">
        <v>605</v>
      </c>
      <c r="J361" s="5" t="s">
        <v>407</v>
      </c>
      <c r="K361" s="5" t="s">
        <v>198</v>
      </c>
      <c r="L361" s="6">
        <v>45665</v>
      </c>
      <c r="M361" s="6">
        <v>45663</v>
      </c>
      <c r="N361" s="5" t="s">
        <v>811</v>
      </c>
      <c r="O361" s="5" t="str">
        <f ca="1">IF(P361&lt;&gt;"EXPEDIÇÃO","Expedido",IF(NETWORKDAYS(C361,TODAY())&gt;=5,"Risco Alto",IF(NETWORKDAYS(C361,TODAY())&gt;=3,IF(NETWORKDAYS(C361,TODAY())&lt;5,"Risco Médio",""),IF(NETWORKDAYS(C361,TODAY())&lt;=2,"Risco Baixo",""))))</f>
        <v>Expedido</v>
      </c>
      <c r="P361" s="5" t="s">
        <v>25</v>
      </c>
      <c r="S361" s="7">
        <f>IF(ISBLANK(M361),"Aguardando Previsão/Data",NETWORKDAYS(L361,M361)-1)</f>
        <v>-4</v>
      </c>
      <c r="T361" s="5" t="s">
        <v>942</v>
      </c>
    </row>
    <row r="362" spans="1:20" x14ac:dyDescent="0.35">
      <c r="A362" s="5">
        <v>8100269114</v>
      </c>
      <c r="B362" s="5">
        <v>6996</v>
      </c>
      <c r="C362" s="6">
        <v>45659</v>
      </c>
      <c r="D362" s="5" t="s">
        <v>194</v>
      </c>
      <c r="E362" s="5" t="s">
        <v>195</v>
      </c>
      <c r="F362" s="5" t="s">
        <v>406</v>
      </c>
      <c r="G362" s="5" t="s">
        <v>407</v>
      </c>
      <c r="H362" s="5" t="s">
        <v>108</v>
      </c>
      <c r="I362" s="5" t="s">
        <v>1121</v>
      </c>
      <c r="J362" s="5" t="s">
        <v>588</v>
      </c>
      <c r="K362" s="5" t="s">
        <v>198</v>
      </c>
      <c r="L362" s="6">
        <v>45666</v>
      </c>
      <c r="M362" s="6">
        <v>45666</v>
      </c>
      <c r="N362" s="5" t="s">
        <v>811</v>
      </c>
      <c r="O362" s="5" t="str">
        <f ca="1">IF(P362&lt;&gt;"EXPEDIÇÃO","Expedido",IF(NETWORKDAYS(C362,TODAY())&gt;=5,"Risco Alto",IF(NETWORKDAYS(C362,TODAY())&gt;=3,IF(NETWORKDAYS(C362,TODAY())&lt;5,"Risco Médio",""),IF(NETWORKDAYS(C362,TODAY())&lt;=2,"Risco Baixo",""))))</f>
        <v>Expedido</v>
      </c>
      <c r="P362" s="5" t="s">
        <v>25</v>
      </c>
      <c r="Q362" s="5" t="s">
        <v>899</v>
      </c>
      <c r="S362" s="7">
        <f>IF(ISBLANK(M362),"Aguardando Previsão/Data",NETWORKDAYS(L362,M362)-1)</f>
        <v>0</v>
      </c>
      <c r="T362" s="5" t="s">
        <v>942</v>
      </c>
    </row>
    <row r="363" spans="1:20" x14ac:dyDescent="0.35">
      <c r="A363" s="5">
        <v>8100269115</v>
      </c>
      <c r="B363" s="5">
        <v>6987</v>
      </c>
      <c r="C363" s="6">
        <v>45659</v>
      </c>
      <c r="D363" s="5" t="s">
        <v>194</v>
      </c>
      <c r="E363" s="5" t="s">
        <v>195</v>
      </c>
      <c r="F363" s="5" t="s">
        <v>406</v>
      </c>
      <c r="G363" s="5" t="s">
        <v>407</v>
      </c>
      <c r="H363" s="5" t="s">
        <v>108</v>
      </c>
      <c r="I363" s="5" t="s">
        <v>1122</v>
      </c>
      <c r="J363" s="5" t="s">
        <v>290</v>
      </c>
      <c r="K363" s="5" t="s">
        <v>198</v>
      </c>
      <c r="L363" s="6">
        <v>45665</v>
      </c>
      <c r="M363" s="6">
        <v>45666</v>
      </c>
      <c r="N363" s="5" t="s">
        <v>812</v>
      </c>
      <c r="O363" s="5" t="str">
        <f ca="1">IF(P363&lt;&gt;"EXPEDIÇÃO","Expedido",IF(NETWORKDAYS(C363,TODAY())&gt;=5,"Risco Alto",IF(NETWORKDAYS(C363,TODAY())&gt;=3,IF(NETWORKDAYS(C363,TODAY())&lt;5,"Risco Médio",""),IF(NETWORKDAYS(C363,TODAY())&lt;=2,"Risco Baixo",""))))</f>
        <v>Expedido</v>
      </c>
      <c r="P363" s="5" t="s">
        <v>25</v>
      </c>
      <c r="Q363" s="5" t="s">
        <v>899</v>
      </c>
      <c r="S363" s="7">
        <f>IF(ISBLANK(M363),"Aguardando Previsão/Data",NETWORKDAYS(L363,M363)-1)</f>
        <v>1</v>
      </c>
      <c r="T363" s="5" t="s">
        <v>942</v>
      </c>
    </row>
    <row r="364" spans="1:20" x14ac:dyDescent="0.35">
      <c r="A364" s="5">
        <v>8100269116</v>
      </c>
      <c r="B364" s="5">
        <v>6966</v>
      </c>
      <c r="C364" s="6">
        <v>45659</v>
      </c>
      <c r="D364" s="5" t="s">
        <v>194</v>
      </c>
      <c r="E364" s="5" t="s">
        <v>195</v>
      </c>
      <c r="F364" s="5" t="s">
        <v>58</v>
      </c>
      <c r="G364" s="5" t="s">
        <v>59</v>
      </c>
      <c r="H364" s="5" t="s">
        <v>108</v>
      </c>
      <c r="I364" s="5" t="s">
        <v>209</v>
      </c>
      <c r="J364" s="5" t="s">
        <v>210</v>
      </c>
      <c r="K364" s="5" t="s">
        <v>198</v>
      </c>
      <c r="L364" s="6">
        <v>45666</v>
      </c>
      <c r="M364" s="6">
        <v>45664</v>
      </c>
      <c r="N364" s="5" t="s">
        <v>811</v>
      </c>
      <c r="O364" s="5" t="str">
        <f ca="1">IF(P364&lt;&gt;"EXPEDIÇÃO","Expedido",IF(NETWORKDAYS(C364,TODAY())&gt;=5,"Risco Alto",IF(NETWORKDAYS(C364,TODAY())&gt;=3,IF(NETWORKDAYS(C364,TODAY())&lt;5,"Risco Médio",""),IF(NETWORKDAYS(C364,TODAY())&lt;=2,"Risco Baixo",""))))</f>
        <v>Expedido</v>
      </c>
      <c r="P364" s="5" t="s">
        <v>25</v>
      </c>
      <c r="Q364" s="5" t="s">
        <v>899</v>
      </c>
      <c r="S364" s="7">
        <f>IF(ISBLANK(M364),"Aguardando Previsão/Data",NETWORKDAYS(L364,M364)-1)</f>
        <v>-4</v>
      </c>
      <c r="T364" s="5" t="s">
        <v>942</v>
      </c>
    </row>
    <row r="365" spans="1:20" x14ac:dyDescent="0.35">
      <c r="A365" s="5">
        <v>8100269117</v>
      </c>
      <c r="B365" s="5">
        <v>6993</v>
      </c>
      <c r="C365" s="6">
        <v>45659</v>
      </c>
      <c r="D365" s="5" t="s">
        <v>194</v>
      </c>
      <c r="E365" s="5" t="s">
        <v>195</v>
      </c>
      <c r="F365" s="5" t="s">
        <v>406</v>
      </c>
      <c r="G365" s="5" t="s">
        <v>407</v>
      </c>
      <c r="H365" s="5" t="s">
        <v>108</v>
      </c>
      <c r="I365" s="5" t="s">
        <v>1125</v>
      </c>
      <c r="J365" s="5" t="s">
        <v>588</v>
      </c>
      <c r="K365" s="5" t="s">
        <v>198</v>
      </c>
      <c r="L365" s="6">
        <v>45666</v>
      </c>
      <c r="M365" s="6">
        <v>45671</v>
      </c>
      <c r="N365" s="5" t="s">
        <v>812</v>
      </c>
      <c r="O365" s="5" t="str">
        <f ca="1">IF(P365&lt;&gt;"EXPEDIÇÃO","Expedido",IF(NETWORKDAYS(C365,TODAY())&gt;=5,"Risco Alto",IF(NETWORKDAYS(C365,TODAY())&gt;=3,IF(NETWORKDAYS(C365,TODAY())&lt;5,"Risco Médio",""),IF(NETWORKDAYS(C365,TODAY())&lt;=2,"Risco Baixo",""))))</f>
        <v>Expedido</v>
      </c>
      <c r="P365" s="5" t="s">
        <v>25</v>
      </c>
      <c r="Q365" s="5" t="s">
        <v>899</v>
      </c>
      <c r="S365" s="7">
        <f>IF(ISBLANK(M365),"Aguardando Previsão/Data",NETWORKDAYS(L365,M365)-1)</f>
        <v>3</v>
      </c>
      <c r="T365" s="5" t="s">
        <v>942</v>
      </c>
    </row>
    <row r="366" spans="1:20" x14ac:dyDescent="0.35">
      <c r="A366" s="5">
        <v>8100269118</v>
      </c>
      <c r="B366" s="5">
        <v>6994</v>
      </c>
      <c r="C366" s="6">
        <v>45659</v>
      </c>
      <c r="D366" s="5" t="s">
        <v>194</v>
      </c>
      <c r="E366" s="5" t="s">
        <v>195</v>
      </c>
      <c r="F366" s="5" t="s">
        <v>406</v>
      </c>
      <c r="G366" s="5" t="s">
        <v>407</v>
      </c>
      <c r="H366" s="5" t="s">
        <v>108</v>
      </c>
      <c r="I366" s="5" t="s">
        <v>1126</v>
      </c>
      <c r="J366" s="5" t="s">
        <v>588</v>
      </c>
      <c r="K366" s="5" t="s">
        <v>198</v>
      </c>
      <c r="L366" s="6">
        <v>45666</v>
      </c>
      <c r="M366" s="6">
        <v>45671</v>
      </c>
      <c r="N366" s="5" t="s">
        <v>812</v>
      </c>
      <c r="O366" s="5" t="str">
        <f ca="1">IF(P366&lt;&gt;"EXPEDIÇÃO","Expedido",IF(NETWORKDAYS(C366,TODAY())&gt;=5,"Risco Alto",IF(NETWORKDAYS(C366,TODAY())&gt;=3,IF(NETWORKDAYS(C366,TODAY())&lt;5,"Risco Médio",""),IF(NETWORKDAYS(C366,TODAY())&lt;=2,"Risco Baixo",""))))</f>
        <v>Expedido</v>
      </c>
      <c r="P366" s="5" t="s">
        <v>25</v>
      </c>
      <c r="Q366" s="5" t="s">
        <v>899</v>
      </c>
      <c r="S366" s="7">
        <f>IF(ISBLANK(M366),"Aguardando Previsão/Data",NETWORKDAYS(L366,M366)-1)</f>
        <v>3</v>
      </c>
      <c r="T366" s="5" t="s">
        <v>942</v>
      </c>
    </row>
    <row r="367" spans="1:20" x14ac:dyDescent="0.35">
      <c r="A367" s="5">
        <v>8100269120</v>
      </c>
      <c r="B367" s="5">
        <v>6995</v>
      </c>
      <c r="C367" s="6">
        <v>45659</v>
      </c>
      <c r="D367" s="5" t="s">
        <v>194</v>
      </c>
      <c r="E367" s="5" t="s">
        <v>195</v>
      </c>
      <c r="F367" s="5" t="s">
        <v>406</v>
      </c>
      <c r="G367" s="5" t="s">
        <v>407</v>
      </c>
      <c r="H367" s="5" t="s">
        <v>108</v>
      </c>
      <c r="I367" s="5" t="s">
        <v>1127</v>
      </c>
      <c r="J367" s="5" t="s">
        <v>735</v>
      </c>
      <c r="K367" s="5" t="s">
        <v>198</v>
      </c>
      <c r="L367" s="6">
        <v>45666</v>
      </c>
      <c r="M367" s="6">
        <v>45667</v>
      </c>
      <c r="N367" s="5" t="s">
        <v>812</v>
      </c>
      <c r="O367" s="5" t="str">
        <f ca="1">IF(P367&lt;&gt;"EXPEDIÇÃO","Expedido",IF(NETWORKDAYS(C367,TODAY())&gt;=5,"Risco Alto",IF(NETWORKDAYS(C367,TODAY())&gt;=3,IF(NETWORKDAYS(C367,TODAY())&lt;5,"Risco Médio",""),IF(NETWORKDAYS(C367,TODAY())&lt;=2,"Risco Baixo",""))))</f>
        <v>Expedido</v>
      </c>
      <c r="P367" s="5" t="s">
        <v>25</v>
      </c>
      <c r="Q367" s="5" t="s">
        <v>899</v>
      </c>
      <c r="S367" s="7">
        <f>IF(ISBLANK(M367),"Aguardando Previsão/Data",NETWORKDAYS(L367,M367)-1)</f>
        <v>1</v>
      </c>
      <c r="T367" s="5" t="s">
        <v>942</v>
      </c>
    </row>
    <row r="368" spans="1:20" x14ac:dyDescent="0.35">
      <c r="A368" s="5">
        <v>8100269121</v>
      </c>
      <c r="B368" s="5">
        <v>6999</v>
      </c>
      <c r="C368" s="6">
        <v>45659</v>
      </c>
      <c r="D368" s="5" t="s">
        <v>194</v>
      </c>
      <c r="E368" s="5" t="s">
        <v>195</v>
      </c>
      <c r="F368" s="5" t="s">
        <v>406</v>
      </c>
      <c r="G368" s="5" t="s">
        <v>407</v>
      </c>
      <c r="H368" s="5" t="s">
        <v>108</v>
      </c>
      <c r="I368" s="5" t="s">
        <v>1125</v>
      </c>
      <c r="J368" s="5" t="s">
        <v>735</v>
      </c>
      <c r="K368" s="5" t="s">
        <v>198</v>
      </c>
      <c r="L368" s="6">
        <v>45666</v>
      </c>
      <c r="M368" s="6">
        <v>45671</v>
      </c>
      <c r="N368" s="5" t="s">
        <v>812</v>
      </c>
      <c r="O368" s="5" t="str">
        <f ca="1">IF(P368&lt;&gt;"EXPEDIÇÃO","Expedido",IF(NETWORKDAYS(C368,TODAY())&gt;=5,"Risco Alto",IF(NETWORKDAYS(C368,TODAY())&gt;=3,IF(NETWORKDAYS(C368,TODAY())&lt;5,"Risco Médio",""),IF(NETWORKDAYS(C368,TODAY())&lt;=2,"Risco Baixo",""))))</f>
        <v>Expedido</v>
      </c>
      <c r="P368" s="5" t="s">
        <v>25</v>
      </c>
      <c r="Q368" s="5" t="s">
        <v>899</v>
      </c>
      <c r="S368" s="7">
        <f>IF(ISBLANK(M368),"Aguardando Previsão/Data",NETWORKDAYS(L368,M368)-1)</f>
        <v>3</v>
      </c>
      <c r="T368" s="5" t="s">
        <v>942</v>
      </c>
    </row>
    <row r="369" spans="1:20" x14ac:dyDescent="0.35">
      <c r="A369" s="5">
        <v>8100269122</v>
      </c>
      <c r="B369" s="5">
        <v>6974</v>
      </c>
      <c r="C369" s="6">
        <v>45659</v>
      </c>
      <c r="D369" s="5" t="s">
        <v>194</v>
      </c>
      <c r="E369" s="5" t="s">
        <v>195</v>
      </c>
      <c r="F369" s="5" t="s">
        <v>58</v>
      </c>
      <c r="G369" s="5" t="s">
        <v>59</v>
      </c>
      <c r="H369" s="5" t="s">
        <v>108</v>
      </c>
      <c r="I369" s="5" t="s">
        <v>514</v>
      </c>
      <c r="J369" s="5" t="s">
        <v>515</v>
      </c>
      <c r="K369" s="5" t="s">
        <v>198</v>
      </c>
      <c r="L369" s="6">
        <v>45666</v>
      </c>
      <c r="M369" s="6">
        <v>45667</v>
      </c>
      <c r="N369" s="5" t="s">
        <v>812</v>
      </c>
      <c r="O369" s="5" t="str">
        <f ca="1">IF(P369&lt;&gt;"EXPEDIÇÃO","Expedido",IF(NETWORKDAYS(C369,TODAY())&gt;=5,"Risco Alto",IF(NETWORKDAYS(C369,TODAY())&gt;=3,IF(NETWORKDAYS(C369,TODAY())&lt;5,"Risco Médio",""),IF(NETWORKDAYS(C369,TODAY())&lt;=2,"Risco Baixo",""))))</f>
        <v>Expedido</v>
      </c>
      <c r="P369" s="5" t="s">
        <v>25</v>
      </c>
      <c r="Q369" s="5" t="s">
        <v>1242</v>
      </c>
      <c r="S369" s="7">
        <f>IF(ISBLANK(M369),"Aguardando Previsão/Data",NETWORKDAYS(L369,M369)-1)</f>
        <v>1</v>
      </c>
      <c r="T369" s="5" t="s">
        <v>942</v>
      </c>
    </row>
    <row r="370" spans="1:20" x14ac:dyDescent="0.35">
      <c r="A370" s="5">
        <v>8100269123</v>
      </c>
      <c r="B370" s="5">
        <v>6975</v>
      </c>
      <c r="C370" s="6">
        <v>45659</v>
      </c>
      <c r="D370" s="5" t="s">
        <v>194</v>
      </c>
      <c r="E370" s="5" t="s">
        <v>195</v>
      </c>
      <c r="F370" s="5" t="s">
        <v>199</v>
      </c>
      <c r="G370" s="5" t="s">
        <v>200</v>
      </c>
      <c r="H370" s="5" t="s">
        <v>108</v>
      </c>
      <c r="I370" s="5" t="s">
        <v>331</v>
      </c>
      <c r="J370" s="5" t="s">
        <v>628</v>
      </c>
      <c r="K370" s="5" t="s">
        <v>198</v>
      </c>
      <c r="L370" s="6">
        <v>45667</v>
      </c>
      <c r="M370" s="6">
        <v>45670</v>
      </c>
      <c r="N370" s="5"/>
      <c r="O370" s="5" t="str">
        <f ca="1">IF(P370&lt;&gt;"EXPEDIÇÃO","Expedido",IF(NETWORKDAYS(C370,TODAY())&gt;=5,"Risco Alto",IF(NETWORKDAYS(C370,TODAY())&gt;=3,IF(NETWORKDAYS(C370,TODAY())&lt;5,"Risco Médio",""),IF(NETWORKDAYS(C370,TODAY())&lt;=2,"Risco Baixo",""))))</f>
        <v>Expedido</v>
      </c>
      <c r="P370" s="5" t="s">
        <v>629</v>
      </c>
      <c r="Q370" s="5" t="s">
        <v>1309</v>
      </c>
      <c r="S370" s="7">
        <f>IF(ISBLANK(M370),"Aguardando Previsão/Data",NETWORKDAYS(L370,M370)-1)</f>
        <v>1</v>
      </c>
      <c r="T370" s="5" t="s">
        <v>942</v>
      </c>
    </row>
    <row r="371" spans="1:20" x14ac:dyDescent="0.35">
      <c r="A371" s="5">
        <v>8100269124</v>
      </c>
      <c r="B371" s="5">
        <v>6962</v>
      </c>
      <c r="C371" s="6">
        <v>45659</v>
      </c>
      <c r="D371" s="5" t="s">
        <v>194</v>
      </c>
      <c r="E371" s="5" t="s">
        <v>195</v>
      </c>
      <c r="F371" s="5" t="s">
        <v>199</v>
      </c>
      <c r="G371" s="5" t="s">
        <v>200</v>
      </c>
      <c r="H371" s="5" t="s">
        <v>108</v>
      </c>
      <c r="I371" s="5" t="s">
        <v>409</v>
      </c>
      <c r="J371" s="5" t="s">
        <v>717</v>
      </c>
      <c r="K371" s="5" t="s">
        <v>207</v>
      </c>
      <c r="L371" s="6">
        <v>45670</v>
      </c>
      <c r="M371" s="6">
        <v>45666</v>
      </c>
      <c r="N371" s="5" t="s">
        <v>811</v>
      </c>
      <c r="O371" s="5" t="str">
        <f ca="1">IF(P371&lt;&gt;"EXPEDIÇÃO","Expedido",IF(NETWORKDAYS(C371,TODAY())&gt;=5,"Risco Alto",IF(NETWORKDAYS(C371,TODAY())&gt;=3,IF(NETWORKDAYS(C371,TODAY())&lt;5,"Risco Médio",""),IF(NETWORKDAYS(C371,TODAY())&lt;=2,"Risco Baixo",""))))</f>
        <v>Expedido</v>
      </c>
      <c r="P371" s="5" t="s">
        <v>25</v>
      </c>
      <c r="Q371" s="5" t="s">
        <v>899</v>
      </c>
      <c r="S371" s="7">
        <f>IF(ISBLANK(M371),"Aguardando Previsão/Data",NETWORKDAYS(L371,M371)-1)</f>
        <v>-4</v>
      </c>
      <c r="T371" s="5" t="s">
        <v>942</v>
      </c>
    </row>
    <row r="372" spans="1:20" x14ac:dyDescent="0.35">
      <c r="A372" s="5">
        <v>8100269125</v>
      </c>
      <c r="B372" s="5">
        <v>6967</v>
      </c>
      <c r="C372" s="6">
        <v>45659</v>
      </c>
      <c r="D372" s="5" t="s">
        <v>194</v>
      </c>
      <c r="E372" s="5" t="s">
        <v>195</v>
      </c>
      <c r="F372" s="5" t="s">
        <v>58</v>
      </c>
      <c r="G372" s="5" t="s">
        <v>59</v>
      </c>
      <c r="H372" s="5" t="s">
        <v>108</v>
      </c>
      <c r="I372" s="5" t="s">
        <v>209</v>
      </c>
      <c r="J372" s="5" t="s">
        <v>210</v>
      </c>
      <c r="K372" s="5" t="s">
        <v>198</v>
      </c>
      <c r="L372" s="6">
        <v>45666</v>
      </c>
      <c r="M372" s="6">
        <v>45664</v>
      </c>
      <c r="N372" s="5" t="s">
        <v>811</v>
      </c>
      <c r="O372" s="5" t="str">
        <f ca="1">IF(P372&lt;&gt;"EXPEDIÇÃO","Expedido",IF(NETWORKDAYS(C372,TODAY())&gt;=5,"Risco Alto",IF(NETWORKDAYS(C372,TODAY())&gt;=3,IF(NETWORKDAYS(C372,TODAY())&lt;5,"Risco Médio",""),IF(NETWORKDAYS(C372,TODAY())&lt;=2,"Risco Baixo",""))))</f>
        <v>Expedido</v>
      </c>
      <c r="P372" s="5" t="s">
        <v>25</v>
      </c>
      <c r="Q372" s="5" t="s">
        <v>899</v>
      </c>
      <c r="S372" s="7">
        <f>IF(ISBLANK(M372),"Aguardando Previsão/Data",NETWORKDAYS(L372,M372)-1)</f>
        <v>-4</v>
      </c>
      <c r="T372" s="5" t="s">
        <v>942</v>
      </c>
    </row>
    <row r="373" spans="1:20" x14ac:dyDescent="0.35">
      <c r="A373" s="5">
        <v>8100269364</v>
      </c>
      <c r="B373" s="5">
        <v>6991</v>
      </c>
      <c r="C373" s="6">
        <v>45659</v>
      </c>
      <c r="D373" s="5" t="s">
        <v>194</v>
      </c>
      <c r="E373" s="5" t="s">
        <v>195</v>
      </c>
      <c r="F373" s="5" t="s">
        <v>406</v>
      </c>
      <c r="G373" s="5" t="s">
        <v>407</v>
      </c>
      <c r="H373" s="5" t="s">
        <v>108</v>
      </c>
      <c r="I373" s="5" t="s">
        <v>532</v>
      </c>
      <c r="J373" s="5" t="s">
        <v>336</v>
      </c>
      <c r="K373" s="5" t="s">
        <v>198</v>
      </c>
      <c r="L373" s="6">
        <v>45666</v>
      </c>
      <c r="M373" s="6">
        <v>45670</v>
      </c>
      <c r="N373" s="5" t="s">
        <v>812</v>
      </c>
      <c r="O373" s="5" t="str">
        <f ca="1">IF(P373&lt;&gt;"EXPEDIÇÃO","Expedido",IF(NETWORKDAYS(C373,TODAY())&gt;=5,"Risco Alto",IF(NETWORKDAYS(C373,TODAY())&gt;=3,IF(NETWORKDAYS(C373,TODAY())&lt;5,"Risco Médio",""),IF(NETWORKDAYS(C373,TODAY())&lt;=2,"Risco Baixo",""))))</f>
        <v>Expedido</v>
      </c>
      <c r="P373" s="5" t="s">
        <v>25</v>
      </c>
      <c r="Q373" s="5" t="s">
        <v>899</v>
      </c>
      <c r="S373" s="7">
        <f>IF(ISBLANK(M373),"Aguardando Previsão/Data",NETWORKDAYS(L373,M373)-1)</f>
        <v>2</v>
      </c>
      <c r="T373" s="5" t="s">
        <v>942</v>
      </c>
    </row>
    <row r="374" spans="1:20" x14ac:dyDescent="0.35">
      <c r="A374" s="5">
        <v>8100269633</v>
      </c>
      <c r="B374" s="5">
        <v>6979</v>
      </c>
      <c r="C374" s="6">
        <v>45659</v>
      </c>
      <c r="D374" s="5" t="s">
        <v>194</v>
      </c>
      <c r="E374" s="5" t="s">
        <v>195</v>
      </c>
      <c r="F374" s="5" t="s">
        <v>69</v>
      </c>
      <c r="G374" s="5" t="s">
        <v>70</v>
      </c>
      <c r="H374" s="5" t="s">
        <v>108</v>
      </c>
      <c r="I374" s="5" t="s">
        <v>311</v>
      </c>
      <c r="J374" s="5" t="s">
        <v>202</v>
      </c>
      <c r="K374" s="5" t="s">
        <v>198</v>
      </c>
      <c r="L374" s="6">
        <v>45666</v>
      </c>
      <c r="M374" s="6">
        <v>45666</v>
      </c>
      <c r="N374" s="5" t="s">
        <v>811</v>
      </c>
      <c r="O374" s="5" t="str">
        <f ca="1">IF(P374&lt;&gt;"EXPEDIÇÃO","Expedido",IF(NETWORKDAYS(C374,TODAY())&gt;=5,"Risco Alto",IF(NETWORKDAYS(C374,TODAY())&gt;=3,IF(NETWORKDAYS(C374,TODAY())&lt;5,"Risco Médio",""),IF(NETWORKDAYS(C374,TODAY())&lt;=2,"Risco Baixo",""))))</f>
        <v>Expedido</v>
      </c>
      <c r="P374" s="5" t="s">
        <v>25</v>
      </c>
      <c r="Q374" s="5" t="s">
        <v>1243</v>
      </c>
      <c r="S374" s="7">
        <f>IF(ISBLANK(M374),"Aguardando Previsão/Data",NETWORKDAYS(L374,M374)-1)</f>
        <v>0</v>
      </c>
      <c r="T374" s="5" t="s">
        <v>942</v>
      </c>
    </row>
    <row r="375" spans="1:20" x14ac:dyDescent="0.35">
      <c r="A375" s="5">
        <v>8100269635</v>
      </c>
      <c r="B375" s="5">
        <v>6986</v>
      </c>
      <c r="C375" s="6">
        <v>45659</v>
      </c>
      <c r="D375" s="5" t="s">
        <v>194</v>
      </c>
      <c r="E375" s="5" t="s">
        <v>195</v>
      </c>
      <c r="F375" s="5" t="s">
        <v>69</v>
      </c>
      <c r="G375" s="5" t="s">
        <v>70</v>
      </c>
      <c r="H375" s="5" t="s">
        <v>108</v>
      </c>
      <c r="I375" s="5" t="s">
        <v>509</v>
      </c>
      <c r="J375" s="5" t="s">
        <v>291</v>
      </c>
      <c r="K375" s="5" t="s">
        <v>198</v>
      </c>
      <c r="L375" s="6">
        <v>45666</v>
      </c>
      <c r="M375" s="6">
        <v>45663</v>
      </c>
      <c r="N375" s="5" t="s">
        <v>811</v>
      </c>
      <c r="O375" s="5" t="str">
        <f ca="1">IF(P375&lt;&gt;"EXPEDIÇÃO","Expedido",IF(NETWORKDAYS(C375,TODAY())&gt;=5,"Risco Alto",IF(NETWORKDAYS(C375,TODAY())&gt;=3,IF(NETWORKDAYS(C375,TODAY())&lt;5,"Risco Médio",""),IF(NETWORKDAYS(C375,TODAY())&lt;=2,"Risco Baixo",""))))</f>
        <v>Expedido</v>
      </c>
      <c r="P375" s="5" t="s">
        <v>25</v>
      </c>
      <c r="S375" s="7">
        <f>IF(ISBLANK(M375),"Aguardando Previsão/Data",NETWORKDAYS(L375,M375)-1)</f>
        <v>-5</v>
      </c>
      <c r="T375" s="5" t="s">
        <v>942</v>
      </c>
    </row>
    <row r="376" spans="1:20" x14ac:dyDescent="0.35">
      <c r="A376" s="5">
        <v>8100269380</v>
      </c>
      <c r="B376" s="5">
        <v>14200</v>
      </c>
      <c r="C376" s="6">
        <v>45659</v>
      </c>
      <c r="D376" s="5" t="s">
        <v>211</v>
      </c>
      <c r="E376" s="5" t="s">
        <v>212</v>
      </c>
      <c r="F376" s="5" t="s">
        <v>171</v>
      </c>
      <c r="G376" s="5" t="s">
        <v>172</v>
      </c>
      <c r="H376" s="5" t="s">
        <v>108</v>
      </c>
      <c r="I376" s="5" t="s">
        <v>478</v>
      </c>
      <c r="J376" s="5" t="s">
        <v>479</v>
      </c>
      <c r="K376" s="5" t="s">
        <v>170</v>
      </c>
      <c r="L376" s="6">
        <v>45671</v>
      </c>
      <c r="M376" s="6">
        <v>45671</v>
      </c>
      <c r="N376" s="5" t="s">
        <v>811</v>
      </c>
      <c r="O376" s="5" t="str">
        <f ca="1">IF(P376&lt;&gt;"EXPEDIÇÃO","Expedido",IF(NETWORKDAYS(C376,TODAY())&gt;=5,"Risco Alto",IF(NETWORKDAYS(C376,TODAY())&gt;=3,IF(NETWORKDAYS(C376,TODAY())&lt;5,"Risco Médio",""),IF(NETWORKDAYS(C376,TODAY())&lt;=2,"Risco Baixo",""))))</f>
        <v>Expedido</v>
      </c>
      <c r="P376" s="5" t="s">
        <v>25</v>
      </c>
      <c r="S376" s="7">
        <f>IF(ISBLANK(M376),"Aguardando Previsão/Data",NETWORKDAYS(L376,M376)-1)</f>
        <v>0</v>
      </c>
      <c r="T376" s="5" t="s">
        <v>942</v>
      </c>
    </row>
    <row r="377" spans="1:20" x14ac:dyDescent="0.35">
      <c r="A377" s="5">
        <v>8100269381</v>
      </c>
      <c r="B377" s="5">
        <v>14197</v>
      </c>
      <c r="C377" s="6">
        <v>45659</v>
      </c>
      <c r="D377" s="5" t="s">
        <v>211</v>
      </c>
      <c r="E377" s="5" t="s">
        <v>212</v>
      </c>
      <c r="F377" s="5" t="s">
        <v>171</v>
      </c>
      <c r="G377" s="5" t="s">
        <v>172</v>
      </c>
      <c r="H377" s="5" t="s">
        <v>108</v>
      </c>
      <c r="I377" s="5" t="s">
        <v>216</v>
      </c>
      <c r="J377" s="5" t="s">
        <v>217</v>
      </c>
      <c r="K377" s="5" t="s">
        <v>170</v>
      </c>
      <c r="L377" s="6">
        <v>45671</v>
      </c>
      <c r="M377" s="6">
        <v>45675</v>
      </c>
      <c r="N377" s="5" t="s">
        <v>812</v>
      </c>
      <c r="O377" s="5" t="str">
        <f ca="1">IF(P377&lt;&gt;"EXPEDIÇÃO","Expedido",IF(NETWORKDAYS(C377,TODAY())&gt;=5,"Risco Alto",IF(NETWORKDAYS(C377,TODAY())&gt;=3,IF(NETWORKDAYS(C377,TODAY())&lt;5,"Risco Médio",""),IF(NETWORKDAYS(C377,TODAY())&lt;=2,"Risco Baixo",""))))</f>
        <v>Expedido</v>
      </c>
      <c r="P377" s="5" t="s">
        <v>25</v>
      </c>
      <c r="Q377" s="5" t="s">
        <v>899</v>
      </c>
      <c r="S377" s="7">
        <f>IF(ISBLANK(M377),"Aguardando Previsão/Data",NETWORKDAYS(L377,M377)-1)</f>
        <v>3</v>
      </c>
      <c r="T377" s="5" t="s">
        <v>942</v>
      </c>
    </row>
    <row r="378" spans="1:20" x14ac:dyDescent="0.35">
      <c r="A378" s="5">
        <v>8100269382</v>
      </c>
      <c r="B378" s="5">
        <v>14193</v>
      </c>
      <c r="C378" s="6">
        <v>45659</v>
      </c>
      <c r="D378" s="5" t="s">
        <v>211</v>
      </c>
      <c r="E378" s="5" t="s">
        <v>212</v>
      </c>
      <c r="F378" s="5" t="s">
        <v>58</v>
      </c>
      <c r="G378" s="5" t="s">
        <v>59</v>
      </c>
      <c r="H378" s="5" t="s">
        <v>108</v>
      </c>
      <c r="I378" s="5" t="s">
        <v>1137</v>
      </c>
      <c r="J378" s="5" t="s">
        <v>1138</v>
      </c>
      <c r="K378" s="5" t="s">
        <v>156</v>
      </c>
      <c r="L378" s="6">
        <v>45670</v>
      </c>
      <c r="M378" s="6">
        <v>45672</v>
      </c>
      <c r="N378" s="5" t="s">
        <v>812</v>
      </c>
      <c r="O378" s="5" t="str">
        <f ca="1">IF(P378&lt;&gt;"EXPEDIÇÃO","Expedido",IF(NETWORKDAYS(C378,TODAY())&gt;=5,"Risco Alto",IF(NETWORKDAYS(C378,TODAY())&gt;=3,IF(NETWORKDAYS(C378,TODAY())&lt;5,"Risco Médio",""),IF(NETWORKDAYS(C378,TODAY())&lt;=2,"Risco Baixo",""))))</f>
        <v>Expedido</v>
      </c>
      <c r="P378" s="5" t="s">
        <v>25</v>
      </c>
      <c r="Q378" s="5" t="s">
        <v>899</v>
      </c>
      <c r="S378" s="7">
        <f>IF(ISBLANK(M378),"Aguardando Previsão/Data",NETWORKDAYS(L378,M378)-1)</f>
        <v>2</v>
      </c>
      <c r="T378" s="5" t="s">
        <v>942</v>
      </c>
    </row>
    <row r="379" spans="1:20" x14ac:dyDescent="0.35">
      <c r="A379" s="5">
        <v>8100269383</v>
      </c>
      <c r="B379" s="5">
        <v>14191</v>
      </c>
      <c r="C379" s="6">
        <v>45659</v>
      </c>
      <c r="D379" s="5" t="s">
        <v>211</v>
      </c>
      <c r="E379" s="5" t="s">
        <v>212</v>
      </c>
      <c r="F379" s="5" t="s">
        <v>58</v>
      </c>
      <c r="G379" s="5" t="s">
        <v>59</v>
      </c>
      <c r="H379" s="5" t="s">
        <v>108</v>
      </c>
      <c r="I379" s="5" t="s">
        <v>1139</v>
      </c>
      <c r="J379" s="5" t="s">
        <v>1140</v>
      </c>
      <c r="K379" s="5" t="s">
        <v>119</v>
      </c>
      <c r="L379" s="6">
        <v>45666</v>
      </c>
      <c r="M379" s="6">
        <v>45660</v>
      </c>
      <c r="N379" s="5" t="s">
        <v>811</v>
      </c>
      <c r="O379" s="5" t="str">
        <f ca="1">IF(P379&lt;&gt;"EXPEDIÇÃO","Expedido",IF(NETWORKDAYS(C379,TODAY())&gt;=5,"Risco Alto",IF(NETWORKDAYS(C379,TODAY())&gt;=3,IF(NETWORKDAYS(C379,TODAY())&lt;5,"Risco Médio",""),IF(NETWORKDAYS(C379,TODAY())&lt;=2,"Risco Baixo",""))))</f>
        <v>Expedido</v>
      </c>
      <c r="P379" s="5" t="s">
        <v>25</v>
      </c>
      <c r="S379" s="7">
        <f>IF(ISBLANK(M379),"Aguardando Previsão/Data",NETWORKDAYS(L379,M379)-1)</f>
        <v>-6</v>
      </c>
      <c r="T379" s="5" t="s">
        <v>942</v>
      </c>
    </row>
    <row r="380" spans="1:20" x14ac:dyDescent="0.35">
      <c r="A380" s="5">
        <v>8100269384</v>
      </c>
      <c r="B380" s="5">
        <v>14190</v>
      </c>
      <c r="C380" s="6">
        <v>45659</v>
      </c>
      <c r="D380" s="5" t="s">
        <v>211</v>
      </c>
      <c r="E380" s="5" t="s">
        <v>212</v>
      </c>
      <c r="F380" s="5" t="s">
        <v>58</v>
      </c>
      <c r="G380" s="5" t="s">
        <v>59</v>
      </c>
      <c r="H380" s="5" t="s">
        <v>108</v>
      </c>
      <c r="I380" s="5" t="s">
        <v>1141</v>
      </c>
      <c r="J380" s="5" t="s">
        <v>1142</v>
      </c>
      <c r="K380" s="5" t="s">
        <v>119</v>
      </c>
      <c r="L380" s="6">
        <v>45666</v>
      </c>
      <c r="M380" s="6">
        <v>45663</v>
      </c>
      <c r="N380" s="5" t="s">
        <v>811</v>
      </c>
      <c r="O380" s="5" t="str">
        <f ca="1">IF(P380&lt;&gt;"EXPEDIÇÃO","Expedido",IF(NETWORKDAYS(C380,TODAY())&gt;=5,"Risco Alto",IF(NETWORKDAYS(C380,TODAY())&gt;=3,IF(NETWORKDAYS(C380,TODAY())&lt;5,"Risco Médio",""),IF(NETWORKDAYS(C380,TODAY())&lt;=2,"Risco Baixo",""))))</f>
        <v>Expedido</v>
      </c>
      <c r="P380" s="5" t="s">
        <v>25</v>
      </c>
      <c r="S380" s="7">
        <f>IF(ISBLANK(M380),"Aguardando Previsão/Data",NETWORKDAYS(L380,M380)-1)</f>
        <v>-5</v>
      </c>
      <c r="T380" s="5" t="s">
        <v>942</v>
      </c>
    </row>
    <row r="381" spans="1:20" x14ac:dyDescent="0.35">
      <c r="A381" s="5">
        <v>8100269385</v>
      </c>
      <c r="B381" s="5">
        <v>14201</v>
      </c>
      <c r="C381" s="6">
        <v>45659</v>
      </c>
      <c r="D381" s="5" t="s">
        <v>211</v>
      </c>
      <c r="E381" s="5" t="s">
        <v>212</v>
      </c>
      <c r="F381" s="5" t="s">
        <v>136</v>
      </c>
      <c r="G381" s="5" t="s">
        <v>137</v>
      </c>
      <c r="H381" s="5" t="s">
        <v>108</v>
      </c>
      <c r="I381" s="5" t="s">
        <v>680</v>
      </c>
      <c r="J381" s="5" t="s">
        <v>681</v>
      </c>
      <c r="K381" s="5" t="s">
        <v>170</v>
      </c>
      <c r="L381" s="6">
        <v>45671</v>
      </c>
      <c r="M381" s="6">
        <v>45672</v>
      </c>
      <c r="N381" s="5" t="s">
        <v>812</v>
      </c>
      <c r="O381" s="5" t="str">
        <f ca="1">IF(P381&lt;&gt;"EXPEDIÇÃO","Expedido",IF(NETWORKDAYS(C381,TODAY())&gt;=5,"Risco Alto",IF(NETWORKDAYS(C381,TODAY())&gt;=3,IF(NETWORKDAYS(C381,TODAY())&lt;5,"Risco Médio",""),IF(NETWORKDAYS(C381,TODAY())&lt;=2,"Risco Baixo",""))))</f>
        <v>Expedido</v>
      </c>
      <c r="P381" s="5" t="s">
        <v>25</v>
      </c>
      <c r="Q381" s="5" t="s">
        <v>1420</v>
      </c>
      <c r="R381" s="14" t="s">
        <v>1421</v>
      </c>
      <c r="S381" s="7">
        <f>IF(ISBLANK(M381),"Aguardando Previsão/Data",NETWORKDAYS(L381,M381)-1)</f>
        <v>1</v>
      </c>
      <c r="T381" s="5" t="s">
        <v>942</v>
      </c>
    </row>
    <row r="382" spans="1:20" x14ac:dyDescent="0.35">
      <c r="A382" s="5">
        <v>8100269386</v>
      </c>
      <c r="B382" s="5">
        <v>14199</v>
      </c>
      <c r="C382" s="6">
        <v>45659</v>
      </c>
      <c r="D382" s="5" t="s">
        <v>211</v>
      </c>
      <c r="E382" s="5" t="s">
        <v>212</v>
      </c>
      <c r="F382" s="5" t="s">
        <v>167</v>
      </c>
      <c r="G382" s="5" t="s">
        <v>168</v>
      </c>
      <c r="H382" s="5" t="s">
        <v>108</v>
      </c>
      <c r="I382" s="5" t="s">
        <v>888</v>
      </c>
      <c r="J382" s="5" t="s">
        <v>889</v>
      </c>
      <c r="K382" s="5" t="s">
        <v>170</v>
      </c>
      <c r="L382" s="6">
        <v>45667</v>
      </c>
      <c r="M382" s="6">
        <v>45672</v>
      </c>
      <c r="N382" s="5" t="s">
        <v>812</v>
      </c>
      <c r="O382" s="5" t="str">
        <f ca="1">IF(P382&lt;&gt;"EXPEDIÇÃO","Expedido",IF(NETWORKDAYS(C382,TODAY())&gt;=5,"Risco Alto",IF(NETWORKDAYS(C382,TODAY())&gt;=3,IF(NETWORKDAYS(C382,TODAY())&lt;5,"Risco Médio",""),IF(NETWORKDAYS(C382,TODAY())&lt;=2,"Risco Baixo",""))))</f>
        <v>Expedido</v>
      </c>
      <c r="P382" s="5" t="s">
        <v>25</v>
      </c>
      <c r="Q382" s="5" t="s">
        <v>897</v>
      </c>
      <c r="R382" s="5" t="s">
        <v>1422</v>
      </c>
      <c r="S382" s="7">
        <f>IF(ISBLANK(M382),"Aguardando Previsão/Data",NETWORKDAYS(L382,M382)-1)</f>
        <v>3</v>
      </c>
      <c r="T382" s="5" t="s">
        <v>942</v>
      </c>
    </row>
    <row r="383" spans="1:20" x14ac:dyDescent="0.35">
      <c r="A383" s="5">
        <v>8100269612</v>
      </c>
      <c r="B383" s="5">
        <v>14189</v>
      </c>
      <c r="C383" s="6">
        <v>45659</v>
      </c>
      <c r="D383" s="5" t="s">
        <v>211</v>
      </c>
      <c r="E383" s="5" t="s">
        <v>212</v>
      </c>
      <c r="F383" s="5" t="s">
        <v>58</v>
      </c>
      <c r="G383" s="5" t="s">
        <v>59</v>
      </c>
      <c r="H383" s="5" t="s">
        <v>108</v>
      </c>
      <c r="I383" s="5" t="s">
        <v>312</v>
      </c>
      <c r="J383" s="5" t="s">
        <v>313</v>
      </c>
      <c r="K383" s="5" t="s">
        <v>119</v>
      </c>
      <c r="L383" s="6">
        <v>45666</v>
      </c>
      <c r="M383" s="6">
        <v>45664</v>
      </c>
      <c r="N383" s="5" t="s">
        <v>811</v>
      </c>
      <c r="O383" s="5" t="str">
        <f ca="1">IF(P383&lt;&gt;"EXPEDIÇÃO","Expedido",IF(NETWORKDAYS(C383,TODAY())&gt;=5,"Risco Alto",IF(NETWORKDAYS(C383,TODAY())&gt;=3,IF(NETWORKDAYS(C383,TODAY())&lt;5,"Risco Médio",""),IF(NETWORKDAYS(C383,TODAY())&lt;=2,"Risco Baixo",""))))</f>
        <v>Expedido</v>
      </c>
      <c r="P383" s="5" t="s">
        <v>25</v>
      </c>
      <c r="S383" s="7">
        <f>IF(ISBLANK(M383),"Aguardando Previsão/Data",NETWORKDAYS(L383,M383)-1)</f>
        <v>-4</v>
      </c>
      <c r="T383" s="5" t="s">
        <v>942</v>
      </c>
    </row>
    <row r="384" spans="1:20" x14ac:dyDescent="0.35">
      <c r="A384" s="5">
        <v>8100269613</v>
      </c>
      <c r="B384" s="5">
        <v>14195</v>
      </c>
      <c r="C384" s="6">
        <v>45659</v>
      </c>
      <c r="D384" s="5" t="s">
        <v>211</v>
      </c>
      <c r="E384" s="5" t="s">
        <v>212</v>
      </c>
      <c r="F384" s="5" t="s">
        <v>66</v>
      </c>
      <c r="G384" s="5" t="s">
        <v>67</v>
      </c>
      <c r="H384" s="5" t="s">
        <v>108</v>
      </c>
      <c r="I384" s="5" t="s">
        <v>154</v>
      </c>
      <c r="J384" s="5" t="s">
        <v>155</v>
      </c>
      <c r="K384" s="5" t="s">
        <v>156</v>
      </c>
      <c r="L384" s="6">
        <v>45670</v>
      </c>
      <c r="M384" s="6">
        <v>45670</v>
      </c>
      <c r="N384" s="5" t="s">
        <v>811</v>
      </c>
      <c r="O384" s="5" t="str">
        <f ca="1">IF(P384&lt;&gt;"EXPEDIÇÃO","Expedido",IF(NETWORKDAYS(C384,TODAY())&gt;=5,"Risco Alto",IF(NETWORKDAYS(C384,TODAY())&gt;=3,IF(NETWORKDAYS(C384,TODAY())&lt;5,"Risco Médio",""),IF(NETWORKDAYS(C384,TODAY())&lt;=2,"Risco Baixo",""))))</f>
        <v>Expedido</v>
      </c>
      <c r="P384" s="5" t="s">
        <v>25</v>
      </c>
      <c r="S384" s="7">
        <f>IF(ISBLANK(M384),"Aguardando Previsão/Data",NETWORKDAYS(L384,M384)-1)</f>
        <v>0</v>
      </c>
      <c r="T384" s="5" t="s">
        <v>942</v>
      </c>
    </row>
    <row r="385" spans="1:20" x14ac:dyDescent="0.35">
      <c r="A385" s="5">
        <v>8100269614</v>
      </c>
      <c r="B385" s="5">
        <v>14196</v>
      </c>
      <c r="C385" s="6">
        <v>45659</v>
      </c>
      <c r="D385" s="5" t="s">
        <v>211</v>
      </c>
      <c r="E385" s="5" t="s">
        <v>212</v>
      </c>
      <c r="F385" s="5" t="s">
        <v>66</v>
      </c>
      <c r="G385" s="5" t="s">
        <v>67</v>
      </c>
      <c r="H385" s="5" t="s">
        <v>108</v>
      </c>
      <c r="I385" s="5" t="s">
        <v>154</v>
      </c>
      <c r="J385" s="5" t="s">
        <v>155</v>
      </c>
      <c r="K385" s="5" t="s">
        <v>156</v>
      </c>
      <c r="L385" s="6">
        <v>45670</v>
      </c>
      <c r="M385" s="6">
        <v>45670</v>
      </c>
      <c r="N385" s="5" t="s">
        <v>811</v>
      </c>
      <c r="O385" s="5" t="str">
        <f ca="1">IF(P385&lt;&gt;"EXPEDIÇÃO","Expedido",IF(NETWORKDAYS(C385,TODAY())&gt;=5,"Risco Alto",IF(NETWORKDAYS(C385,TODAY())&gt;=3,IF(NETWORKDAYS(C385,TODAY())&lt;5,"Risco Médio",""),IF(NETWORKDAYS(C385,TODAY())&lt;=2,"Risco Baixo",""))))</f>
        <v>Expedido</v>
      </c>
      <c r="P385" s="5" t="s">
        <v>25</v>
      </c>
      <c r="S385" s="7">
        <f>IF(ISBLANK(M385),"Aguardando Previsão/Data",NETWORKDAYS(L385,M385)-1)</f>
        <v>0</v>
      </c>
      <c r="T385" s="5" t="s">
        <v>942</v>
      </c>
    </row>
    <row r="386" spans="1:20" x14ac:dyDescent="0.35">
      <c r="A386" s="5">
        <v>8100269615</v>
      </c>
      <c r="B386" s="5">
        <v>14198</v>
      </c>
      <c r="C386" s="6">
        <v>45659</v>
      </c>
      <c r="D386" s="5" t="s">
        <v>211</v>
      </c>
      <c r="E386" s="5" t="s">
        <v>212</v>
      </c>
      <c r="F386" s="5" t="s">
        <v>171</v>
      </c>
      <c r="G386" s="5" t="s">
        <v>172</v>
      </c>
      <c r="H386" s="5" t="s">
        <v>108</v>
      </c>
      <c r="I386" s="5" t="s">
        <v>216</v>
      </c>
      <c r="J386" s="5" t="s">
        <v>217</v>
      </c>
      <c r="K386" s="5" t="s">
        <v>170</v>
      </c>
      <c r="L386" s="6">
        <v>45671</v>
      </c>
      <c r="M386" s="6">
        <v>45675</v>
      </c>
      <c r="N386" s="5" t="s">
        <v>812</v>
      </c>
      <c r="O386" s="5" t="str">
        <f ca="1">IF(P386&lt;&gt;"EXPEDIÇÃO","Expedido",IF(NETWORKDAYS(C386,TODAY())&gt;=5,"Risco Alto",IF(NETWORKDAYS(C386,TODAY())&gt;=3,IF(NETWORKDAYS(C386,TODAY())&lt;5,"Risco Médio",""),IF(NETWORKDAYS(C386,TODAY())&lt;=2,"Risco Baixo",""))))</f>
        <v>Expedido</v>
      </c>
      <c r="P386" s="5" t="s">
        <v>25</v>
      </c>
      <c r="Q386" s="5" t="s">
        <v>899</v>
      </c>
      <c r="S386" s="7">
        <f>IF(ISBLANK(M386),"Aguardando Previsão/Data",NETWORKDAYS(L386,M386)-1)</f>
        <v>3</v>
      </c>
      <c r="T386" s="5" t="s">
        <v>942</v>
      </c>
    </row>
    <row r="387" spans="1:20" x14ac:dyDescent="0.35">
      <c r="A387" s="5">
        <v>8100269616</v>
      </c>
      <c r="B387" s="5">
        <v>14192</v>
      </c>
      <c r="C387" s="6">
        <v>45659</v>
      </c>
      <c r="D387" s="5" t="s">
        <v>211</v>
      </c>
      <c r="E387" s="5" t="s">
        <v>212</v>
      </c>
      <c r="F387" s="5" t="s">
        <v>58</v>
      </c>
      <c r="G387" s="5" t="s">
        <v>59</v>
      </c>
      <c r="H387" s="5" t="s">
        <v>108</v>
      </c>
      <c r="I387" s="5" t="s">
        <v>213</v>
      </c>
      <c r="J387" s="5" t="s">
        <v>214</v>
      </c>
      <c r="K387" s="5" t="s">
        <v>119</v>
      </c>
      <c r="L387" s="6">
        <v>45665</v>
      </c>
      <c r="M387" s="6">
        <v>45663</v>
      </c>
      <c r="N387" s="5" t="s">
        <v>811</v>
      </c>
      <c r="O387" s="5" t="str">
        <f ca="1">IF(P387&lt;&gt;"EXPEDIÇÃO","Expedido",IF(NETWORKDAYS(C387,TODAY())&gt;=5,"Risco Alto",IF(NETWORKDAYS(C387,TODAY())&gt;=3,IF(NETWORKDAYS(C387,TODAY())&lt;5,"Risco Médio",""),IF(NETWORKDAYS(C387,TODAY())&lt;=2,"Risco Baixo",""))))</f>
        <v>Expedido</v>
      </c>
      <c r="P387" s="5" t="s">
        <v>25</v>
      </c>
      <c r="S387" s="7">
        <f>IF(ISBLANK(M387),"Aguardando Previsão/Data",NETWORKDAYS(L387,M387)-1)</f>
        <v>-4</v>
      </c>
      <c r="T387" s="5" t="s">
        <v>942</v>
      </c>
    </row>
    <row r="388" spans="1:20" x14ac:dyDescent="0.35">
      <c r="A388" s="5">
        <v>8100269617</v>
      </c>
      <c r="B388" s="5">
        <v>14194</v>
      </c>
      <c r="C388" s="6">
        <v>45659</v>
      </c>
      <c r="D388" s="5" t="s">
        <v>211</v>
      </c>
      <c r="E388" s="5" t="s">
        <v>212</v>
      </c>
      <c r="F388" s="5" t="s">
        <v>58</v>
      </c>
      <c r="G388" s="5" t="s">
        <v>59</v>
      </c>
      <c r="H388" s="5" t="s">
        <v>108</v>
      </c>
      <c r="I388" s="5" t="s">
        <v>1137</v>
      </c>
      <c r="J388" s="5" t="s">
        <v>1138</v>
      </c>
      <c r="K388" s="5" t="s">
        <v>156</v>
      </c>
      <c r="L388" s="6">
        <v>45670</v>
      </c>
      <c r="M388" s="6">
        <v>45672</v>
      </c>
      <c r="N388" s="5" t="s">
        <v>812</v>
      </c>
      <c r="O388" s="5" t="str">
        <f ca="1">IF(P388&lt;&gt;"EXPEDIÇÃO","Expedido",IF(NETWORKDAYS(C388,TODAY())&gt;=5,"Risco Alto",IF(NETWORKDAYS(C388,TODAY())&gt;=3,IF(NETWORKDAYS(C388,TODAY())&lt;5,"Risco Médio",""),IF(NETWORKDAYS(C388,TODAY())&lt;=2,"Risco Baixo",""))))</f>
        <v>Expedido</v>
      </c>
      <c r="P388" s="5" t="s">
        <v>25</v>
      </c>
      <c r="Q388" s="5" t="s">
        <v>899</v>
      </c>
      <c r="S388" s="7">
        <f>IF(ISBLANK(M388),"Aguardando Previsão/Data",NETWORKDAYS(L388,M388)-1)</f>
        <v>2</v>
      </c>
      <c r="T388" s="5" t="s">
        <v>942</v>
      </c>
    </row>
    <row r="389" spans="1:20" x14ac:dyDescent="0.35">
      <c r="A389" s="5">
        <v>8100269713</v>
      </c>
      <c r="B389" s="5">
        <v>14203</v>
      </c>
      <c r="C389" s="6">
        <v>45659</v>
      </c>
      <c r="D389" s="5" t="s">
        <v>211</v>
      </c>
      <c r="E389" s="5" t="s">
        <v>212</v>
      </c>
      <c r="F389" s="5" t="s">
        <v>58</v>
      </c>
      <c r="G389" s="5" t="s">
        <v>59</v>
      </c>
      <c r="H389" s="5" t="s">
        <v>108</v>
      </c>
      <c r="I389" s="5" t="s">
        <v>213</v>
      </c>
      <c r="J389" s="5" t="s">
        <v>214</v>
      </c>
      <c r="K389" s="5" t="s">
        <v>119</v>
      </c>
      <c r="L389" s="6">
        <v>45665</v>
      </c>
      <c r="M389" s="6">
        <v>45663</v>
      </c>
      <c r="N389" s="5" t="s">
        <v>811</v>
      </c>
      <c r="O389" s="5" t="str">
        <f ca="1">IF(P389&lt;&gt;"EXPEDIÇÃO","Expedido",IF(NETWORKDAYS(C389,TODAY())&gt;=5,"Risco Alto",IF(NETWORKDAYS(C389,TODAY())&gt;=3,IF(NETWORKDAYS(C389,TODAY())&lt;5,"Risco Médio",""),IF(NETWORKDAYS(C389,TODAY())&lt;=2,"Risco Baixo",""))))</f>
        <v>Expedido</v>
      </c>
      <c r="P389" s="5" t="s">
        <v>25</v>
      </c>
      <c r="S389" s="7">
        <f>IF(ISBLANK(M389),"Aguardando Previsão/Data",NETWORKDAYS(L389,M389)-1)</f>
        <v>-4</v>
      </c>
      <c r="T389" s="5" t="s">
        <v>942</v>
      </c>
    </row>
    <row r="390" spans="1:20" x14ac:dyDescent="0.35">
      <c r="A390" s="5">
        <v>8100269714</v>
      </c>
      <c r="B390" s="5">
        <v>14202</v>
      </c>
      <c r="C390" s="6">
        <v>45659</v>
      </c>
      <c r="D390" s="5" t="s">
        <v>211</v>
      </c>
      <c r="E390" s="5" t="s">
        <v>212</v>
      </c>
      <c r="F390" s="5" t="s">
        <v>58</v>
      </c>
      <c r="G390" s="5" t="s">
        <v>59</v>
      </c>
      <c r="H390" s="5" t="s">
        <v>108</v>
      </c>
      <c r="I390" s="5" t="s">
        <v>269</v>
      </c>
      <c r="J390" s="5" t="s">
        <v>316</v>
      </c>
      <c r="K390" s="5" t="s">
        <v>156</v>
      </c>
      <c r="L390" s="6">
        <v>45671</v>
      </c>
      <c r="M390" s="6">
        <v>45671</v>
      </c>
      <c r="N390" s="5" t="s">
        <v>811</v>
      </c>
      <c r="O390" s="5" t="str">
        <f ca="1">IF(P390&lt;&gt;"EXPEDIÇÃO","Expedido",IF(NETWORKDAYS(C390,TODAY())&gt;=5,"Risco Alto",IF(NETWORKDAYS(C390,TODAY())&gt;=3,IF(NETWORKDAYS(C390,TODAY())&lt;5,"Risco Médio",""),IF(NETWORKDAYS(C390,TODAY())&lt;=2,"Risco Baixo",""))))</f>
        <v>Expedido</v>
      </c>
      <c r="P390" s="5" t="s">
        <v>25</v>
      </c>
      <c r="S390" s="7">
        <f>IF(ISBLANK(M390),"Aguardando Previsão/Data",NETWORKDAYS(L390,M390)-1)</f>
        <v>0</v>
      </c>
      <c r="T390" s="5" t="s">
        <v>942</v>
      </c>
    </row>
    <row r="391" spans="1:20" x14ac:dyDescent="0.35">
      <c r="A391" s="5">
        <v>8100269427</v>
      </c>
      <c r="B391" s="5">
        <v>12074</v>
      </c>
      <c r="C391" s="6">
        <v>45659</v>
      </c>
      <c r="D391" s="5" t="s">
        <v>158</v>
      </c>
      <c r="E391" s="5" t="s">
        <v>159</v>
      </c>
      <c r="F391" s="5" t="s">
        <v>136</v>
      </c>
      <c r="G391" s="5" t="s">
        <v>137</v>
      </c>
      <c r="H391" s="5" t="s">
        <v>108</v>
      </c>
      <c r="I391" s="5" t="s">
        <v>730</v>
      </c>
      <c r="J391" s="5" t="s">
        <v>186</v>
      </c>
      <c r="K391" s="5" t="s">
        <v>170</v>
      </c>
      <c r="L391" s="6">
        <v>45665</v>
      </c>
      <c r="M391" s="6">
        <v>45663</v>
      </c>
      <c r="N391" s="5" t="s">
        <v>811</v>
      </c>
      <c r="O391" s="5" t="str">
        <f ca="1">IF(P391&lt;&gt;"EXPEDIÇÃO","Expedido",IF(NETWORKDAYS(C391,TODAY())&gt;=5,"Risco Alto",IF(NETWORKDAYS(C391,TODAY())&gt;=3,IF(NETWORKDAYS(C391,TODAY())&lt;5,"Risco Médio",""),IF(NETWORKDAYS(C391,TODAY())&lt;=2,"Risco Baixo",""))))</f>
        <v>Expedido</v>
      </c>
      <c r="P391" s="5" t="s">
        <v>25</v>
      </c>
      <c r="S391" s="7">
        <f>IF(ISBLANK(M391),"Aguardando Previsão/Data",NETWORKDAYS(L391,M391)-1)</f>
        <v>-4</v>
      </c>
      <c r="T391" s="5" t="s">
        <v>942</v>
      </c>
    </row>
    <row r="392" spans="1:20" x14ac:dyDescent="0.35">
      <c r="A392" s="5">
        <v>8100269428</v>
      </c>
      <c r="B392" s="5">
        <v>12094</v>
      </c>
      <c r="C392" s="6">
        <v>45659</v>
      </c>
      <c r="D392" s="5" t="s">
        <v>158</v>
      </c>
      <c r="E392" s="5" t="s">
        <v>159</v>
      </c>
      <c r="F392" s="5" t="s">
        <v>176</v>
      </c>
      <c r="G392" s="5" t="s">
        <v>177</v>
      </c>
      <c r="H392" s="5" t="s">
        <v>108</v>
      </c>
      <c r="I392" s="5" t="s">
        <v>1111</v>
      </c>
      <c r="J392" s="5" t="s">
        <v>348</v>
      </c>
      <c r="K392" s="5" t="s">
        <v>175</v>
      </c>
      <c r="L392" s="6">
        <v>45667</v>
      </c>
      <c r="M392" s="6">
        <v>45666</v>
      </c>
      <c r="N392" s="5" t="s">
        <v>811</v>
      </c>
      <c r="O392" s="5" t="str">
        <f ca="1">IF(P392&lt;&gt;"EXPEDIÇÃO","Expedido",IF(NETWORKDAYS(C392,TODAY())&gt;=5,"Risco Alto",IF(NETWORKDAYS(C392,TODAY())&gt;=3,IF(NETWORKDAYS(C392,TODAY())&lt;5,"Risco Médio",""),IF(NETWORKDAYS(C392,TODAY())&lt;=2,"Risco Baixo",""))))</f>
        <v>Expedido</v>
      </c>
      <c r="P392" s="5" t="s">
        <v>25</v>
      </c>
      <c r="S392" s="7">
        <f>IF(ISBLANK(M392),"Aguardando Previsão/Data",NETWORKDAYS(L392,M392)-1)</f>
        <v>-3</v>
      </c>
      <c r="T392" s="5" t="s">
        <v>942</v>
      </c>
    </row>
    <row r="393" spans="1:20" x14ac:dyDescent="0.35">
      <c r="A393" s="5">
        <v>8100269429</v>
      </c>
      <c r="B393" s="5">
        <v>12084</v>
      </c>
      <c r="C393" s="6">
        <v>45659</v>
      </c>
      <c r="D393" s="5" t="s">
        <v>158</v>
      </c>
      <c r="E393" s="5" t="s">
        <v>159</v>
      </c>
      <c r="F393" s="5" t="s">
        <v>176</v>
      </c>
      <c r="G393" s="5" t="s">
        <v>177</v>
      </c>
      <c r="H393" s="5" t="s">
        <v>108</v>
      </c>
      <c r="I393" s="5" t="s">
        <v>1144</v>
      </c>
      <c r="J393" s="5" t="s">
        <v>1145</v>
      </c>
      <c r="K393" s="5" t="s">
        <v>170</v>
      </c>
      <c r="L393" s="6">
        <v>45666</v>
      </c>
      <c r="M393" s="6">
        <v>45664</v>
      </c>
      <c r="N393" s="5" t="s">
        <v>811</v>
      </c>
      <c r="O393" s="5" t="str">
        <f ca="1">IF(P393&lt;&gt;"EXPEDIÇÃO","Expedido",IF(NETWORKDAYS(C393,TODAY())&gt;=5,"Risco Alto",IF(NETWORKDAYS(C393,TODAY())&gt;=3,IF(NETWORKDAYS(C393,TODAY())&lt;5,"Risco Médio",""),IF(NETWORKDAYS(C393,TODAY())&lt;=2,"Risco Baixo",""))))</f>
        <v>Expedido</v>
      </c>
      <c r="P393" s="5" t="s">
        <v>25</v>
      </c>
      <c r="S393" s="7">
        <f>IF(ISBLANK(M393),"Aguardando Previsão/Data",NETWORKDAYS(L393,M393)-1)</f>
        <v>-4</v>
      </c>
      <c r="T393" s="5" t="s">
        <v>942</v>
      </c>
    </row>
    <row r="394" spans="1:20" x14ac:dyDescent="0.35">
      <c r="A394" s="5">
        <v>8100269430</v>
      </c>
      <c r="B394" s="5">
        <v>12088</v>
      </c>
      <c r="C394" s="6">
        <v>45659</v>
      </c>
      <c r="D394" s="5" t="s">
        <v>158</v>
      </c>
      <c r="E394" s="5" t="s">
        <v>159</v>
      </c>
      <c r="F394" s="5" t="s">
        <v>160</v>
      </c>
      <c r="G394" s="5" t="s">
        <v>161</v>
      </c>
      <c r="H394" s="5" t="s">
        <v>108</v>
      </c>
      <c r="I394" s="5" t="s">
        <v>302</v>
      </c>
      <c r="J394" s="5" t="s">
        <v>303</v>
      </c>
      <c r="K394" s="5" t="s">
        <v>175</v>
      </c>
      <c r="L394" s="6">
        <v>45670</v>
      </c>
      <c r="M394" s="6">
        <v>45664</v>
      </c>
      <c r="N394" s="5" t="s">
        <v>811</v>
      </c>
      <c r="O394" s="5" t="str">
        <f ca="1">IF(P394&lt;&gt;"EXPEDIÇÃO","Expedido",IF(NETWORKDAYS(C394,TODAY())&gt;=5,"Risco Alto",IF(NETWORKDAYS(C394,TODAY())&gt;=3,IF(NETWORKDAYS(C394,TODAY())&lt;5,"Risco Médio",""),IF(NETWORKDAYS(C394,TODAY())&lt;=2,"Risco Baixo",""))))</f>
        <v>Expedido</v>
      </c>
      <c r="P394" s="5" t="s">
        <v>25</v>
      </c>
      <c r="S394" s="7">
        <f>IF(ISBLANK(M394),"Aguardando Previsão/Data",NETWORKDAYS(L394,M394)-1)</f>
        <v>-6</v>
      </c>
      <c r="T394" s="5" t="s">
        <v>942</v>
      </c>
    </row>
    <row r="395" spans="1:20" x14ac:dyDescent="0.35">
      <c r="A395" s="5">
        <v>8100269431</v>
      </c>
      <c r="B395" s="5">
        <v>12072</v>
      </c>
      <c r="C395" s="6">
        <v>45659</v>
      </c>
      <c r="D395" s="5" t="s">
        <v>158</v>
      </c>
      <c r="E395" s="5" t="s">
        <v>159</v>
      </c>
      <c r="F395" s="5" t="s">
        <v>136</v>
      </c>
      <c r="G395" s="5" t="s">
        <v>137</v>
      </c>
      <c r="H395" s="5" t="s">
        <v>108</v>
      </c>
      <c r="I395" s="5" t="s">
        <v>614</v>
      </c>
      <c r="J395" s="5" t="s">
        <v>215</v>
      </c>
      <c r="K395" s="5" t="s">
        <v>170</v>
      </c>
      <c r="L395" s="6">
        <v>45666</v>
      </c>
      <c r="M395" s="6">
        <v>45663</v>
      </c>
      <c r="N395" s="5" t="s">
        <v>811</v>
      </c>
      <c r="O395" s="5" t="str">
        <f ca="1">IF(P395&lt;&gt;"EXPEDIÇÃO","Expedido",IF(NETWORKDAYS(C395,TODAY())&gt;=5,"Risco Alto",IF(NETWORKDAYS(C395,TODAY())&gt;=3,IF(NETWORKDAYS(C395,TODAY())&lt;5,"Risco Médio",""),IF(NETWORKDAYS(C395,TODAY())&lt;=2,"Risco Baixo",""))))</f>
        <v>Expedido</v>
      </c>
      <c r="P395" s="5" t="s">
        <v>25</v>
      </c>
      <c r="S395" s="7">
        <f>IF(ISBLANK(M395),"Aguardando Previsão/Data",NETWORKDAYS(L395,M395)-1)</f>
        <v>-5</v>
      </c>
      <c r="T395" s="5" t="s">
        <v>942</v>
      </c>
    </row>
    <row r="396" spans="1:20" x14ac:dyDescent="0.35">
      <c r="A396" s="5">
        <v>8100269432</v>
      </c>
      <c r="B396" s="5">
        <v>12081</v>
      </c>
      <c r="C396" s="6">
        <v>45659</v>
      </c>
      <c r="D396" s="5" t="s">
        <v>158</v>
      </c>
      <c r="E396" s="5" t="s">
        <v>159</v>
      </c>
      <c r="F396" s="5" t="s">
        <v>176</v>
      </c>
      <c r="G396" s="5" t="s">
        <v>177</v>
      </c>
      <c r="H396" s="5" t="s">
        <v>108</v>
      </c>
      <c r="I396" s="5" t="s">
        <v>178</v>
      </c>
      <c r="J396" s="5" t="s">
        <v>179</v>
      </c>
      <c r="K396" s="5" t="s">
        <v>175</v>
      </c>
      <c r="L396" s="6">
        <v>45667</v>
      </c>
      <c r="M396" s="6">
        <v>45666</v>
      </c>
      <c r="N396" s="5" t="s">
        <v>811</v>
      </c>
      <c r="O396" s="5" t="str">
        <f ca="1">IF(P396&lt;&gt;"EXPEDIÇÃO","Expedido",IF(NETWORKDAYS(C396,TODAY())&gt;=5,"Risco Alto",IF(NETWORKDAYS(C396,TODAY())&gt;=3,IF(NETWORKDAYS(C396,TODAY())&lt;5,"Risco Médio",""),IF(NETWORKDAYS(C396,TODAY())&lt;=2,"Risco Baixo",""))))</f>
        <v>Expedido</v>
      </c>
      <c r="P396" s="5" t="s">
        <v>25</v>
      </c>
      <c r="S396" s="7">
        <f>IF(ISBLANK(M396),"Aguardando Previsão/Data",NETWORKDAYS(L396,M396)-1)</f>
        <v>-3</v>
      </c>
      <c r="T396" s="5" t="s">
        <v>942</v>
      </c>
    </row>
    <row r="397" spans="1:20" x14ac:dyDescent="0.35">
      <c r="A397" s="5">
        <v>8100269433</v>
      </c>
      <c r="B397" s="5">
        <v>12070</v>
      </c>
      <c r="C397" s="6">
        <v>45659</v>
      </c>
      <c r="D397" s="5" t="s">
        <v>158</v>
      </c>
      <c r="E397" s="5" t="s">
        <v>159</v>
      </c>
      <c r="F397" s="5" t="s">
        <v>136</v>
      </c>
      <c r="G397" s="5" t="s">
        <v>137</v>
      </c>
      <c r="H397" s="5" t="s">
        <v>108</v>
      </c>
      <c r="I397" s="5" t="s">
        <v>82</v>
      </c>
      <c r="J397" s="5" t="s">
        <v>1048</v>
      </c>
      <c r="K397" s="5" t="s">
        <v>170</v>
      </c>
      <c r="L397" s="6">
        <v>45666</v>
      </c>
      <c r="M397" s="6">
        <v>45664</v>
      </c>
      <c r="N397" s="5" t="s">
        <v>811</v>
      </c>
      <c r="O397" s="5" t="str">
        <f ca="1">IF(P397&lt;&gt;"EXPEDIÇÃO","Expedido",IF(NETWORKDAYS(C397,TODAY())&gt;=5,"Risco Alto",IF(NETWORKDAYS(C397,TODAY())&gt;=3,IF(NETWORKDAYS(C397,TODAY())&lt;5,"Risco Médio",""),IF(NETWORKDAYS(C397,TODAY())&lt;=2,"Risco Baixo",""))))</f>
        <v>Expedido</v>
      </c>
      <c r="P397" s="5" t="s">
        <v>25</v>
      </c>
      <c r="S397" s="7">
        <f>IF(ISBLANK(M397),"Aguardando Previsão/Data",NETWORKDAYS(L397,M397)-1)</f>
        <v>-4</v>
      </c>
      <c r="T397" s="5" t="s">
        <v>942</v>
      </c>
    </row>
    <row r="398" spans="1:20" x14ac:dyDescent="0.35">
      <c r="A398" s="5">
        <v>8100269434</v>
      </c>
      <c r="B398" s="5">
        <v>12073</v>
      </c>
      <c r="C398" s="6">
        <v>45659</v>
      </c>
      <c r="D398" s="5" t="s">
        <v>158</v>
      </c>
      <c r="E398" s="5" t="s">
        <v>159</v>
      </c>
      <c r="F398" s="5" t="s">
        <v>136</v>
      </c>
      <c r="G398" s="5" t="s">
        <v>137</v>
      </c>
      <c r="H398" s="5" t="s">
        <v>108</v>
      </c>
      <c r="I398" s="5" t="s">
        <v>82</v>
      </c>
      <c r="J398" s="5" t="s">
        <v>306</v>
      </c>
      <c r="K398" s="5" t="s">
        <v>170</v>
      </c>
      <c r="L398" s="6">
        <v>45665</v>
      </c>
      <c r="M398" s="6">
        <v>45663</v>
      </c>
      <c r="N398" s="5" t="s">
        <v>811</v>
      </c>
      <c r="O398" s="5" t="str">
        <f ca="1">IF(P398&lt;&gt;"EXPEDIÇÃO","Expedido",IF(NETWORKDAYS(C398,TODAY())&gt;=5,"Risco Alto",IF(NETWORKDAYS(C398,TODAY())&gt;=3,IF(NETWORKDAYS(C398,TODAY())&lt;5,"Risco Médio",""),IF(NETWORKDAYS(C398,TODAY())&lt;=2,"Risco Baixo",""))))</f>
        <v>Expedido</v>
      </c>
      <c r="P398" s="5" t="s">
        <v>25</v>
      </c>
      <c r="S398" s="7">
        <f>IF(ISBLANK(M398),"Aguardando Previsão/Data",NETWORKDAYS(L398,M398)-1)</f>
        <v>-4</v>
      </c>
      <c r="T398" s="5" t="s">
        <v>942</v>
      </c>
    </row>
    <row r="399" spans="1:20" x14ac:dyDescent="0.35">
      <c r="A399" s="5">
        <v>8100269435</v>
      </c>
      <c r="B399" s="5">
        <v>12075</v>
      </c>
      <c r="C399" s="6">
        <v>45659</v>
      </c>
      <c r="D399" s="5" t="s">
        <v>158</v>
      </c>
      <c r="E399" s="5" t="s">
        <v>159</v>
      </c>
      <c r="F399" s="5" t="s">
        <v>79</v>
      </c>
      <c r="G399" s="5" t="s">
        <v>80</v>
      </c>
      <c r="H399" s="5" t="s">
        <v>108</v>
      </c>
      <c r="I399" s="5" t="s">
        <v>866</v>
      </c>
      <c r="J399" s="5" t="s">
        <v>163</v>
      </c>
      <c r="K399" s="5" t="s">
        <v>80</v>
      </c>
      <c r="L399" s="6">
        <v>45667</v>
      </c>
      <c r="M399" s="6">
        <v>45663</v>
      </c>
      <c r="N399" s="5" t="s">
        <v>811</v>
      </c>
      <c r="O399" s="5" t="str">
        <f ca="1">IF(P399&lt;&gt;"EXPEDIÇÃO","Expedido",IF(NETWORKDAYS(C399,TODAY())&gt;=5,"Risco Alto",IF(NETWORKDAYS(C399,TODAY())&gt;=3,IF(NETWORKDAYS(C399,TODAY())&lt;5,"Risco Médio",""),IF(NETWORKDAYS(C399,TODAY())&lt;=2,"Risco Baixo",""))))</f>
        <v>Expedido</v>
      </c>
      <c r="P399" s="5" t="s">
        <v>25</v>
      </c>
      <c r="S399" s="7">
        <f>IF(ISBLANK(M399),"Aguardando Previsão/Data",NETWORKDAYS(L399,M399)-1)</f>
        <v>-6</v>
      </c>
      <c r="T399" s="5" t="s">
        <v>942</v>
      </c>
    </row>
    <row r="400" spans="1:20" x14ac:dyDescent="0.35">
      <c r="A400" s="5">
        <v>8100269436</v>
      </c>
      <c r="B400" s="5">
        <v>12057</v>
      </c>
      <c r="C400" s="6">
        <v>45659</v>
      </c>
      <c r="D400" s="5" t="s">
        <v>158</v>
      </c>
      <c r="E400" s="5" t="s">
        <v>159</v>
      </c>
      <c r="F400" s="5" t="s">
        <v>171</v>
      </c>
      <c r="G400" s="5" t="s">
        <v>172</v>
      </c>
      <c r="H400" s="5" t="s">
        <v>108</v>
      </c>
      <c r="I400" s="5" t="s">
        <v>307</v>
      </c>
      <c r="J400" s="5" t="s">
        <v>172</v>
      </c>
      <c r="K400" s="5" t="s">
        <v>170</v>
      </c>
      <c r="L400" s="6">
        <v>45666</v>
      </c>
      <c r="M400" s="6">
        <v>45663</v>
      </c>
      <c r="N400" s="5" t="s">
        <v>811</v>
      </c>
      <c r="O400" s="5" t="str">
        <f ca="1">IF(P400&lt;&gt;"EXPEDIÇÃO","Expedido",IF(NETWORKDAYS(C400,TODAY())&gt;=5,"Risco Alto",IF(NETWORKDAYS(C400,TODAY())&gt;=3,IF(NETWORKDAYS(C400,TODAY())&lt;5,"Risco Médio",""),IF(NETWORKDAYS(C400,TODAY())&lt;=2,"Risco Baixo",""))))</f>
        <v>Expedido</v>
      </c>
      <c r="P400" s="5" t="s">
        <v>25</v>
      </c>
      <c r="S400" s="7">
        <f>IF(ISBLANK(M400),"Aguardando Previsão/Data",NETWORKDAYS(L400,M400)-1)</f>
        <v>-5</v>
      </c>
      <c r="T400" s="5" t="s">
        <v>942</v>
      </c>
    </row>
    <row r="401" spans="1:20" x14ac:dyDescent="0.35">
      <c r="A401" s="5">
        <v>8100269437</v>
      </c>
      <c r="B401" s="5">
        <v>12061</v>
      </c>
      <c r="C401" s="6">
        <v>45659</v>
      </c>
      <c r="D401" s="5" t="s">
        <v>158</v>
      </c>
      <c r="E401" s="5" t="s">
        <v>159</v>
      </c>
      <c r="F401" s="5" t="s">
        <v>147</v>
      </c>
      <c r="G401" s="5" t="s">
        <v>148</v>
      </c>
      <c r="H401" s="5" t="s">
        <v>108</v>
      </c>
      <c r="I401" s="5" t="s">
        <v>128</v>
      </c>
      <c r="J401" s="5" t="s">
        <v>163</v>
      </c>
      <c r="K401" s="5" t="s">
        <v>80</v>
      </c>
      <c r="L401" s="6">
        <v>45667</v>
      </c>
      <c r="M401" s="6">
        <v>45664</v>
      </c>
      <c r="N401" s="5" t="s">
        <v>811</v>
      </c>
      <c r="O401" s="5" t="str">
        <f ca="1">IF(P401&lt;&gt;"EXPEDIÇÃO","Expedido",IF(NETWORKDAYS(C401,TODAY())&gt;=5,"Risco Alto",IF(NETWORKDAYS(C401,TODAY())&gt;=3,IF(NETWORKDAYS(C401,TODAY())&lt;5,"Risco Médio",""),IF(NETWORKDAYS(C401,TODAY())&lt;=2,"Risco Baixo",""))))</f>
        <v>Expedido</v>
      </c>
      <c r="P401" s="5" t="s">
        <v>25</v>
      </c>
      <c r="S401" s="7">
        <f>IF(ISBLANK(M401),"Aguardando Previsão/Data",NETWORKDAYS(L401,M401)-1)</f>
        <v>-5</v>
      </c>
      <c r="T401" s="5" t="s">
        <v>942</v>
      </c>
    </row>
    <row r="402" spans="1:20" x14ac:dyDescent="0.35">
      <c r="A402" s="5">
        <v>8100269438</v>
      </c>
      <c r="B402" s="5">
        <v>12062</v>
      </c>
      <c r="C402" s="6">
        <v>45659</v>
      </c>
      <c r="D402" s="5" t="s">
        <v>158</v>
      </c>
      <c r="E402" s="5" t="s">
        <v>159</v>
      </c>
      <c r="F402" s="5" t="s">
        <v>147</v>
      </c>
      <c r="G402" s="5" t="s">
        <v>148</v>
      </c>
      <c r="H402" s="5" t="s">
        <v>108</v>
      </c>
      <c r="I402" s="5" t="s">
        <v>128</v>
      </c>
      <c r="J402" s="5" t="s">
        <v>163</v>
      </c>
      <c r="K402" s="5" t="s">
        <v>80</v>
      </c>
      <c r="L402" s="6">
        <v>45667</v>
      </c>
      <c r="M402" s="6">
        <v>45664</v>
      </c>
      <c r="N402" s="5" t="s">
        <v>811</v>
      </c>
      <c r="O402" s="5" t="str">
        <f ca="1">IF(P402&lt;&gt;"EXPEDIÇÃO","Expedido",IF(NETWORKDAYS(C402,TODAY())&gt;=5,"Risco Alto",IF(NETWORKDAYS(C402,TODAY())&gt;=3,IF(NETWORKDAYS(C402,TODAY())&lt;5,"Risco Médio",""),IF(NETWORKDAYS(C402,TODAY())&lt;=2,"Risco Baixo",""))))</f>
        <v>Expedido</v>
      </c>
      <c r="P402" s="5" t="s">
        <v>25</v>
      </c>
      <c r="S402" s="7">
        <f>IF(ISBLANK(M402),"Aguardando Previsão/Data",NETWORKDAYS(L402,M402)-1)</f>
        <v>-5</v>
      </c>
      <c r="T402" s="5" t="s">
        <v>942</v>
      </c>
    </row>
    <row r="403" spans="1:20" x14ac:dyDescent="0.35">
      <c r="A403" s="5">
        <v>8100269439</v>
      </c>
      <c r="B403" s="5">
        <v>12059</v>
      </c>
      <c r="C403" s="6">
        <v>45659</v>
      </c>
      <c r="D403" s="5" t="s">
        <v>158</v>
      </c>
      <c r="E403" s="5" t="s">
        <v>159</v>
      </c>
      <c r="F403" s="5" t="s">
        <v>176</v>
      </c>
      <c r="G403" s="5" t="s">
        <v>177</v>
      </c>
      <c r="H403" s="5" t="s">
        <v>108</v>
      </c>
      <c r="I403" s="5" t="s">
        <v>162</v>
      </c>
      <c r="J403" s="5" t="s">
        <v>163</v>
      </c>
      <c r="K403" s="5" t="s">
        <v>80</v>
      </c>
      <c r="L403" s="6">
        <v>45667</v>
      </c>
      <c r="M403" s="6">
        <v>45664</v>
      </c>
      <c r="N403" s="5" t="s">
        <v>811</v>
      </c>
      <c r="O403" s="5" t="str">
        <f ca="1">IF(P403&lt;&gt;"EXPEDIÇÃO","Expedido",IF(NETWORKDAYS(C403,TODAY())&gt;=5,"Risco Alto",IF(NETWORKDAYS(C403,TODAY())&gt;=3,IF(NETWORKDAYS(C403,TODAY())&lt;5,"Risco Médio",""),IF(NETWORKDAYS(C403,TODAY())&lt;=2,"Risco Baixo",""))))</f>
        <v>Expedido</v>
      </c>
      <c r="P403" s="5" t="s">
        <v>25</v>
      </c>
      <c r="S403" s="7">
        <f>IF(ISBLANK(M403),"Aguardando Previsão/Data",NETWORKDAYS(L403,M403)-1)</f>
        <v>-5</v>
      </c>
      <c r="T403" s="5" t="s">
        <v>942</v>
      </c>
    </row>
    <row r="404" spans="1:20" x14ac:dyDescent="0.35">
      <c r="A404" s="5">
        <v>8100269440</v>
      </c>
      <c r="B404" s="5">
        <v>12071</v>
      </c>
      <c r="C404" s="6">
        <v>45659</v>
      </c>
      <c r="D404" s="5" t="s">
        <v>158</v>
      </c>
      <c r="E404" s="5" t="s">
        <v>159</v>
      </c>
      <c r="F404" s="5" t="s">
        <v>160</v>
      </c>
      <c r="G404" s="5" t="s">
        <v>161</v>
      </c>
      <c r="H404" s="5" t="s">
        <v>108</v>
      </c>
      <c r="I404" s="5" t="s">
        <v>162</v>
      </c>
      <c r="J404" s="5" t="s">
        <v>1146</v>
      </c>
      <c r="K404" s="5" t="s">
        <v>80</v>
      </c>
      <c r="L404" s="6">
        <v>45667</v>
      </c>
      <c r="M404" s="6">
        <v>45664</v>
      </c>
      <c r="N404" s="5" t="s">
        <v>811</v>
      </c>
      <c r="O404" s="5" t="str">
        <f ca="1">IF(P404&lt;&gt;"EXPEDIÇÃO","Expedido",IF(NETWORKDAYS(C404,TODAY())&gt;=5,"Risco Alto",IF(NETWORKDAYS(C404,TODAY())&gt;=3,IF(NETWORKDAYS(C404,TODAY())&lt;5,"Risco Médio",""),IF(NETWORKDAYS(C404,TODAY())&lt;=2,"Risco Baixo",""))))</f>
        <v>Expedido</v>
      </c>
      <c r="P404" s="5" t="s">
        <v>25</v>
      </c>
      <c r="S404" s="7">
        <f>IF(ISBLANK(M404),"Aguardando Previsão/Data",NETWORKDAYS(L404,M404)-1)</f>
        <v>-5</v>
      </c>
      <c r="T404" s="5" t="s">
        <v>942</v>
      </c>
    </row>
    <row r="405" spans="1:20" x14ac:dyDescent="0.35">
      <c r="A405" s="5">
        <v>8100269441</v>
      </c>
      <c r="B405" s="5">
        <v>12060</v>
      </c>
      <c r="C405" s="6">
        <v>45659</v>
      </c>
      <c r="D405" s="5" t="s">
        <v>158</v>
      </c>
      <c r="E405" s="5" t="s">
        <v>159</v>
      </c>
      <c r="F405" s="5" t="s">
        <v>160</v>
      </c>
      <c r="G405" s="5" t="s">
        <v>161</v>
      </c>
      <c r="H405" s="5" t="s">
        <v>108</v>
      </c>
      <c r="I405" s="5" t="s">
        <v>162</v>
      </c>
      <c r="J405" s="5" t="s">
        <v>163</v>
      </c>
      <c r="K405" s="5" t="s">
        <v>80</v>
      </c>
      <c r="L405" s="6">
        <v>45667</v>
      </c>
      <c r="M405" s="6">
        <v>45664</v>
      </c>
      <c r="N405" s="5" t="s">
        <v>811</v>
      </c>
      <c r="O405" s="5" t="str">
        <f ca="1">IF(P405&lt;&gt;"EXPEDIÇÃO","Expedido",IF(NETWORKDAYS(C405,TODAY())&gt;=5,"Risco Alto",IF(NETWORKDAYS(C405,TODAY())&gt;=3,IF(NETWORKDAYS(C405,TODAY())&lt;5,"Risco Médio",""),IF(NETWORKDAYS(C405,TODAY())&lt;=2,"Risco Baixo",""))))</f>
        <v>Expedido</v>
      </c>
      <c r="P405" s="5" t="s">
        <v>25</v>
      </c>
      <c r="S405" s="7">
        <f>IF(ISBLANK(M405),"Aguardando Previsão/Data",NETWORKDAYS(L405,M405)-1)</f>
        <v>-5</v>
      </c>
      <c r="T405" s="5" t="s">
        <v>942</v>
      </c>
    </row>
    <row r="406" spans="1:20" x14ac:dyDescent="0.35">
      <c r="A406" s="5">
        <v>8100269442</v>
      </c>
      <c r="B406" s="5">
        <v>12076</v>
      </c>
      <c r="C406" s="6">
        <v>45659</v>
      </c>
      <c r="D406" s="5" t="s">
        <v>158</v>
      </c>
      <c r="E406" s="5" t="s">
        <v>159</v>
      </c>
      <c r="F406" s="5" t="s">
        <v>160</v>
      </c>
      <c r="G406" s="5" t="s">
        <v>161</v>
      </c>
      <c r="H406" s="5" t="s">
        <v>108</v>
      </c>
      <c r="I406" s="5" t="s">
        <v>347</v>
      </c>
      <c r="J406" s="5" t="s">
        <v>310</v>
      </c>
      <c r="K406" s="5" t="s">
        <v>175</v>
      </c>
      <c r="L406" s="6">
        <v>45670</v>
      </c>
      <c r="M406" s="6">
        <v>45664</v>
      </c>
      <c r="N406" s="5" t="s">
        <v>811</v>
      </c>
      <c r="O406" s="5" t="str">
        <f ca="1">IF(P406&lt;&gt;"EXPEDIÇÃO","Expedido",IF(NETWORKDAYS(C406,TODAY())&gt;=5,"Risco Alto",IF(NETWORKDAYS(C406,TODAY())&gt;=3,IF(NETWORKDAYS(C406,TODAY())&lt;5,"Risco Médio",""),IF(NETWORKDAYS(C406,TODAY())&lt;=2,"Risco Baixo",""))))</f>
        <v>Expedido</v>
      </c>
      <c r="P406" s="5" t="s">
        <v>25</v>
      </c>
      <c r="S406" s="7">
        <f>IF(ISBLANK(M406),"Aguardando Previsão/Data",NETWORKDAYS(L406,M406)-1)</f>
        <v>-6</v>
      </c>
      <c r="T406" s="5" t="s">
        <v>942</v>
      </c>
    </row>
    <row r="407" spans="1:20" x14ac:dyDescent="0.35">
      <c r="A407" s="5">
        <v>8100269443</v>
      </c>
      <c r="B407" s="5">
        <v>12078</v>
      </c>
      <c r="C407" s="6">
        <v>45659</v>
      </c>
      <c r="D407" s="5" t="s">
        <v>158</v>
      </c>
      <c r="E407" s="5" t="s">
        <v>159</v>
      </c>
      <c r="F407" s="5" t="s">
        <v>176</v>
      </c>
      <c r="G407" s="5" t="s">
        <v>177</v>
      </c>
      <c r="H407" s="5" t="s">
        <v>108</v>
      </c>
      <c r="I407" s="5" t="s">
        <v>187</v>
      </c>
      <c r="J407" s="5" t="s">
        <v>188</v>
      </c>
      <c r="K407" s="5" t="s">
        <v>175</v>
      </c>
      <c r="L407" s="6">
        <v>45670</v>
      </c>
      <c r="M407" s="6">
        <v>45663</v>
      </c>
      <c r="N407" s="5" t="s">
        <v>811</v>
      </c>
      <c r="O407" s="5" t="str">
        <f ca="1">IF(P407&lt;&gt;"EXPEDIÇÃO","Expedido",IF(NETWORKDAYS(C407,TODAY())&gt;=5,"Risco Alto",IF(NETWORKDAYS(C407,TODAY())&gt;=3,IF(NETWORKDAYS(C407,TODAY())&lt;5,"Risco Médio",""),IF(NETWORKDAYS(C407,TODAY())&lt;=2,"Risco Baixo",""))))</f>
        <v>Expedido</v>
      </c>
      <c r="P407" s="5" t="s">
        <v>25</v>
      </c>
      <c r="S407" s="7">
        <f>IF(ISBLANK(M407),"Aguardando Previsão/Data",NETWORKDAYS(L407,M407)-1)</f>
        <v>-7</v>
      </c>
      <c r="T407" s="5" t="s">
        <v>942</v>
      </c>
    </row>
    <row r="408" spans="1:20" x14ac:dyDescent="0.35">
      <c r="A408" s="5">
        <v>8100269444</v>
      </c>
      <c r="B408" s="5">
        <v>12079</v>
      </c>
      <c r="C408" s="6">
        <v>45659</v>
      </c>
      <c r="D408" s="5" t="s">
        <v>158</v>
      </c>
      <c r="E408" s="5" t="s">
        <v>159</v>
      </c>
      <c r="F408" s="5" t="s">
        <v>176</v>
      </c>
      <c r="G408" s="5" t="s">
        <v>177</v>
      </c>
      <c r="H408" s="5" t="s">
        <v>108</v>
      </c>
      <c r="I408" s="5" t="s">
        <v>187</v>
      </c>
      <c r="J408" s="5" t="s">
        <v>188</v>
      </c>
      <c r="K408" s="5" t="s">
        <v>175</v>
      </c>
      <c r="L408" s="6">
        <v>45670</v>
      </c>
      <c r="M408" s="6">
        <v>45663</v>
      </c>
      <c r="N408" s="5" t="s">
        <v>811</v>
      </c>
      <c r="O408" s="5" t="str">
        <f ca="1">IF(P408&lt;&gt;"EXPEDIÇÃO","Expedido",IF(NETWORKDAYS(C408,TODAY())&gt;=5,"Risco Alto",IF(NETWORKDAYS(C408,TODAY())&gt;=3,IF(NETWORKDAYS(C408,TODAY())&lt;5,"Risco Médio",""),IF(NETWORKDAYS(C408,TODAY())&lt;=2,"Risco Baixo",""))))</f>
        <v>Expedido</v>
      </c>
      <c r="P408" s="5" t="s">
        <v>25</v>
      </c>
      <c r="S408" s="7">
        <f>IF(ISBLANK(M408),"Aguardando Previsão/Data",NETWORKDAYS(L408,M408)-1)</f>
        <v>-7</v>
      </c>
      <c r="T408" s="5" t="s">
        <v>942</v>
      </c>
    </row>
    <row r="409" spans="1:20" x14ac:dyDescent="0.35">
      <c r="A409" s="5">
        <v>8100269444</v>
      </c>
      <c r="B409" s="5">
        <v>12080</v>
      </c>
      <c r="C409" s="6">
        <v>45659</v>
      </c>
      <c r="D409" s="5" t="s">
        <v>158</v>
      </c>
      <c r="E409" s="5" t="s">
        <v>159</v>
      </c>
      <c r="F409" s="5" t="s">
        <v>176</v>
      </c>
      <c r="G409" s="5" t="s">
        <v>177</v>
      </c>
      <c r="H409" s="5" t="s">
        <v>108</v>
      </c>
      <c r="I409" s="5" t="s">
        <v>187</v>
      </c>
      <c r="J409" s="5" t="s">
        <v>188</v>
      </c>
      <c r="K409" s="5" t="s">
        <v>175</v>
      </c>
      <c r="L409" s="6">
        <v>45670</v>
      </c>
      <c r="M409" s="6">
        <v>45663</v>
      </c>
      <c r="N409" s="5" t="s">
        <v>811</v>
      </c>
      <c r="O409" s="5" t="str">
        <f ca="1">IF(P409&lt;&gt;"EXPEDIÇÃO","Expedido",IF(NETWORKDAYS(C409,TODAY())&gt;=5,"Risco Alto",IF(NETWORKDAYS(C409,TODAY())&gt;=3,IF(NETWORKDAYS(C409,TODAY())&lt;5,"Risco Médio",""),IF(NETWORKDAYS(C409,TODAY())&lt;=2,"Risco Baixo",""))))</f>
        <v>Expedido</v>
      </c>
      <c r="P409" s="5" t="s">
        <v>25</v>
      </c>
      <c r="S409" s="7">
        <f>IF(ISBLANK(M409),"Aguardando Previsão/Data",NETWORKDAYS(L409,M409)-1)</f>
        <v>-7</v>
      </c>
      <c r="T409" s="5" t="s">
        <v>942</v>
      </c>
    </row>
    <row r="410" spans="1:20" x14ac:dyDescent="0.35">
      <c r="A410" s="5">
        <v>8100269551</v>
      </c>
      <c r="B410" s="5">
        <v>12089</v>
      </c>
      <c r="C410" s="6">
        <v>45659</v>
      </c>
      <c r="D410" s="5" t="s">
        <v>158</v>
      </c>
      <c r="E410" s="5" t="s">
        <v>159</v>
      </c>
      <c r="F410" s="5" t="s">
        <v>160</v>
      </c>
      <c r="G410" s="5" t="s">
        <v>161</v>
      </c>
      <c r="H410" s="5" t="s">
        <v>108</v>
      </c>
      <c r="I410" s="5" t="s">
        <v>302</v>
      </c>
      <c r="J410" s="5" t="s">
        <v>303</v>
      </c>
      <c r="K410" s="5" t="s">
        <v>175</v>
      </c>
      <c r="L410" s="6">
        <v>45670</v>
      </c>
      <c r="M410" s="6">
        <v>45664</v>
      </c>
      <c r="N410" s="5" t="s">
        <v>811</v>
      </c>
      <c r="O410" s="5" t="str">
        <f ca="1">IF(P410&lt;&gt;"EXPEDIÇÃO","Expedido",IF(NETWORKDAYS(C410,TODAY())&gt;=5,"Risco Alto",IF(NETWORKDAYS(C410,TODAY())&gt;=3,IF(NETWORKDAYS(C410,TODAY())&lt;5,"Risco Médio",""),IF(NETWORKDAYS(C410,TODAY())&lt;=2,"Risco Baixo",""))))</f>
        <v>Expedido</v>
      </c>
      <c r="P410" s="5" t="s">
        <v>25</v>
      </c>
      <c r="S410" s="7">
        <f>IF(ISBLANK(M410),"Aguardando Previsão/Data",NETWORKDAYS(L410,M410)-1)</f>
        <v>-6</v>
      </c>
      <c r="T410" s="5" t="s">
        <v>942</v>
      </c>
    </row>
    <row r="411" spans="1:20" x14ac:dyDescent="0.35">
      <c r="A411" s="5">
        <v>8100269552</v>
      </c>
      <c r="B411" s="5">
        <v>12090</v>
      </c>
      <c r="C411" s="6">
        <v>45659</v>
      </c>
      <c r="D411" s="5" t="s">
        <v>158</v>
      </c>
      <c r="E411" s="5" t="s">
        <v>159</v>
      </c>
      <c r="F411" s="5" t="s">
        <v>160</v>
      </c>
      <c r="G411" s="5" t="s">
        <v>161</v>
      </c>
      <c r="H411" s="5" t="s">
        <v>108</v>
      </c>
      <c r="I411" s="5" t="s">
        <v>302</v>
      </c>
      <c r="J411" s="5" t="s">
        <v>303</v>
      </c>
      <c r="K411" s="5" t="s">
        <v>175</v>
      </c>
      <c r="L411" s="6">
        <v>45670</v>
      </c>
      <c r="M411" s="6">
        <v>45664</v>
      </c>
      <c r="N411" s="5" t="s">
        <v>811</v>
      </c>
      <c r="O411" s="5" t="str">
        <f ca="1">IF(P411&lt;&gt;"EXPEDIÇÃO","Expedido",IF(NETWORKDAYS(C411,TODAY())&gt;=5,"Risco Alto",IF(NETWORKDAYS(C411,TODAY())&gt;=3,IF(NETWORKDAYS(C411,TODAY())&lt;5,"Risco Médio",""),IF(NETWORKDAYS(C411,TODAY())&lt;=2,"Risco Baixo",""))))</f>
        <v>Expedido</v>
      </c>
      <c r="P411" s="5" t="s">
        <v>25</v>
      </c>
      <c r="S411" s="7">
        <f>IF(ISBLANK(M411),"Aguardando Previsão/Data",NETWORKDAYS(L411,M411)-1)</f>
        <v>-6</v>
      </c>
      <c r="T411" s="5" t="s">
        <v>942</v>
      </c>
    </row>
    <row r="412" spans="1:20" x14ac:dyDescent="0.35">
      <c r="A412" s="5">
        <v>8100269553</v>
      </c>
      <c r="B412" s="5">
        <v>12093</v>
      </c>
      <c r="C412" s="6">
        <v>45659</v>
      </c>
      <c r="D412" s="5" t="s">
        <v>158</v>
      </c>
      <c r="E412" s="5" t="s">
        <v>159</v>
      </c>
      <c r="F412" s="5" t="s">
        <v>160</v>
      </c>
      <c r="G412" s="5" t="s">
        <v>161</v>
      </c>
      <c r="H412" s="5" t="s">
        <v>108</v>
      </c>
      <c r="I412" s="5" t="s">
        <v>302</v>
      </c>
      <c r="J412" s="5" t="s">
        <v>303</v>
      </c>
      <c r="K412" s="5" t="s">
        <v>175</v>
      </c>
      <c r="L412" s="6">
        <v>45670</v>
      </c>
      <c r="M412" s="6">
        <v>45664</v>
      </c>
      <c r="N412" s="5" t="s">
        <v>811</v>
      </c>
      <c r="O412" s="5" t="str">
        <f ca="1">IF(P412&lt;&gt;"EXPEDIÇÃO","Expedido",IF(NETWORKDAYS(C412,TODAY())&gt;=5,"Risco Alto",IF(NETWORKDAYS(C412,TODAY())&gt;=3,IF(NETWORKDAYS(C412,TODAY())&lt;5,"Risco Médio",""),IF(NETWORKDAYS(C412,TODAY())&lt;=2,"Risco Baixo",""))))</f>
        <v>Expedido</v>
      </c>
      <c r="P412" s="5" t="s">
        <v>25</v>
      </c>
      <c r="S412" s="7">
        <f>IF(ISBLANK(M412),"Aguardando Previsão/Data",NETWORKDAYS(L412,M412)-1)</f>
        <v>-6</v>
      </c>
      <c r="T412" s="5" t="s">
        <v>942</v>
      </c>
    </row>
    <row r="413" spans="1:20" x14ac:dyDescent="0.35">
      <c r="A413" s="5">
        <v>8100269554</v>
      </c>
      <c r="B413" s="5">
        <v>12077</v>
      </c>
      <c r="C413" s="6">
        <v>45659</v>
      </c>
      <c r="D413" s="5" t="s">
        <v>158</v>
      </c>
      <c r="E413" s="5" t="s">
        <v>159</v>
      </c>
      <c r="F413" s="5" t="s">
        <v>136</v>
      </c>
      <c r="G413" s="5" t="s">
        <v>137</v>
      </c>
      <c r="H413" s="5" t="s">
        <v>108</v>
      </c>
      <c r="I413" s="5" t="s">
        <v>299</v>
      </c>
      <c r="J413" s="5" t="s">
        <v>300</v>
      </c>
      <c r="K413" s="5" t="s">
        <v>175</v>
      </c>
      <c r="L413" s="6">
        <v>45671</v>
      </c>
      <c r="M413" s="6">
        <v>45664</v>
      </c>
      <c r="N413" s="5" t="s">
        <v>811</v>
      </c>
      <c r="O413" s="5" t="str">
        <f ca="1">IF(P413&lt;&gt;"EXPEDIÇÃO","Expedido",IF(NETWORKDAYS(C413,TODAY())&gt;=5,"Risco Alto",IF(NETWORKDAYS(C413,TODAY())&gt;=3,IF(NETWORKDAYS(C413,TODAY())&lt;5,"Risco Médio",""),IF(NETWORKDAYS(C413,TODAY())&lt;=2,"Risco Baixo",""))))</f>
        <v>Expedido</v>
      </c>
      <c r="P413" s="5" t="s">
        <v>25</v>
      </c>
      <c r="S413" s="7">
        <f>IF(ISBLANK(M413),"Aguardando Previsão/Data",NETWORKDAYS(L413,M413)-1)</f>
        <v>-7</v>
      </c>
      <c r="T413" s="5" t="s">
        <v>942</v>
      </c>
    </row>
    <row r="414" spans="1:20" x14ac:dyDescent="0.35">
      <c r="A414" s="5">
        <v>8100269555</v>
      </c>
      <c r="B414" s="5">
        <v>12056</v>
      </c>
      <c r="C414" s="6">
        <v>45659</v>
      </c>
      <c r="D414" s="5" t="s">
        <v>158</v>
      </c>
      <c r="E414" s="5" t="s">
        <v>159</v>
      </c>
      <c r="F414" s="5" t="s">
        <v>79</v>
      </c>
      <c r="G414" s="5" t="s">
        <v>80</v>
      </c>
      <c r="H414" s="5" t="s">
        <v>108</v>
      </c>
      <c r="I414" s="5" t="s">
        <v>82</v>
      </c>
      <c r="J414" s="5" t="s">
        <v>998</v>
      </c>
      <c r="K414" s="5" t="s">
        <v>80</v>
      </c>
      <c r="L414" s="6">
        <v>45667</v>
      </c>
      <c r="M414" s="6">
        <v>45667</v>
      </c>
      <c r="N414" s="5" t="s">
        <v>811</v>
      </c>
      <c r="O414" s="5" t="str">
        <f ca="1">IF(P414&lt;&gt;"EXPEDIÇÃO","Expedido",IF(NETWORKDAYS(C414,TODAY())&gt;=5,"Risco Alto",IF(NETWORKDAYS(C414,TODAY())&gt;=3,IF(NETWORKDAYS(C414,TODAY())&lt;5,"Risco Médio",""),IF(NETWORKDAYS(C414,TODAY())&lt;=2,"Risco Baixo",""))))</f>
        <v>Expedido</v>
      </c>
      <c r="P414" s="5" t="s">
        <v>25</v>
      </c>
      <c r="S414" s="7">
        <f>IF(ISBLANK(M414),"Aguardando Previsão/Data",NETWORKDAYS(L414,M414)-1)</f>
        <v>0</v>
      </c>
      <c r="T414" s="5" t="s">
        <v>942</v>
      </c>
    </row>
    <row r="415" spans="1:20" x14ac:dyDescent="0.35">
      <c r="A415" s="5">
        <v>8100269556</v>
      </c>
      <c r="B415" s="5">
        <v>12058</v>
      </c>
      <c r="C415" s="6">
        <v>45659</v>
      </c>
      <c r="D415" s="5" t="s">
        <v>158</v>
      </c>
      <c r="E415" s="5" t="s">
        <v>159</v>
      </c>
      <c r="F415" s="5" t="s">
        <v>171</v>
      </c>
      <c r="G415" s="5" t="s">
        <v>172</v>
      </c>
      <c r="H415" s="5" t="s">
        <v>108</v>
      </c>
      <c r="I415" s="5" t="s">
        <v>307</v>
      </c>
      <c r="J415" s="5" t="s">
        <v>172</v>
      </c>
      <c r="K415" s="5" t="s">
        <v>170</v>
      </c>
      <c r="L415" s="6">
        <v>45666</v>
      </c>
      <c r="M415" s="6">
        <v>45663</v>
      </c>
      <c r="N415" s="5" t="s">
        <v>811</v>
      </c>
      <c r="O415" s="5" t="str">
        <f ca="1">IF(P415&lt;&gt;"EXPEDIÇÃO","Expedido",IF(NETWORKDAYS(C415,TODAY())&gt;=5,"Risco Alto",IF(NETWORKDAYS(C415,TODAY())&gt;=3,IF(NETWORKDAYS(C415,TODAY())&lt;5,"Risco Médio",""),IF(NETWORKDAYS(C415,TODAY())&lt;=2,"Risco Baixo",""))))</f>
        <v>Expedido</v>
      </c>
      <c r="P415" s="5" t="s">
        <v>25</v>
      </c>
      <c r="S415" s="7">
        <f>IF(ISBLANK(M415),"Aguardando Previsão/Data",NETWORKDAYS(L415,M415)-1)</f>
        <v>-5</v>
      </c>
      <c r="T415" s="5" t="s">
        <v>942</v>
      </c>
    </row>
    <row r="416" spans="1:20" x14ac:dyDescent="0.35">
      <c r="A416" s="5">
        <v>8100269557</v>
      </c>
      <c r="B416" s="5">
        <v>12063</v>
      </c>
      <c r="C416" s="6">
        <v>45659</v>
      </c>
      <c r="D416" s="5" t="s">
        <v>158</v>
      </c>
      <c r="E416" s="5" t="s">
        <v>159</v>
      </c>
      <c r="F416" s="5" t="s">
        <v>147</v>
      </c>
      <c r="G416" s="5" t="s">
        <v>148</v>
      </c>
      <c r="H416" s="5" t="s">
        <v>108</v>
      </c>
      <c r="I416" s="5" t="s">
        <v>128</v>
      </c>
      <c r="J416" s="5" t="s">
        <v>163</v>
      </c>
      <c r="K416" s="5" t="s">
        <v>80</v>
      </c>
      <c r="L416" s="6">
        <v>45667</v>
      </c>
      <c r="M416" s="6">
        <v>45663</v>
      </c>
      <c r="N416" s="5" t="s">
        <v>811</v>
      </c>
      <c r="O416" s="5" t="str">
        <f ca="1">IF(P416&lt;&gt;"EXPEDIÇÃO","Expedido",IF(NETWORKDAYS(C416,TODAY())&gt;=5,"Risco Alto",IF(NETWORKDAYS(C416,TODAY())&gt;=3,IF(NETWORKDAYS(C416,TODAY())&lt;5,"Risco Médio",""),IF(NETWORKDAYS(C416,TODAY())&lt;=2,"Risco Baixo",""))))</f>
        <v>Expedido</v>
      </c>
      <c r="P416" s="5" t="s">
        <v>25</v>
      </c>
      <c r="S416" s="7">
        <f>IF(ISBLANK(M416),"Aguardando Previsão/Data",NETWORKDAYS(L416,M416)-1)</f>
        <v>-6</v>
      </c>
      <c r="T416" s="5" t="s">
        <v>942</v>
      </c>
    </row>
    <row r="417" spans="1:20" x14ac:dyDescent="0.35">
      <c r="A417" s="5">
        <v>8100269558</v>
      </c>
      <c r="B417" s="5">
        <v>12064</v>
      </c>
      <c r="C417" s="6">
        <v>45659</v>
      </c>
      <c r="D417" s="5" t="s">
        <v>158</v>
      </c>
      <c r="E417" s="5" t="s">
        <v>159</v>
      </c>
      <c r="F417" s="5" t="s">
        <v>147</v>
      </c>
      <c r="G417" s="5" t="s">
        <v>148</v>
      </c>
      <c r="H417" s="5" t="s">
        <v>108</v>
      </c>
      <c r="I417" s="5" t="s">
        <v>128</v>
      </c>
      <c r="J417" s="5" t="s">
        <v>163</v>
      </c>
      <c r="K417" s="5" t="s">
        <v>80</v>
      </c>
      <c r="L417" s="6">
        <v>45667</v>
      </c>
      <c r="M417" s="6">
        <v>45666</v>
      </c>
      <c r="N417" s="5" t="s">
        <v>811</v>
      </c>
      <c r="O417" s="5" t="str">
        <f ca="1">IF(P417&lt;&gt;"EXPEDIÇÃO","Expedido",IF(NETWORKDAYS(C417,TODAY())&gt;=5,"Risco Alto",IF(NETWORKDAYS(C417,TODAY())&gt;=3,IF(NETWORKDAYS(C417,TODAY())&lt;5,"Risco Médio",""),IF(NETWORKDAYS(C417,TODAY())&lt;=2,"Risco Baixo",""))))</f>
        <v>Expedido</v>
      </c>
      <c r="P417" s="5" t="s">
        <v>25</v>
      </c>
      <c r="S417" s="7">
        <f>IF(ISBLANK(M417),"Aguardando Previsão/Data",NETWORKDAYS(L417,M417)-1)</f>
        <v>-3</v>
      </c>
      <c r="T417" s="5" t="s">
        <v>942</v>
      </c>
    </row>
    <row r="418" spans="1:20" x14ac:dyDescent="0.35">
      <c r="A418" s="5">
        <v>8100269560</v>
      </c>
      <c r="B418" s="5">
        <v>12065</v>
      </c>
      <c r="C418" s="6">
        <v>45659</v>
      </c>
      <c r="D418" s="5" t="s">
        <v>158</v>
      </c>
      <c r="E418" s="5" t="s">
        <v>159</v>
      </c>
      <c r="F418" s="5" t="s">
        <v>147</v>
      </c>
      <c r="G418" s="5" t="s">
        <v>148</v>
      </c>
      <c r="H418" s="5" t="s">
        <v>108</v>
      </c>
      <c r="I418" s="5" t="s">
        <v>128</v>
      </c>
      <c r="J418" s="5" t="s">
        <v>163</v>
      </c>
      <c r="K418" s="5" t="s">
        <v>80</v>
      </c>
      <c r="L418" s="6">
        <v>45667</v>
      </c>
      <c r="M418" s="6">
        <v>45664</v>
      </c>
      <c r="N418" s="5" t="s">
        <v>811</v>
      </c>
      <c r="O418" s="5" t="str">
        <f ca="1">IF(P418&lt;&gt;"EXPEDIÇÃO","Expedido",IF(NETWORKDAYS(C418,TODAY())&gt;=5,"Risco Alto",IF(NETWORKDAYS(C418,TODAY())&gt;=3,IF(NETWORKDAYS(C418,TODAY())&lt;5,"Risco Médio",""),IF(NETWORKDAYS(C418,TODAY())&lt;=2,"Risco Baixo",""))))</f>
        <v>Expedido</v>
      </c>
      <c r="P418" s="5" t="s">
        <v>25</v>
      </c>
      <c r="S418" s="7">
        <f>IF(ISBLANK(M418),"Aguardando Previsão/Data",NETWORKDAYS(L418,M418)-1)</f>
        <v>-5</v>
      </c>
      <c r="T418" s="5" t="s">
        <v>942</v>
      </c>
    </row>
    <row r="419" spans="1:20" x14ac:dyDescent="0.35">
      <c r="A419" s="5">
        <v>8100269561</v>
      </c>
      <c r="B419" s="5">
        <v>12095</v>
      </c>
      <c r="C419" s="6">
        <v>45659</v>
      </c>
      <c r="D419" s="5" t="s">
        <v>158</v>
      </c>
      <c r="E419" s="5" t="s">
        <v>159</v>
      </c>
      <c r="F419" s="5" t="s">
        <v>160</v>
      </c>
      <c r="G419" s="5" t="s">
        <v>161</v>
      </c>
      <c r="H419" s="5" t="s">
        <v>108</v>
      </c>
      <c r="I419" s="5" t="s">
        <v>162</v>
      </c>
      <c r="J419" s="5" t="s">
        <v>1050</v>
      </c>
      <c r="K419" s="5" t="s">
        <v>175</v>
      </c>
      <c r="L419" s="6">
        <v>45667</v>
      </c>
      <c r="M419" s="6">
        <v>45664</v>
      </c>
      <c r="N419" s="5" t="s">
        <v>811</v>
      </c>
      <c r="O419" s="5" t="str">
        <f ca="1">IF(P419&lt;&gt;"EXPEDIÇÃO","Expedido",IF(NETWORKDAYS(C419,TODAY())&gt;=5,"Risco Alto",IF(NETWORKDAYS(C419,TODAY())&gt;=3,IF(NETWORKDAYS(C419,TODAY())&lt;5,"Risco Médio",""),IF(NETWORKDAYS(C419,TODAY())&lt;=2,"Risco Baixo",""))))</f>
        <v>Expedido</v>
      </c>
      <c r="P419" s="5" t="s">
        <v>25</v>
      </c>
      <c r="S419" s="7">
        <f>IF(ISBLANK(M419),"Aguardando Previsão/Data",NETWORKDAYS(L419,M419)-1)</f>
        <v>-5</v>
      </c>
      <c r="T419" s="5" t="s">
        <v>942</v>
      </c>
    </row>
    <row r="420" spans="1:20" x14ac:dyDescent="0.35">
      <c r="A420" s="5">
        <v>8100269562</v>
      </c>
      <c r="B420" s="5">
        <v>12083</v>
      </c>
      <c r="C420" s="6">
        <v>45659</v>
      </c>
      <c r="D420" s="5" t="s">
        <v>158</v>
      </c>
      <c r="E420" s="5" t="s">
        <v>159</v>
      </c>
      <c r="F420" s="5" t="s">
        <v>160</v>
      </c>
      <c r="G420" s="5" t="s">
        <v>161</v>
      </c>
      <c r="H420" s="5" t="s">
        <v>108</v>
      </c>
      <c r="I420" s="5" t="s">
        <v>162</v>
      </c>
      <c r="J420" s="5" t="s">
        <v>1050</v>
      </c>
      <c r="K420" s="5" t="s">
        <v>175</v>
      </c>
      <c r="L420" s="6">
        <v>45667</v>
      </c>
      <c r="M420" s="6">
        <v>45663</v>
      </c>
      <c r="N420" s="5" t="s">
        <v>811</v>
      </c>
      <c r="O420" s="5" t="str">
        <f ca="1">IF(P420&lt;&gt;"EXPEDIÇÃO","Expedido",IF(NETWORKDAYS(C420,TODAY())&gt;=5,"Risco Alto",IF(NETWORKDAYS(C420,TODAY())&gt;=3,IF(NETWORKDAYS(C420,TODAY())&lt;5,"Risco Médio",""),IF(NETWORKDAYS(C420,TODAY())&lt;=2,"Risco Baixo",""))))</f>
        <v>Expedido</v>
      </c>
      <c r="P420" s="5" t="s">
        <v>25</v>
      </c>
      <c r="S420" s="7">
        <f>IF(ISBLANK(M420),"Aguardando Previsão/Data",NETWORKDAYS(L420,M420)-1)</f>
        <v>-6</v>
      </c>
      <c r="T420" s="5" t="s">
        <v>942</v>
      </c>
    </row>
    <row r="421" spans="1:20" x14ac:dyDescent="0.35">
      <c r="A421" s="5">
        <v>8100269563</v>
      </c>
      <c r="B421" s="5">
        <v>12097</v>
      </c>
      <c r="C421" s="6">
        <v>45659</v>
      </c>
      <c r="D421" s="5" t="s">
        <v>158</v>
      </c>
      <c r="E421" s="5" t="s">
        <v>159</v>
      </c>
      <c r="F421" s="5" t="s">
        <v>160</v>
      </c>
      <c r="G421" s="5" t="s">
        <v>161</v>
      </c>
      <c r="H421" s="5" t="s">
        <v>108</v>
      </c>
      <c r="I421" s="5" t="s">
        <v>162</v>
      </c>
      <c r="J421" s="5" t="s">
        <v>1050</v>
      </c>
      <c r="K421" s="5" t="s">
        <v>175</v>
      </c>
      <c r="L421" s="6">
        <v>45667</v>
      </c>
      <c r="M421" s="6">
        <v>45663</v>
      </c>
      <c r="N421" s="5" t="s">
        <v>811</v>
      </c>
      <c r="O421" s="5" t="str">
        <f ca="1">IF(P421&lt;&gt;"EXPEDIÇÃO","Expedido",IF(NETWORKDAYS(C421,TODAY())&gt;=5,"Risco Alto",IF(NETWORKDAYS(C421,TODAY())&gt;=3,IF(NETWORKDAYS(C421,TODAY())&lt;5,"Risco Médio",""),IF(NETWORKDAYS(C421,TODAY())&lt;=2,"Risco Baixo",""))))</f>
        <v>Expedido</v>
      </c>
      <c r="P421" s="5" t="s">
        <v>25</v>
      </c>
      <c r="S421" s="7">
        <f>IF(ISBLANK(M421),"Aguardando Previsão/Data",NETWORKDAYS(L421,M421)-1)</f>
        <v>-6</v>
      </c>
      <c r="T421" s="5" t="s">
        <v>942</v>
      </c>
    </row>
    <row r="422" spans="1:20" x14ac:dyDescent="0.35">
      <c r="A422" s="5">
        <v>8100269564</v>
      </c>
      <c r="B422" s="5">
        <v>12098</v>
      </c>
      <c r="C422" s="6">
        <v>45659</v>
      </c>
      <c r="D422" s="5" t="s">
        <v>158</v>
      </c>
      <c r="E422" s="5" t="s">
        <v>159</v>
      </c>
      <c r="F422" s="5" t="s">
        <v>160</v>
      </c>
      <c r="G422" s="5" t="s">
        <v>161</v>
      </c>
      <c r="H422" s="5" t="s">
        <v>108</v>
      </c>
      <c r="I422" s="5" t="s">
        <v>162</v>
      </c>
      <c r="J422" s="5" t="s">
        <v>1050</v>
      </c>
      <c r="K422" s="5" t="s">
        <v>175</v>
      </c>
      <c r="L422" s="6">
        <v>45667</v>
      </c>
      <c r="M422" s="6">
        <v>45664</v>
      </c>
      <c r="N422" s="5" t="s">
        <v>811</v>
      </c>
      <c r="O422" s="5" t="str">
        <f ca="1">IF(P422&lt;&gt;"EXPEDIÇÃO","Expedido",IF(NETWORKDAYS(C422,TODAY())&gt;=5,"Risco Alto",IF(NETWORKDAYS(C422,TODAY())&gt;=3,IF(NETWORKDAYS(C422,TODAY())&lt;5,"Risco Médio",""),IF(NETWORKDAYS(C422,TODAY())&lt;=2,"Risco Baixo",""))))</f>
        <v>Expedido</v>
      </c>
      <c r="P422" s="5" t="s">
        <v>25</v>
      </c>
      <c r="S422" s="7">
        <f>IF(ISBLANK(M422),"Aguardando Previsão/Data",NETWORKDAYS(L422,M422)-1)</f>
        <v>-5</v>
      </c>
      <c r="T422" s="5" t="s">
        <v>942</v>
      </c>
    </row>
    <row r="423" spans="1:20" x14ac:dyDescent="0.35">
      <c r="A423" s="5">
        <v>8100269567</v>
      </c>
      <c r="B423" s="5">
        <v>12096</v>
      </c>
      <c r="C423" s="6">
        <v>45659</v>
      </c>
      <c r="D423" s="5" t="s">
        <v>158</v>
      </c>
      <c r="E423" s="5" t="s">
        <v>159</v>
      </c>
      <c r="F423" s="5" t="s">
        <v>160</v>
      </c>
      <c r="G423" s="5" t="s">
        <v>161</v>
      </c>
      <c r="H423" s="5" t="s">
        <v>108</v>
      </c>
      <c r="I423" s="5" t="s">
        <v>162</v>
      </c>
      <c r="J423" s="5" t="s">
        <v>1050</v>
      </c>
      <c r="K423" s="5" t="s">
        <v>175</v>
      </c>
      <c r="L423" s="6">
        <v>45667</v>
      </c>
      <c r="M423" s="6">
        <v>45666</v>
      </c>
      <c r="N423" s="5" t="s">
        <v>811</v>
      </c>
      <c r="O423" s="5" t="str">
        <f ca="1">IF(P423&lt;&gt;"EXPEDIÇÃO","Expedido",IF(NETWORKDAYS(C423,TODAY())&gt;=5,"Risco Alto",IF(NETWORKDAYS(C423,TODAY())&gt;=3,IF(NETWORKDAYS(C423,TODAY())&lt;5,"Risco Médio",""),IF(NETWORKDAYS(C423,TODAY())&lt;=2,"Risco Baixo",""))))</f>
        <v>Expedido</v>
      </c>
      <c r="P423" s="5" t="s">
        <v>25</v>
      </c>
      <c r="S423" s="7">
        <f>IF(ISBLANK(M423),"Aguardando Previsão/Data",NETWORKDAYS(L423,M423)-1)</f>
        <v>-3</v>
      </c>
      <c r="T423" s="5" t="s">
        <v>942</v>
      </c>
    </row>
    <row r="424" spans="1:20" x14ac:dyDescent="0.35">
      <c r="A424" s="5">
        <v>8100269568</v>
      </c>
      <c r="B424" s="5">
        <v>12099</v>
      </c>
      <c r="C424" s="6">
        <v>45659</v>
      </c>
      <c r="D424" s="5" t="s">
        <v>158</v>
      </c>
      <c r="E424" s="5" t="s">
        <v>159</v>
      </c>
      <c r="F424" s="5" t="s">
        <v>160</v>
      </c>
      <c r="G424" s="5" t="s">
        <v>161</v>
      </c>
      <c r="H424" s="5" t="s">
        <v>108</v>
      </c>
      <c r="I424" s="5" t="s">
        <v>162</v>
      </c>
      <c r="J424" s="5" t="s">
        <v>1050</v>
      </c>
      <c r="K424" s="5" t="s">
        <v>175</v>
      </c>
      <c r="L424" s="6">
        <v>45667</v>
      </c>
      <c r="M424" s="6">
        <v>45663</v>
      </c>
      <c r="N424" s="5" t="s">
        <v>811</v>
      </c>
      <c r="O424" s="5" t="str">
        <f ca="1">IF(P424&lt;&gt;"EXPEDIÇÃO","Expedido",IF(NETWORKDAYS(C424,TODAY())&gt;=5,"Risco Alto",IF(NETWORKDAYS(C424,TODAY())&gt;=3,IF(NETWORKDAYS(C424,TODAY())&lt;5,"Risco Médio",""),IF(NETWORKDAYS(C424,TODAY())&lt;=2,"Risco Baixo",""))))</f>
        <v>Expedido</v>
      </c>
      <c r="P424" s="5" t="s">
        <v>25</v>
      </c>
      <c r="S424" s="7">
        <f>IF(ISBLANK(M424),"Aguardando Previsão/Data",NETWORKDAYS(L424,M424)-1)</f>
        <v>-6</v>
      </c>
      <c r="T424" s="5" t="s">
        <v>942</v>
      </c>
    </row>
    <row r="425" spans="1:20" x14ac:dyDescent="0.35">
      <c r="A425" s="5">
        <v>8100269569</v>
      </c>
      <c r="B425" s="5">
        <v>12085</v>
      </c>
      <c r="C425" s="6">
        <v>45659</v>
      </c>
      <c r="D425" s="5" t="s">
        <v>158</v>
      </c>
      <c r="E425" s="5" t="s">
        <v>159</v>
      </c>
      <c r="F425" s="5" t="s">
        <v>160</v>
      </c>
      <c r="G425" s="5" t="s">
        <v>161</v>
      </c>
      <c r="H425" s="5" t="s">
        <v>108</v>
      </c>
      <c r="I425" s="5" t="s">
        <v>347</v>
      </c>
      <c r="J425" s="5" t="s">
        <v>310</v>
      </c>
      <c r="K425" s="5" t="s">
        <v>175</v>
      </c>
      <c r="L425" s="6">
        <v>45670</v>
      </c>
      <c r="M425" s="6">
        <v>45664</v>
      </c>
      <c r="N425" s="5" t="s">
        <v>811</v>
      </c>
      <c r="O425" s="5" t="str">
        <f ca="1">IF(P425&lt;&gt;"EXPEDIÇÃO","Expedido",IF(NETWORKDAYS(C425,TODAY())&gt;=5,"Risco Alto",IF(NETWORKDAYS(C425,TODAY())&gt;=3,IF(NETWORKDAYS(C425,TODAY())&lt;5,"Risco Médio",""),IF(NETWORKDAYS(C425,TODAY())&lt;=2,"Risco Baixo",""))))</f>
        <v>Expedido</v>
      </c>
      <c r="P425" s="5" t="s">
        <v>25</v>
      </c>
      <c r="S425" s="7">
        <f>IF(ISBLANK(M425),"Aguardando Previsão/Data",NETWORKDAYS(L425,M425)-1)</f>
        <v>-6</v>
      </c>
      <c r="T425" s="5" t="s">
        <v>942</v>
      </c>
    </row>
    <row r="426" spans="1:20" x14ac:dyDescent="0.35">
      <c r="A426" s="5">
        <v>8100269570</v>
      </c>
      <c r="B426" s="5">
        <v>12082</v>
      </c>
      <c r="C426" s="6">
        <v>45659</v>
      </c>
      <c r="D426" s="5" t="s">
        <v>158</v>
      </c>
      <c r="E426" s="5" t="s">
        <v>159</v>
      </c>
      <c r="F426" s="5" t="s">
        <v>136</v>
      </c>
      <c r="G426" s="5" t="s">
        <v>137</v>
      </c>
      <c r="H426" s="5" t="s">
        <v>108</v>
      </c>
      <c r="I426" s="5" t="s">
        <v>178</v>
      </c>
      <c r="J426" s="5" t="s">
        <v>179</v>
      </c>
      <c r="K426" s="5" t="s">
        <v>175</v>
      </c>
      <c r="L426" s="6">
        <v>45667</v>
      </c>
      <c r="M426" s="6">
        <v>45666</v>
      </c>
      <c r="N426" s="5" t="s">
        <v>811</v>
      </c>
      <c r="O426" s="5" t="str">
        <f ca="1">IF(P426&lt;&gt;"EXPEDIÇÃO","Expedido",IF(NETWORKDAYS(C426,TODAY())&gt;=5,"Risco Alto",IF(NETWORKDAYS(C426,TODAY())&gt;=3,IF(NETWORKDAYS(C426,TODAY())&lt;5,"Risco Médio",""),IF(NETWORKDAYS(C426,TODAY())&lt;=2,"Risco Baixo",""))))</f>
        <v>Expedido</v>
      </c>
      <c r="P426" s="5" t="s">
        <v>25</v>
      </c>
      <c r="S426" s="7">
        <f>IF(ISBLANK(M426),"Aguardando Previsão/Data",NETWORKDAYS(L426,M426)-1)</f>
        <v>-3</v>
      </c>
      <c r="T426" s="5" t="s">
        <v>942</v>
      </c>
    </row>
    <row r="427" spans="1:20" x14ac:dyDescent="0.35">
      <c r="A427" s="5">
        <v>8100269571</v>
      </c>
      <c r="B427" s="5">
        <v>12086</v>
      </c>
      <c r="C427" s="6">
        <v>45659</v>
      </c>
      <c r="D427" s="5" t="s">
        <v>158</v>
      </c>
      <c r="E427" s="5" t="s">
        <v>159</v>
      </c>
      <c r="F427" s="5" t="s">
        <v>160</v>
      </c>
      <c r="G427" s="5" t="s">
        <v>161</v>
      </c>
      <c r="H427" s="5" t="s">
        <v>108</v>
      </c>
      <c r="I427" s="5" t="s">
        <v>347</v>
      </c>
      <c r="J427" s="5" t="s">
        <v>310</v>
      </c>
      <c r="K427" s="5" t="s">
        <v>175</v>
      </c>
      <c r="L427" s="6">
        <v>45670</v>
      </c>
      <c r="M427" s="6">
        <v>45668</v>
      </c>
      <c r="N427" s="5" t="s">
        <v>811</v>
      </c>
      <c r="O427" s="5" t="str">
        <f ca="1">IF(P427&lt;&gt;"EXPEDIÇÃO","Expedido",IF(NETWORKDAYS(C427,TODAY())&gt;=5,"Risco Alto",IF(NETWORKDAYS(C427,TODAY())&gt;=3,IF(NETWORKDAYS(C427,TODAY())&lt;5,"Risco Médio",""),IF(NETWORKDAYS(C427,TODAY())&lt;=2,"Risco Baixo",""))))</f>
        <v>Expedido</v>
      </c>
      <c r="P427" s="5" t="s">
        <v>25</v>
      </c>
      <c r="S427" s="7">
        <f>IF(ISBLANK(M427),"Aguardando Previsão/Data",NETWORKDAYS(L427,M427)-1)</f>
        <v>-2</v>
      </c>
      <c r="T427" s="5" t="s">
        <v>942</v>
      </c>
    </row>
    <row r="428" spans="1:20" x14ac:dyDescent="0.35">
      <c r="A428" s="5">
        <v>8100269572</v>
      </c>
      <c r="B428" s="5">
        <v>12091</v>
      </c>
      <c r="C428" s="6">
        <v>45659</v>
      </c>
      <c r="D428" s="5" t="s">
        <v>158</v>
      </c>
      <c r="E428" s="5" t="s">
        <v>159</v>
      </c>
      <c r="F428" s="5" t="s">
        <v>160</v>
      </c>
      <c r="G428" s="5" t="s">
        <v>161</v>
      </c>
      <c r="H428" s="5" t="s">
        <v>108</v>
      </c>
      <c r="I428" s="5" t="s">
        <v>347</v>
      </c>
      <c r="J428" s="5" t="s">
        <v>310</v>
      </c>
      <c r="K428" s="5" t="s">
        <v>175</v>
      </c>
      <c r="L428" s="6">
        <v>45670</v>
      </c>
      <c r="M428" s="6">
        <v>45664</v>
      </c>
      <c r="N428" s="5" t="s">
        <v>811</v>
      </c>
      <c r="O428" s="5" t="str">
        <f ca="1">IF(P428&lt;&gt;"EXPEDIÇÃO","Expedido",IF(NETWORKDAYS(C428,TODAY())&gt;=5,"Risco Alto",IF(NETWORKDAYS(C428,TODAY())&gt;=3,IF(NETWORKDAYS(C428,TODAY())&lt;5,"Risco Médio",""),IF(NETWORKDAYS(C428,TODAY())&lt;=2,"Risco Baixo",""))))</f>
        <v>Expedido</v>
      </c>
      <c r="P428" s="5" t="s">
        <v>25</v>
      </c>
      <c r="S428" s="7">
        <f>IF(ISBLANK(M428),"Aguardando Previsão/Data",NETWORKDAYS(L428,M428)-1)</f>
        <v>-6</v>
      </c>
      <c r="T428" s="5" t="s">
        <v>942</v>
      </c>
    </row>
    <row r="429" spans="1:20" x14ac:dyDescent="0.35">
      <c r="A429" s="5">
        <v>8100269573</v>
      </c>
      <c r="B429" s="5">
        <v>12092</v>
      </c>
      <c r="C429" s="6">
        <v>45659</v>
      </c>
      <c r="D429" s="5" t="s">
        <v>158</v>
      </c>
      <c r="E429" s="5" t="s">
        <v>159</v>
      </c>
      <c r="F429" s="5" t="s">
        <v>160</v>
      </c>
      <c r="G429" s="5" t="s">
        <v>161</v>
      </c>
      <c r="H429" s="5" t="s">
        <v>108</v>
      </c>
      <c r="I429" s="5" t="s">
        <v>347</v>
      </c>
      <c r="J429" s="5" t="s">
        <v>310</v>
      </c>
      <c r="K429" s="5" t="s">
        <v>175</v>
      </c>
      <c r="L429" s="6">
        <v>45670</v>
      </c>
      <c r="M429" s="6">
        <v>45668</v>
      </c>
      <c r="N429" s="5" t="s">
        <v>811</v>
      </c>
      <c r="O429" s="5" t="str">
        <f ca="1">IF(P429&lt;&gt;"EXPEDIÇÃO","Expedido",IF(NETWORKDAYS(C429,TODAY())&gt;=5,"Risco Alto",IF(NETWORKDAYS(C429,TODAY())&gt;=3,IF(NETWORKDAYS(C429,TODAY())&lt;5,"Risco Médio",""),IF(NETWORKDAYS(C429,TODAY())&lt;=2,"Risco Baixo",""))))</f>
        <v>Expedido</v>
      </c>
      <c r="P429" s="5" t="s">
        <v>25</v>
      </c>
      <c r="S429" s="7">
        <f>IF(ISBLANK(M429),"Aguardando Previsão/Data",NETWORKDAYS(L429,M429)-1)</f>
        <v>-2</v>
      </c>
      <c r="T429" s="5" t="s">
        <v>942</v>
      </c>
    </row>
    <row r="430" spans="1:20" x14ac:dyDescent="0.35">
      <c r="A430" s="5">
        <v>8100269574</v>
      </c>
      <c r="B430" s="5">
        <v>12087</v>
      </c>
      <c r="C430" s="6">
        <v>45659</v>
      </c>
      <c r="D430" s="5" t="s">
        <v>158</v>
      </c>
      <c r="E430" s="5" t="s">
        <v>159</v>
      </c>
      <c r="F430" s="5" t="s">
        <v>160</v>
      </c>
      <c r="G430" s="5" t="s">
        <v>161</v>
      </c>
      <c r="H430" s="5" t="s">
        <v>108</v>
      </c>
      <c r="I430" s="5" t="s">
        <v>347</v>
      </c>
      <c r="J430" s="5" t="s">
        <v>310</v>
      </c>
      <c r="K430" s="5" t="s">
        <v>175</v>
      </c>
      <c r="L430" s="6">
        <v>45670</v>
      </c>
      <c r="M430" s="6">
        <v>45668</v>
      </c>
      <c r="N430" s="5" t="s">
        <v>811</v>
      </c>
      <c r="O430" s="5" t="str">
        <f ca="1">IF(P430&lt;&gt;"EXPEDIÇÃO","Expedido",IF(NETWORKDAYS(C430,TODAY())&gt;=5,"Risco Alto",IF(NETWORKDAYS(C430,TODAY())&gt;=3,IF(NETWORKDAYS(C430,TODAY())&lt;5,"Risco Médio",""),IF(NETWORKDAYS(C430,TODAY())&lt;=2,"Risco Baixo",""))))</f>
        <v>Expedido</v>
      </c>
      <c r="P430" s="5" t="s">
        <v>25</v>
      </c>
      <c r="S430" s="7">
        <f>IF(ISBLANK(M430),"Aguardando Previsão/Data",NETWORKDAYS(L430,M430)-1)</f>
        <v>-2</v>
      </c>
      <c r="T430" s="5" t="s">
        <v>942</v>
      </c>
    </row>
    <row r="431" spans="1:20" x14ac:dyDescent="0.35">
      <c r="A431" s="5">
        <v>8100269582</v>
      </c>
      <c r="B431" s="5">
        <v>12066</v>
      </c>
      <c r="C431" s="6">
        <v>45659</v>
      </c>
      <c r="D431" s="5" t="s">
        <v>158</v>
      </c>
      <c r="E431" s="5" t="s">
        <v>159</v>
      </c>
      <c r="F431" s="5" t="s">
        <v>147</v>
      </c>
      <c r="G431" s="5" t="s">
        <v>148</v>
      </c>
      <c r="H431" s="5" t="s">
        <v>108</v>
      </c>
      <c r="I431" s="5" t="s">
        <v>128</v>
      </c>
      <c r="J431" s="5" t="s">
        <v>163</v>
      </c>
      <c r="K431" s="5" t="s">
        <v>80</v>
      </c>
      <c r="L431" s="6">
        <v>45667</v>
      </c>
      <c r="M431" s="6">
        <v>45663</v>
      </c>
      <c r="N431" s="5" t="s">
        <v>811</v>
      </c>
      <c r="O431" s="5" t="str">
        <f ca="1">IF(P431&lt;&gt;"EXPEDIÇÃO","Expedido",IF(NETWORKDAYS(C431,TODAY())&gt;=5,"Risco Alto",IF(NETWORKDAYS(C431,TODAY())&gt;=3,IF(NETWORKDAYS(C431,TODAY())&lt;5,"Risco Médio",""),IF(NETWORKDAYS(C431,TODAY())&lt;=2,"Risco Baixo",""))))</f>
        <v>Expedido</v>
      </c>
      <c r="P431" s="5" t="s">
        <v>25</v>
      </c>
      <c r="S431" s="7">
        <f>IF(ISBLANK(M431),"Aguardando Previsão/Data",NETWORKDAYS(L431,M431)-1)</f>
        <v>-6</v>
      </c>
      <c r="T431" s="5" t="s">
        <v>942</v>
      </c>
    </row>
    <row r="432" spans="1:20" x14ac:dyDescent="0.35">
      <c r="A432" s="5">
        <v>8100269583</v>
      </c>
      <c r="B432" s="5">
        <v>12067</v>
      </c>
      <c r="C432" s="6">
        <v>45659</v>
      </c>
      <c r="D432" s="5" t="s">
        <v>158</v>
      </c>
      <c r="E432" s="5" t="s">
        <v>159</v>
      </c>
      <c r="F432" s="5" t="s">
        <v>147</v>
      </c>
      <c r="G432" s="5" t="s">
        <v>148</v>
      </c>
      <c r="H432" s="5" t="s">
        <v>108</v>
      </c>
      <c r="I432" s="5" t="s">
        <v>128</v>
      </c>
      <c r="J432" s="5" t="s">
        <v>163</v>
      </c>
      <c r="K432" s="5" t="s">
        <v>80</v>
      </c>
      <c r="L432" s="6">
        <v>45667</v>
      </c>
      <c r="M432" s="6">
        <v>45663</v>
      </c>
      <c r="N432" s="5" t="s">
        <v>811</v>
      </c>
      <c r="O432" s="5" t="str">
        <f ca="1">IF(P432&lt;&gt;"EXPEDIÇÃO","Expedido",IF(NETWORKDAYS(C432,TODAY())&gt;=5,"Risco Alto",IF(NETWORKDAYS(C432,TODAY())&gt;=3,IF(NETWORKDAYS(C432,TODAY())&lt;5,"Risco Médio",""),IF(NETWORKDAYS(C432,TODAY())&lt;=2,"Risco Baixo",""))))</f>
        <v>Expedido</v>
      </c>
      <c r="P432" s="5" t="s">
        <v>25</v>
      </c>
      <c r="S432" s="7">
        <f>IF(ISBLANK(M432),"Aguardando Previsão/Data",NETWORKDAYS(L432,M432)-1)</f>
        <v>-6</v>
      </c>
      <c r="T432" s="5" t="s">
        <v>942</v>
      </c>
    </row>
    <row r="433" spans="1:20" x14ac:dyDescent="0.35">
      <c r="A433" s="5">
        <v>8100269584</v>
      </c>
      <c r="B433" s="5">
        <v>12100</v>
      </c>
      <c r="C433" s="6">
        <v>45659</v>
      </c>
      <c r="D433" s="5" t="s">
        <v>158</v>
      </c>
      <c r="E433" s="5" t="s">
        <v>159</v>
      </c>
      <c r="F433" s="5" t="s">
        <v>160</v>
      </c>
      <c r="G433" s="5" t="s">
        <v>161</v>
      </c>
      <c r="H433" s="5" t="s">
        <v>108</v>
      </c>
      <c r="I433" s="5" t="s">
        <v>162</v>
      </c>
      <c r="J433" s="5" t="s">
        <v>1050</v>
      </c>
      <c r="K433" s="5" t="s">
        <v>175</v>
      </c>
      <c r="L433" s="6">
        <v>45667</v>
      </c>
      <c r="M433" s="6">
        <v>45663</v>
      </c>
      <c r="N433" s="5" t="s">
        <v>811</v>
      </c>
      <c r="O433" s="5" t="str">
        <f ca="1">IF(P433&lt;&gt;"EXPEDIÇÃO","Expedido",IF(NETWORKDAYS(C433,TODAY())&gt;=5,"Risco Alto",IF(NETWORKDAYS(C433,TODAY())&gt;=3,IF(NETWORKDAYS(C433,TODAY())&lt;5,"Risco Médio",""),IF(NETWORKDAYS(C433,TODAY())&lt;=2,"Risco Baixo",""))))</f>
        <v>Expedido</v>
      </c>
      <c r="P433" s="5" t="s">
        <v>25</v>
      </c>
      <c r="S433" s="7">
        <f>IF(ISBLANK(M433),"Aguardando Previsão/Data",NETWORKDAYS(L433,M433)-1)</f>
        <v>-6</v>
      </c>
      <c r="T433" s="5" t="s">
        <v>942</v>
      </c>
    </row>
    <row r="434" spans="1:20" x14ac:dyDescent="0.35">
      <c r="A434" s="5">
        <v>8100269586</v>
      </c>
      <c r="B434" s="5">
        <v>12068</v>
      </c>
      <c r="C434" s="6">
        <v>45659</v>
      </c>
      <c r="D434" s="5" t="s">
        <v>158</v>
      </c>
      <c r="E434" s="5" t="s">
        <v>159</v>
      </c>
      <c r="F434" s="5" t="s">
        <v>147</v>
      </c>
      <c r="G434" s="5" t="s">
        <v>148</v>
      </c>
      <c r="H434" s="5" t="s">
        <v>108</v>
      </c>
      <c r="I434" s="5" t="s">
        <v>128</v>
      </c>
      <c r="J434" s="5" t="s">
        <v>163</v>
      </c>
      <c r="K434" s="5" t="s">
        <v>80</v>
      </c>
      <c r="L434" s="6">
        <v>45667</v>
      </c>
      <c r="M434" s="6">
        <v>45666</v>
      </c>
      <c r="N434" s="5" t="s">
        <v>811</v>
      </c>
      <c r="O434" s="5" t="str">
        <f ca="1">IF(P434&lt;&gt;"EXPEDIÇÃO","Expedido",IF(NETWORKDAYS(C434,TODAY())&gt;=5,"Risco Alto",IF(NETWORKDAYS(C434,TODAY())&gt;=3,IF(NETWORKDAYS(C434,TODAY())&lt;5,"Risco Médio",""),IF(NETWORKDAYS(C434,TODAY())&lt;=2,"Risco Baixo",""))))</f>
        <v>Expedido</v>
      </c>
      <c r="P434" s="5" t="s">
        <v>25</v>
      </c>
      <c r="S434" s="7">
        <f>IF(ISBLANK(M434),"Aguardando Previsão/Data",NETWORKDAYS(L434,M434)-1)</f>
        <v>-3</v>
      </c>
      <c r="T434" s="5" t="s">
        <v>942</v>
      </c>
    </row>
    <row r="435" spans="1:20" x14ac:dyDescent="0.35">
      <c r="A435" s="5">
        <v>8100269587</v>
      </c>
      <c r="B435" s="5">
        <v>12069</v>
      </c>
      <c r="C435" s="6">
        <v>45659</v>
      </c>
      <c r="D435" s="5" t="s">
        <v>158</v>
      </c>
      <c r="E435" s="5" t="s">
        <v>159</v>
      </c>
      <c r="F435" s="5" t="s">
        <v>147</v>
      </c>
      <c r="G435" s="5" t="s">
        <v>148</v>
      </c>
      <c r="H435" s="5" t="s">
        <v>108</v>
      </c>
      <c r="I435" s="5" t="s">
        <v>128</v>
      </c>
      <c r="J435" s="5" t="s">
        <v>163</v>
      </c>
      <c r="K435" s="5" t="s">
        <v>80</v>
      </c>
      <c r="L435" s="6">
        <v>45667</v>
      </c>
      <c r="M435" s="6">
        <v>45663</v>
      </c>
      <c r="N435" s="5" t="s">
        <v>811</v>
      </c>
      <c r="O435" s="5" t="str">
        <f ca="1">IF(P435&lt;&gt;"EXPEDIÇÃO","Expedido",IF(NETWORKDAYS(C435,TODAY())&gt;=5,"Risco Alto",IF(NETWORKDAYS(C435,TODAY())&gt;=3,IF(NETWORKDAYS(C435,TODAY())&lt;5,"Risco Médio",""),IF(NETWORKDAYS(C435,TODAY())&lt;=2,"Risco Baixo",""))))</f>
        <v>Expedido</v>
      </c>
      <c r="P435" s="5" t="s">
        <v>25</v>
      </c>
      <c r="S435" s="7">
        <f>IF(ISBLANK(M435),"Aguardando Previsão/Data",NETWORKDAYS(L435,M435)-1)</f>
        <v>-6</v>
      </c>
      <c r="T435" s="5" t="s">
        <v>942</v>
      </c>
    </row>
    <row r="436" spans="1:20" x14ac:dyDescent="0.35">
      <c r="A436" s="5">
        <v>8100269722</v>
      </c>
      <c r="B436" s="5">
        <v>12101</v>
      </c>
      <c r="C436" s="6">
        <v>45659</v>
      </c>
      <c r="D436" s="5" t="s">
        <v>158</v>
      </c>
      <c r="E436" s="5" t="s">
        <v>159</v>
      </c>
      <c r="F436" s="5" t="s">
        <v>176</v>
      </c>
      <c r="G436" s="5" t="s">
        <v>177</v>
      </c>
      <c r="H436" s="5" t="s">
        <v>108</v>
      </c>
      <c r="I436" s="5" t="s">
        <v>178</v>
      </c>
      <c r="J436" s="5" t="s">
        <v>179</v>
      </c>
      <c r="K436" s="5" t="s">
        <v>175</v>
      </c>
      <c r="L436" s="6">
        <v>45667</v>
      </c>
      <c r="M436" s="6">
        <v>45666</v>
      </c>
      <c r="N436" s="5" t="s">
        <v>811</v>
      </c>
      <c r="O436" s="5" t="str">
        <f ca="1">IF(P436&lt;&gt;"EXPEDIÇÃO","Expedido",IF(NETWORKDAYS(C436,TODAY())&gt;=5,"Risco Alto",IF(NETWORKDAYS(C436,TODAY())&gt;=3,IF(NETWORKDAYS(C436,TODAY())&lt;5,"Risco Médio",""),IF(NETWORKDAYS(C436,TODAY())&lt;=2,"Risco Baixo",""))))</f>
        <v>Expedido</v>
      </c>
      <c r="P436" s="5" t="s">
        <v>25</v>
      </c>
      <c r="S436" s="7">
        <f>IF(ISBLANK(M436),"Aguardando Previsão/Data",NETWORKDAYS(L436,M436)-1)</f>
        <v>-3</v>
      </c>
      <c r="T436" s="5" t="s">
        <v>942</v>
      </c>
    </row>
    <row r="437" spans="1:20" x14ac:dyDescent="0.35">
      <c r="A437" s="5">
        <v>8100269723</v>
      </c>
      <c r="B437" s="5">
        <v>12102</v>
      </c>
      <c r="C437" s="6">
        <v>45659</v>
      </c>
      <c r="D437" s="5" t="s">
        <v>158</v>
      </c>
      <c r="E437" s="5" t="s">
        <v>159</v>
      </c>
      <c r="F437" s="5" t="s">
        <v>176</v>
      </c>
      <c r="G437" s="5" t="s">
        <v>177</v>
      </c>
      <c r="H437" s="5" t="s">
        <v>108</v>
      </c>
      <c r="I437" s="5" t="s">
        <v>178</v>
      </c>
      <c r="J437" s="5" t="s">
        <v>179</v>
      </c>
      <c r="K437" s="5" t="s">
        <v>175</v>
      </c>
      <c r="L437" s="6">
        <v>45667</v>
      </c>
      <c r="M437" s="6">
        <v>45666</v>
      </c>
      <c r="N437" s="5" t="s">
        <v>811</v>
      </c>
      <c r="O437" s="5" t="str">
        <f ca="1">IF(P437&lt;&gt;"EXPEDIÇÃO","Expedido",IF(NETWORKDAYS(C437,TODAY())&gt;=5,"Risco Alto",IF(NETWORKDAYS(C437,TODAY())&gt;=3,IF(NETWORKDAYS(C437,TODAY())&lt;5,"Risco Médio",""),IF(NETWORKDAYS(C437,TODAY())&lt;=2,"Risco Baixo",""))))</f>
        <v>Expedido</v>
      </c>
      <c r="P437" s="5" t="s">
        <v>25</v>
      </c>
      <c r="S437" s="7">
        <f>IF(ISBLANK(M437),"Aguardando Previsão/Data",NETWORKDAYS(L437,M437)-1)</f>
        <v>-3</v>
      </c>
      <c r="T437" s="5" t="s">
        <v>942</v>
      </c>
    </row>
    <row r="438" spans="1:20" x14ac:dyDescent="0.35">
      <c r="A438" s="5">
        <v>8100269724</v>
      </c>
      <c r="B438" s="5">
        <v>12103</v>
      </c>
      <c r="C438" s="6">
        <v>45659</v>
      </c>
      <c r="D438" s="5" t="s">
        <v>158</v>
      </c>
      <c r="E438" s="5" t="s">
        <v>159</v>
      </c>
      <c r="F438" s="5" t="s">
        <v>176</v>
      </c>
      <c r="G438" s="5" t="s">
        <v>177</v>
      </c>
      <c r="H438" s="5" t="s">
        <v>108</v>
      </c>
      <c r="I438" s="5" t="s">
        <v>178</v>
      </c>
      <c r="J438" s="5" t="s">
        <v>179</v>
      </c>
      <c r="K438" s="5" t="s">
        <v>175</v>
      </c>
      <c r="L438" s="6">
        <v>45667</v>
      </c>
      <c r="M438" s="6">
        <v>45666</v>
      </c>
      <c r="N438" s="5" t="s">
        <v>811</v>
      </c>
      <c r="O438" s="5" t="str">
        <f ca="1">IF(P438&lt;&gt;"EXPEDIÇÃO","Expedido",IF(NETWORKDAYS(C438,TODAY())&gt;=5,"Risco Alto",IF(NETWORKDAYS(C438,TODAY())&gt;=3,IF(NETWORKDAYS(C438,TODAY())&lt;5,"Risco Médio",""),IF(NETWORKDAYS(C438,TODAY())&lt;=2,"Risco Baixo",""))))</f>
        <v>Expedido</v>
      </c>
      <c r="P438" s="5" t="s">
        <v>25</v>
      </c>
      <c r="S438" s="7">
        <f>IF(ISBLANK(M438),"Aguardando Previsão/Data",NETWORKDAYS(L438,M438)-1)</f>
        <v>-3</v>
      </c>
      <c r="T438" s="5" t="s">
        <v>942</v>
      </c>
    </row>
    <row r="439" spans="1:20" x14ac:dyDescent="0.35">
      <c r="A439" s="5">
        <v>8100269725</v>
      </c>
      <c r="B439" s="5">
        <v>12104</v>
      </c>
      <c r="C439" s="6">
        <v>45659</v>
      </c>
      <c r="D439" s="5" t="s">
        <v>158</v>
      </c>
      <c r="E439" s="5" t="s">
        <v>159</v>
      </c>
      <c r="F439" s="5" t="s">
        <v>176</v>
      </c>
      <c r="G439" s="5" t="s">
        <v>177</v>
      </c>
      <c r="H439" s="5" t="s">
        <v>108</v>
      </c>
      <c r="I439" s="5" t="s">
        <v>178</v>
      </c>
      <c r="J439" s="5" t="s">
        <v>179</v>
      </c>
      <c r="K439" s="5" t="s">
        <v>175</v>
      </c>
      <c r="L439" s="6">
        <v>45667</v>
      </c>
      <c r="M439" s="6">
        <v>45666</v>
      </c>
      <c r="N439" s="5" t="s">
        <v>811</v>
      </c>
      <c r="O439" s="5" t="str">
        <f ca="1">IF(P439&lt;&gt;"EXPEDIÇÃO","Expedido",IF(NETWORKDAYS(C439,TODAY())&gt;=5,"Risco Alto",IF(NETWORKDAYS(C439,TODAY())&gt;=3,IF(NETWORKDAYS(C439,TODAY())&lt;5,"Risco Médio",""),IF(NETWORKDAYS(C439,TODAY())&lt;=2,"Risco Baixo",""))))</f>
        <v>Expedido</v>
      </c>
      <c r="P439" s="5" t="s">
        <v>25</v>
      </c>
      <c r="S439" s="7">
        <f>IF(ISBLANK(M439),"Aguardando Previsão/Data",NETWORKDAYS(L439,M439)-1)</f>
        <v>-3</v>
      </c>
      <c r="T439" s="5" t="s">
        <v>942</v>
      </c>
    </row>
    <row r="440" spans="1:20" x14ac:dyDescent="0.35">
      <c r="A440" s="5">
        <v>8100269628</v>
      </c>
      <c r="B440" s="5">
        <v>17204</v>
      </c>
      <c r="C440" s="6">
        <v>45660</v>
      </c>
      <c r="D440" s="5" t="s">
        <v>51</v>
      </c>
      <c r="E440" s="5" t="s">
        <v>52</v>
      </c>
      <c r="F440" s="5" t="s">
        <v>79</v>
      </c>
      <c r="G440" s="5" t="s">
        <v>80</v>
      </c>
      <c r="H440" s="5" t="s">
        <v>21</v>
      </c>
      <c r="I440" s="5" t="s">
        <v>867</v>
      </c>
      <c r="J440" s="5" t="s">
        <v>81</v>
      </c>
      <c r="K440" s="5" t="s">
        <v>80</v>
      </c>
      <c r="L440" s="6">
        <v>45670</v>
      </c>
      <c r="M440" s="6">
        <v>45672</v>
      </c>
      <c r="N440" s="5" t="s">
        <v>811</v>
      </c>
      <c r="O440" s="5" t="str">
        <f ca="1">IF(P440&lt;&gt;"EXPEDIÇÃO","Expedido",IF(NETWORKDAYS(C440,TODAY())&gt;=5,"Risco Alto",IF(NETWORKDAYS(C440,TODAY())&gt;=3,IF(NETWORKDAYS(C440,TODAY())&lt;5,"Risco Médio",""),IF(NETWORKDAYS(C440,TODAY())&lt;=2,"Risco Baixo",""))))</f>
        <v>Expedido</v>
      </c>
      <c r="P440" s="5" t="s">
        <v>25</v>
      </c>
      <c r="Q440" s="5" t="s">
        <v>897</v>
      </c>
      <c r="R440" s="5">
        <v>1678043</v>
      </c>
      <c r="S440" s="7">
        <f>IF(ISBLANK(M440),"Aguardando Previsão/Data",NETWORKDAYS(L440,M440)-1)</f>
        <v>2</v>
      </c>
      <c r="T440" s="5" t="s">
        <v>942</v>
      </c>
    </row>
    <row r="441" spans="1:20" x14ac:dyDescent="0.35">
      <c r="A441" s="5">
        <v>8100270115</v>
      </c>
      <c r="B441" s="5">
        <v>17211</v>
      </c>
      <c r="C441" s="6">
        <v>45660</v>
      </c>
      <c r="D441" s="5" t="s">
        <v>51</v>
      </c>
      <c r="E441" s="5" t="s">
        <v>52</v>
      </c>
      <c r="F441" s="5" t="s">
        <v>329</v>
      </c>
      <c r="G441" s="5" t="s">
        <v>330</v>
      </c>
      <c r="H441" s="5" t="s">
        <v>21</v>
      </c>
      <c r="I441" s="5" t="s">
        <v>82</v>
      </c>
      <c r="J441" s="5" t="s">
        <v>351</v>
      </c>
      <c r="K441" s="5" t="s">
        <v>57</v>
      </c>
      <c r="L441" s="6">
        <v>45666</v>
      </c>
      <c r="M441" s="6">
        <v>45663</v>
      </c>
      <c r="N441" s="5" t="s">
        <v>811</v>
      </c>
      <c r="O441" s="5" t="str">
        <f ca="1">IF(P441&lt;&gt;"EXPEDIÇÃO","Expedido",IF(NETWORKDAYS(C441,TODAY())&gt;=5,"Risco Alto",IF(NETWORKDAYS(C441,TODAY())&gt;=3,IF(NETWORKDAYS(C441,TODAY())&lt;5,"Risco Médio",""),IF(NETWORKDAYS(C441,TODAY())&lt;=2,"Risco Baixo",""))))</f>
        <v>Expedido</v>
      </c>
      <c r="P441" s="5" t="s">
        <v>25</v>
      </c>
      <c r="S441" s="7">
        <f>IF(ISBLANK(M441),"Aguardando Previsão/Data",NETWORKDAYS(L441,M441)-1)</f>
        <v>-5</v>
      </c>
      <c r="T441" s="5" t="s">
        <v>942</v>
      </c>
    </row>
    <row r="442" spans="1:20" x14ac:dyDescent="0.35">
      <c r="A442" s="5">
        <v>8100270117</v>
      </c>
      <c r="B442" s="5">
        <v>17209</v>
      </c>
      <c r="C442" s="6">
        <v>45660</v>
      </c>
      <c r="D442" s="5" t="s">
        <v>51</v>
      </c>
      <c r="E442" s="5" t="s">
        <v>52</v>
      </c>
      <c r="F442" s="5" t="s">
        <v>58</v>
      </c>
      <c r="G442" s="5" t="s">
        <v>59</v>
      </c>
      <c r="H442" s="5" t="s">
        <v>21</v>
      </c>
      <c r="I442" s="5" t="s">
        <v>269</v>
      </c>
      <c r="J442" s="5" t="s">
        <v>270</v>
      </c>
      <c r="K442" s="5" t="s">
        <v>57</v>
      </c>
      <c r="L442" s="6">
        <v>45670</v>
      </c>
      <c r="M442" s="6">
        <v>45664</v>
      </c>
      <c r="N442" s="5" t="s">
        <v>811</v>
      </c>
      <c r="O442" s="5" t="str">
        <f ca="1">IF(P442&lt;&gt;"EXPEDIÇÃO","Expedido",IF(NETWORKDAYS(C442,TODAY())&gt;=5,"Risco Alto",IF(NETWORKDAYS(C442,TODAY())&gt;=3,IF(NETWORKDAYS(C442,TODAY())&lt;5,"Risco Médio",""),IF(NETWORKDAYS(C442,TODAY())&lt;=2,"Risco Baixo",""))))</f>
        <v>Expedido</v>
      </c>
      <c r="P442" s="5" t="s">
        <v>25</v>
      </c>
      <c r="S442" s="7">
        <f>IF(ISBLANK(M442),"Aguardando Previsão/Data",NETWORKDAYS(L442,M442)-1)</f>
        <v>-6</v>
      </c>
      <c r="T442" s="5" t="s">
        <v>942</v>
      </c>
    </row>
    <row r="443" spans="1:20" x14ac:dyDescent="0.35">
      <c r="A443" s="5">
        <v>8100270118</v>
      </c>
      <c r="B443" s="5">
        <v>17208</v>
      </c>
      <c r="C443" s="6">
        <v>45660</v>
      </c>
      <c r="D443" s="5" t="s">
        <v>51</v>
      </c>
      <c r="E443" s="5" t="s">
        <v>52</v>
      </c>
      <c r="F443" s="5" t="s">
        <v>58</v>
      </c>
      <c r="G443" s="5" t="s">
        <v>59</v>
      </c>
      <c r="H443" s="5" t="s">
        <v>21</v>
      </c>
      <c r="I443" s="5" t="s">
        <v>748</v>
      </c>
      <c r="J443" s="5" t="s">
        <v>620</v>
      </c>
      <c r="K443" s="5" t="s">
        <v>57</v>
      </c>
      <c r="L443" s="6">
        <v>45670</v>
      </c>
      <c r="M443" s="6">
        <v>45666</v>
      </c>
      <c r="N443" s="5" t="s">
        <v>811</v>
      </c>
      <c r="O443" s="5" t="str">
        <f ca="1">IF(P443&lt;&gt;"EXPEDIÇÃO","Expedido",IF(NETWORKDAYS(C443,TODAY())&gt;=5,"Risco Alto",IF(NETWORKDAYS(C443,TODAY())&gt;=3,IF(NETWORKDAYS(C443,TODAY())&lt;5,"Risco Médio",""),IF(NETWORKDAYS(C443,TODAY())&lt;=2,"Risco Baixo",""))))</f>
        <v>Expedido</v>
      </c>
      <c r="P443" s="5" t="s">
        <v>25</v>
      </c>
      <c r="S443" s="7">
        <f>IF(ISBLANK(M443),"Aguardando Previsão/Data",NETWORKDAYS(L443,M443)-1)</f>
        <v>-4</v>
      </c>
      <c r="T443" s="5" t="s">
        <v>942</v>
      </c>
    </row>
    <row r="444" spans="1:20" x14ac:dyDescent="0.35">
      <c r="A444" s="5">
        <v>8100270119</v>
      </c>
      <c r="B444" s="5">
        <v>17225</v>
      </c>
      <c r="C444" s="6">
        <v>45660</v>
      </c>
      <c r="D444" s="5" t="s">
        <v>51</v>
      </c>
      <c r="E444" s="5" t="s">
        <v>52</v>
      </c>
      <c r="F444" s="5" t="s">
        <v>69</v>
      </c>
      <c r="G444" s="5" t="s">
        <v>70</v>
      </c>
      <c r="H444" s="5" t="s">
        <v>21</v>
      </c>
      <c r="I444" s="5" t="s">
        <v>527</v>
      </c>
      <c r="J444" s="5" t="s">
        <v>65</v>
      </c>
      <c r="K444" s="5" t="s">
        <v>57</v>
      </c>
      <c r="L444" s="6">
        <v>45665</v>
      </c>
      <c r="M444" s="6">
        <v>45663</v>
      </c>
      <c r="N444" s="5" t="s">
        <v>811</v>
      </c>
      <c r="O444" s="5" t="str">
        <f ca="1">IF(P444&lt;&gt;"EXPEDIÇÃO","Expedido",IF(NETWORKDAYS(C444,TODAY())&gt;=5,"Risco Alto",IF(NETWORKDAYS(C444,TODAY())&gt;=3,IF(NETWORKDAYS(C444,TODAY())&lt;5,"Risco Médio",""),IF(NETWORKDAYS(C444,TODAY())&lt;=2,"Risco Baixo",""))))</f>
        <v>Expedido</v>
      </c>
      <c r="P444" s="5" t="s">
        <v>25</v>
      </c>
      <c r="Q444" s="5" t="s">
        <v>803</v>
      </c>
      <c r="S444" s="7">
        <f>IF(ISBLANK(M444),"Aguardando Previsão/Data",NETWORKDAYS(L444,M444)-1)</f>
        <v>-4</v>
      </c>
      <c r="T444" s="5" t="s">
        <v>942</v>
      </c>
    </row>
    <row r="445" spans="1:20" x14ac:dyDescent="0.35">
      <c r="A445" s="5">
        <v>8100270120</v>
      </c>
      <c r="B445" s="5">
        <v>17210</v>
      </c>
      <c r="C445" s="6">
        <v>45660</v>
      </c>
      <c r="D445" s="5" t="s">
        <v>51</v>
      </c>
      <c r="E445" s="5" t="s">
        <v>52</v>
      </c>
      <c r="F445" s="5" t="s">
        <v>66</v>
      </c>
      <c r="G445" s="5" t="s">
        <v>67</v>
      </c>
      <c r="H445" s="5" t="s">
        <v>21</v>
      </c>
      <c r="I445" s="5" t="s">
        <v>89</v>
      </c>
      <c r="J445" s="5" t="s">
        <v>90</v>
      </c>
      <c r="K445" s="5" t="s">
        <v>57</v>
      </c>
      <c r="L445" s="6">
        <v>45670</v>
      </c>
      <c r="M445" s="6">
        <v>45667</v>
      </c>
      <c r="N445" s="5" t="s">
        <v>811</v>
      </c>
      <c r="O445" s="5" t="str">
        <f ca="1">IF(P445&lt;&gt;"EXPEDIÇÃO","Expedido",IF(NETWORKDAYS(C445,TODAY())&gt;=5,"Risco Alto",IF(NETWORKDAYS(C445,TODAY())&gt;=3,IF(NETWORKDAYS(C445,TODAY())&lt;5,"Risco Médio",""),IF(NETWORKDAYS(C445,TODAY())&lt;=2,"Risco Baixo",""))))</f>
        <v>Expedido</v>
      </c>
      <c r="P445" s="5" t="s">
        <v>25</v>
      </c>
      <c r="S445" s="7">
        <f>IF(ISBLANK(M445),"Aguardando Previsão/Data",NETWORKDAYS(L445,M445)-1)</f>
        <v>-3</v>
      </c>
      <c r="T445" s="5" t="s">
        <v>942</v>
      </c>
    </row>
    <row r="446" spans="1:20" x14ac:dyDescent="0.35">
      <c r="A446" s="5">
        <v>8100270668</v>
      </c>
      <c r="B446" s="5">
        <v>17219</v>
      </c>
      <c r="C446" s="6">
        <v>45660</v>
      </c>
      <c r="D446" s="5" t="s">
        <v>51</v>
      </c>
      <c r="E446" s="5" t="s">
        <v>52</v>
      </c>
      <c r="F446" s="5" t="s">
        <v>66</v>
      </c>
      <c r="G446" s="5" t="s">
        <v>67</v>
      </c>
      <c r="H446" s="5" t="s">
        <v>21</v>
      </c>
      <c r="I446" s="5" t="s">
        <v>269</v>
      </c>
      <c r="J446" s="5" t="s">
        <v>270</v>
      </c>
      <c r="K446" s="5" t="s">
        <v>57</v>
      </c>
      <c r="L446" s="6">
        <v>45670</v>
      </c>
      <c r="M446" s="6">
        <v>45667</v>
      </c>
      <c r="N446" s="5" t="s">
        <v>811</v>
      </c>
      <c r="O446" s="5" t="str">
        <f ca="1">IF(P446&lt;&gt;"EXPEDIÇÃO","Expedido",IF(NETWORKDAYS(C446,TODAY())&gt;=5,"Risco Alto",IF(NETWORKDAYS(C446,TODAY())&gt;=3,IF(NETWORKDAYS(C446,TODAY())&lt;5,"Risco Médio",""),IF(NETWORKDAYS(C446,TODAY())&lt;=2,"Risco Baixo",""))))</f>
        <v>Expedido</v>
      </c>
      <c r="P446" s="5" t="s">
        <v>25</v>
      </c>
      <c r="S446" s="7">
        <f>IF(ISBLANK(M446),"Aguardando Previsão/Data",NETWORKDAYS(L446,M446)-1)</f>
        <v>-3</v>
      </c>
      <c r="T446" s="5" t="s">
        <v>942</v>
      </c>
    </row>
    <row r="447" spans="1:20" x14ac:dyDescent="0.35">
      <c r="A447" s="5">
        <v>8100270669</v>
      </c>
      <c r="B447" s="5">
        <v>17222</v>
      </c>
      <c r="C447" s="6">
        <v>45660</v>
      </c>
      <c r="D447" s="5" t="s">
        <v>51</v>
      </c>
      <c r="E447" s="5" t="s">
        <v>52</v>
      </c>
      <c r="F447" s="5" t="s">
        <v>53</v>
      </c>
      <c r="G447" s="5" t="s">
        <v>54</v>
      </c>
      <c r="H447" s="5" t="s">
        <v>21</v>
      </c>
      <c r="I447" s="5" t="s">
        <v>669</v>
      </c>
      <c r="J447" s="5" t="s">
        <v>705</v>
      </c>
      <c r="K447" s="5" t="s">
        <v>57</v>
      </c>
      <c r="L447" s="6">
        <v>45667</v>
      </c>
      <c r="M447" s="6">
        <v>45665</v>
      </c>
      <c r="N447" s="5" t="s">
        <v>811</v>
      </c>
      <c r="O447" s="5" t="str">
        <f ca="1">IF(P447&lt;&gt;"EXPEDIÇÃO","Expedido",IF(NETWORKDAYS(C447,TODAY())&gt;=5,"Risco Alto",IF(NETWORKDAYS(C447,TODAY())&gt;=3,IF(NETWORKDAYS(C447,TODAY())&lt;5,"Risco Médio",""),IF(NETWORKDAYS(C447,TODAY())&lt;=2,"Risco Baixo",""))))</f>
        <v>Expedido</v>
      </c>
      <c r="P447" s="5" t="s">
        <v>25</v>
      </c>
      <c r="S447" s="7">
        <f>IF(ISBLANK(M447),"Aguardando Previsão/Data",NETWORKDAYS(L447,M447)-1)</f>
        <v>-4</v>
      </c>
      <c r="T447" s="5" t="s">
        <v>942</v>
      </c>
    </row>
    <row r="448" spans="1:20" x14ac:dyDescent="0.35">
      <c r="A448" s="5">
        <v>8100270847</v>
      </c>
      <c r="B448" s="5">
        <v>17224</v>
      </c>
      <c r="C448" s="6">
        <v>45660</v>
      </c>
      <c r="D448" s="5" t="s">
        <v>51</v>
      </c>
      <c r="E448" s="5" t="s">
        <v>52</v>
      </c>
      <c r="F448" s="5" t="s">
        <v>406</v>
      </c>
      <c r="G448" s="5" t="s">
        <v>407</v>
      </c>
      <c r="H448" s="5" t="s">
        <v>21</v>
      </c>
      <c r="I448" s="5" t="s">
        <v>1167</v>
      </c>
      <c r="J448" s="5" t="s">
        <v>531</v>
      </c>
      <c r="K448" s="5" t="s">
        <v>80</v>
      </c>
      <c r="L448" s="6">
        <v>45667</v>
      </c>
      <c r="M448" s="6">
        <v>45673</v>
      </c>
      <c r="N448" s="5" t="s">
        <v>812</v>
      </c>
      <c r="O448" s="5" t="str">
        <f ca="1">IF(P448&lt;&gt;"EXPEDIÇÃO","Expedido",IF(NETWORKDAYS(C448,TODAY())&gt;=5,"Risco Alto",IF(NETWORKDAYS(C448,TODAY())&gt;=3,IF(NETWORKDAYS(C448,TODAY())&lt;5,"Risco Médio",""),IF(NETWORKDAYS(C448,TODAY())&lt;=2,"Risco Baixo",""))))</f>
        <v>Expedido</v>
      </c>
      <c r="P448" s="5" t="s">
        <v>25</v>
      </c>
      <c r="Q448" s="5" t="s">
        <v>897</v>
      </c>
      <c r="R448" s="5">
        <v>1678050</v>
      </c>
      <c r="S448" s="7">
        <f>IF(ISBLANK(M448),"Aguardando Previsão/Data",NETWORKDAYS(L448,M448)-1)</f>
        <v>4</v>
      </c>
      <c r="T448" s="5" t="s">
        <v>942</v>
      </c>
    </row>
    <row r="449" spans="1:20" x14ac:dyDescent="0.35">
      <c r="A449" s="5">
        <v>8100270893</v>
      </c>
      <c r="B449" s="5">
        <v>17226</v>
      </c>
      <c r="C449" s="6">
        <v>45660</v>
      </c>
      <c r="D449" s="5" t="s">
        <v>51</v>
      </c>
      <c r="E449" s="5" t="s">
        <v>52</v>
      </c>
      <c r="F449" s="5" t="s">
        <v>53</v>
      </c>
      <c r="G449" s="5" t="s">
        <v>54</v>
      </c>
      <c r="H449" s="5" t="s">
        <v>21</v>
      </c>
      <c r="I449" s="5" t="s">
        <v>976</v>
      </c>
      <c r="J449" s="5" t="s">
        <v>271</v>
      </c>
      <c r="K449" s="5" t="s">
        <v>57</v>
      </c>
      <c r="L449" s="6">
        <v>45666</v>
      </c>
      <c r="M449" s="6">
        <v>45665</v>
      </c>
      <c r="N449" s="5" t="s">
        <v>811</v>
      </c>
      <c r="O449" s="5" t="str">
        <f ca="1">IF(P449&lt;&gt;"EXPEDIÇÃO","Expedido",IF(NETWORKDAYS(C449,TODAY())&gt;=5,"Risco Alto",IF(NETWORKDAYS(C449,TODAY())&gt;=3,IF(NETWORKDAYS(C449,TODAY())&lt;5,"Risco Médio",""),IF(NETWORKDAYS(C449,TODAY())&lt;=2,"Risco Baixo",""))))</f>
        <v>Expedido</v>
      </c>
      <c r="P449" s="5" t="s">
        <v>25</v>
      </c>
      <c r="Q449" s="5" t="s">
        <v>937</v>
      </c>
      <c r="S449" s="7">
        <f>IF(ISBLANK(M449),"Aguardando Previsão/Data",NETWORKDAYS(L449,M449)-1)</f>
        <v>-3</v>
      </c>
      <c r="T449" s="5" t="s">
        <v>942</v>
      </c>
    </row>
    <row r="450" spans="1:20" x14ac:dyDescent="0.35">
      <c r="A450" s="5">
        <v>8100263289</v>
      </c>
      <c r="B450" s="5">
        <v>20954</v>
      </c>
      <c r="C450" s="6">
        <v>45660</v>
      </c>
      <c r="D450" s="5" t="s">
        <v>17</v>
      </c>
      <c r="E450" s="5" t="s">
        <v>18</v>
      </c>
      <c r="F450" s="5" t="s">
        <v>84</v>
      </c>
      <c r="G450" s="5" t="s">
        <v>85</v>
      </c>
      <c r="H450" s="5" t="s">
        <v>21</v>
      </c>
      <c r="I450" s="5" t="s">
        <v>418</v>
      </c>
      <c r="J450" s="5" t="s">
        <v>419</v>
      </c>
      <c r="K450" s="5" t="s">
        <v>36</v>
      </c>
      <c r="L450" s="6">
        <v>45672</v>
      </c>
      <c r="M450" s="6">
        <v>45670</v>
      </c>
      <c r="N450" s="5" t="s">
        <v>811</v>
      </c>
      <c r="O450" s="5" t="str">
        <f ca="1">IF(P450&lt;&gt;"EXPEDIÇÃO","Expedido",IF(NETWORKDAYS(C450,TODAY())&gt;=5,"Risco Alto",IF(NETWORKDAYS(C450,TODAY())&gt;=3,IF(NETWORKDAYS(C450,TODAY())&lt;5,"Risco Médio",""),IF(NETWORKDAYS(C450,TODAY())&lt;=2,"Risco Baixo",""))))</f>
        <v>Expedido</v>
      </c>
      <c r="P450" s="5" t="s">
        <v>25</v>
      </c>
      <c r="S450" s="7">
        <f>IF(ISBLANK(M450),"Aguardando Previsão/Data",NETWORKDAYS(L450,M450)-1)</f>
        <v>-4</v>
      </c>
      <c r="T450" s="5" t="s">
        <v>942</v>
      </c>
    </row>
    <row r="451" spans="1:20" x14ac:dyDescent="0.35">
      <c r="A451" s="5">
        <v>8100269221</v>
      </c>
      <c r="B451" s="5">
        <v>20934</v>
      </c>
      <c r="C451" s="6">
        <v>45660</v>
      </c>
      <c r="D451" s="5" t="s">
        <v>17</v>
      </c>
      <c r="E451" s="5" t="s">
        <v>18</v>
      </c>
      <c r="F451" s="5" t="s">
        <v>27</v>
      </c>
      <c r="G451" s="5" t="s">
        <v>28</v>
      </c>
      <c r="H451" s="5" t="s">
        <v>21</v>
      </c>
      <c r="I451" s="5" t="s">
        <v>272</v>
      </c>
      <c r="J451" s="5" t="s">
        <v>28</v>
      </c>
      <c r="K451" s="5" t="s">
        <v>24</v>
      </c>
      <c r="L451" s="6">
        <v>45667</v>
      </c>
      <c r="M451" s="6">
        <v>45665</v>
      </c>
      <c r="N451" s="5" t="s">
        <v>811</v>
      </c>
      <c r="O451" s="5" t="str">
        <f ca="1">IF(P451&lt;&gt;"EXPEDIÇÃO","Expedido",IF(NETWORKDAYS(C451,TODAY())&gt;=5,"Risco Alto",IF(NETWORKDAYS(C451,TODAY())&gt;=3,IF(NETWORKDAYS(C451,TODAY())&lt;5,"Risco Médio",""),IF(NETWORKDAYS(C451,TODAY())&lt;=2,"Risco Baixo",""))))</f>
        <v>Expedido</v>
      </c>
      <c r="P451" s="5" t="s">
        <v>25</v>
      </c>
      <c r="S451" s="7">
        <f>IF(ISBLANK(M451),"Aguardando Previsão/Data",NETWORKDAYS(L451,M451)-1)</f>
        <v>-4</v>
      </c>
      <c r="T451" s="5" t="s">
        <v>942</v>
      </c>
    </row>
    <row r="452" spans="1:20" x14ac:dyDescent="0.35">
      <c r="A452" s="5">
        <v>8100269223</v>
      </c>
      <c r="B452" s="5">
        <v>20935</v>
      </c>
      <c r="C452" s="6">
        <v>45660</v>
      </c>
      <c r="D452" s="5" t="s">
        <v>17</v>
      </c>
      <c r="E452" s="5" t="s">
        <v>18</v>
      </c>
      <c r="F452" s="5" t="s">
        <v>19</v>
      </c>
      <c r="G452" s="5" t="s">
        <v>20</v>
      </c>
      <c r="H452" s="5" t="s">
        <v>21</v>
      </c>
      <c r="I452" s="5" t="s">
        <v>416</v>
      </c>
      <c r="J452" s="5" t="s">
        <v>47</v>
      </c>
      <c r="K452" s="5" t="s">
        <v>24</v>
      </c>
      <c r="L452" s="6">
        <v>45667</v>
      </c>
      <c r="M452" s="6">
        <v>45663</v>
      </c>
      <c r="N452" s="5" t="s">
        <v>811</v>
      </c>
      <c r="O452" s="5" t="str">
        <f ca="1">IF(P452&lt;&gt;"EXPEDIÇÃO","Expedido",IF(NETWORKDAYS(C452,TODAY())&gt;=5,"Risco Alto",IF(NETWORKDAYS(C452,TODAY())&gt;=3,IF(NETWORKDAYS(C452,TODAY())&lt;5,"Risco Médio",""),IF(NETWORKDAYS(C452,TODAY())&lt;=2,"Risco Baixo",""))))</f>
        <v>Expedido</v>
      </c>
      <c r="P452" s="5" t="s">
        <v>25</v>
      </c>
      <c r="S452" s="7">
        <f>IF(ISBLANK(M452),"Aguardando Previsão/Data",NETWORKDAYS(L452,M452)-1)</f>
        <v>-6</v>
      </c>
      <c r="T452" s="5" t="s">
        <v>942</v>
      </c>
    </row>
    <row r="453" spans="1:20" x14ac:dyDescent="0.35">
      <c r="A453" s="5">
        <v>8100269224</v>
      </c>
      <c r="B453" s="5">
        <v>20941</v>
      </c>
      <c r="C453" s="6">
        <v>45660</v>
      </c>
      <c r="D453" s="5" t="s">
        <v>17</v>
      </c>
      <c r="E453" s="5" t="s">
        <v>18</v>
      </c>
      <c r="F453" s="5" t="s">
        <v>27</v>
      </c>
      <c r="G453" s="5" t="s">
        <v>28</v>
      </c>
      <c r="H453" s="5" t="s">
        <v>21</v>
      </c>
      <c r="I453" s="5" t="s">
        <v>1150</v>
      </c>
      <c r="J453" s="5" t="s">
        <v>364</v>
      </c>
      <c r="K453" s="5" t="s">
        <v>24</v>
      </c>
      <c r="L453" s="6">
        <v>45667</v>
      </c>
      <c r="M453" s="6">
        <v>45663</v>
      </c>
      <c r="N453" s="5" t="s">
        <v>811</v>
      </c>
      <c r="O453" s="5" t="str">
        <f ca="1">IF(P453&lt;&gt;"EXPEDIÇÃO","Expedido",IF(NETWORKDAYS(C453,TODAY())&gt;=5,"Risco Alto",IF(NETWORKDAYS(C453,TODAY())&gt;=3,IF(NETWORKDAYS(C453,TODAY())&lt;5,"Risco Médio",""),IF(NETWORKDAYS(C453,TODAY())&lt;=2,"Risco Baixo",""))))</f>
        <v>Expedido</v>
      </c>
      <c r="P453" s="5" t="s">
        <v>25</v>
      </c>
      <c r="S453" s="7">
        <f>IF(ISBLANK(M453),"Aguardando Previsão/Data",NETWORKDAYS(L453,M453)-1)</f>
        <v>-6</v>
      </c>
      <c r="T453" s="5" t="s">
        <v>942</v>
      </c>
    </row>
    <row r="454" spans="1:20" x14ac:dyDescent="0.35">
      <c r="A454" s="5">
        <v>8100269225</v>
      </c>
      <c r="B454" s="5">
        <v>20932</v>
      </c>
      <c r="C454" s="6">
        <v>45660</v>
      </c>
      <c r="D454" s="5" t="s">
        <v>17</v>
      </c>
      <c r="E454" s="5" t="s">
        <v>18</v>
      </c>
      <c r="F454" s="5" t="s">
        <v>44</v>
      </c>
      <c r="G454" s="5" t="s">
        <v>45</v>
      </c>
      <c r="H454" s="5" t="s">
        <v>21</v>
      </c>
      <c r="I454" s="5" t="s">
        <v>593</v>
      </c>
      <c r="J454" s="5" t="s">
        <v>28</v>
      </c>
      <c r="K454" s="5" t="s">
        <v>24</v>
      </c>
      <c r="L454" s="6">
        <v>45667</v>
      </c>
      <c r="M454" s="6">
        <v>45665</v>
      </c>
      <c r="N454" s="5" t="s">
        <v>811</v>
      </c>
      <c r="O454" s="5" t="str">
        <f ca="1">IF(P454&lt;&gt;"EXPEDIÇÃO","Expedido",IF(NETWORKDAYS(C454,TODAY())&gt;=5,"Risco Alto",IF(NETWORKDAYS(C454,TODAY())&gt;=3,IF(NETWORKDAYS(C454,TODAY())&lt;5,"Risco Médio",""),IF(NETWORKDAYS(C454,TODAY())&lt;=2,"Risco Baixo",""))))</f>
        <v>Expedido</v>
      </c>
      <c r="P454" s="5" t="s">
        <v>25</v>
      </c>
      <c r="Q454" s="5" t="s">
        <v>897</v>
      </c>
      <c r="S454" s="7">
        <f>IF(ISBLANK(M454),"Aguardando Previsão/Data",NETWORKDAYS(L454,M454)-1)</f>
        <v>-4</v>
      </c>
      <c r="T454" s="5" t="s">
        <v>942</v>
      </c>
    </row>
    <row r="455" spans="1:20" x14ac:dyDescent="0.35">
      <c r="A455" s="5">
        <v>8100269226</v>
      </c>
      <c r="B455" s="5">
        <v>20933</v>
      </c>
      <c r="C455" s="6">
        <v>45660</v>
      </c>
      <c r="D455" s="5" t="s">
        <v>17</v>
      </c>
      <c r="E455" s="5" t="s">
        <v>18</v>
      </c>
      <c r="F455" s="5" t="s">
        <v>44</v>
      </c>
      <c r="G455" s="5" t="s">
        <v>45</v>
      </c>
      <c r="H455" s="5" t="s">
        <v>21</v>
      </c>
      <c r="I455" s="5" t="s">
        <v>758</v>
      </c>
      <c r="J455" s="5" t="s">
        <v>759</v>
      </c>
      <c r="K455" s="5" t="s">
        <v>24</v>
      </c>
      <c r="L455" s="6">
        <v>45673</v>
      </c>
      <c r="M455" s="6">
        <v>45666</v>
      </c>
      <c r="N455" s="5" t="s">
        <v>811</v>
      </c>
      <c r="O455" s="5" t="str">
        <f ca="1">IF(P455&lt;&gt;"EXPEDIÇÃO","Expedido",IF(NETWORKDAYS(C455,TODAY())&gt;=5,"Risco Alto",IF(NETWORKDAYS(C455,TODAY())&gt;=3,IF(NETWORKDAYS(C455,TODAY())&lt;5,"Risco Médio",""),IF(NETWORKDAYS(C455,TODAY())&lt;=2,"Risco Baixo",""))))</f>
        <v>Expedido</v>
      </c>
      <c r="P455" s="5" t="s">
        <v>25</v>
      </c>
      <c r="S455" s="7">
        <f>IF(ISBLANK(M455),"Aguardando Previsão/Data",NETWORKDAYS(L455,M455)-1)</f>
        <v>-7</v>
      </c>
      <c r="T455" s="5" t="s">
        <v>942</v>
      </c>
    </row>
    <row r="456" spans="1:20" x14ac:dyDescent="0.35">
      <c r="A456" s="5">
        <v>8100269231</v>
      </c>
      <c r="B456" s="5">
        <v>20939</v>
      </c>
      <c r="C456" s="6">
        <v>45660</v>
      </c>
      <c r="D456" s="5" t="s">
        <v>17</v>
      </c>
      <c r="E456" s="5" t="s">
        <v>18</v>
      </c>
      <c r="F456" s="5" t="s">
        <v>27</v>
      </c>
      <c r="G456" s="5" t="s">
        <v>28</v>
      </c>
      <c r="H456" s="5" t="s">
        <v>21</v>
      </c>
      <c r="I456" s="5" t="s">
        <v>1151</v>
      </c>
      <c r="J456" s="5" t="s">
        <v>592</v>
      </c>
      <c r="K456" s="5" t="s">
        <v>24</v>
      </c>
      <c r="L456" s="6">
        <v>45667</v>
      </c>
      <c r="M456" s="6">
        <v>45667</v>
      </c>
      <c r="N456" s="5" t="s">
        <v>811</v>
      </c>
      <c r="O456" s="5" t="str">
        <f ca="1">IF(P456&lt;&gt;"EXPEDIÇÃO","Expedido",IF(NETWORKDAYS(C456,TODAY())&gt;=5,"Risco Alto",IF(NETWORKDAYS(C456,TODAY())&gt;=3,IF(NETWORKDAYS(C456,TODAY())&lt;5,"Risco Médio",""),IF(NETWORKDAYS(C456,TODAY())&lt;=2,"Risco Baixo",""))))</f>
        <v>Expedido</v>
      </c>
      <c r="P456" s="5" t="s">
        <v>25</v>
      </c>
      <c r="S456" s="7">
        <f>IF(ISBLANK(M456),"Aguardando Previsão/Data",NETWORKDAYS(L456,M456)-1)</f>
        <v>0</v>
      </c>
      <c r="T456" s="5" t="s">
        <v>942</v>
      </c>
    </row>
    <row r="457" spans="1:20" x14ac:dyDescent="0.35">
      <c r="A457" s="5">
        <v>8100269234</v>
      </c>
      <c r="B457" s="5">
        <v>20944</v>
      </c>
      <c r="C457" s="6">
        <v>45660</v>
      </c>
      <c r="D457" s="5" t="s">
        <v>17</v>
      </c>
      <c r="E457" s="5" t="s">
        <v>18</v>
      </c>
      <c r="F457" s="5" t="s">
        <v>84</v>
      </c>
      <c r="G457" s="5" t="s">
        <v>85</v>
      </c>
      <c r="H457" s="5" t="s">
        <v>21</v>
      </c>
      <c r="I457" s="5" t="s">
        <v>890</v>
      </c>
      <c r="J457" s="5" t="s">
        <v>368</v>
      </c>
      <c r="K457" s="5" t="s">
        <v>24</v>
      </c>
      <c r="L457" s="6">
        <v>45670</v>
      </c>
      <c r="M457" s="6">
        <v>45665</v>
      </c>
      <c r="N457" s="5" t="s">
        <v>811</v>
      </c>
      <c r="O457" s="5" t="str">
        <f ca="1">IF(P457&lt;&gt;"EXPEDIÇÃO","Expedido",IF(NETWORKDAYS(C457,TODAY())&gt;=5,"Risco Alto",IF(NETWORKDAYS(C457,TODAY())&gt;=3,IF(NETWORKDAYS(C457,TODAY())&lt;5,"Risco Médio",""),IF(NETWORKDAYS(C457,TODAY())&lt;=2,"Risco Baixo",""))))</f>
        <v>Expedido</v>
      </c>
      <c r="P457" s="5" t="s">
        <v>25</v>
      </c>
      <c r="S457" s="7">
        <f>IF(ISBLANK(M457),"Aguardando Previsão/Data",NETWORKDAYS(L457,M457)-1)</f>
        <v>-5</v>
      </c>
      <c r="T457" s="5" t="s">
        <v>942</v>
      </c>
    </row>
    <row r="458" spans="1:20" x14ac:dyDescent="0.35">
      <c r="A458" s="5">
        <v>8100269235</v>
      </c>
      <c r="B458" s="5">
        <v>20943</v>
      </c>
      <c r="C458" s="6">
        <v>45660</v>
      </c>
      <c r="D458" s="5" t="s">
        <v>17</v>
      </c>
      <c r="E458" s="5" t="s">
        <v>18</v>
      </c>
      <c r="F458" s="5" t="s">
        <v>27</v>
      </c>
      <c r="G458" s="5" t="s">
        <v>28</v>
      </c>
      <c r="H458" s="5" t="s">
        <v>21</v>
      </c>
      <c r="I458" s="5" t="s">
        <v>1152</v>
      </c>
      <c r="J458" s="5" t="s">
        <v>49</v>
      </c>
      <c r="K458" s="5" t="s">
        <v>24</v>
      </c>
      <c r="L458" s="6">
        <v>45670</v>
      </c>
      <c r="M458" s="6">
        <v>45666</v>
      </c>
      <c r="N458" s="5" t="s">
        <v>811</v>
      </c>
      <c r="O458" s="5" t="str">
        <f ca="1">IF(P458&lt;&gt;"EXPEDIÇÃO","Expedido",IF(NETWORKDAYS(C458,TODAY())&gt;=5,"Risco Alto",IF(NETWORKDAYS(C458,TODAY())&gt;=3,IF(NETWORKDAYS(C458,TODAY())&lt;5,"Risco Médio",""),IF(NETWORKDAYS(C458,TODAY())&lt;=2,"Risco Baixo",""))))</f>
        <v>Expedido</v>
      </c>
      <c r="P458" s="5" t="s">
        <v>25</v>
      </c>
      <c r="S458" s="7">
        <f>IF(ISBLANK(M458),"Aguardando Previsão/Data",NETWORKDAYS(L458,M458)-1)</f>
        <v>-4</v>
      </c>
      <c r="T458" s="5" t="s">
        <v>942</v>
      </c>
    </row>
    <row r="459" spans="1:20" x14ac:dyDescent="0.35">
      <c r="A459" s="5">
        <v>8100269236</v>
      </c>
      <c r="B459" s="5">
        <v>20946</v>
      </c>
      <c r="C459" s="6">
        <v>45660</v>
      </c>
      <c r="D459" s="5" t="s">
        <v>17</v>
      </c>
      <c r="E459" s="5" t="s">
        <v>18</v>
      </c>
      <c r="F459" s="5" t="s">
        <v>27</v>
      </c>
      <c r="G459" s="5" t="s">
        <v>28</v>
      </c>
      <c r="H459" s="5" t="s">
        <v>21</v>
      </c>
      <c r="I459" s="5" t="s">
        <v>1153</v>
      </c>
      <c r="J459" s="5" t="s">
        <v>49</v>
      </c>
      <c r="K459" s="5" t="s">
        <v>24</v>
      </c>
      <c r="L459" s="6">
        <v>45670</v>
      </c>
      <c r="M459" s="6">
        <v>45667</v>
      </c>
      <c r="N459" s="5" t="s">
        <v>811</v>
      </c>
      <c r="O459" s="5" t="str">
        <f ca="1">IF(P459&lt;&gt;"EXPEDIÇÃO","Expedido",IF(NETWORKDAYS(C459,TODAY())&gt;=5,"Risco Alto",IF(NETWORKDAYS(C459,TODAY())&gt;=3,IF(NETWORKDAYS(C459,TODAY())&lt;5,"Risco Médio",""),IF(NETWORKDAYS(C459,TODAY())&lt;=2,"Risco Baixo",""))))</f>
        <v>Expedido</v>
      </c>
      <c r="P459" s="5" t="s">
        <v>25</v>
      </c>
      <c r="S459" s="7">
        <f>IF(ISBLANK(M459),"Aguardando Previsão/Data",NETWORKDAYS(L459,M459)-1)</f>
        <v>-3</v>
      </c>
      <c r="T459" s="5" t="s">
        <v>942</v>
      </c>
    </row>
    <row r="460" spans="1:20" x14ac:dyDescent="0.35">
      <c r="A460" s="5">
        <v>8100269240</v>
      </c>
      <c r="B460" s="5">
        <v>20940</v>
      </c>
      <c r="C460" s="6">
        <v>45660</v>
      </c>
      <c r="D460" s="5" t="s">
        <v>17</v>
      </c>
      <c r="E460" s="5" t="s">
        <v>18</v>
      </c>
      <c r="F460" s="5" t="s">
        <v>27</v>
      </c>
      <c r="G460" s="5" t="s">
        <v>28</v>
      </c>
      <c r="H460" s="5" t="s">
        <v>21</v>
      </c>
      <c r="I460" s="5" t="s">
        <v>1154</v>
      </c>
      <c r="J460" s="5" t="s">
        <v>42</v>
      </c>
      <c r="K460" s="5" t="s">
        <v>24</v>
      </c>
      <c r="L460" s="6">
        <v>45670</v>
      </c>
      <c r="M460" s="6">
        <v>45667</v>
      </c>
      <c r="N460" s="5" t="s">
        <v>811</v>
      </c>
      <c r="O460" s="5" t="str">
        <f ca="1">IF(P460&lt;&gt;"EXPEDIÇÃO","Expedido",IF(NETWORKDAYS(C460,TODAY())&gt;=5,"Risco Alto",IF(NETWORKDAYS(C460,TODAY())&gt;=3,IF(NETWORKDAYS(C460,TODAY())&lt;5,"Risco Médio",""),IF(NETWORKDAYS(C460,TODAY())&lt;=2,"Risco Baixo",""))))</f>
        <v>Expedido</v>
      </c>
      <c r="P460" s="5" t="s">
        <v>25</v>
      </c>
      <c r="S460" s="7">
        <f>IF(ISBLANK(M460),"Aguardando Previsão/Data",NETWORKDAYS(L460,M460)-1)</f>
        <v>-3</v>
      </c>
      <c r="T460" s="5" t="s">
        <v>942</v>
      </c>
    </row>
    <row r="461" spans="1:20" x14ac:dyDescent="0.35">
      <c r="A461" s="5">
        <v>8100269242</v>
      </c>
      <c r="B461" s="5">
        <v>20942</v>
      </c>
      <c r="C461" s="6">
        <v>45660</v>
      </c>
      <c r="D461" s="5" t="s">
        <v>17</v>
      </c>
      <c r="E461" s="5" t="s">
        <v>18</v>
      </c>
      <c r="F461" s="5" t="s">
        <v>84</v>
      </c>
      <c r="G461" s="5" t="s">
        <v>85</v>
      </c>
      <c r="H461" s="5" t="s">
        <v>21</v>
      </c>
      <c r="I461" s="5" t="s">
        <v>744</v>
      </c>
      <c r="J461" s="5" t="s">
        <v>256</v>
      </c>
      <c r="K461" s="5" t="s">
        <v>24</v>
      </c>
      <c r="L461" s="6">
        <v>45667</v>
      </c>
      <c r="M461" s="6">
        <v>45666</v>
      </c>
      <c r="N461" s="5" t="s">
        <v>811</v>
      </c>
      <c r="O461" s="5" t="str">
        <f ca="1">IF(P461&lt;&gt;"EXPEDIÇÃO","Expedido",IF(NETWORKDAYS(C461,TODAY())&gt;=5,"Risco Alto",IF(NETWORKDAYS(C461,TODAY())&gt;=3,IF(NETWORKDAYS(C461,TODAY())&lt;5,"Risco Médio",""),IF(NETWORKDAYS(C461,TODAY())&lt;=2,"Risco Baixo",""))))</f>
        <v>Expedido</v>
      </c>
      <c r="P461" s="5" t="s">
        <v>25</v>
      </c>
      <c r="S461" s="7">
        <f>IF(ISBLANK(M461),"Aguardando Previsão/Data",NETWORKDAYS(L461,M461)-1)</f>
        <v>-3</v>
      </c>
      <c r="T461" s="5" t="s">
        <v>942</v>
      </c>
    </row>
    <row r="462" spans="1:20" x14ac:dyDescent="0.35">
      <c r="A462" s="5">
        <v>8100269243</v>
      </c>
      <c r="B462" s="5">
        <v>20952</v>
      </c>
      <c r="C462" s="6">
        <v>45660</v>
      </c>
      <c r="D462" s="5" t="s">
        <v>17</v>
      </c>
      <c r="E462" s="5" t="s">
        <v>18</v>
      </c>
      <c r="F462" s="5" t="s">
        <v>39</v>
      </c>
      <c r="G462" s="5" t="s">
        <v>40</v>
      </c>
      <c r="H462" s="5" t="s">
        <v>21</v>
      </c>
      <c r="I462" s="5" t="s">
        <v>738</v>
      </c>
      <c r="J462" s="5" t="s">
        <v>466</v>
      </c>
      <c r="K462" s="5" t="s">
        <v>24</v>
      </c>
      <c r="L462" s="6">
        <v>45672</v>
      </c>
      <c r="M462" s="6">
        <v>45674</v>
      </c>
      <c r="N462" s="5" t="s">
        <v>811</v>
      </c>
      <c r="O462" s="5" t="str">
        <f ca="1">IF(P462&lt;&gt;"EXPEDIÇÃO","Expedido",IF(NETWORKDAYS(C462,TODAY())&gt;=5,"Risco Alto",IF(NETWORKDAYS(C462,TODAY())&gt;=3,IF(NETWORKDAYS(C462,TODAY())&lt;5,"Risco Médio",""),IF(NETWORKDAYS(C462,TODAY())&lt;=2,"Risco Baixo",""))))</f>
        <v>Expedido</v>
      </c>
      <c r="P462" s="5" t="s">
        <v>25</v>
      </c>
      <c r="Q462" s="5" t="s">
        <v>897</v>
      </c>
      <c r="R462" s="5">
        <v>1682036</v>
      </c>
      <c r="S462" s="7">
        <f>IF(ISBLANK(M462),"Aguardando Previsão/Data",NETWORKDAYS(L462,M462)-1)</f>
        <v>2</v>
      </c>
      <c r="T462" s="5" t="s">
        <v>942</v>
      </c>
    </row>
    <row r="463" spans="1:20" x14ac:dyDescent="0.35">
      <c r="A463" s="5">
        <v>8100269244</v>
      </c>
      <c r="B463" s="5">
        <v>20937</v>
      </c>
      <c r="C463" s="6">
        <v>45660</v>
      </c>
      <c r="D463" s="5" t="s">
        <v>17</v>
      </c>
      <c r="E463" s="5" t="s">
        <v>18</v>
      </c>
      <c r="F463" s="5" t="s">
        <v>27</v>
      </c>
      <c r="G463" s="5" t="s">
        <v>28</v>
      </c>
      <c r="H463" s="5" t="s">
        <v>21</v>
      </c>
      <c r="I463" s="5" t="s">
        <v>1022</v>
      </c>
      <c r="J463" s="5" t="s">
        <v>566</v>
      </c>
      <c r="K463" s="5" t="s">
        <v>24</v>
      </c>
      <c r="L463" s="6">
        <v>45670</v>
      </c>
      <c r="M463" s="6">
        <v>45667</v>
      </c>
      <c r="N463" s="5" t="s">
        <v>811</v>
      </c>
      <c r="O463" s="5" t="str">
        <f ca="1">IF(P463&lt;&gt;"EXPEDIÇÃO","Expedido",IF(NETWORKDAYS(C463,TODAY())&gt;=5,"Risco Alto",IF(NETWORKDAYS(C463,TODAY())&gt;=3,IF(NETWORKDAYS(C463,TODAY())&lt;5,"Risco Médio",""),IF(NETWORKDAYS(C463,TODAY())&lt;=2,"Risco Baixo",""))))</f>
        <v>Expedido</v>
      </c>
      <c r="P463" s="5" t="s">
        <v>25</v>
      </c>
      <c r="S463" s="7">
        <f>IF(ISBLANK(M463),"Aguardando Previsão/Data",NETWORKDAYS(L463,M463)-1)</f>
        <v>-3</v>
      </c>
      <c r="T463" s="5" t="s">
        <v>942</v>
      </c>
    </row>
    <row r="464" spans="1:20" x14ac:dyDescent="0.35">
      <c r="A464" s="5">
        <v>8100269270</v>
      </c>
      <c r="B464" s="5">
        <v>20936</v>
      </c>
      <c r="C464" s="6">
        <v>45660</v>
      </c>
      <c r="D464" s="5" t="s">
        <v>17</v>
      </c>
      <c r="E464" s="5" t="s">
        <v>18</v>
      </c>
      <c r="F464" s="5" t="s">
        <v>44</v>
      </c>
      <c r="G464" s="5" t="s">
        <v>45</v>
      </c>
      <c r="H464" s="5" t="s">
        <v>21</v>
      </c>
      <c r="I464" s="5" t="s">
        <v>739</v>
      </c>
      <c r="J464" s="5" t="s">
        <v>740</v>
      </c>
      <c r="K464" s="5" t="s">
        <v>24</v>
      </c>
      <c r="L464" s="6">
        <v>45672</v>
      </c>
      <c r="M464" s="6">
        <v>45671</v>
      </c>
      <c r="N464" s="5" t="s">
        <v>811</v>
      </c>
      <c r="O464" s="5" t="str">
        <f ca="1">IF(P464&lt;&gt;"EXPEDIÇÃO","Expedido",IF(NETWORKDAYS(C464,TODAY())&gt;=5,"Risco Alto",IF(NETWORKDAYS(C464,TODAY())&gt;=3,IF(NETWORKDAYS(C464,TODAY())&lt;5,"Risco Médio",""),IF(NETWORKDAYS(C464,TODAY())&lt;=2,"Risco Baixo",""))))</f>
        <v>Expedido</v>
      </c>
      <c r="P464" s="5" t="s">
        <v>25</v>
      </c>
      <c r="S464" s="7">
        <f>IF(ISBLANK(M464),"Aguardando Previsão/Data",NETWORKDAYS(L464,M464)-1)</f>
        <v>-3</v>
      </c>
      <c r="T464" s="5" t="s">
        <v>942</v>
      </c>
    </row>
    <row r="465" spans="1:20" x14ac:dyDescent="0.35">
      <c r="A465" s="5">
        <v>8100269811</v>
      </c>
      <c r="B465" s="5">
        <v>20938</v>
      </c>
      <c r="C465" s="6">
        <v>45660</v>
      </c>
      <c r="D465" s="5" t="s">
        <v>17</v>
      </c>
      <c r="E465" s="5" t="s">
        <v>18</v>
      </c>
      <c r="F465" s="5" t="s">
        <v>84</v>
      </c>
      <c r="G465" s="5" t="s">
        <v>85</v>
      </c>
      <c r="H465" s="5" t="s">
        <v>21</v>
      </c>
      <c r="I465" s="5" t="s">
        <v>766</v>
      </c>
      <c r="J465" s="5" t="s">
        <v>49</v>
      </c>
      <c r="K465" s="5" t="s">
        <v>24</v>
      </c>
      <c r="L465" s="6">
        <v>45670</v>
      </c>
      <c r="M465" s="6">
        <v>45667</v>
      </c>
      <c r="N465" s="5" t="s">
        <v>811</v>
      </c>
      <c r="O465" s="5" t="str">
        <f ca="1">IF(P465&lt;&gt;"EXPEDIÇÃO","Expedido",IF(NETWORKDAYS(C465,TODAY())&gt;=5,"Risco Alto",IF(NETWORKDAYS(C465,TODAY())&gt;=3,IF(NETWORKDAYS(C465,TODAY())&lt;5,"Risco Médio",""),IF(NETWORKDAYS(C465,TODAY())&lt;=2,"Risco Baixo",""))))</f>
        <v>Expedido</v>
      </c>
      <c r="P465" s="5" t="s">
        <v>25</v>
      </c>
      <c r="S465" s="7">
        <f>IF(ISBLANK(M465),"Aguardando Previsão/Data",NETWORKDAYS(L465,M465)-1)</f>
        <v>-3</v>
      </c>
      <c r="T465" s="5" t="s">
        <v>942</v>
      </c>
    </row>
    <row r="466" spans="1:20" x14ac:dyDescent="0.35">
      <c r="A466" s="5">
        <v>8100270041</v>
      </c>
      <c r="B466" s="5">
        <v>20958</v>
      </c>
      <c r="C466" s="6">
        <v>45660</v>
      </c>
      <c r="D466" s="5" t="s">
        <v>17</v>
      </c>
      <c r="E466" s="5" t="s">
        <v>18</v>
      </c>
      <c r="F466" s="5" t="s">
        <v>19</v>
      </c>
      <c r="G466" s="5" t="s">
        <v>20</v>
      </c>
      <c r="H466" s="5" t="s">
        <v>21</v>
      </c>
      <c r="I466" s="5" t="s">
        <v>928</v>
      </c>
      <c r="J466" s="5" t="s">
        <v>364</v>
      </c>
      <c r="K466" s="5" t="s">
        <v>24</v>
      </c>
      <c r="L466" s="6">
        <v>45667</v>
      </c>
      <c r="M466" s="6">
        <v>45667</v>
      </c>
      <c r="N466" s="5" t="s">
        <v>811</v>
      </c>
      <c r="O466" s="5" t="str">
        <f ca="1">IF(P466&lt;&gt;"EXPEDIÇÃO","Expedido",IF(NETWORKDAYS(C466,TODAY())&gt;=5,"Risco Alto",IF(NETWORKDAYS(C466,TODAY())&gt;=3,IF(NETWORKDAYS(C466,TODAY())&lt;5,"Risco Médio",""),IF(NETWORKDAYS(C466,TODAY())&lt;=2,"Risco Baixo",""))))</f>
        <v>Expedido</v>
      </c>
      <c r="P466" s="5" t="s">
        <v>25</v>
      </c>
      <c r="S466" s="7">
        <f>IF(ISBLANK(M466),"Aguardando Previsão/Data",NETWORKDAYS(L466,M466)-1)</f>
        <v>0</v>
      </c>
      <c r="T466" s="5" t="s">
        <v>942</v>
      </c>
    </row>
    <row r="467" spans="1:20" x14ac:dyDescent="0.35">
      <c r="A467" s="5">
        <v>8100270042</v>
      </c>
      <c r="B467" s="5">
        <v>20960</v>
      </c>
      <c r="C467" s="6">
        <v>45660</v>
      </c>
      <c r="D467" s="5" t="s">
        <v>17</v>
      </c>
      <c r="E467" s="5" t="s">
        <v>18</v>
      </c>
      <c r="F467" s="5" t="s">
        <v>19</v>
      </c>
      <c r="G467" s="5" t="s">
        <v>20</v>
      </c>
      <c r="H467" s="5" t="s">
        <v>21</v>
      </c>
      <c r="I467" s="5" t="s">
        <v>973</v>
      </c>
      <c r="J467" s="5" t="s">
        <v>47</v>
      </c>
      <c r="K467" s="5" t="s">
        <v>24</v>
      </c>
      <c r="L467" s="6">
        <v>45667</v>
      </c>
      <c r="M467" s="6">
        <v>45665</v>
      </c>
      <c r="N467" s="5" t="s">
        <v>811</v>
      </c>
      <c r="O467" s="5" t="str">
        <f ca="1">IF(P467&lt;&gt;"EXPEDIÇÃO","Expedido",IF(NETWORKDAYS(C467,TODAY())&gt;=5,"Risco Alto",IF(NETWORKDAYS(C467,TODAY())&gt;=3,IF(NETWORKDAYS(C467,TODAY())&lt;5,"Risco Médio",""),IF(NETWORKDAYS(C467,TODAY())&lt;=2,"Risco Baixo",""))))</f>
        <v>Expedido</v>
      </c>
      <c r="P467" s="5" t="s">
        <v>25</v>
      </c>
      <c r="S467" s="7">
        <f>IF(ISBLANK(M467),"Aguardando Previsão/Data",NETWORKDAYS(L467,M467)-1)</f>
        <v>-4</v>
      </c>
      <c r="T467" s="5" t="s">
        <v>942</v>
      </c>
    </row>
    <row r="468" spans="1:20" x14ac:dyDescent="0.35">
      <c r="A468" s="5">
        <v>8100270043</v>
      </c>
      <c r="B468" s="5">
        <v>20957</v>
      </c>
      <c r="C468" s="6">
        <v>45660</v>
      </c>
      <c r="D468" s="5" t="s">
        <v>17</v>
      </c>
      <c r="E468" s="5" t="s">
        <v>18</v>
      </c>
      <c r="F468" s="5" t="s">
        <v>19</v>
      </c>
      <c r="G468" s="5" t="s">
        <v>20</v>
      </c>
      <c r="H468" s="5" t="s">
        <v>21</v>
      </c>
      <c r="I468" s="5" t="s">
        <v>973</v>
      </c>
      <c r="J468" s="5" t="s">
        <v>463</v>
      </c>
      <c r="K468" s="5" t="s">
        <v>24</v>
      </c>
      <c r="L468" s="6">
        <v>45670</v>
      </c>
      <c r="M468" s="6">
        <v>45667</v>
      </c>
      <c r="N468" s="5" t="s">
        <v>811</v>
      </c>
      <c r="O468" s="5" t="str">
        <f ca="1">IF(P468&lt;&gt;"EXPEDIÇÃO","Expedido",IF(NETWORKDAYS(C468,TODAY())&gt;=5,"Risco Alto",IF(NETWORKDAYS(C468,TODAY())&gt;=3,IF(NETWORKDAYS(C468,TODAY())&lt;5,"Risco Médio",""),IF(NETWORKDAYS(C468,TODAY())&lt;=2,"Risco Baixo",""))))</f>
        <v>Expedido</v>
      </c>
      <c r="P468" s="5" t="s">
        <v>25</v>
      </c>
      <c r="S468" s="7">
        <f>IF(ISBLANK(M468),"Aguardando Previsão/Data",NETWORKDAYS(L468,M468)-1)</f>
        <v>-3</v>
      </c>
      <c r="T468" s="5" t="s">
        <v>942</v>
      </c>
    </row>
    <row r="469" spans="1:20" x14ac:dyDescent="0.35">
      <c r="A469" s="5">
        <v>8100270044</v>
      </c>
      <c r="B469" s="5">
        <v>20956</v>
      </c>
      <c r="C469" s="6">
        <v>45660</v>
      </c>
      <c r="D469" s="5" t="s">
        <v>17</v>
      </c>
      <c r="E469" s="5" t="s">
        <v>18</v>
      </c>
      <c r="F469" s="5" t="s">
        <v>19</v>
      </c>
      <c r="G469" s="5" t="s">
        <v>20</v>
      </c>
      <c r="H469" s="5" t="s">
        <v>21</v>
      </c>
      <c r="I469" s="5" t="s">
        <v>973</v>
      </c>
      <c r="J469" s="5" t="s">
        <v>619</v>
      </c>
      <c r="K469" s="5" t="s">
        <v>24</v>
      </c>
      <c r="L469" s="6">
        <v>45670</v>
      </c>
      <c r="M469" s="6">
        <v>45663</v>
      </c>
      <c r="N469" s="5" t="s">
        <v>811</v>
      </c>
      <c r="O469" s="5" t="str">
        <f ca="1">IF(P469&lt;&gt;"EXPEDIÇÃO","Expedido",IF(NETWORKDAYS(C469,TODAY())&gt;=5,"Risco Alto",IF(NETWORKDAYS(C469,TODAY())&gt;=3,IF(NETWORKDAYS(C469,TODAY())&lt;5,"Risco Médio",""),IF(NETWORKDAYS(C469,TODAY())&lt;=2,"Risco Baixo",""))))</f>
        <v>Expedido</v>
      </c>
      <c r="P469" s="5" t="s">
        <v>25</v>
      </c>
      <c r="S469" s="7">
        <f>IF(ISBLANK(M469),"Aguardando Previsão/Data",NETWORKDAYS(L469,M469)-1)</f>
        <v>-7</v>
      </c>
      <c r="T469" s="5" t="s">
        <v>942</v>
      </c>
    </row>
    <row r="470" spans="1:20" x14ac:dyDescent="0.35">
      <c r="A470" s="5">
        <v>8100270045</v>
      </c>
      <c r="B470" s="5">
        <v>20959</v>
      </c>
      <c r="C470" s="6">
        <v>45660</v>
      </c>
      <c r="D470" s="5" t="s">
        <v>17</v>
      </c>
      <c r="E470" s="5" t="s">
        <v>18</v>
      </c>
      <c r="F470" s="5" t="s">
        <v>19</v>
      </c>
      <c r="G470" s="5" t="s">
        <v>20</v>
      </c>
      <c r="H470" s="5" t="s">
        <v>21</v>
      </c>
      <c r="I470" s="5" t="s">
        <v>973</v>
      </c>
      <c r="J470" s="5" t="s">
        <v>365</v>
      </c>
      <c r="K470" s="5" t="s">
        <v>24</v>
      </c>
      <c r="L470" s="6">
        <v>45667</v>
      </c>
      <c r="M470" s="6">
        <v>45664</v>
      </c>
      <c r="N470" s="5" t="s">
        <v>811</v>
      </c>
      <c r="O470" s="5" t="str">
        <f ca="1">IF(P470&lt;&gt;"EXPEDIÇÃO","Expedido",IF(NETWORKDAYS(C470,TODAY())&gt;=5,"Risco Alto",IF(NETWORKDAYS(C470,TODAY())&gt;=3,IF(NETWORKDAYS(C470,TODAY())&lt;5,"Risco Médio",""),IF(NETWORKDAYS(C470,TODAY())&lt;=2,"Risco Baixo",""))))</f>
        <v>Expedido</v>
      </c>
      <c r="P470" s="5" t="s">
        <v>25</v>
      </c>
      <c r="S470" s="7">
        <f>IF(ISBLANK(M470),"Aguardando Previsão/Data",NETWORKDAYS(L470,M470)-1)</f>
        <v>-5</v>
      </c>
      <c r="T470" s="5" t="s">
        <v>942</v>
      </c>
    </row>
    <row r="471" spans="1:20" x14ac:dyDescent="0.35">
      <c r="A471" s="5">
        <v>8100270046</v>
      </c>
      <c r="B471" s="5">
        <v>20961</v>
      </c>
      <c r="C471" s="6">
        <v>45660</v>
      </c>
      <c r="D471" s="5" t="s">
        <v>17</v>
      </c>
      <c r="E471" s="5" t="s">
        <v>18</v>
      </c>
      <c r="F471" s="5" t="s">
        <v>19</v>
      </c>
      <c r="G471" s="5" t="s">
        <v>20</v>
      </c>
      <c r="H471" s="5" t="s">
        <v>21</v>
      </c>
      <c r="I471" s="5" t="s">
        <v>973</v>
      </c>
      <c r="J471" s="5" t="s">
        <v>619</v>
      </c>
      <c r="K471" s="5" t="s">
        <v>24</v>
      </c>
      <c r="L471" s="6">
        <v>45670</v>
      </c>
      <c r="M471" s="6">
        <v>45664</v>
      </c>
      <c r="N471" s="5" t="s">
        <v>811</v>
      </c>
      <c r="O471" s="5" t="str">
        <f ca="1">IF(P471&lt;&gt;"EXPEDIÇÃO","Expedido",IF(NETWORKDAYS(C471,TODAY())&gt;=5,"Risco Alto",IF(NETWORKDAYS(C471,TODAY())&gt;=3,IF(NETWORKDAYS(C471,TODAY())&lt;5,"Risco Médio",""),IF(NETWORKDAYS(C471,TODAY())&lt;=2,"Risco Baixo",""))))</f>
        <v>Expedido</v>
      </c>
      <c r="P471" s="5" t="s">
        <v>25</v>
      </c>
      <c r="S471" s="7">
        <f>IF(ISBLANK(M471),"Aguardando Previsão/Data",NETWORKDAYS(L471,M471)-1)</f>
        <v>-6</v>
      </c>
      <c r="T471" s="5" t="s">
        <v>942</v>
      </c>
    </row>
    <row r="472" spans="1:20" x14ac:dyDescent="0.35">
      <c r="A472" s="5">
        <v>8100270047</v>
      </c>
      <c r="B472" s="5">
        <v>20962</v>
      </c>
      <c r="C472" s="6">
        <v>45660</v>
      </c>
      <c r="D472" s="5" t="s">
        <v>17</v>
      </c>
      <c r="E472" s="5" t="s">
        <v>18</v>
      </c>
      <c r="F472" s="5" t="s">
        <v>19</v>
      </c>
      <c r="G472" s="5" t="s">
        <v>20</v>
      </c>
      <c r="H472" s="5" t="s">
        <v>21</v>
      </c>
      <c r="I472" s="5" t="s">
        <v>973</v>
      </c>
      <c r="J472" s="5" t="s">
        <v>38</v>
      </c>
      <c r="K472" s="5" t="s">
        <v>24</v>
      </c>
      <c r="L472" s="6">
        <v>45670</v>
      </c>
      <c r="M472" s="6">
        <v>45667</v>
      </c>
      <c r="N472" s="5" t="s">
        <v>811</v>
      </c>
      <c r="O472" s="5" t="str">
        <f ca="1">IF(P472&lt;&gt;"EXPEDIÇÃO","Expedido",IF(NETWORKDAYS(C472,TODAY())&gt;=5,"Risco Alto",IF(NETWORKDAYS(C472,TODAY())&gt;=3,IF(NETWORKDAYS(C472,TODAY())&lt;5,"Risco Médio",""),IF(NETWORKDAYS(C472,TODAY())&lt;=2,"Risco Baixo",""))))</f>
        <v>Expedido</v>
      </c>
      <c r="P472" s="5" t="s">
        <v>25</v>
      </c>
      <c r="S472" s="7">
        <f>IF(ISBLANK(M472),"Aguardando Previsão/Data",NETWORKDAYS(L472,M472)-1)</f>
        <v>-3</v>
      </c>
      <c r="T472" s="5" t="s">
        <v>942</v>
      </c>
    </row>
    <row r="473" spans="1:20" x14ac:dyDescent="0.35">
      <c r="A473" s="5">
        <v>8100270070</v>
      </c>
      <c r="B473" s="5">
        <v>20955</v>
      </c>
      <c r="C473" s="6">
        <v>45660</v>
      </c>
      <c r="D473" s="5" t="s">
        <v>17</v>
      </c>
      <c r="E473" s="5" t="s">
        <v>18</v>
      </c>
      <c r="F473" s="5" t="s">
        <v>39</v>
      </c>
      <c r="G473" s="5" t="s">
        <v>40</v>
      </c>
      <c r="H473" s="5" t="s">
        <v>21</v>
      </c>
      <c r="I473" s="5" t="s">
        <v>833</v>
      </c>
      <c r="J473" s="5" t="s">
        <v>466</v>
      </c>
      <c r="K473" s="5" t="s">
        <v>24</v>
      </c>
      <c r="L473" s="6">
        <v>45672</v>
      </c>
      <c r="M473" s="6">
        <v>45672</v>
      </c>
      <c r="N473" s="5" t="s">
        <v>811</v>
      </c>
      <c r="O473" s="5" t="str">
        <f ca="1">IF(P473&lt;&gt;"EXPEDIÇÃO","Expedido",IF(NETWORKDAYS(C473,TODAY())&gt;=5,"Risco Alto",IF(NETWORKDAYS(C473,TODAY())&gt;=3,IF(NETWORKDAYS(C473,TODAY())&lt;5,"Risco Médio",""),IF(NETWORKDAYS(C473,TODAY())&lt;=2,"Risco Baixo",""))))</f>
        <v>Expedido</v>
      </c>
      <c r="P473" s="5" t="s">
        <v>25</v>
      </c>
      <c r="S473" s="7">
        <f>IF(ISBLANK(M473),"Aguardando Previsão/Data",NETWORKDAYS(L473,M473)-1)</f>
        <v>0</v>
      </c>
      <c r="T473" s="5" t="s">
        <v>942</v>
      </c>
    </row>
    <row r="474" spans="1:20" x14ac:dyDescent="0.35">
      <c r="A474" s="5">
        <v>8100269277</v>
      </c>
      <c r="B474" s="5">
        <v>13084</v>
      </c>
      <c r="C474" s="6">
        <v>45660</v>
      </c>
      <c r="D474" s="5" t="s">
        <v>91</v>
      </c>
      <c r="E474" s="5" t="s">
        <v>92</v>
      </c>
      <c r="F474" s="5" t="s">
        <v>96</v>
      </c>
      <c r="G474" s="5" t="s">
        <v>97</v>
      </c>
      <c r="H474" s="5" t="s">
        <v>21</v>
      </c>
      <c r="I474" s="5" t="s">
        <v>22</v>
      </c>
      <c r="J474" s="5" t="s">
        <v>99</v>
      </c>
      <c r="K474" s="5" t="s">
        <v>95</v>
      </c>
      <c r="L474" s="6">
        <v>45666</v>
      </c>
      <c r="M474" s="6">
        <v>45663</v>
      </c>
      <c r="N474" s="5" t="s">
        <v>811</v>
      </c>
      <c r="O474" s="5" t="str">
        <f ca="1">IF(P474&lt;&gt;"EXPEDIÇÃO","Expedido",IF(NETWORKDAYS(C474,TODAY())&gt;=5,"Risco Alto",IF(NETWORKDAYS(C474,TODAY())&gt;=3,IF(NETWORKDAYS(C474,TODAY())&lt;5,"Risco Médio",""),IF(NETWORKDAYS(C474,TODAY())&lt;=2,"Risco Baixo",""))))</f>
        <v>Expedido</v>
      </c>
      <c r="P474" s="5" t="s">
        <v>25</v>
      </c>
      <c r="Q474" s="5" t="s">
        <v>803</v>
      </c>
      <c r="S474" s="7">
        <f>IF(ISBLANK(M474),"Aguardando Previsão/Data",NETWORKDAYS(L474,M474)-1)</f>
        <v>-5</v>
      </c>
      <c r="T474" s="5" t="s">
        <v>942</v>
      </c>
    </row>
    <row r="475" spans="1:20" x14ac:dyDescent="0.35">
      <c r="A475" s="5">
        <v>8100269281</v>
      </c>
      <c r="B475" s="5">
        <v>13083</v>
      </c>
      <c r="C475" s="6">
        <v>45660</v>
      </c>
      <c r="D475" s="5" t="s">
        <v>91</v>
      </c>
      <c r="E475" s="5" t="s">
        <v>92</v>
      </c>
      <c r="F475" s="5" t="s">
        <v>103</v>
      </c>
      <c r="G475" s="5" t="s">
        <v>104</v>
      </c>
      <c r="H475" s="5" t="s">
        <v>21</v>
      </c>
      <c r="I475" s="5" t="s">
        <v>22</v>
      </c>
      <c r="J475" s="5" t="s">
        <v>99</v>
      </c>
      <c r="K475" s="5" t="s">
        <v>95</v>
      </c>
      <c r="L475" s="6">
        <v>45666</v>
      </c>
      <c r="M475" s="6">
        <v>45663</v>
      </c>
      <c r="N475" s="5" t="s">
        <v>811</v>
      </c>
      <c r="O475" s="5" t="str">
        <f ca="1">IF(P475&lt;&gt;"EXPEDIÇÃO","Expedido",IF(NETWORKDAYS(C475,TODAY())&gt;=5,"Risco Alto",IF(NETWORKDAYS(C475,TODAY())&gt;=3,IF(NETWORKDAYS(C475,TODAY())&lt;5,"Risco Médio",""),IF(NETWORKDAYS(C475,TODAY())&lt;=2,"Risco Baixo",""))))</f>
        <v>Expedido</v>
      </c>
      <c r="P475" s="5" t="s">
        <v>25</v>
      </c>
      <c r="Q475" s="5" t="s">
        <v>803</v>
      </c>
      <c r="S475" s="7">
        <f>IF(ISBLANK(M475),"Aguardando Previsão/Data",NETWORKDAYS(L475,M475)-1)</f>
        <v>-5</v>
      </c>
      <c r="T475" s="5" t="s">
        <v>942</v>
      </c>
    </row>
    <row r="476" spans="1:20" x14ac:dyDescent="0.35">
      <c r="A476" s="5">
        <v>8100269282</v>
      </c>
      <c r="B476" s="5">
        <v>13082</v>
      </c>
      <c r="C476" s="6">
        <v>45660</v>
      </c>
      <c r="D476" s="5" t="s">
        <v>91</v>
      </c>
      <c r="E476" s="5" t="s">
        <v>92</v>
      </c>
      <c r="F476" s="5" t="s">
        <v>103</v>
      </c>
      <c r="G476" s="5" t="s">
        <v>104</v>
      </c>
      <c r="H476" s="5" t="s">
        <v>21</v>
      </c>
      <c r="I476" s="5" t="s">
        <v>22</v>
      </c>
      <c r="J476" s="5" t="s">
        <v>99</v>
      </c>
      <c r="K476" s="5" t="s">
        <v>95</v>
      </c>
      <c r="L476" s="6">
        <v>45666</v>
      </c>
      <c r="M476" s="6">
        <v>45663</v>
      </c>
      <c r="N476" s="5" t="s">
        <v>811</v>
      </c>
      <c r="O476" s="5" t="str">
        <f ca="1">IF(P476&lt;&gt;"EXPEDIÇÃO","Expedido",IF(NETWORKDAYS(C476,TODAY())&gt;=5,"Risco Alto",IF(NETWORKDAYS(C476,TODAY())&gt;=3,IF(NETWORKDAYS(C476,TODAY())&lt;5,"Risco Médio",""),IF(NETWORKDAYS(C476,TODAY())&lt;=2,"Risco Baixo",""))))</f>
        <v>Expedido</v>
      </c>
      <c r="P476" s="5" t="s">
        <v>25</v>
      </c>
      <c r="Q476" s="5" t="s">
        <v>803</v>
      </c>
      <c r="S476" s="7">
        <f>IF(ISBLANK(M476),"Aguardando Previsão/Data",NETWORKDAYS(L476,M476)-1)</f>
        <v>-5</v>
      </c>
      <c r="T476" s="5" t="s">
        <v>942</v>
      </c>
    </row>
    <row r="477" spans="1:20" x14ac:dyDescent="0.35">
      <c r="A477" s="5">
        <v>8100269286</v>
      </c>
      <c r="B477" s="5">
        <v>13080</v>
      </c>
      <c r="C477" s="6">
        <v>45660</v>
      </c>
      <c r="D477" s="5" t="s">
        <v>91</v>
      </c>
      <c r="E477" s="5" t="s">
        <v>92</v>
      </c>
      <c r="F477" s="5" t="s">
        <v>103</v>
      </c>
      <c r="G477" s="5" t="s">
        <v>104</v>
      </c>
      <c r="H477" s="5" t="s">
        <v>21</v>
      </c>
      <c r="I477" s="5" t="s">
        <v>863</v>
      </c>
      <c r="J477" s="5" t="s">
        <v>637</v>
      </c>
      <c r="K477" s="5" t="s">
        <v>423</v>
      </c>
      <c r="L477" s="6">
        <v>45671</v>
      </c>
      <c r="M477" s="6">
        <v>45664</v>
      </c>
      <c r="N477" s="5" t="s">
        <v>811</v>
      </c>
      <c r="O477" s="5" t="str">
        <f ca="1">IF(P477&lt;&gt;"EXPEDIÇÃO","Expedido",IF(NETWORKDAYS(C477,TODAY())&gt;=5,"Risco Alto",IF(NETWORKDAYS(C477,TODAY())&gt;=3,IF(NETWORKDAYS(C477,TODAY())&lt;5,"Risco Médio",""),IF(NETWORKDAYS(C477,TODAY())&lt;=2,"Risco Baixo",""))))</f>
        <v>Expedido</v>
      </c>
      <c r="P477" s="5" t="s">
        <v>25</v>
      </c>
      <c r="S477" s="7">
        <f>IF(ISBLANK(M477),"Aguardando Previsão/Data",NETWORKDAYS(L477,M477)-1)</f>
        <v>-7</v>
      </c>
      <c r="T477" s="5" t="s">
        <v>942</v>
      </c>
    </row>
    <row r="478" spans="1:20" x14ac:dyDescent="0.35">
      <c r="A478" s="5">
        <v>8100269752</v>
      </c>
      <c r="B478" s="5">
        <v>13081</v>
      </c>
      <c r="C478" s="6">
        <v>45660</v>
      </c>
      <c r="D478" s="5" t="s">
        <v>91</v>
      </c>
      <c r="E478" s="5" t="s">
        <v>92</v>
      </c>
      <c r="F478" s="5" t="s">
        <v>196</v>
      </c>
      <c r="G478" s="5" t="s">
        <v>197</v>
      </c>
      <c r="H478" s="5" t="s">
        <v>21</v>
      </c>
      <c r="I478" s="5" t="s">
        <v>670</v>
      </c>
      <c r="J478" s="5" t="s">
        <v>638</v>
      </c>
      <c r="K478" s="5" t="s">
        <v>274</v>
      </c>
      <c r="L478" s="6">
        <v>45672</v>
      </c>
      <c r="M478" s="6">
        <v>45664</v>
      </c>
      <c r="N478" s="5" t="s">
        <v>811</v>
      </c>
      <c r="O478" s="5" t="str">
        <f ca="1">IF(P478&lt;&gt;"EXPEDIÇÃO","Expedido",IF(NETWORKDAYS(C478,TODAY())&gt;=5,"Risco Alto",IF(NETWORKDAYS(C478,TODAY())&gt;=3,IF(NETWORKDAYS(C478,TODAY())&lt;5,"Risco Médio",""),IF(NETWORKDAYS(C478,TODAY())&lt;=2,"Risco Baixo",""))))</f>
        <v>Expedido</v>
      </c>
      <c r="P478" s="5" t="s">
        <v>25</v>
      </c>
      <c r="S478" s="7">
        <f>IF(ISBLANK(M478),"Aguardando Previsão/Data",NETWORKDAYS(L478,M478)-1)</f>
        <v>-8</v>
      </c>
      <c r="T478" s="5" t="s">
        <v>942</v>
      </c>
    </row>
    <row r="479" spans="1:20" x14ac:dyDescent="0.35">
      <c r="A479" s="5">
        <v>8100270022</v>
      </c>
      <c r="B479" s="5">
        <v>13086</v>
      </c>
      <c r="C479" s="6">
        <v>45660</v>
      </c>
      <c r="D479" s="5" t="s">
        <v>91</v>
      </c>
      <c r="E479" s="5" t="s">
        <v>92</v>
      </c>
      <c r="F479" s="5" t="s">
        <v>103</v>
      </c>
      <c r="G479" s="5" t="s">
        <v>104</v>
      </c>
      <c r="H479" s="5" t="s">
        <v>21</v>
      </c>
      <c r="I479" s="5" t="s">
        <v>1065</v>
      </c>
      <c r="J479" s="5" t="s">
        <v>1066</v>
      </c>
      <c r="K479" s="5" t="s">
        <v>274</v>
      </c>
      <c r="L479" s="6">
        <v>45673</v>
      </c>
      <c r="M479" s="6">
        <v>45664</v>
      </c>
      <c r="N479" s="5" t="s">
        <v>811</v>
      </c>
      <c r="O479" s="5" t="str">
        <f ca="1">IF(P479&lt;&gt;"EXPEDIÇÃO","Expedido",IF(NETWORKDAYS(C479,TODAY())&gt;=5,"Risco Alto",IF(NETWORKDAYS(C479,TODAY())&gt;=3,IF(NETWORKDAYS(C479,TODAY())&lt;5,"Risco Médio",""),IF(NETWORKDAYS(C479,TODAY())&lt;=2,"Risco Baixo",""))))</f>
        <v>Expedido</v>
      </c>
      <c r="P479" s="5" t="s">
        <v>25</v>
      </c>
      <c r="S479" s="7">
        <f>IF(ISBLANK(M479),"Aguardando Previsão/Data",NETWORKDAYS(L479,M479)-1)</f>
        <v>-9</v>
      </c>
      <c r="T479" s="5" t="s">
        <v>942</v>
      </c>
    </row>
    <row r="480" spans="1:20" x14ac:dyDescent="0.35">
      <c r="A480" s="5">
        <v>8100270029</v>
      </c>
      <c r="B480" s="5">
        <v>13085</v>
      </c>
      <c r="C480" s="6">
        <v>45660</v>
      </c>
      <c r="D480" s="5" t="s">
        <v>91</v>
      </c>
      <c r="E480" s="5" t="s">
        <v>92</v>
      </c>
      <c r="F480" s="5" t="s">
        <v>19</v>
      </c>
      <c r="G480" s="5" t="s">
        <v>20</v>
      </c>
      <c r="H480" s="5" t="s">
        <v>21</v>
      </c>
      <c r="I480" s="5" t="s">
        <v>577</v>
      </c>
      <c r="J480" s="5" t="s">
        <v>578</v>
      </c>
      <c r="K480" s="5" t="s">
        <v>274</v>
      </c>
      <c r="L480" s="6">
        <v>45671</v>
      </c>
      <c r="M480" s="6">
        <v>45665</v>
      </c>
      <c r="N480" s="5" t="s">
        <v>811</v>
      </c>
      <c r="O480" s="5" t="str">
        <f ca="1">IF(P480&lt;&gt;"EXPEDIÇÃO","Expedido",IF(NETWORKDAYS(C480,TODAY())&gt;=5,"Risco Alto",IF(NETWORKDAYS(C480,TODAY())&gt;=3,IF(NETWORKDAYS(C480,TODAY())&lt;5,"Risco Médio",""),IF(NETWORKDAYS(C480,TODAY())&lt;=2,"Risco Baixo",""))))</f>
        <v>Expedido</v>
      </c>
      <c r="P480" s="5" t="s">
        <v>25</v>
      </c>
      <c r="S480" s="7">
        <f>IF(ISBLANK(M480),"Aguardando Previsão/Data",NETWORKDAYS(L480,M480)-1)</f>
        <v>-6</v>
      </c>
      <c r="T480" s="5" t="s">
        <v>942</v>
      </c>
    </row>
    <row r="481" spans="1:20" x14ac:dyDescent="0.35">
      <c r="A481" s="5">
        <v>8100270031</v>
      </c>
      <c r="B481" s="5">
        <v>13088</v>
      </c>
      <c r="C481" s="6">
        <v>45660</v>
      </c>
      <c r="D481" s="5" t="s">
        <v>91</v>
      </c>
      <c r="E481" s="5" t="s">
        <v>92</v>
      </c>
      <c r="F481" s="5" t="s">
        <v>19</v>
      </c>
      <c r="G481" s="5" t="s">
        <v>20</v>
      </c>
      <c r="H481" s="5" t="s">
        <v>21</v>
      </c>
      <c r="I481" s="5" t="s">
        <v>806</v>
      </c>
      <c r="J481" s="5" t="s">
        <v>273</v>
      </c>
      <c r="K481" s="5" t="s">
        <v>274</v>
      </c>
      <c r="L481" s="6">
        <v>45671</v>
      </c>
      <c r="M481" s="6">
        <v>45664</v>
      </c>
      <c r="N481" s="5" t="s">
        <v>811</v>
      </c>
      <c r="O481" s="5" t="str">
        <f ca="1">IF(P481&lt;&gt;"EXPEDIÇÃO","Expedido",IF(NETWORKDAYS(C481,TODAY())&gt;=5,"Risco Alto",IF(NETWORKDAYS(C481,TODAY())&gt;=3,IF(NETWORKDAYS(C481,TODAY())&lt;5,"Risco Médio",""),IF(NETWORKDAYS(C481,TODAY())&lt;=2,"Risco Baixo",""))))</f>
        <v>Expedido</v>
      </c>
      <c r="P481" s="5" t="s">
        <v>25</v>
      </c>
      <c r="S481" s="7">
        <f>IF(ISBLANK(M481),"Aguardando Previsão/Data",NETWORKDAYS(L481,M481)-1)</f>
        <v>-7</v>
      </c>
      <c r="T481" s="5" t="s">
        <v>942</v>
      </c>
    </row>
    <row r="482" spans="1:20" x14ac:dyDescent="0.35">
      <c r="A482" s="5">
        <v>8100270074</v>
      </c>
      <c r="B482" s="5">
        <v>13089</v>
      </c>
      <c r="C482" s="6">
        <v>45660</v>
      </c>
      <c r="D482" s="5" t="s">
        <v>91</v>
      </c>
      <c r="E482" s="5" t="s">
        <v>92</v>
      </c>
      <c r="F482" s="5" t="s">
        <v>19</v>
      </c>
      <c r="G482" s="5" t="s">
        <v>20</v>
      </c>
      <c r="H482" s="5" t="s">
        <v>21</v>
      </c>
      <c r="I482" s="5" t="s">
        <v>806</v>
      </c>
      <c r="J482" s="5" t="s">
        <v>273</v>
      </c>
      <c r="K482" s="5" t="s">
        <v>274</v>
      </c>
      <c r="L482" s="6">
        <v>45671</v>
      </c>
      <c r="M482" s="6">
        <v>45664</v>
      </c>
      <c r="N482" s="5" t="s">
        <v>811</v>
      </c>
      <c r="O482" s="5" t="str">
        <f ca="1">IF(P482&lt;&gt;"EXPEDIÇÃO","Expedido",IF(NETWORKDAYS(C482,TODAY())&gt;=5,"Risco Alto",IF(NETWORKDAYS(C482,TODAY())&gt;=3,IF(NETWORKDAYS(C482,TODAY())&lt;5,"Risco Médio",""),IF(NETWORKDAYS(C482,TODAY())&lt;=2,"Risco Baixo",""))))</f>
        <v>Expedido</v>
      </c>
      <c r="P482" s="5" t="s">
        <v>25</v>
      </c>
      <c r="S482" s="7">
        <f>IF(ISBLANK(M482),"Aguardando Previsão/Data",NETWORKDAYS(L482,M482)-1)</f>
        <v>-7</v>
      </c>
      <c r="T482" s="5" t="s">
        <v>942</v>
      </c>
    </row>
    <row r="483" spans="1:20" x14ac:dyDescent="0.35">
      <c r="A483" s="5">
        <v>8100270704</v>
      </c>
      <c r="B483" s="5">
        <v>13090</v>
      </c>
      <c r="C483" s="6">
        <v>45660</v>
      </c>
      <c r="D483" s="5" t="s">
        <v>91</v>
      </c>
      <c r="E483" s="5" t="s">
        <v>92</v>
      </c>
      <c r="F483" s="5" t="s">
        <v>58</v>
      </c>
      <c r="G483" s="5" t="s">
        <v>59</v>
      </c>
      <c r="H483" s="5" t="s">
        <v>21</v>
      </c>
      <c r="I483" s="5" t="s">
        <v>237</v>
      </c>
      <c r="J483" s="5" t="s">
        <v>275</v>
      </c>
      <c r="K483" s="5" t="s">
        <v>95</v>
      </c>
      <c r="L483" s="6">
        <v>45673</v>
      </c>
      <c r="M483" s="6">
        <v>45664</v>
      </c>
      <c r="N483" s="5" t="s">
        <v>811</v>
      </c>
      <c r="O483" s="5" t="str">
        <f ca="1">IF(P483&lt;&gt;"EXPEDIÇÃO","Expedido",IF(NETWORKDAYS(C483,TODAY())&gt;=5,"Risco Alto",IF(NETWORKDAYS(C483,TODAY())&gt;=3,IF(NETWORKDAYS(C483,TODAY())&lt;5,"Risco Médio",""),IF(NETWORKDAYS(C483,TODAY())&lt;=2,"Risco Baixo",""))))</f>
        <v>Expedido</v>
      </c>
      <c r="P483" s="5" t="s">
        <v>25</v>
      </c>
      <c r="S483" s="7">
        <f>IF(ISBLANK(M483),"Aguardando Previsão/Data",NETWORKDAYS(L483,M483)-1)</f>
        <v>-9</v>
      </c>
      <c r="T483" s="5" t="s">
        <v>942</v>
      </c>
    </row>
    <row r="484" spans="1:20" x14ac:dyDescent="0.35">
      <c r="A484" s="5">
        <v>8100270706</v>
      </c>
      <c r="B484" s="5">
        <v>13087</v>
      </c>
      <c r="C484" s="6">
        <v>45660</v>
      </c>
      <c r="D484" s="5" t="s">
        <v>91</v>
      </c>
      <c r="E484" s="5" t="s">
        <v>92</v>
      </c>
      <c r="F484" s="5" t="s">
        <v>103</v>
      </c>
      <c r="G484" s="5" t="s">
        <v>104</v>
      </c>
      <c r="H484" s="5" t="s">
        <v>21</v>
      </c>
      <c r="I484" s="5" t="s">
        <v>1065</v>
      </c>
      <c r="J484" s="5" t="s">
        <v>1066</v>
      </c>
      <c r="K484" s="5" t="s">
        <v>274</v>
      </c>
      <c r="L484" s="6">
        <v>45673</v>
      </c>
      <c r="M484" s="6">
        <v>45664</v>
      </c>
      <c r="N484" s="5" t="s">
        <v>811</v>
      </c>
      <c r="O484" s="5" t="str">
        <f ca="1">IF(P484&lt;&gt;"EXPEDIÇÃO","Expedido",IF(NETWORKDAYS(C484,TODAY())&gt;=5,"Risco Alto",IF(NETWORKDAYS(C484,TODAY())&gt;=3,IF(NETWORKDAYS(C484,TODAY())&lt;5,"Risco Médio",""),IF(NETWORKDAYS(C484,TODAY())&lt;=2,"Risco Baixo",""))))</f>
        <v>Expedido</v>
      </c>
      <c r="P484" s="5" t="s">
        <v>25</v>
      </c>
      <c r="S484" s="7">
        <f>IF(ISBLANK(M484),"Aguardando Previsão/Data",NETWORKDAYS(L484,M484)-1)</f>
        <v>-9</v>
      </c>
      <c r="T484" s="5" t="s">
        <v>942</v>
      </c>
    </row>
    <row r="485" spans="1:20" x14ac:dyDescent="0.35">
      <c r="A485" s="5">
        <v>8100270707</v>
      </c>
      <c r="B485" s="5">
        <v>13092</v>
      </c>
      <c r="C485" s="6">
        <v>45660</v>
      </c>
      <c r="D485" s="5" t="s">
        <v>91</v>
      </c>
      <c r="E485" s="5" t="s">
        <v>92</v>
      </c>
      <c r="F485" s="5" t="s">
        <v>96</v>
      </c>
      <c r="G485" s="5" t="s">
        <v>97</v>
      </c>
      <c r="H485" s="5" t="s">
        <v>21</v>
      </c>
      <c r="I485" s="5" t="s">
        <v>443</v>
      </c>
      <c r="J485" s="5" t="s">
        <v>99</v>
      </c>
      <c r="K485" s="5" t="s">
        <v>95</v>
      </c>
      <c r="L485" s="6">
        <v>45666</v>
      </c>
      <c r="M485" s="6">
        <v>45663</v>
      </c>
      <c r="N485" s="5" t="s">
        <v>811</v>
      </c>
      <c r="O485" s="5" t="str">
        <f ca="1">IF(P485&lt;&gt;"EXPEDIÇÃO","Expedido",IF(NETWORKDAYS(C485,TODAY())&gt;=5,"Risco Alto",IF(NETWORKDAYS(C485,TODAY())&gt;=3,IF(NETWORKDAYS(C485,TODAY())&lt;5,"Risco Médio",""),IF(NETWORKDAYS(C485,TODAY())&lt;=2,"Risco Baixo",""))))</f>
        <v>Expedido</v>
      </c>
      <c r="P485" s="5" t="s">
        <v>25</v>
      </c>
      <c r="S485" s="7">
        <f>IF(ISBLANK(M485),"Aguardando Previsão/Data",NETWORKDAYS(L485,M485)-1)</f>
        <v>-5</v>
      </c>
      <c r="T485" s="5" t="s">
        <v>942</v>
      </c>
    </row>
    <row r="486" spans="1:20" x14ac:dyDescent="0.35">
      <c r="A486" s="5">
        <v>8100270708</v>
      </c>
      <c r="B486" s="5">
        <v>13093</v>
      </c>
      <c r="C486" s="6">
        <v>45660</v>
      </c>
      <c r="D486" s="5" t="s">
        <v>91</v>
      </c>
      <c r="E486" s="5" t="s">
        <v>92</v>
      </c>
      <c r="F486" s="5" t="s">
        <v>96</v>
      </c>
      <c r="G486" s="5" t="s">
        <v>97</v>
      </c>
      <c r="H486" s="5" t="s">
        <v>21</v>
      </c>
      <c r="I486" s="5" t="s">
        <v>443</v>
      </c>
      <c r="J486" s="5" t="s">
        <v>99</v>
      </c>
      <c r="K486" s="5" t="s">
        <v>95</v>
      </c>
      <c r="L486" s="6">
        <v>45666</v>
      </c>
      <c r="M486" s="6">
        <v>45663</v>
      </c>
      <c r="N486" s="5" t="s">
        <v>811</v>
      </c>
      <c r="O486" s="5" t="str">
        <f ca="1">IF(P486&lt;&gt;"EXPEDIÇÃO","Expedido",IF(NETWORKDAYS(C486,TODAY())&gt;=5,"Risco Alto",IF(NETWORKDAYS(C486,TODAY())&gt;=3,IF(NETWORKDAYS(C486,TODAY())&lt;5,"Risco Médio",""),IF(NETWORKDAYS(C486,TODAY())&lt;=2,"Risco Baixo",""))))</f>
        <v>Expedido</v>
      </c>
      <c r="P486" s="5" t="s">
        <v>25</v>
      </c>
      <c r="S486" s="7">
        <f>IF(ISBLANK(M486),"Aguardando Previsão/Data",NETWORKDAYS(L486,M486)-1)</f>
        <v>-5</v>
      </c>
      <c r="T486" s="5" t="s">
        <v>942</v>
      </c>
    </row>
    <row r="487" spans="1:20" x14ac:dyDescent="0.35">
      <c r="A487" s="5">
        <v>8100270709</v>
      </c>
      <c r="B487" s="5">
        <v>13094</v>
      </c>
      <c r="C487" s="6">
        <v>45660</v>
      </c>
      <c r="D487" s="5" t="s">
        <v>91</v>
      </c>
      <c r="E487" s="5" t="s">
        <v>92</v>
      </c>
      <c r="F487" s="5" t="s">
        <v>96</v>
      </c>
      <c r="G487" s="5" t="s">
        <v>97</v>
      </c>
      <c r="H487" s="5" t="s">
        <v>21</v>
      </c>
      <c r="I487" s="5" t="s">
        <v>443</v>
      </c>
      <c r="J487" s="5" t="s">
        <v>99</v>
      </c>
      <c r="K487" s="5" t="s">
        <v>95</v>
      </c>
      <c r="L487" s="6">
        <v>45666</v>
      </c>
      <c r="M487" s="6">
        <v>45663</v>
      </c>
      <c r="N487" s="5" t="s">
        <v>811</v>
      </c>
      <c r="O487" s="5" t="str">
        <f ca="1">IF(P487&lt;&gt;"EXPEDIÇÃO","Expedido",IF(NETWORKDAYS(C487,TODAY())&gt;=5,"Risco Alto",IF(NETWORKDAYS(C487,TODAY())&gt;=3,IF(NETWORKDAYS(C487,TODAY())&lt;5,"Risco Médio",""),IF(NETWORKDAYS(C487,TODAY())&lt;=2,"Risco Baixo",""))))</f>
        <v>Expedido</v>
      </c>
      <c r="P487" s="5" t="s">
        <v>25</v>
      </c>
      <c r="S487" s="7">
        <f>IF(ISBLANK(M487),"Aguardando Previsão/Data",NETWORKDAYS(L487,M487)-1)</f>
        <v>-5</v>
      </c>
      <c r="T487" s="5" t="s">
        <v>942</v>
      </c>
    </row>
    <row r="488" spans="1:20" x14ac:dyDescent="0.35">
      <c r="A488" s="5">
        <v>8100270710</v>
      </c>
      <c r="B488" s="5">
        <v>13095</v>
      </c>
      <c r="C488" s="6">
        <v>45660</v>
      </c>
      <c r="D488" s="5" t="s">
        <v>91</v>
      </c>
      <c r="E488" s="5" t="s">
        <v>92</v>
      </c>
      <c r="F488" s="5" t="s">
        <v>96</v>
      </c>
      <c r="G488" s="5" t="s">
        <v>97</v>
      </c>
      <c r="H488" s="5" t="s">
        <v>21</v>
      </c>
      <c r="I488" s="5" t="s">
        <v>443</v>
      </c>
      <c r="J488" s="5" t="s">
        <v>99</v>
      </c>
      <c r="K488" s="5" t="s">
        <v>95</v>
      </c>
      <c r="L488" s="6">
        <v>45666</v>
      </c>
      <c r="M488" s="6">
        <v>45663</v>
      </c>
      <c r="N488" s="5" t="s">
        <v>811</v>
      </c>
      <c r="O488" s="5" t="str">
        <f ca="1">IF(P488&lt;&gt;"EXPEDIÇÃO","Expedido",IF(NETWORKDAYS(C488,TODAY())&gt;=5,"Risco Alto",IF(NETWORKDAYS(C488,TODAY())&gt;=3,IF(NETWORKDAYS(C488,TODAY())&lt;5,"Risco Médio",""),IF(NETWORKDAYS(C488,TODAY())&lt;=2,"Risco Baixo",""))))</f>
        <v>Expedido</v>
      </c>
      <c r="P488" s="5" t="s">
        <v>25</v>
      </c>
      <c r="S488" s="7">
        <f>IF(ISBLANK(M488),"Aguardando Previsão/Data",NETWORKDAYS(L488,M488)-1)</f>
        <v>-5</v>
      </c>
      <c r="T488" s="5" t="s">
        <v>942</v>
      </c>
    </row>
    <row r="489" spans="1:20" x14ac:dyDescent="0.35">
      <c r="A489" s="5">
        <v>8100270711</v>
      </c>
      <c r="B489" s="5">
        <v>13091</v>
      </c>
      <c r="C489" s="6">
        <v>45660</v>
      </c>
      <c r="D489" s="5" t="s">
        <v>91</v>
      </c>
      <c r="E489" s="5" t="s">
        <v>92</v>
      </c>
      <c r="F489" s="5" t="s">
        <v>58</v>
      </c>
      <c r="G489" s="5" t="s">
        <v>59</v>
      </c>
      <c r="H489" s="5" t="s">
        <v>21</v>
      </c>
      <c r="I489" s="5" t="s">
        <v>237</v>
      </c>
      <c r="J489" s="5" t="s">
        <v>275</v>
      </c>
      <c r="K489" s="5" t="s">
        <v>95</v>
      </c>
      <c r="L489" s="6">
        <v>45673</v>
      </c>
      <c r="M489" s="6">
        <v>45664</v>
      </c>
      <c r="N489" s="5" t="s">
        <v>811</v>
      </c>
      <c r="O489" s="5" t="str">
        <f ca="1">IF(P489&lt;&gt;"EXPEDIÇÃO","Expedido",IF(NETWORKDAYS(C489,TODAY())&gt;=5,"Risco Alto",IF(NETWORKDAYS(C489,TODAY())&gt;=3,IF(NETWORKDAYS(C489,TODAY())&lt;5,"Risco Médio",""),IF(NETWORKDAYS(C489,TODAY())&lt;=2,"Risco Baixo",""))))</f>
        <v>Expedido</v>
      </c>
      <c r="P489" s="5" t="s">
        <v>25</v>
      </c>
      <c r="S489" s="7">
        <f>IF(ISBLANK(M489),"Aguardando Previsão/Data",NETWORKDAYS(L489,M489)-1)</f>
        <v>-9</v>
      </c>
      <c r="T489" s="5" t="s">
        <v>942</v>
      </c>
    </row>
    <row r="490" spans="1:20" x14ac:dyDescent="0.35">
      <c r="A490" s="5">
        <v>8100269526</v>
      </c>
      <c r="B490" s="5">
        <v>20923</v>
      </c>
      <c r="C490" s="6">
        <v>45660</v>
      </c>
      <c r="D490" s="5" t="s">
        <v>836</v>
      </c>
      <c r="E490" s="5" t="s">
        <v>837</v>
      </c>
      <c r="F490" s="5" t="s">
        <v>39</v>
      </c>
      <c r="G490" s="5" t="s">
        <v>40</v>
      </c>
      <c r="H490" s="5" t="s">
        <v>21</v>
      </c>
      <c r="I490" s="5" t="s">
        <v>1155</v>
      </c>
      <c r="J490" s="5" t="s">
        <v>603</v>
      </c>
      <c r="K490" s="5" t="s">
        <v>24</v>
      </c>
      <c r="L490" s="6">
        <v>45670</v>
      </c>
      <c r="M490" s="6">
        <v>45667</v>
      </c>
      <c r="N490" s="5" t="s">
        <v>811</v>
      </c>
      <c r="O490" s="5" t="str">
        <f ca="1">IF(P490&lt;&gt;"EXPEDIÇÃO","Expedido",IF(NETWORKDAYS(C490,TODAY())&gt;=5,"Risco Alto",IF(NETWORKDAYS(C490,TODAY())&gt;=3,IF(NETWORKDAYS(C490,TODAY())&lt;5,"Risco Médio",""),IF(NETWORKDAYS(C490,TODAY())&lt;=2,"Risco Baixo",""))))</f>
        <v>Expedido</v>
      </c>
      <c r="P490" s="5" t="s">
        <v>25</v>
      </c>
      <c r="S490" s="7">
        <f>IF(ISBLANK(M490),"Aguardando Previsão/Data",NETWORKDAYS(L490,M490)-1)</f>
        <v>-3</v>
      </c>
      <c r="T490" s="5" t="s">
        <v>942</v>
      </c>
    </row>
    <row r="491" spans="1:20" x14ac:dyDescent="0.35">
      <c r="A491" s="5">
        <v>8100269527</v>
      </c>
      <c r="B491" s="5">
        <v>20924</v>
      </c>
      <c r="C491" s="6">
        <v>45660</v>
      </c>
      <c r="D491" s="5" t="s">
        <v>836</v>
      </c>
      <c r="E491" s="5" t="s">
        <v>837</v>
      </c>
      <c r="F491" s="5" t="s">
        <v>39</v>
      </c>
      <c r="G491" s="5" t="s">
        <v>40</v>
      </c>
      <c r="H491" s="5" t="s">
        <v>21</v>
      </c>
      <c r="I491" s="5" t="s">
        <v>943</v>
      </c>
      <c r="J491" s="5" t="s">
        <v>495</v>
      </c>
      <c r="K491" s="5" t="s">
        <v>24</v>
      </c>
      <c r="L491" s="6">
        <v>45671</v>
      </c>
      <c r="M491" s="6">
        <v>45670</v>
      </c>
      <c r="N491" s="5" t="s">
        <v>811</v>
      </c>
      <c r="O491" s="5" t="str">
        <f ca="1">IF(P491&lt;&gt;"EXPEDIÇÃO","Expedido",IF(NETWORKDAYS(C491,TODAY())&gt;=5,"Risco Alto",IF(NETWORKDAYS(C491,TODAY())&gt;=3,IF(NETWORKDAYS(C491,TODAY())&lt;5,"Risco Médio",""),IF(NETWORKDAYS(C491,TODAY())&lt;=2,"Risco Baixo",""))))</f>
        <v>Expedido</v>
      </c>
      <c r="P491" s="5" t="s">
        <v>25</v>
      </c>
      <c r="Q491" s="5" t="s">
        <v>898</v>
      </c>
      <c r="S491" s="7">
        <f>IF(ISBLANK(M491),"Aguardando Previsão/Data",NETWORKDAYS(L491,M491)-1)</f>
        <v>-3</v>
      </c>
      <c r="T491" s="5" t="s">
        <v>942</v>
      </c>
    </row>
    <row r="492" spans="1:20" x14ac:dyDescent="0.35">
      <c r="A492" s="5">
        <v>8100269528</v>
      </c>
      <c r="B492" s="5">
        <v>20925</v>
      </c>
      <c r="C492" s="6">
        <v>45660</v>
      </c>
      <c r="D492" s="5" t="s">
        <v>836</v>
      </c>
      <c r="E492" s="5" t="s">
        <v>837</v>
      </c>
      <c r="F492" s="5" t="s">
        <v>39</v>
      </c>
      <c r="G492" s="5" t="s">
        <v>40</v>
      </c>
      <c r="H492" s="5" t="s">
        <v>21</v>
      </c>
      <c r="I492" s="5" t="s">
        <v>1156</v>
      </c>
      <c r="J492" s="5" t="s">
        <v>602</v>
      </c>
      <c r="K492" s="5" t="s">
        <v>24</v>
      </c>
      <c r="L492" s="6">
        <v>45670</v>
      </c>
      <c r="M492" s="6">
        <v>45667</v>
      </c>
      <c r="N492" s="5" t="s">
        <v>811</v>
      </c>
      <c r="O492" s="5" t="str">
        <f ca="1">IF(P492&lt;&gt;"EXPEDIÇÃO","Expedido",IF(NETWORKDAYS(C492,TODAY())&gt;=5,"Risco Alto",IF(NETWORKDAYS(C492,TODAY())&gt;=3,IF(NETWORKDAYS(C492,TODAY())&lt;5,"Risco Médio",""),IF(NETWORKDAYS(C492,TODAY())&lt;=2,"Risco Baixo",""))))</f>
        <v>Expedido</v>
      </c>
      <c r="P492" s="5" t="s">
        <v>25</v>
      </c>
      <c r="Q492" s="5" t="s">
        <v>897</v>
      </c>
      <c r="R492" s="5">
        <v>1682038</v>
      </c>
      <c r="S492" s="7">
        <f>IF(ISBLANK(M492),"Aguardando Previsão/Data",NETWORKDAYS(L492,M492)-1)</f>
        <v>-3</v>
      </c>
      <c r="T492" s="5" t="s">
        <v>942</v>
      </c>
    </row>
    <row r="493" spans="1:20" x14ac:dyDescent="0.35">
      <c r="A493" s="5">
        <v>8100269529</v>
      </c>
      <c r="B493" s="5">
        <v>20926</v>
      </c>
      <c r="C493" s="6">
        <v>45660</v>
      </c>
      <c r="D493" s="5" t="s">
        <v>836</v>
      </c>
      <c r="E493" s="5" t="s">
        <v>837</v>
      </c>
      <c r="F493" s="5" t="s">
        <v>39</v>
      </c>
      <c r="G493" s="5" t="s">
        <v>40</v>
      </c>
      <c r="H493" s="5" t="s">
        <v>21</v>
      </c>
      <c r="I493" s="5" t="s">
        <v>833</v>
      </c>
      <c r="J493" s="5" t="s">
        <v>466</v>
      </c>
      <c r="K493" s="5" t="s">
        <v>24</v>
      </c>
      <c r="L493" s="6">
        <v>45670</v>
      </c>
      <c r="M493" s="6">
        <v>45660</v>
      </c>
      <c r="N493" s="5" t="s">
        <v>811</v>
      </c>
      <c r="O493" s="5" t="str">
        <f ca="1">IF(P493&lt;&gt;"EXPEDIÇÃO","Expedido",IF(NETWORKDAYS(C493,TODAY())&gt;=5,"Risco Alto",IF(NETWORKDAYS(C493,TODAY())&gt;=3,IF(NETWORKDAYS(C493,TODAY())&lt;5,"Risco Médio",""),IF(NETWORKDAYS(C493,TODAY())&lt;=2,"Risco Baixo",""))))</f>
        <v>Expedido</v>
      </c>
      <c r="P493" s="5" t="s">
        <v>25</v>
      </c>
      <c r="S493" s="7">
        <f>IF(ISBLANK(M493),"Aguardando Previsão/Data",NETWORKDAYS(L493,M493)-1)</f>
        <v>-8</v>
      </c>
      <c r="T493" s="5" t="s">
        <v>942</v>
      </c>
    </row>
    <row r="494" spans="1:20" x14ac:dyDescent="0.35">
      <c r="A494" s="5">
        <v>8100269531</v>
      </c>
      <c r="B494" s="5">
        <v>20928</v>
      </c>
      <c r="C494" s="6">
        <v>45660</v>
      </c>
      <c r="D494" s="5" t="s">
        <v>836</v>
      </c>
      <c r="E494" s="5" t="s">
        <v>837</v>
      </c>
      <c r="F494" s="5" t="s">
        <v>39</v>
      </c>
      <c r="G494" s="5" t="s">
        <v>40</v>
      </c>
      <c r="H494" s="5" t="s">
        <v>21</v>
      </c>
      <c r="I494" s="5" t="s">
        <v>794</v>
      </c>
      <c r="J494" s="5" t="s">
        <v>495</v>
      </c>
      <c r="K494" s="5" t="s">
        <v>24</v>
      </c>
      <c r="L494" s="6">
        <v>45671</v>
      </c>
      <c r="M494" s="6">
        <v>45670</v>
      </c>
      <c r="N494" s="5" t="s">
        <v>811</v>
      </c>
      <c r="O494" s="5" t="str">
        <f ca="1">IF(P494&lt;&gt;"EXPEDIÇÃO","Expedido",IF(NETWORKDAYS(C494,TODAY())&gt;=5,"Risco Alto",IF(NETWORKDAYS(C494,TODAY())&gt;=3,IF(NETWORKDAYS(C494,TODAY())&lt;5,"Risco Médio",""),IF(NETWORKDAYS(C494,TODAY())&lt;=2,"Risco Baixo",""))))</f>
        <v>Expedido</v>
      </c>
      <c r="P494" s="5" t="s">
        <v>25</v>
      </c>
      <c r="Q494" s="5" t="s">
        <v>898</v>
      </c>
      <c r="S494" s="7">
        <f>IF(ISBLANK(M494),"Aguardando Previsão/Data",NETWORKDAYS(L494,M494)-1)</f>
        <v>-3</v>
      </c>
      <c r="T494" s="5" t="s">
        <v>942</v>
      </c>
    </row>
    <row r="495" spans="1:20" x14ac:dyDescent="0.35">
      <c r="A495" s="5">
        <v>8100269532</v>
      </c>
      <c r="B495" s="5">
        <v>20929</v>
      </c>
      <c r="C495" s="6">
        <v>45660</v>
      </c>
      <c r="D495" s="5" t="s">
        <v>836</v>
      </c>
      <c r="E495" s="5" t="s">
        <v>837</v>
      </c>
      <c r="F495" s="5" t="s">
        <v>39</v>
      </c>
      <c r="G495" s="5" t="s">
        <v>40</v>
      </c>
      <c r="H495" s="5" t="s">
        <v>21</v>
      </c>
      <c r="I495" s="5" t="s">
        <v>931</v>
      </c>
      <c r="J495" s="5" t="s">
        <v>657</v>
      </c>
      <c r="K495" s="5" t="s">
        <v>24</v>
      </c>
      <c r="L495" s="6">
        <v>45671</v>
      </c>
      <c r="M495" s="6">
        <v>45670</v>
      </c>
      <c r="N495" s="5" t="s">
        <v>811</v>
      </c>
      <c r="O495" s="5" t="str">
        <f ca="1">IF(P495&lt;&gt;"EXPEDIÇÃO","Expedido",IF(NETWORKDAYS(C495,TODAY())&gt;=5,"Risco Alto",IF(NETWORKDAYS(C495,TODAY())&gt;=3,IF(NETWORKDAYS(C495,TODAY())&lt;5,"Risco Médio",""),IF(NETWORKDAYS(C495,TODAY())&lt;=2,"Risco Baixo",""))))</f>
        <v>Expedido</v>
      </c>
      <c r="P495" s="5" t="s">
        <v>25</v>
      </c>
      <c r="Q495" s="5" t="s">
        <v>898</v>
      </c>
      <c r="S495" s="7">
        <f>IF(ISBLANK(M495),"Aguardando Previsão/Data",NETWORKDAYS(L495,M495)-1)</f>
        <v>-3</v>
      </c>
      <c r="T495" s="5" t="s">
        <v>942</v>
      </c>
    </row>
    <row r="496" spans="1:20" x14ac:dyDescent="0.35">
      <c r="A496" s="5">
        <v>8100269533</v>
      </c>
      <c r="B496" s="5">
        <v>20930</v>
      </c>
      <c r="C496" s="6">
        <v>45660</v>
      </c>
      <c r="D496" s="5" t="s">
        <v>836</v>
      </c>
      <c r="E496" s="5" t="s">
        <v>837</v>
      </c>
      <c r="F496" s="5" t="s">
        <v>39</v>
      </c>
      <c r="G496" s="5" t="s">
        <v>40</v>
      </c>
      <c r="H496" s="5" t="s">
        <v>21</v>
      </c>
      <c r="I496" s="5" t="s">
        <v>781</v>
      </c>
      <c r="J496" s="5" t="s">
        <v>260</v>
      </c>
      <c r="K496" s="5" t="s">
        <v>24</v>
      </c>
      <c r="L496" s="6">
        <v>45670</v>
      </c>
      <c r="M496" s="6">
        <v>45664</v>
      </c>
      <c r="N496" s="5" t="s">
        <v>811</v>
      </c>
      <c r="O496" s="5" t="str">
        <f ca="1">IF(P496&lt;&gt;"EXPEDIÇÃO","Expedido",IF(NETWORKDAYS(C496,TODAY())&gt;=5,"Risco Alto",IF(NETWORKDAYS(C496,TODAY())&gt;=3,IF(NETWORKDAYS(C496,TODAY())&lt;5,"Risco Médio",""),IF(NETWORKDAYS(C496,TODAY())&lt;=2,"Risco Baixo",""))))</f>
        <v>Expedido</v>
      </c>
      <c r="P496" s="5" t="s">
        <v>25</v>
      </c>
      <c r="S496" s="7">
        <f>IF(ISBLANK(M496),"Aguardando Previsão/Data",NETWORKDAYS(L496,M496)-1)</f>
        <v>-6</v>
      </c>
      <c r="T496" s="5" t="s">
        <v>942</v>
      </c>
    </row>
    <row r="497" spans="1:20" x14ac:dyDescent="0.35">
      <c r="A497" s="5">
        <v>8100269534</v>
      </c>
      <c r="B497" s="5">
        <v>20931</v>
      </c>
      <c r="C497" s="6">
        <v>45660</v>
      </c>
      <c r="D497" s="5" t="s">
        <v>836</v>
      </c>
      <c r="E497" s="5" t="s">
        <v>837</v>
      </c>
      <c r="F497" s="5" t="s">
        <v>39</v>
      </c>
      <c r="G497" s="5" t="s">
        <v>40</v>
      </c>
      <c r="H497" s="5" t="s">
        <v>21</v>
      </c>
      <c r="I497" s="5" t="s">
        <v>780</v>
      </c>
      <c r="J497" s="5" t="s">
        <v>522</v>
      </c>
      <c r="K497" s="5" t="s">
        <v>24</v>
      </c>
      <c r="L497" s="6">
        <v>45670</v>
      </c>
      <c r="M497" s="6">
        <v>45664</v>
      </c>
      <c r="N497" s="5" t="s">
        <v>811</v>
      </c>
      <c r="O497" s="5" t="str">
        <f ca="1">IF(P497&lt;&gt;"EXPEDIÇÃO","Expedido",IF(NETWORKDAYS(C497,TODAY())&gt;=5,"Risco Alto",IF(NETWORKDAYS(C497,TODAY())&gt;=3,IF(NETWORKDAYS(C497,TODAY())&lt;5,"Risco Médio",""),IF(NETWORKDAYS(C497,TODAY())&lt;=2,"Risco Baixo",""))))</f>
        <v>Expedido</v>
      </c>
      <c r="P497" s="5" t="s">
        <v>25</v>
      </c>
      <c r="S497" s="7">
        <f>IF(ISBLANK(M497),"Aguardando Previsão/Data",NETWORKDAYS(L497,M497)-1)</f>
        <v>-6</v>
      </c>
      <c r="T497" s="5" t="s">
        <v>942</v>
      </c>
    </row>
    <row r="498" spans="1:20" x14ac:dyDescent="0.35">
      <c r="A498" s="5">
        <v>8100270151</v>
      </c>
      <c r="B498" s="5">
        <v>20950</v>
      </c>
      <c r="C498" s="6">
        <v>45660</v>
      </c>
      <c r="D498" s="5" t="s">
        <v>836</v>
      </c>
      <c r="E498" s="5" t="s">
        <v>837</v>
      </c>
      <c r="F498" s="5" t="s">
        <v>39</v>
      </c>
      <c r="G498" s="5" t="s">
        <v>40</v>
      </c>
      <c r="H498" s="5" t="s">
        <v>21</v>
      </c>
      <c r="I498" s="5" t="s">
        <v>878</v>
      </c>
      <c r="J498" s="5" t="s">
        <v>601</v>
      </c>
      <c r="K498" s="5" t="s">
        <v>24</v>
      </c>
      <c r="L498" s="6">
        <v>45671</v>
      </c>
      <c r="M498" s="6">
        <v>45670</v>
      </c>
      <c r="N498" s="5" t="s">
        <v>811</v>
      </c>
      <c r="O498" s="5" t="str">
        <f ca="1">IF(P498&lt;&gt;"EXPEDIÇÃO","Expedido",IF(NETWORKDAYS(C498,TODAY())&gt;=5,"Risco Alto",IF(NETWORKDAYS(C498,TODAY())&gt;=3,IF(NETWORKDAYS(C498,TODAY())&lt;5,"Risco Médio",""),IF(NETWORKDAYS(C498,TODAY())&lt;=2,"Risco Baixo",""))))</f>
        <v>Expedido</v>
      </c>
      <c r="P498" s="5" t="s">
        <v>25</v>
      </c>
      <c r="S498" s="7">
        <f>IF(ISBLANK(M498),"Aguardando Previsão/Data",NETWORKDAYS(L498,M498)-1)</f>
        <v>-3</v>
      </c>
      <c r="T498" s="5" t="s">
        <v>942</v>
      </c>
    </row>
    <row r="499" spans="1:20" x14ac:dyDescent="0.35">
      <c r="A499" s="5">
        <v>8100270157</v>
      </c>
      <c r="B499" s="5">
        <v>20951</v>
      </c>
      <c r="C499" s="6">
        <v>45660</v>
      </c>
      <c r="D499" s="5" t="s">
        <v>836</v>
      </c>
      <c r="E499" s="5" t="s">
        <v>837</v>
      </c>
      <c r="F499" s="5" t="s">
        <v>39</v>
      </c>
      <c r="G499" s="5" t="s">
        <v>40</v>
      </c>
      <c r="H499" s="5" t="s">
        <v>21</v>
      </c>
      <c r="I499" s="5" t="s">
        <v>794</v>
      </c>
      <c r="J499" s="5" t="s">
        <v>495</v>
      </c>
      <c r="K499" s="5" t="s">
        <v>24</v>
      </c>
      <c r="L499" s="6">
        <v>45671</v>
      </c>
      <c r="M499" s="6">
        <v>45670</v>
      </c>
      <c r="N499" s="5" t="s">
        <v>811</v>
      </c>
      <c r="O499" s="5" t="str">
        <f ca="1">IF(P499&lt;&gt;"EXPEDIÇÃO","Expedido",IF(NETWORKDAYS(C499,TODAY())&gt;=5,"Risco Alto",IF(NETWORKDAYS(C499,TODAY())&gt;=3,IF(NETWORKDAYS(C499,TODAY())&lt;5,"Risco Médio",""),IF(NETWORKDAYS(C499,TODAY())&lt;=2,"Risco Baixo",""))))</f>
        <v>Expedido</v>
      </c>
      <c r="P499" s="5" t="s">
        <v>25</v>
      </c>
      <c r="Q499" s="5" t="s">
        <v>898</v>
      </c>
      <c r="S499" s="7">
        <f>IF(ISBLANK(M499),"Aguardando Previsão/Data",NETWORKDAYS(L499,M499)-1)</f>
        <v>-3</v>
      </c>
      <c r="T499" s="5" t="s">
        <v>942</v>
      </c>
    </row>
    <row r="500" spans="1:20" x14ac:dyDescent="0.35">
      <c r="A500" s="5">
        <v>8100270158</v>
      </c>
      <c r="B500" s="5">
        <v>20963</v>
      </c>
      <c r="C500" s="6">
        <v>45660</v>
      </c>
      <c r="D500" s="5" t="s">
        <v>836</v>
      </c>
      <c r="E500" s="5" t="s">
        <v>837</v>
      </c>
      <c r="F500" s="5" t="s">
        <v>39</v>
      </c>
      <c r="G500" s="5" t="s">
        <v>40</v>
      </c>
      <c r="H500" s="5" t="s">
        <v>21</v>
      </c>
      <c r="I500" s="5" t="s">
        <v>794</v>
      </c>
      <c r="J500" s="5" t="s">
        <v>495</v>
      </c>
      <c r="K500" s="5" t="s">
        <v>24</v>
      </c>
      <c r="L500" s="6">
        <v>45671</v>
      </c>
      <c r="M500" s="6">
        <v>45672</v>
      </c>
      <c r="N500" s="5" t="s">
        <v>812</v>
      </c>
      <c r="O500" s="5" t="str">
        <f ca="1">IF(P500&lt;&gt;"EXPEDIÇÃO","Expedido",IF(NETWORKDAYS(C500,TODAY())&gt;=5,"Risco Alto",IF(NETWORKDAYS(C500,TODAY())&gt;=3,IF(NETWORKDAYS(C500,TODAY())&lt;5,"Risco Médio",""),IF(NETWORKDAYS(C500,TODAY())&lt;=2,"Risco Baixo",""))))</f>
        <v>Expedido</v>
      </c>
      <c r="P500" s="5" t="s">
        <v>25</v>
      </c>
      <c r="S500" s="7">
        <f>IF(ISBLANK(M500),"Aguardando Previsão/Data",NETWORKDAYS(L500,M500)-1)</f>
        <v>1</v>
      </c>
      <c r="T500" s="5" t="s">
        <v>942</v>
      </c>
    </row>
    <row r="501" spans="1:20" x14ac:dyDescent="0.35">
      <c r="A501" s="5">
        <v>8100270843</v>
      </c>
      <c r="B501" s="5">
        <v>20964</v>
      </c>
      <c r="C501" s="6">
        <v>45660</v>
      </c>
      <c r="D501" s="5" t="s">
        <v>836</v>
      </c>
      <c r="E501" s="5" t="s">
        <v>837</v>
      </c>
      <c r="F501" s="5" t="s">
        <v>39</v>
      </c>
      <c r="G501" s="5" t="s">
        <v>40</v>
      </c>
      <c r="H501" s="5" t="s">
        <v>21</v>
      </c>
      <c r="I501" s="5" t="s">
        <v>878</v>
      </c>
      <c r="J501" s="5" t="s">
        <v>601</v>
      </c>
      <c r="K501" s="5" t="s">
        <v>24</v>
      </c>
      <c r="L501" s="6">
        <v>45671</v>
      </c>
      <c r="M501" s="6">
        <v>45670</v>
      </c>
      <c r="N501" s="5" t="s">
        <v>811</v>
      </c>
      <c r="O501" s="5" t="str">
        <f ca="1">IF(P501&lt;&gt;"EXPEDIÇÃO","Expedido",IF(NETWORKDAYS(C501,TODAY())&gt;=5,"Risco Alto",IF(NETWORKDAYS(C501,TODAY())&gt;=3,IF(NETWORKDAYS(C501,TODAY())&lt;5,"Risco Médio",""),IF(NETWORKDAYS(C501,TODAY())&lt;=2,"Risco Baixo",""))))</f>
        <v>Expedido</v>
      </c>
      <c r="P501" s="5" t="s">
        <v>25</v>
      </c>
      <c r="S501" s="7">
        <f>IF(ISBLANK(M501),"Aguardando Previsão/Data",NETWORKDAYS(L501,M501)-1)</f>
        <v>-3</v>
      </c>
      <c r="T501" s="5" t="s">
        <v>942</v>
      </c>
    </row>
    <row r="502" spans="1:20" x14ac:dyDescent="0.35">
      <c r="A502" s="5">
        <v>8100269053</v>
      </c>
      <c r="B502" s="5">
        <v>10525</v>
      </c>
      <c r="C502" s="6">
        <v>45660</v>
      </c>
      <c r="D502" s="5" t="s">
        <v>239</v>
      </c>
      <c r="E502" s="5" t="s">
        <v>240</v>
      </c>
      <c r="F502" s="5" t="s">
        <v>160</v>
      </c>
      <c r="G502" s="5" t="s">
        <v>161</v>
      </c>
      <c r="H502" s="5" t="s">
        <v>218</v>
      </c>
      <c r="I502" s="5" t="s">
        <v>320</v>
      </c>
      <c r="J502" s="5" t="s">
        <v>321</v>
      </c>
      <c r="K502" s="5" t="s">
        <v>241</v>
      </c>
      <c r="L502" s="6">
        <v>45666</v>
      </c>
      <c r="M502" s="6">
        <v>45665</v>
      </c>
      <c r="N502" s="5" t="s">
        <v>811</v>
      </c>
      <c r="O502" s="5" t="str">
        <f ca="1">IF(P502&lt;&gt;"EXPEDIÇÃO","Expedido",IF(NETWORKDAYS(C502,TODAY())&gt;=5,"Risco Alto",IF(NETWORKDAYS(C502,TODAY())&gt;=3,IF(NETWORKDAYS(C502,TODAY())&lt;5,"Risco Médio",""),IF(NETWORKDAYS(C502,TODAY())&lt;=2,"Risco Baixo",""))))</f>
        <v>Expedido</v>
      </c>
      <c r="P502" s="5" t="s">
        <v>25</v>
      </c>
      <c r="Q502" s="5" t="s">
        <v>793</v>
      </c>
      <c r="S502" s="7">
        <f>IF(ISBLANK(M502),"Aguardando Previsão/Data",NETWORKDAYS(L502,M502)-1)</f>
        <v>-3</v>
      </c>
      <c r="T502" s="5" t="s">
        <v>942</v>
      </c>
    </row>
    <row r="503" spans="1:20" x14ac:dyDescent="0.35">
      <c r="A503" s="5">
        <v>8100269130</v>
      </c>
      <c r="B503" s="5">
        <v>10517</v>
      </c>
      <c r="C503" s="6">
        <v>45660</v>
      </c>
      <c r="D503" s="5" t="s">
        <v>239</v>
      </c>
      <c r="E503" s="5" t="s">
        <v>240</v>
      </c>
      <c r="F503" s="5" t="s">
        <v>160</v>
      </c>
      <c r="G503" s="5" t="s">
        <v>161</v>
      </c>
      <c r="H503" s="5" t="s">
        <v>218</v>
      </c>
      <c r="I503" s="5" t="s">
        <v>320</v>
      </c>
      <c r="J503" s="5" t="s">
        <v>321</v>
      </c>
      <c r="K503" s="5" t="s">
        <v>241</v>
      </c>
      <c r="L503" s="6">
        <v>45666</v>
      </c>
      <c r="M503" s="6">
        <v>45668</v>
      </c>
      <c r="N503" s="5" t="s">
        <v>811</v>
      </c>
      <c r="O503" s="5" t="str">
        <f ca="1">IF(P503&lt;&gt;"EXPEDIÇÃO","Expedido",IF(NETWORKDAYS(C503,TODAY())&gt;=5,"Risco Alto",IF(NETWORKDAYS(C503,TODAY())&gt;=3,IF(NETWORKDAYS(C503,TODAY())&lt;5,"Risco Médio",""),IF(NETWORKDAYS(C503,TODAY())&lt;=2,"Risco Baixo",""))))</f>
        <v>Expedido</v>
      </c>
      <c r="P503" s="5" t="s">
        <v>25</v>
      </c>
      <c r="Q503" s="5" t="s">
        <v>897</v>
      </c>
      <c r="S503" s="7">
        <f>IF(ISBLANK(M503),"Aguardando Previsão/Data",NETWORKDAYS(L503,M503)-1)</f>
        <v>1</v>
      </c>
      <c r="T503" s="5" t="s">
        <v>942</v>
      </c>
    </row>
    <row r="504" spans="1:20" x14ac:dyDescent="0.35">
      <c r="A504" s="5">
        <v>8100269131</v>
      </c>
      <c r="B504" s="5">
        <v>10518</v>
      </c>
      <c r="C504" s="6">
        <v>45660</v>
      </c>
      <c r="D504" s="5" t="s">
        <v>239</v>
      </c>
      <c r="E504" s="5" t="s">
        <v>240</v>
      </c>
      <c r="F504" s="5" t="s">
        <v>160</v>
      </c>
      <c r="G504" s="5" t="s">
        <v>161</v>
      </c>
      <c r="H504" s="5" t="s">
        <v>218</v>
      </c>
      <c r="I504" s="5" t="s">
        <v>320</v>
      </c>
      <c r="J504" s="5" t="s">
        <v>321</v>
      </c>
      <c r="K504" s="5" t="s">
        <v>241</v>
      </c>
      <c r="L504" s="6">
        <v>45666</v>
      </c>
      <c r="M504" s="6">
        <v>45668</v>
      </c>
      <c r="N504" s="5" t="s">
        <v>811</v>
      </c>
      <c r="O504" s="5" t="str">
        <f ca="1">IF(P504&lt;&gt;"EXPEDIÇÃO","Expedido",IF(NETWORKDAYS(C504,TODAY())&gt;=5,"Risco Alto",IF(NETWORKDAYS(C504,TODAY())&gt;=3,IF(NETWORKDAYS(C504,TODAY())&lt;5,"Risco Médio",""),IF(NETWORKDAYS(C504,TODAY())&lt;=2,"Risco Baixo",""))))</f>
        <v>Expedido</v>
      </c>
      <c r="P504" s="5" t="s">
        <v>25</v>
      </c>
      <c r="Q504" s="5" t="s">
        <v>897</v>
      </c>
      <c r="S504" s="7">
        <f>IF(ISBLANK(M504),"Aguardando Previsão/Data",NETWORKDAYS(L504,M504)-1)</f>
        <v>1</v>
      </c>
      <c r="T504" s="5" t="s">
        <v>942</v>
      </c>
    </row>
    <row r="505" spans="1:20" x14ac:dyDescent="0.35">
      <c r="A505" s="5">
        <v>8100269132</v>
      </c>
      <c r="B505" s="5">
        <v>10519</v>
      </c>
      <c r="C505" s="6">
        <v>45660</v>
      </c>
      <c r="D505" s="5" t="s">
        <v>239</v>
      </c>
      <c r="E505" s="5" t="s">
        <v>240</v>
      </c>
      <c r="F505" s="5" t="s">
        <v>160</v>
      </c>
      <c r="G505" s="5" t="s">
        <v>161</v>
      </c>
      <c r="H505" s="5" t="s">
        <v>218</v>
      </c>
      <c r="I505" s="5" t="s">
        <v>320</v>
      </c>
      <c r="J505" s="5" t="s">
        <v>321</v>
      </c>
      <c r="K505" s="5" t="s">
        <v>241</v>
      </c>
      <c r="L505" s="6">
        <v>45666</v>
      </c>
      <c r="M505" s="6">
        <v>45668</v>
      </c>
      <c r="N505" s="5" t="s">
        <v>811</v>
      </c>
      <c r="O505" s="5" t="str">
        <f ca="1">IF(P505&lt;&gt;"EXPEDIÇÃO","Expedido",IF(NETWORKDAYS(C505,TODAY())&gt;=5,"Risco Alto",IF(NETWORKDAYS(C505,TODAY())&gt;=3,IF(NETWORKDAYS(C505,TODAY())&lt;5,"Risco Médio",""),IF(NETWORKDAYS(C505,TODAY())&lt;=2,"Risco Baixo",""))))</f>
        <v>Expedido</v>
      </c>
      <c r="P505" s="5" t="s">
        <v>25</v>
      </c>
      <c r="Q505" s="5" t="s">
        <v>897</v>
      </c>
      <c r="S505" s="7">
        <f>IF(ISBLANK(M505),"Aguardando Previsão/Data",NETWORKDAYS(L505,M505)-1)</f>
        <v>1</v>
      </c>
      <c r="T505" s="5" t="s">
        <v>942</v>
      </c>
    </row>
    <row r="506" spans="1:20" x14ac:dyDescent="0.35">
      <c r="A506" s="8">
        <v>8100269133</v>
      </c>
      <c r="B506" s="5">
        <v>10508</v>
      </c>
      <c r="C506" s="6">
        <v>45660</v>
      </c>
      <c r="D506" s="5" t="s">
        <v>239</v>
      </c>
      <c r="E506" s="5" t="s">
        <v>240</v>
      </c>
      <c r="F506" s="5" t="s">
        <v>160</v>
      </c>
      <c r="G506" s="5" t="s">
        <v>161</v>
      </c>
      <c r="H506" s="5" t="s">
        <v>218</v>
      </c>
      <c r="I506" s="5" t="s">
        <v>320</v>
      </c>
      <c r="J506" s="5" t="s">
        <v>321</v>
      </c>
      <c r="K506" s="5" t="s">
        <v>241</v>
      </c>
      <c r="L506" s="6">
        <v>45666</v>
      </c>
      <c r="M506" s="6">
        <v>45670</v>
      </c>
      <c r="N506" s="5" t="s">
        <v>812</v>
      </c>
      <c r="O506" s="5" t="str">
        <f ca="1">IF(P506&lt;&gt;"EXPEDIÇÃO","Expedido",IF(NETWORKDAYS(C506,TODAY())&gt;=5,"Risco Alto",IF(NETWORKDAYS(C506,TODAY())&gt;=3,IF(NETWORKDAYS(C506,TODAY())&lt;5,"Risco Médio",""),IF(NETWORKDAYS(C506,TODAY())&lt;=2,"Risco Baixo",""))))</f>
        <v>Expedido</v>
      </c>
      <c r="P506" s="5" t="s">
        <v>25</v>
      </c>
      <c r="Q506" s="5" t="s">
        <v>897</v>
      </c>
      <c r="S506" s="7">
        <f>IF(ISBLANK(M506),"Aguardando Previsão/Data",NETWORKDAYS(L506,M506)-1)</f>
        <v>2</v>
      </c>
      <c r="T506" s="5" t="s">
        <v>942</v>
      </c>
    </row>
    <row r="507" spans="1:20" x14ac:dyDescent="0.35">
      <c r="A507" s="8">
        <v>8100269137</v>
      </c>
      <c r="B507" s="5">
        <v>10510</v>
      </c>
      <c r="C507" s="6">
        <v>45660</v>
      </c>
      <c r="D507" s="5" t="s">
        <v>239</v>
      </c>
      <c r="E507" s="5" t="s">
        <v>240</v>
      </c>
      <c r="F507" s="5" t="s">
        <v>160</v>
      </c>
      <c r="G507" s="5" t="s">
        <v>161</v>
      </c>
      <c r="H507" s="5" t="s">
        <v>218</v>
      </c>
      <c r="I507" s="5" t="s">
        <v>685</v>
      </c>
      <c r="J507" s="5" t="s">
        <v>521</v>
      </c>
      <c r="K507" s="5" t="s">
        <v>241</v>
      </c>
      <c r="L507" s="6">
        <v>45666</v>
      </c>
      <c r="M507" s="6">
        <v>45670</v>
      </c>
      <c r="N507" s="5" t="s">
        <v>812</v>
      </c>
      <c r="O507" s="5" t="str">
        <f ca="1">IF(P507&lt;&gt;"EXPEDIÇÃO","Expedido",IF(NETWORKDAYS(C507,TODAY())&gt;=5,"Risco Alto",IF(NETWORKDAYS(C507,TODAY())&gt;=3,IF(NETWORKDAYS(C507,TODAY())&lt;5,"Risco Médio",""),IF(NETWORKDAYS(C507,TODAY())&lt;=2,"Risco Baixo",""))))</f>
        <v>Expedido</v>
      </c>
      <c r="P507" s="5" t="s">
        <v>25</v>
      </c>
      <c r="Q507" s="5" t="s">
        <v>897</v>
      </c>
      <c r="S507" s="7">
        <f>IF(ISBLANK(M507),"Aguardando Previsão/Data",NETWORKDAYS(L507,M507)-1)</f>
        <v>2</v>
      </c>
      <c r="T507" s="5" t="s">
        <v>942</v>
      </c>
    </row>
    <row r="508" spans="1:20" x14ac:dyDescent="0.35">
      <c r="A508" s="5">
        <v>8100269150</v>
      </c>
      <c r="B508" s="5">
        <v>10514</v>
      </c>
      <c r="C508" s="6">
        <v>45660</v>
      </c>
      <c r="D508" s="5" t="s">
        <v>239</v>
      </c>
      <c r="E508" s="5" t="s">
        <v>240</v>
      </c>
      <c r="F508" s="5" t="s">
        <v>160</v>
      </c>
      <c r="G508" s="5" t="s">
        <v>161</v>
      </c>
      <c r="H508" s="5" t="s">
        <v>218</v>
      </c>
      <c r="I508" s="5" t="s">
        <v>320</v>
      </c>
      <c r="J508" s="5" t="s">
        <v>321</v>
      </c>
      <c r="K508" s="5" t="s">
        <v>241</v>
      </c>
      <c r="L508" s="6">
        <v>45666</v>
      </c>
      <c r="M508" s="6">
        <v>45668</v>
      </c>
      <c r="N508" s="5" t="s">
        <v>811</v>
      </c>
      <c r="O508" s="5" t="str">
        <f ca="1">IF(P508&lt;&gt;"EXPEDIÇÃO","Expedido",IF(NETWORKDAYS(C508,TODAY())&gt;=5,"Risco Alto",IF(NETWORKDAYS(C508,TODAY())&gt;=3,IF(NETWORKDAYS(C508,TODAY())&lt;5,"Risco Médio",""),IF(NETWORKDAYS(C508,TODAY())&lt;=2,"Risco Baixo",""))))</f>
        <v>Expedido</v>
      </c>
      <c r="P508" s="5" t="s">
        <v>25</v>
      </c>
      <c r="Q508" s="5" t="s">
        <v>897</v>
      </c>
      <c r="S508" s="7">
        <f>IF(ISBLANK(M508),"Aguardando Previsão/Data",NETWORKDAYS(L508,M508)-1)</f>
        <v>1</v>
      </c>
      <c r="T508" s="5" t="s">
        <v>942</v>
      </c>
    </row>
    <row r="509" spans="1:20" x14ac:dyDescent="0.35">
      <c r="A509" s="5">
        <v>8100269151</v>
      </c>
      <c r="B509" s="5">
        <v>10520</v>
      </c>
      <c r="C509" s="6">
        <v>45660</v>
      </c>
      <c r="D509" s="5" t="s">
        <v>239</v>
      </c>
      <c r="E509" s="5" t="s">
        <v>240</v>
      </c>
      <c r="F509" s="5" t="s">
        <v>160</v>
      </c>
      <c r="G509" s="5" t="s">
        <v>161</v>
      </c>
      <c r="H509" s="5" t="s">
        <v>218</v>
      </c>
      <c r="I509" s="5" t="s">
        <v>320</v>
      </c>
      <c r="J509" s="5" t="s">
        <v>321</v>
      </c>
      <c r="K509" s="5" t="s">
        <v>241</v>
      </c>
      <c r="L509" s="6">
        <v>45666</v>
      </c>
      <c r="M509" s="6">
        <v>45668</v>
      </c>
      <c r="N509" s="5" t="s">
        <v>811</v>
      </c>
      <c r="O509" s="5" t="str">
        <f ca="1">IF(P509&lt;&gt;"EXPEDIÇÃO","Expedido",IF(NETWORKDAYS(C509,TODAY())&gt;=5,"Risco Alto",IF(NETWORKDAYS(C509,TODAY())&gt;=3,IF(NETWORKDAYS(C509,TODAY())&lt;5,"Risco Médio",""),IF(NETWORKDAYS(C509,TODAY())&lt;=2,"Risco Baixo",""))))</f>
        <v>Expedido</v>
      </c>
      <c r="P509" s="5" t="s">
        <v>25</v>
      </c>
      <c r="Q509" s="5" t="s">
        <v>897</v>
      </c>
      <c r="S509" s="7">
        <f>IF(ISBLANK(M509),"Aguardando Previsão/Data",NETWORKDAYS(L509,M509)-1)</f>
        <v>1</v>
      </c>
      <c r="T509" s="5" t="s">
        <v>942</v>
      </c>
    </row>
    <row r="510" spans="1:20" x14ac:dyDescent="0.35">
      <c r="A510" s="5">
        <v>8100269178</v>
      </c>
      <c r="B510" s="5">
        <v>10522</v>
      </c>
      <c r="C510" s="6">
        <v>45660</v>
      </c>
      <c r="D510" s="5" t="s">
        <v>239</v>
      </c>
      <c r="E510" s="5" t="s">
        <v>240</v>
      </c>
      <c r="F510" s="5" t="s">
        <v>176</v>
      </c>
      <c r="G510" s="5" t="s">
        <v>177</v>
      </c>
      <c r="H510" s="5" t="s">
        <v>218</v>
      </c>
      <c r="I510" s="5" t="s">
        <v>429</v>
      </c>
      <c r="J510" s="5" t="s">
        <v>430</v>
      </c>
      <c r="K510" s="5" t="s">
        <v>241</v>
      </c>
      <c r="L510" s="6">
        <v>45667</v>
      </c>
      <c r="M510" s="6">
        <v>45670</v>
      </c>
      <c r="N510" s="5" t="s">
        <v>811</v>
      </c>
      <c r="O510" s="5" t="str">
        <f ca="1">IF(P510&lt;&gt;"EXPEDIÇÃO","Expedido",IF(NETWORKDAYS(C510,TODAY())&gt;=5,"Risco Alto",IF(NETWORKDAYS(C510,TODAY())&gt;=3,IF(NETWORKDAYS(C510,TODAY())&lt;5,"Risco Médio",""),IF(NETWORKDAYS(C510,TODAY())&lt;=2,"Risco Baixo",""))))</f>
        <v>Expedido</v>
      </c>
      <c r="P510" s="5" t="s">
        <v>25</v>
      </c>
      <c r="Q510" s="5" t="s">
        <v>897</v>
      </c>
      <c r="S510" s="7">
        <f>IF(ISBLANK(M510),"Aguardando Previsão/Data",NETWORKDAYS(L510,M510)-1)</f>
        <v>1</v>
      </c>
      <c r="T510" s="5" t="s">
        <v>942</v>
      </c>
    </row>
    <row r="511" spans="1:20" x14ac:dyDescent="0.35">
      <c r="A511" s="5">
        <v>8100269251</v>
      </c>
      <c r="B511" s="5">
        <v>10521</v>
      </c>
      <c r="C511" s="6">
        <v>45660</v>
      </c>
      <c r="D511" s="5" t="s">
        <v>239</v>
      </c>
      <c r="E511" s="5" t="s">
        <v>240</v>
      </c>
      <c r="F511" s="5" t="s">
        <v>160</v>
      </c>
      <c r="G511" s="5" t="s">
        <v>161</v>
      </c>
      <c r="H511" s="5" t="s">
        <v>218</v>
      </c>
      <c r="I511" s="5" t="s">
        <v>1003</v>
      </c>
      <c r="J511" s="5" t="s">
        <v>1004</v>
      </c>
      <c r="K511" s="5" t="s">
        <v>241</v>
      </c>
      <c r="L511" s="6">
        <v>45666</v>
      </c>
      <c r="M511" s="6">
        <v>45666</v>
      </c>
      <c r="N511" s="5" t="s">
        <v>811</v>
      </c>
      <c r="O511" s="5" t="str">
        <f ca="1">IF(P511&lt;&gt;"EXPEDIÇÃO","Expedido",IF(NETWORKDAYS(C511,TODAY())&gt;=5,"Risco Alto",IF(NETWORKDAYS(C511,TODAY())&gt;=3,IF(NETWORKDAYS(C511,TODAY())&lt;5,"Risco Médio",""),IF(NETWORKDAYS(C511,TODAY())&lt;=2,"Risco Baixo",""))))</f>
        <v>Expedido</v>
      </c>
      <c r="P511" s="5" t="s">
        <v>25</v>
      </c>
      <c r="Q511" s="5" t="s">
        <v>793</v>
      </c>
      <c r="S511" s="7">
        <f>IF(ISBLANK(M511),"Aguardando Previsão/Data",NETWORKDAYS(L511,M511)-1)</f>
        <v>0</v>
      </c>
      <c r="T511" s="5" t="s">
        <v>942</v>
      </c>
    </row>
    <row r="512" spans="1:20" x14ac:dyDescent="0.35">
      <c r="A512" s="5">
        <v>8100269252</v>
      </c>
      <c r="B512" s="5">
        <v>10526</v>
      </c>
      <c r="C512" s="6">
        <v>45660</v>
      </c>
      <c r="D512" s="5" t="s">
        <v>239</v>
      </c>
      <c r="E512" s="5" t="s">
        <v>240</v>
      </c>
      <c r="F512" s="5" t="s">
        <v>160</v>
      </c>
      <c r="G512" s="5" t="s">
        <v>161</v>
      </c>
      <c r="H512" s="5" t="s">
        <v>218</v>
      </c>
      <c r="I512" s="5" t="s">
        <v>320</v>
      </c>
      <c r="J512" s="5" t="s">
        <v>321</v>
      </c>
      <c r="K512" s="5" t="s">
        <v>241</v>
      </c>
      <c r="L512" s="6">
        <v>45666</v>
      </c>
      <c r="M512" s="6">
        <v>45665</v>
      </c>
      <c r="N512" s="5" t="s">
        <v>811</v>
      </c>
      <c r="O512" s="5" t="str">
        <f ca="1">IF(P512&lt;&gt;"EXPEDIÇÃO","Expedido",IF(NETWORKDAYS(C512,TODAY())&gt;=5,"Risco Alto",IF(NETWORKDAYS(C512,TODAY())&gt;=3,IF(NETWORKDAYS(C512,TODAY())&lt;5,"Risco Médio",""),IF(NETWORKDAYS(C512,TODAY())&lt;=2,"Risco Baixo",""))))</f>
        <v>Expedido</v>
      </c>
      <c r="P512" s="5" t="s">
        <v>25</v>
      </c>
      <c r="Q512" s="5" t="s">
        <v>793</v>
      </c>
      <c r="S512" s="7">
        <f>IF(ISBLANK(M512),"Aguardando Previsão/Data",NETWORKDAYS(L512,M512)-1)</f>
        <v>-3</v>
      </c>
      <c r="T512" s="5" t="s">
        <v>942</v>
      </c>
    </row>
    <row r="513" spans="1:20" x14ac:dyDescent="0.35">
      <c r="A513" s="5">
        <v>8100269253</v>
      </c>
      <c r="B513" s="5">
        <v>10527</v>
      </c>
      <c r="C513" s="6">
        <v>45660</v>
      </c>
      <c r="D513" s="5" t="s">
        <v>239</v>
      </c>
      <c r="E513" s="5" t="s">
        <v>240</v>
      </c>
      <c r="F513" s="5" t="s">
        <v>160</v>
      </c>
      <c r="G513" s="5" t="s">
        <v>161</v>
      </c>
      <c r="H513" s="5" t="s">
        <v>218</v>
      </c>
      <c r="I513" s="5" t="s">
        <v>320</v>
      </c>
      <c r="J513" s="5" t="s">
        <v>321</v>
      </c>
      <c r="K513" s="5" t="s">
        <v>241</v>
      </c>
      <c r="L513" s="6">
        <v>45666</v>
      </c>
      <c r="M513" s="6">
        <v>45665</v>
      </c>
      <c r="N513" s="5" t="s">
        <v>811</v>
      </c>
      <c r="O513" s="5" t="str">
        <f ca="1">IF(P513&lt;&gt;"EXPEDIÇÃO","Expedido",IF(NETWORKDAYS(C513,TODAY())&gt;=5,"Risco Alto",IF(NETWORKDAYS(C513,TODAY())&gt;=3,IF(NETWORKDAYS(C513,TODAY())&lt;5,"Risco Médio",""),IF(NETWORKDAYS(C513,TODAY())&lt;=2,"Risco Baixo",""))))</f>
        <v>Expedido</v>
      </c>
      <c r="P513" s="5" t="s">
        <v>25</v>
      </c>
      <c r="Q513" s="5" t="s">
        <v>793</v>
      </c>
      <c r="S513" s="7">
        <f>IF(ISBLANK(M513),"Aguardando Previsão/Data",NETWORKDAYS(L513,M513)-1)</f>
        <v>-3</v>
      </c>
      <c r="T513" s="5" t="s">
        <v>942</v>
      </c>
    </row>
    <row r="514" spans="1:20" x14ac:dyDescent="0.35">
      <c r="A514" s="5">
        <v>8100269254</v>
      </c>
      <c r="B514" s="5">
        <v>10512</v>
      </c>
      <c r="C514" s="6">
        <v>45660</v>
      </c>
      <c r="D514" s="5" t="s">
        <v>239</v>
      </c>
      <c r="E514" s="5" t="s">
        <v>240</v>
      </c>
      <c r="F514" s="5" t="s">
        <v>160</v>
      </c>
      <c r="G514" s="5" t="s">
        <v>161</v>
      </c>
      <c r="H514" s="5" t="s">
        <v>218</v>
      </c>
      <c r="I514" s="5" t="s">
        <v>320</v>
      </c>
      <c r="J514" s="5" t="s">
        <v>321</v>
      </c>
      <c r="K514" s="5" t="s">
        <v>241</v>
      </c>
      <c r="L514" s="6">
        <v>45666</v>
      </c>
      <c r="M514" s="6">
        <v>45668</v>
      </c>
      <c r="N514" s="5" t="s">
        <v>811</v>
      </c>
      <c r="O514" s="5" t="str">
        <f ca="1">IF(P514&lt;&gt;"EXPEDIÇÃO","Expedido",IF(NETWORKDAYS(C514,TODAY())&gt;=5,"Risco Alto",IF(NETWORKDAYS(C514,TODAY())&gt;=3,IF(NETWORKDAYS(C514,TODAY())&lt;5,"Risco Médio",""),IF(NETWORKDAYS(C514,TODAY())&lt;=2,"Risco Baixo",""))))</f>
        <v>Expedido</v>
      </c>
      <c r="P514" s="5" t="s">
        <v>25</v>
      </c>
      <c r="Q514" s="5" t="s">
        <v>897</v>
      </c>
      <c r="S514" s="7">
        <f>IF(ISBLANK(M514),"Aguardando Previsão/Data",NETWORKDAYS(L514,M514)-1)</f>
        <v>1</v>
      </c>
      <c r="T514" s="5" t="s">
        <v>942</v>
      </c>
    </row>
    <row r="515" spans="1:20" x14ac:dyDescent="0.35">
      <c r="A515" s="5">
        <v>8100269255</v>
      </c>
      <c r="B515" s="5">
        <v>10515</v>
      </c>
      <c r="C515" s="6">
        <v>45660</v>
      </c>
      <c r="D515" s="5" t="s">
        <v>239</v>
      </c>
      <c r="E515" s="5" t="s">
        <v>240</v>
      </c>
      <c r="F515" s="5" t="s">
        <v>160</v>
      </c>
      <c r="G515" s="5" t="s">
        <v>161</v>
      </c>
      <c r="H515" s="5" t="s">
        <v>218</v>
      </c>
      <c r="I515" s="5" t="s">
        <v>320</v>
      </c>
      <c r="J515" s="5" t="s">
        <v>321</v>
      </c>
      <c r="K515" s="5" t="s">
        <v>241</v>
      </c>
      <c r="L515" s="6">
        <v>45666</v>
      </c>
      <c r="M515" s="6">
        <v>45668</v>
      </c>
      <c r="N515" s="5" t="s">
        <v>811</v>
      </c>
      <c r="O515" s="5" t="str">
        <f ca="1">IF(P515&lt;&gt;"EXPEDIÇÃO","Expedido",IF(NETWORKDAYS(C515,TODAY())&gt;=5,"Risco Alto",IF(NETWORKDAYS(C515,TODAY())&gt;=3,IF(NETWORKDAYS(C515,TODAY())&lt;5,"Risco Médio",""),IF(NETWORKDAYS(C515,TODAY())&lt;=2,"Risco Baixo",""))))</f>
        <v>Expedido</v>
      </c>
      <c r="P515" s="5" t="s">
        <v>25</v>
      </c>
      <c r="Q515" s="5" t="s">
        <v>897</v>
      </c>
      <c r="S515" s="7">
        <f>IF(ISBLANK(M515),"Aguardando Previsão/Data",NETWORKDAYS(L515,M515)-1)</f>
        <v>1</v>
      </c>
      <c r="T515" s="5" t="s">
        <v>942</v>
      </c>
    </row>
    <row r="516" spans="1:20" x14ac:dyDescent="0.35">
      <c r="A516" s="5">
        <v>8100269256</v>
      </c>
      <c r="B516" s="5">
        <v>10529</v>
      </c>
      <c r="C516" s="6">
        <v>45660</v>
      </c>
      <c r="D516" s="5" t="s">
        <v>239</v>
      </c>
      <c r="E516" s="5" t="s">
        <v>240</v>
      </c>
      <c r="F516" s="5" t="s">
        <v>160</v>
      </c>
      <c r="G516" s="5" t="s">
        <v>161</v>
      </c>
      <c r="H516" s="5" t="s">
        <v>218</v>
      </c>
      <c r="I516" s="5" t="s">
        <v>685</v>
      </c>
      <c r="J516" s="5" t="s">
        <v>521</v>
      </c>
      <c r="K516" s="5" t="s">
        <v>241</v>
      </c>
      <c r="L516" s="6">
        <v>45666</v>
      </c>
      <c r="M516" s="6">
        <v>45666</v>
      </c>
      <c r="N516" s="5" t="s">
        <v>811</v>
      </c>
      <c r="O516" s="5" t="str">
        <f ca="1">IF(P516&lt;&gt;"EXPEDIÇÃO","Expedido",IF(NETWORKDAYS(C516,TODAY())&gt;=5,"Risco Alto",IF(NETWORKDAYS(C516,TODAY())&gt;=3,IF(NETWORKDAYS(C516,TODAY())&lt;5,"Risco Médio",""),IF(NETWORKDAYS(C516,TODAY())&lt;=2,"Risco Baixo",""))))</f>
        <v>Expedido</v>
      </c>
      <c r="P516" s="5" t="s">
        <v>25</v>
      </c>
      <c r="Q516" s="5" t="s">
        <v>897</v>
      </c>
      <c r="S516" s="7">
        <f>IF(ISBLANK(M516),"Aguardando Previsão/Data",NETWORKDAYS(L516,M516)-1)</f>
        <v>0</v>
      </c>
      <c r="T516" s="5" t="s">
        <v>942</v>
      </c>
    </row>
    <row r="517" spans="1:20" x14ac:dyDescent="0.35">
      <c r="A517" s="8">
        <v>8100269257</v>
      </c>
      <c r="B517" s="5">
        <v>10537</v>
      </c>
      <c r="C517" s="6">
        <v>45660</v>
      </c>
      <c r="D517" s="5" t="s">
        <v>239</v>
      </c>
      <c r="E517" s="5" t="s">
        <v>240</v>
      </c>
      <c r="F517" s="5" t="s">
        <v>160</v>
      </c>
      <c r="G517" s="5" t="s">
        <v>161</v>
      </c>
      <c r="H517" s="5" t="s">
        <v>218</v>
      </c>
      <c r="I517" s="5" t="s">
        <v>685</v>
      </c>
      <c r="J517" s="5" t="s">
        <v>521</v>
      </c>
      <c r="K517" s="5" t="s">
        <v>241</v>
      </c>
      <c r="L517" s="6">
        <v>45666</v>
      </c>
      <c r="M517" s="6">
        <v>45670</v>
      </c>
      <c r="N517" s="5" t="s">
        <v>812</v>
      </c>
      <c r="O517" s="5" t="str">
        <f ca="1">IF(P517&lt;&gt;"EXPEDIÇÃO","Expedido",IF(NETWORKDAYS(C517,TODAY())&gt;=5,"Risco Alto",IF(NETWORKDAYS(C517,TODAY())&gt;=3,IF(NETWORKDAYS(C517,TODAY())&lt;5,"Risco Médio",""),IF(NETWORKDAYS(C517,TODAY())&lt;=2,"Risco Baixo",""))))</f>
        <v>Expedido</v>
      </c>
      <c r="P517" s="5" t="s">
        <v>25</v>
      </c>
      <c r="Q517" s="5" t="s">
        <v>897</v>
      </c>
      <c r="S517" s="7">
        <f>IF(ISBLANK(M517),"Aguardando Previsão/Data",NETWORKDAYS(L517,M517)-1)</f>
        <v>2</v>
      </c>
      <c r="T517" s="5" t="s">
        <v>942</v>
      </c>
    </row>
    <row r="518" spans="1:20" x14ac:dyDescent="0.35">
      <c r="A518" s="8">
        <v>8100269261</v>
      </c>
      <c r="B518" s="5">
        <v>10511</v>
      </c>
      <c r="C518" s="6">
        <v>45660</v>
      </c>
      <c r="D518" s="5" t="s">
        <v>239</v>
      </c>
      <c r="E518" s="5" t="s">
        <v>240</v>
      </c>
      <c r="F518" s="5" t="s">
        <v>160</v>
      </c>
      <c r="G518" s="5" t="s">
        <v>161</v>
      </c>
      <c r="H518" s="5" t="s">
        <v>218</v>
      </c>
      <c r="I518" s="5" t="s">
        <v>685</v>
      </c>
      <c r="J518" s="5" t="s">
        <v>521</v>
      </c>
      <c r="K518" s="5" t="s">
        <v>241</v>
      </c>
      <c r="L518" s="6">
        <v>45666</v>
      </c>
      <c r="M518" s="6">
        <v>45670</v>
      </c>
      <c r="N518" s="5" t="s">
        <v>812</v>
      </c>
      <c r="O518" s="5" t="str">
        <f ca="1">IF(P518&lt;&gt;"EXPEDIÇÃO","Expedido",IF(NETWORKDAYS(C518,TODAY())&gt;=5,"Risco Alto",IF(NETWORKDAYS(C518,TODAY())&gt;=3,IF(NETWORKDAYS(C518,TODAY())&lt;5,"Risco Médio",""),IF(NETWORKDAYS(C518,TODAY())&lt;=2,"Risco Baixo",""))))</f>
        <v>Expedido</v>
      </c>
      <c r="P518" s="5" t="s">
        <v>25</v>
      </c>
      <c r="Q518" s="5" t="s">
        <v>897</v>
      </c>
      <c r="S518" s="7">
        <f>IF(ISBLANK(M518),"Aguardando Previsão/Data",NETWORKDAYS(L518,M518)-1)</f>
        <v>2</v>
      </c>
      <c r="T518" s="5" t="s">
        <v>942</v>
      </c>
    </row>
    <row r="519" spans="1:20" x14ac:dyDescent="0.35">
      <c r="A519" s="5">
        <v>8100269266</v>
      </c>
      <c r="B519" s="5">
        <v>10513</v>
      </c>
      <c r="C519" s="6">
        <v>45660</v>
      </c>
      <c r="D519" s="5" t="s">
        <v>239</v>
      </c>
      <c r="E519" s="5" t="s">
        <v>240</v>
      </c>
      <c r="F519" s="5" t="s">
        <v>160</v>
      </c>
      <c r="G519" s="5" t="s">
        <v>161</v>
      </c>
      <c r="H519" s="5" t="s">
        <v>218</v>
      </c>
      <c r="I519" s="5" t="s">
        <v>320</v>
      </c>
      <c r="J519" s="5" t="s">
        <v>321</v>
      </c>
      <c r="K519" s="5" t="s">
        <v>241</v>
      </c>
      <c r="L519" s="6">
        <v>45666</v>
      </c>
      <c r="M519" s="6">
        <v>45668</v>
      </c>
      <c r="N519" s="5" t="s">
        <v>811</v>
      </c>
      <c r="O519" s="5" t="str">
        <f ca="1">IF(P519&lt;&gt;"EXPEDIÇÃO","Expedido",IF(NETWORKDAYS(C519,TODAY())&gt;=5,"Risco Alto",IF(NETWORKDAYS(C519,TODAY())&gt;=3,IF(NETWORKDAYS(C519,TODAY())&lt;5,"Risco Médio",""),IF(NETWORKDAYS(C519,TODAY())&lt;=2,"Risco Baixo",""))))</f>
        <v>Expedido</v>
      </c>
      <c r="P519" s="5" t="s">
        <v>25</v>
      </c>
      <c r="Q519" s="5" t="s">
        <v>897</v>
      </c>
      <c r="S519" s="7">
        <f>IF(ISBLANK(M519),"Aguardando Previsão/Data",NETWORKDAYS(L519,M519)-1)</f>
        <v>1</v>
      </c>
      <c r="T519" s="5" t="s">
        <v>942</v>
      </c>
    </row>
    <row r="520" spans="1:20" x14ac:dyDescent="0.35">
      <c r="A520" s="5">
        <v>8100269267</v>
      </c>
      <c r="B520" s="5">
        <v>10516</v>
      </c>
      <c r="C520" s="6">
        <v>45660</v>
      </c>
      <c r="D520" s="5" t="s">
        <v>239</v>
      </c>
      <c r="E520" s="5" t="s">
        <v>240</v>
      </c>
      <c r="F520" s="5" t="s">
        <v>160</v>
      </c>
      <c r="G520" s="5" t="s">
        <v>161</v>
      </c>
      <c r="H520" s="5" t="s">
        <v>218</v>
      </c>
      <c r="I520" s="5" t="s">
        <v>320</v>
      </c>
      <c r="J520" s="5" t="s">
        <v>321</v>
      </c>
      <c r="K520" s="5" t="s">
        <v>241</v>
      </c>
      <c r="L520" s="6">
        <v>45666</v>
      </c>
      <c r="M520" s="6">
        <v>45668</v>
      </c>
      <c r="N520" s="5" t="s">
        <v>811</v>
      </c>
      <c r="O520" s="5" t="str">
        <f ca="1">IF(P520&lt;&gt;"EXPEDIÇÃO","Expedido",IF(NETWORKDAYS(C520,TODAY())&gt;=5,"Risco Alto",IF(NETWORKDAYS(C520,TODAY())&gt;=3,IF(NETWORKDAYS(C520,TODAY())&lt;5,"Risco Médio",""),IF(NETWORKDAYS(C520,TODAY())&lt;=2,"Risco Baixo",""))))</f>
        <v>Expedido</v>
      </c>
      <c r="P520" s="5" t="s">
        <v>25</v>
      </c>
      <c r="Q520" s="5" t="s">
        <v>897</v>
      </c>
      <c r="S520" s="7">
        <f>IF(ISBLANK(M520),"Aguardando Previsão/Data",NETWORKDAYS(L520,M520)-1)</f>
        <v>1</v>
      </c>
      <c r="T520" s="5" t="s">
        <v>942</v>
      </c>
    </row>
    <row r="521" spans="1:20" x14ac:dyDescent="0.35">
      <c r="A521" s="5">
        <v>8100269297</v>
      </c>
      <c r="B521" s="5">
        <v>10507</v>
      </c>
      <c r="C521" s="6">
        <v>45660</v>
      </c>
      <c r="D521" s="5" t="s">
        <v>239</v>
      </c>
      <c r="E521" s="5" t="s">
        <v>240</v>
      </c>
      <c r="F521" s="5" t="s">
        <v>242</v>
      </c>
      <c r="G521" s="5" t="s">
        <v>243</v>
      </c>
      <c r="H521" s="5" t="s">
        <v>218</v>
      </c>
      <c r="I521" s="5" t="s">
        <v>427</v>
      </c>
      <c r="J521" s="5" t="s">
        <v>428</v>
      </c>
      <c r="K521" s="5" t="s">
        <v>241</v>
      </c>
      <c r="L521" s="6">
        <v>45667</v>
      </c>
      <c r="M521" s="6">
        <v>45672</v>
      </c>
      <c r="N521" s="5" t="s">
        <v>812</v>
      </c>
      <c r="O521" s="5" t="str">
        <f ca="1">IF(P521&lt;&gt;"EXPEDIÇÃO","Expedido",IF(NETWORKDAYS(C521,TODAY())&gt;=5,"Risco Alto",IF(NETWORKDAYS(C521,TODAY())&gt;=3,IF(NETWORKDAYS(C521,TODAY())&lt;5,"Risco Médio",""),IF(NETWORKDAYS(C521,TODAY())&lt;=2,"Risco Baixo",""))))</f>
        <v>Expedido</v>
      </c>
      <c r="P521" s="5" t="s">
        <v>25</v>
      </c>
      <c r="Q521" s="5" t="s">
        <v>899</v>
      </c>
      <c r="S521" s="7">
        <f>IF(ISBLANK(M521),"Aguardando Previsão/Data",NETWORKDAYS(L521,M521)-1)</f>
        <v>3</v>
      </c>
      <c r="T521" s="5" t="s">
        <v>942</v>
      </c>
    </row>
    <row r="522" spans="1:20" x14ac:dyDescent="0.35">
      <c r="A522" s="5">
        <v>8100269298</v>
      </c>
      <c r="B522" s="5">
        <v>10523</v>
      </c>
      <c r="C522" s="6">
        <v>45660</v>
      </c>
      <c r="D522" s="5" t="s">
        <v>239</v>
      </c>
      <c r="E522" s="5" t="s">
        <v>240</v>
      </c>
      <c r="F522" s="5" t="s">
        <v>242</v>
      </c>
      <c r="G522" s="5" t="s">
        <v>243</v>
      </c>
      <c r="H522" s="5" t="s">
        <v>218</v>
      </c>
      <c r="I522" s="5" t="s">
        <v>427</v>
      </c>
      <c r="J522" s="5" t="s">
        <v>428</v>
      </c>
      <c r="K522" s="5" t="s">
        <v>241</v>
      </c>
      <c r="L522" s="6">
        <v>45667</v>
      </c>
      <c r="M522" s="6">
        <v>45672</v>
      </c>
      <c r="N522" s="5" t="s">
        <v>812</v>
      </c>
      <c r="O522" s="5" t="str">
        <f ca="1">IF(P522&lt;&gt;"EXPEDIÇÃO","Expedido",IF(NETWORKDAYS(C522,TODAY())&gt;=5,"Risco Alto",IF(NETWORKDAYS(C522,TODAY())&gt;=3,IF(NETWORKDAYS(C522,TODAY())&lt;5,"Risco Médio",""),IF(NETWORKDAYS(C522,TODAY())&lt;=2,"Risco Baixo",""))))</f>
        <v>Expedido</v>
      </c>
      <c r="P522" s="5" t="s">
        <v>25</v>
      </c>
      <c r="Q522" s="5" t="s">
        <v>899</v>
      </c>
      <c r="S522" s="7">
        <f>IF(ISBLANK(M522),"Aguardando Previsão/Data",NETWORKDAYS(L522,M522)-1)</f>
        <v>3</v>
      </c>
      <c r="T522" s="5" t="s">
        <v>942</v>
      </c>
    </row>
    <row r="523" spans="1:20" x14ac:dyDescent="0.35">
      <c r="A523" s="8">
        <v>8100269299</v>
      </c>
      <c r="B523" s="5">
        <v>10509</v>
      </c>
      <c r="C523" s="6">
        <v>45660</v>
      </c>
      <c r="D523" s="5" t="s">
        <v>239</v>
      </c>
      <c r="E523" s="5" t="s">
        <v>240</v>
      </c>
      <c r="F523" s="5" t="s">
        <v>160</v>
      </c>
      <c r="G523" s="5" t="s">
        <v>161</v>
      </c>
      <c r="H523" s="5" t="s">
        <v>218</v>
      </c>
      <c r="I523" s="5" t="s">
        <v>320</v>
      </c>
      <c r="J523" s="5" t="s">
        <v>321</v>
      </c>
      <c r="K523" s="5" t="s">
        <v>241</v>
      </c>
      <c r="L523" s="6">
        <v>45666</v>
      </c>
      <c r="M523" s="6">
        <v>45670</v>
      </c>
      <c r="N523" s="5" t="s">
        <v>812</v>
      </c>
      <c r="O523" s="5" t="str">
        <f ca="1">IF(P523&lt;&gt;"EXPEDIÇÃO","Expedido",IF(NETWORKDAYS(C523,TODAY())&gt;=5,"Risco Alto",IF(NETWORKDAYS(C523,TODAY())&gt;=3,IF(NETWORKDAYS(C523,TODAY())&lt;5,"Risco Médio",""),IF(NETWORKDAYS(C523,TODAY())&lt;=2,"Risco Baixo",""))))</f>
        <v>Expedido</v>
      </c>
      <c r="P523" s="5" t="s">
        <v>25</v>
      </c>
      <c r="Q523" s="5" t="s">
        <v>897</v>
      </c>
      <c r="S523" s="7">
        <f>IF(ISBLANK(M523),"Aguardando Previsão/Data",NETWORKDAYS(L523,M523)-1)</f>
        <v>2</v>
      </c>
      <c r="T523" s="5" t="s">
        <v>942</v>
      </c>
    </row>
    <row r="524" spans="1:20" x14ac:dyDescent="0.35">
      <c r="A524" s="5">
        <v>8100269300</v>
      </c>
      <c r="B524" s="5">
        <v>10528</v>
      </c>
      <c r="C524" s="6">
        <v>45660</v>
      </c>
      <c r="D524" s="5" t="s">
        <v>239</v>
      </c>
      <c r="E524" s="5" t="s">
        <v>240</v>
      </c>
      <c r="F524" s="5" t="s">
        <v>160</v>
      </c>
      <c r="G524" s="5" t="s">
        <v>161</v>
      </c>
      <c r="H524" s="5" t="s">
        <v>218</v>
      </c>
      <c r="I524" s="5" t="s">
        <v>320</v>
      </c>
      <c r="J524" s="5" t="s">
        <v>321</v>
      </c>
      <c r="K524" s="5" t="s">
        <v>241</v>
      </c>
      <c r="L524" s="6">
        <v>45666</v>
      </c>
      <c r="M524" s="6">
        <v>45665</v>
      </c>
      <c r="N524" s="5" t="s">
        <v>811</v>
      </c>
      <c r="O524" s="5" t="str">
        <f ca="1">IF(P524&lt;&gt;"EXPEDIÇÃO","Expedido",IF(NETWORKDAYS(C524,TODAY())&gt;=5,"Risco Alto",IF(NETWORKDAYS(C524,TODAY())&gt;=3,IF(NETWORKDAYS(C524,TODAY())&lt;5,"Risco Médio",""),IF(NETWORKDAYS(C524,TODAY())&lt;=2,"Risco Baixo",""))))</f>
        <v>Expedido</v>
      </c>
      <c r="P524" s="5" t="s">
        <v>25</v>
      </c>
      <c r="Q524" s="5" t="s">
        <v>793</v>
      </c>
      <c r="S524" s="7">
        <f>IF(ISBLANK(M524),"Aguardando Previsão/Data",NETWORKDAYS(L524,M524)-1)</f>
        <v>-3</v>
      </c>
      <c r="T524" s="5" t="s">
        <v>942</v>
      </c>
    </row>
    <row r="525" spans="1:20" x14ac:dyDescent="0.35">
      <c r="A525" s="8">
        <v>8100269418</v>
      </c>
      <c r="B525" s="5">
        <v>10530</v>
      </c>
      <c r="C525" s="6">
        <v>45660</v>
      </c>
      <c r="D525" s="5" t="s">
        <v>239</v>
      </c>
      <c r="E525" s="5" t="s">
        <v>240</v>
      </c>
      <c r="F525" s="5" t="s">
        <v>160</v>
      </c>
      <c r="G525" s="5" t="s">
        <v>161</v>
      </c>
      <c r="H525" s="5" t="s">
        <v>218</v>
      </c>
      <c r="I525" s="5" t="s">
        <v>685</v>
      </c>
      <c r="J525" s="5" t="s">
        <v>521</v>
      </c>
      <c r="K525" s="5" t="s">
        <v>241</v>
      </c>
      <c r="L525" s="6">
        <v>45666</v>
      </c>
      <c r="M525" s="6">
        <v>45670</v>
      </c>
      <c r="N525" s="5" t="s">
        <v>812</v>
      </c>
      <c r="O525" s="5" t="str">
        <f ca="1">IF(P525&lt;&gt;"EXPEDIÇÃO","Expedido",IF(NETWORKDAYS(C525,TODAY())&gt;=5,"Risco Alto",IF(NETWORKDAYS(C525,TODAY())&gt;=3,IF(NETWORKDAYS(C525,TODAY())&lt;5,"Risco Médio",""),IF(NETWORKDAYS(C525,TODAY())&lt;=2,"Risco Baixo",""))))</f>
        <v>Expedido</v>
      </c>
      <c r="P525" s="5" t="s">
        <v>25</v>
      </c>
      <c r="Q525" s="5" t="s">
        <v>897</v>
      </c>
      <c r="S525" s="7">
        <f>IF(ISBLANK(M525),"Aguardando Previsão/Data",NETWORKDAYS(L525,M525)-1)</f>
        <v>2</v>
      </c>
      <c r="T525" s="5" t="s">
        <v>942</v>
      </c>
    </row>
    <row r="526" spans="1:20" x14ac:dyDescent="0.35">
      <c r="A526" s="5">
        <v>8100269660</v>
      </c>
      <c r="B526" s="5">
        <v>10532</v>
      </c>
      <c r="C526" s="6">
        <v>45660</v>
      </c>
      <c r="D526" s="5" t="s">
        <v>239</v>
      </c>
      <c r="E526" s="5" t="s">
        <v>240</v>
      </c>
      <c r="F526" s="5" t="s">
        <v>242</v>
      </c>
      <c r="G526" s="5" t="s">
        <v>243</v>
      </c>
      <c r="H526" s="5" t="s">
        <v>218</v>
      </c>
      <c r="I526" s="5" t="s">
        <v>630</v>
      </c>
      <c r="J526" s="5" t="s">
        <v>631</v>
      </c>
      <c r="K526" s="5" t="s">
        <v>241</v>
      </c>
      <c r="L526" s="6">
        <v>45667</v>
      </c>
      <c r="M526" s="6">
        <v>45667</v>
      </c>
      <c r="N526" s="5" t="s">
        <v>811</v>
      </c>
      <c r="O526" s="5" t="str">
        <f ca="1">IF(P526&lt;&gt;"EXPEDIÇÃO","Expedido",IF(NETWORKDAYS(C526,TODAY())&gt;=5,"Risco Alto",IF(NETWORKDAYS(C526,TODAY())&gt;=3,IF(NETWORKDAYS(C526,TODAY())&lt;5,"Risco Médio",""),IF(NETWORKDAYS(C526,TODAY())&lt;=2,"Risco Baixo",""))))</f>
        <v>Expedido</v>
      </c>
      <c r="P526" s="5" t="s">
        <v>25</v>
      </c>
      <c r="Q526" s="5" t="s">
        <v>793</v>
      </c>
      <c r="S526" s="7">
        <f>IF(ISBLANK(M526),"Aguardando Previsão/Data",NETWORKDAYS(L526,M526)-1)</f>
        <v>0</v>
      </c>
      <c r="T526" s="5" t="s">
        <v>942</v>
      </c>
    </row>
    <row r="527" spans="1:20" x14ac:dyDescent="0.35">
      <c r="A527" s="5">
        <v>8100269661</v>
      </c>
      <c r="B527" s="5">
        <v>10533</v>
      </c>
      <c r="C527" s="6">
        <v>45660</v>
      </c>
      <c r="D527" s="5" t="s">
        <v>239</v>
      </c>
      <c r="E527" s="5" t="s">
        <v>240</v>
      </c>
      <c r="F527" s="5" t="s">
        <v>242</v>
      </c>
      <c r="G527" s="5" t="s">
        <v>243</v>
      </c>
      <c r="H527" s="5" t="s">
        <v>218</v>
      </c>
      <c r="I527" s="5" t="s">
        <v>630</v>
      </c>
      <c r="J527" s="5" t="s">
        <v>631</v>
      </c>
      <c r="K527" s="5" t="s">
        <v>241</v>
      </c>
      <c r="L527" s="6">
        <v>45667</v>
      </c>
      <c r="M527" s="6">
        <v>45667</v>
      </c>
      <c r="N527" s="5" t="s">
        <v>811</v>
      </c>
      <c r="O527" s="5" t="str">
        <f ca="1">IF(P527&lt;&gt;"EXPEDIÇÃO","Expedido",IF(NETWORKDAYS(C527,TODAY())&gt;=5,"Risco Alto",IF(NETWORKDAYS(C527,TODAY())&gt;=3,IF(NETWORKDAYS(C527,TODAY())&lt;5,"Risco Médio",""),IF(NETWORKDAYS(C527,TODAY())&lt;=2,"Risco Baixo",""))))</f>
        <v>Expedido</v>
      </c>
      <c r="P527" s="5" t="s">
        <v>25</v>
      </c>
      <c r="Q527" s="5" t="s">
        <v>793</v>
      </c>
      <c r="S527" s="7">
        <f>IF(ISBLANK(M527),"Aguardando Previsão/Data",NETWORKDAYS(L527,M527)-1)</f>
        <v>0</v>
      </c>
      <c r="T527" s="5" t="s">
        <v>942</v>
      </c>
    </row>
    <row r="528" spans="1:20" x14ac:dyDescent="0.35">
      <c r="A528" s="5">
        <v>8100269662</v>
      </c>
      <c r="B528" s="5">
        <v>10534</v>
      </c>
      <c r="C528" s="6">
        <v>45660</v>
      </c>
      <c r="D528" s="5" t="s">
        <v>239</v>
      </c>
      <c r="E528" s="5" t="s">
        <v>240</v>
      </c>
      <c r="F528" s="5" t="s">
        <v>242</v>
      </c>
      <c r="G528" s="5" t="s">
        <v>243</v>
      </c>
      <c r="H528" s="5" t="s">
        <v>218</v>
      </c>
      <c r="I528" s="5" t="s">
        <v>630</v>
      </c>
      <c r="J528" s="5" t="s">
        <v>631</v>
      </c>
      <c r="K528" s="5" t="s">
        <v>241</v>
      </c>
      <c r="L528" s="6">
        <v>45667</v>
      </c>
      <c r="M528" s="6">
        <v>45667</v>
      </c>
      <c r="N528" s="5" t="s">
        <v>811</v>
      </c>
      <c r="O528" s="5" t="str">
        <f ca="1">IF(P528&lt;&gt;"EXPEDIÇÃO","Expedido",IF(NETWORKDAYS(C528,TODAY())&gt;=5,"Risco Alto",IF(NETWORKDAYS(C528,TODAY())&gt;=3,IF(NETWORKDAYS(C528,TODAY())&lt;5,"Risco Médio",""),IF(NETWORKDAYS(C528,TODAY())&lt;=2,"Risco Baixo",""))))</f>
        <v>Expedido</v>
      </c>
      <c r="P528" s="5" t="s">
        <v>25</v>
      </c>
      <c r="Q528" s="5" t="s">
        <v>793</v>
      </c>
      <c r="S528" s="7">
        <f>IF(ISBLANK(M528),"Aguardando Previsão/Data",NETWORKDAYS(L528,M528)-1)</f>
        <v>0</v>
      </c>
      <c r="T528" s="5" t="s">
        <v>942</v>
      </c>
    </row>
    <row r="529" spans="1:20" x14ac:dyDescent="0.35">
      <c r="A529" s="5">
        <v>8100269670</v>
      </c>
      <c r="B529" s="5">
        <v>10535</v>
      </c>
      <c r="C529" s="6">
        <v>45660</v>
      </c>
      <c r="D529" s="5" t="s">
        <v>239</v>
      </c>
      <c r="E529" s="5" t="s">
        <v>240</v>
      </c>
      <c r="F529" s="5" t="s">
        <v>242</v>
      </c>
      <c r="G529" s="5" t="s">
        <v>243</v>
      </c>
      <c r="H529" s="5" t="s">
        <v>218</v>
      </c>
      <c r="I529" s="5" t="s">
        <v>630</v>
      </c>
      <c r="J529" s="5" t="s">
        <v>631</v>
      </c>
      <c r="K529" s="5" t="s">
        <v>241</v>
      </c>
      <c r="L529" s="6">
        <v>45667</v>
      </c>
      <c r="M529" s="6">
        <v>45667</v>
      </c>
      <c r="N529" s="5" t="s">
        <v>811</v>
      </c>
      <c r="O529" s="5" t="str">
        <f ca="1">IF(P529&lt;&gt;"EXPEDIÇÃO","Expedido",IF(NETWORKDAYS(C529,TODAY())&gt;=5,"Risco Alto",IF(NETWORKDAYS(C529,TODAY())&gt;=3,IF(NETWORKDAYS(C529,TODAY())&lt;5,"Risco Médio",""),IF(NETWORKDAYS(C529,TODAY())&lt;=2,"Risco Baixo",""))))</f>
        <v>Expedido</v>
      </c>
      <c r="P529" s="5" t="s">
        <v>25</v>
      </c>
      <c r="Q529" s="5" t="s">
        <v>793</v>
      </c>
      <c r="S529" s="7">
        <f>IF(ISBLANK(M529),"Aguardando Previsão/Data",NETWORKDAYS(L529,M529)-1)</f>
        <v>0</v>
      </c>
      <c r="T529" s="5" t="s">
        <v>942</v>
      </c>
    </row>
    <row r="530" spans="1:20" x14ac:dyDescent="0.35">
      <c r="A530" s="8">
        <v>8100269679</v>
      </c>
      <c r="B530" s="5">
        <v>10568</v>
      </c>
      <c r="C530" s="6">
        <v>45660</v>
      </c>
      <c r="D530" s="5" t="s">
        <v>239</v>
      </c>
      <c r="E530" s="5" t="s">
        <v>240</v>
      </c>
      <c r="F530" s="5" t="s">
        <v>242</v>
      </c>
      <c r="G530" s="5" t="s">
        <v>243</v>
      </c>
      <c r="H530" s="5" t="s">
        <v>218</v>
      </c>
      <c r="I530" s="5" t="s">
        <v>458</v>
      </c>
      <c r="J530" s="5" t="s">
        <v>459</v>
      </c>
      <c r="K530" s="5" t="s">
        <v>241</v>
      </c>
      <c r="L530" s="6">
        <v>45666</v>
      </c>
      <c r="M530" s="6">
        <v>45670</v>
      </c>
      <c r="N530" s="5" t="s">
        <v>812</v>
      </c>
      <c r="O530" s="5" t="str">
        <f ca="1">IF(P530&lt;&gt;"EXPEDIÇÃO","Expedido",IF(NETWORKDAYS(C530,TODAY())&gt;=5,"Risco Alto",IF(NETWORKDAYS(C530,TODAY())&gt;=3,IF(NETWORKDAYS(C530,TODAY())&lt;5,"Risco Médio",""),IF(NETWORKDAYS(C530,TODAY())&lt;=2,"Risco Baixo",""))))</f>
        <v>Expedido</v>
      </c>
      <c r="P530" s="5" t="s">
        <v>25</v>
      </c>
      <c r="Q530" s="5" t="s">
        <v>897</v>
      </c>
      <c r="S530" s="7">
        <f>IF(ISBLANK(M530),"Aguardando Previsão/Data",NETWORKDAYS(L530,M530)-1)</f>
        <v>2</v>
      </c>
      <c r="T530" s="5" t="s">
        <v>942</v>
      </c>
    </row>
    <row r="531" spans="1:20" x14ac:dyDescent="0.35">
      <c r="A531" s="5">
        <v>8100269690</v>
      </c>
      <c r="B531" s="5">
        <v>10536</v>
      </c>
      <c r="C531" s="6">
        <v>45660</v>
      </c>
      <c r="D531" s="5" t="s">
        <v>239</v>
      </c>
      <c r="E531" s="5" t="s">
        <v>240</v>
      </c>
      <c r="F531" s="5" t="s">
        <v>242</v>
      </c>
      <c r="G531" s="5" t="s">
        <v>243</v>
      </c>
      <c r="H531" s="5" t="s">
        <v>218</v>
      </c>
      <c r="I531" s="5" t="s">
        <v>630</v>
      </c>
      <c r="J531" s="5" t="s">
        <v>631</v>
      </c>
      <c r="K531" s="5" t="s">
        <v>241</v>
      </c>
      <c r="L531" s="6">
        <v>45667</v>
      </c>
      <c r="M531" s="6">
        <v>45667</v>
      </c>
      <c r="N531" s="5" t="s">
        <v>811</v>
      </c>
      <c r="O531" s="5" t="str">
        <f ca="1">IF(P531&lt;&gt;"EXPEDIÇÃO","Expedido",IF(NETWORKDAYS(C531,TODAY())&gt;=5,"Risco Alto",IF(NETWORKDAYS(C531,TODAY())&gt;=3,IF(NETWORKDAYS(C531,TODAY())&lt;5,"Risco Médio",""),IF(NETWORKDAYS(C531,TODAY())&lt;=2,"Risco Baixo",""))))</f>
        <v>Expedido</v>
      </c>
      <c r="P531" s="5" t="s">
        <v>25</v>
      </c>
      <c r="Q531" s="5" t="s">
        <v>793</v>
      </c>
      <c r="S531" s="7">
        <f>IF(ISBLANK(M531),"Aguardando Previsão/Data",NETWORKDAYS(L531,M531)-1)</f>
        <v>0</v>
      </c>
      <c r="T531" s="5" t="s">
        <v>942</v>
      </c>
    </row>
    <row r="532" spans="1:20" x14ac:dyDescent="0.35">
      <c r="A532" s="8">
        <v>8100269691</v>
      </c>
      <c r="B532" s="5">
        <v>10538</v>
      </c>
      <c r="C532" s="6">
        <v>45660</v>
      </c>
      <c r="D532" s="5" t="s">
        <v>239</v>
      </c>
      <c r="E532" s="5" t="s">
        <v>240</v>
      </c>
      <c r="F532" s="5" t="s">
        <v>242</v>
      </c>
      <c r="G532" s="5" t="s">
        <v>243</v>
      </c>
      <c r="H532" s="5" t="s">
        <v>218</v>
      </c>
      <c r="I532" s="5" t="s">
        <v>685</v>
      </c>
      <c r="J532" s="5" t="s">
        <v>521</v>
      </c>
      <c r="K532" s="5" t="s">
        <v>241</v>
      </c>
      <c r="L532" s="6">
        <v>45666</v>
      </c>
      <c r="M532" s="6">
        <v>45670</v>
      </c>
      <c r="N532" s="5" t="s">
        <v>812</v>
      </c>
      <c r="O532" s="5" t="str">
        <f ca="1">IF(P532&lt;&gt;"EXPEDIÇÃO","Expedido",IF(NETWORKDAYS(C532,TODAY())&gt;=5,"Risco Alto",IF(NETWORKDAYS(C532,TODAY())&gt;=3,IF(NETWORKDAYS(C532,TODAY())&lt;5,"Risco Médio",""),IF(NETWORKDAYS(C532,TODAY())&lt;=2,"Risco Baixo",""))))</f>
        <v>Expedido</v>
      </c>
      <c r="P532" s="5" t="s">
        <v>25</v>
      </c>
      <c r="Q532" s="5" t="s">
        <v>897</v>
      </c>
      <c r="S532" s="7">
        <f>IF(ISBLANK(M532),"Aguardando Previsão/Data",NETWORKDAYS(L532,M532)-1)</f>
        <v>2</v>
      </c>
      <c r="T532" s="5" t="s">
        <v>942</v>
      </c>
    </row>
    <row r="533" spans="1:20" x14ac:dyDescent="0.35">
      <c r="A533" s="8">
        <v>8100269694</v>
      </c>
      <c r="B533" s="5">
        <v>10531</v>
      </c>
      <c r="C533" s="6">
        <v>45660</v>
      </c>
      <c r="D533" s="5" t="s">
        <v>239</v>
      </c>
      <c r="E533" s="5" t="s">
        <v>240</v>
      </c>
      <c r="F533" s="5" t="s">
        <v>242</v>
      </c>
      <c r="G533" s="5" t="s">
        <v>243</v>
      </c>
      <c r="H533" s="5" t="s">
        <v>218</v>
      </c>
      <c r="I533" s="5" t="s">
        <v>685</v>
      </c>
      <c r="J533" s="5" t="s">
        <v>521</v>
      </c>
      <c r="K533" s="5" t="s">
        <v>241</v>
      </c>
      <c r="L533" s="6">
        <v>45666</v>
      </c>
      <c r="M533" s="6">
        <v>45670</v>
      </c>
      <c r="N533" s="5" t="s">
        <v>812</v>
      </c>
      <c r="O533" s="5" t="str">
        <f ca="1">IF(P533&lt;&gt;"EXPEDIÇÃO","Expedido",IF(NETWORKDAYS(C533,TODAY())&gt;=5,"Risco Alto",IF(NETWORKDAYS(C533,TODAY())&gt;=3,IF(NETWORKDAYS(C533,TODAY())&lt;5,"Risco Médio",""),IF(NETWORKDAYS(C533,TODAY())&lt;=2,"Risco Baixo",""))))</f>
        <v>Expedido</v>
      </c>
      <c r="P533" s="5" t="s">
        <v>25</v>
      </c>
      <c r="Q533" s="5" t="s">
        <v>897</v>
      </c>
      <c r="S533" s="7">
        <f>IF(ISBLANK(M533),"Aguardando Previsão/Data",NETWORKDAYS(L533,M533)-1)</f>
        <v>2</v>
      </c>
      <c r="T533" s="5" t="s">
        <v>942</v>
      </c>
    </row>
    <row r="534" spans="1:20" x14ac:dyDescent="0.35">
      <c r="A534" s="5">
        <v>8100269800</v>
      </c>
      <c r="B534" s="5">
        <v>10524</v>
      </c>
      <c r="C534" s="6">
        <v>45660</v>
      </c>
      <c r="D534" s="5" t="s">
        <v>239</v>
      </c>
      <c r="E534" s="5" t="s">
        <v>240</v>
      </c>
      <c r="F534" s="5" t="s">
        <v>242</v>
      </c>
      <c r="G534" s="5" t="s">
        <v>243</v>
      </c>
      <c r="H534" s="5" t="s">
        <v>218</v>
      </c>
      <c r="I534" s="5" t="s">
        <v>427</v>
      </c>
      <c r="J534" s="5" t="s">
        <v>428</v>
      </c>
      <c r="K534" s="5" t="s">
        <v>241</v>
      </c>
      <c r="L534" s="6">
        <v>45667</v>
      </c>
      <c r="M534" s="6">
        <v>45672</v>
      </c>
      <c r="N534" s="5" t="s">
        <v>812</v>
      </c>
      <c r="O534" s="5" t="str">
        <f ca="1">IF(P534&lt;&gt;"EXPEDIÇÃO","Expedido",IF(NETWORKDAYS(C534,TODAY())&gt;=5,"Risco Alto",IF(NETWORKDAYS(C534,TODAY())&gt;=3,IF(NETWORKDAYS(C534,TODAY())&lt;5,"Risco Médio",""),IF(NETWORKDAYS(C534,TODAY())&lt;=2,"Risco Baixo",""))))</f>
        <v>Expedido</v>
      </c>
      <c r="P534" s="5" t="s">
        <v>25</v>
      </c>
      <c r="Q534" s="5" t="s">
        <v>899</v>
      </c>
      <c r="S534" s="7">
        <f>IF(ISBLANK(M534),"Aguardando Previsão/Data",NETWORKDAYS(L534,M534)-1)</f>
        <v>3</v>
      </c>
      <c r="T534" s="5" t="s">
        <v>942</v>
      </c>
    </row>
    <row r="535" spans="1:20" x14ac:dyDescent="0.35">
      <c r="A535" s="8">
        <v>8100270011</v>
      </c>
      <c r="B535" s="5">
        <v>10542</v>
      </c>
      <c r="C535" s="6">
        <v>45660</v>
      </c>
      <c r="D535" s="5" t="s">
        <v>239</v>
      </c>
      <c r="E535" s="5" t="s">
        <v>240</v>
      </c>
      <c r="F535" s="5" t="s">
        <v>242</v>
      </c>
      <c r="G535" s="5" t="s">
        <v>243</v>
      </c>
      <c r="H535" s="5" t="s">
        <v>218</v>
      </c>
      <c r="I535" s="5" t="s">
        <v>245</v>
      </c>
      <c r="J535" s="5" t="s">
        <v>246</v>
      </c>
      <c r="K535" s="5" t="s">
        <v>241</v>
      </c>
      <c r="L535" s="6">
        <v>45667</v>
      </c>
      <c r="M535" s="6">
        <v>45671</v>
      </c>
      <c r="N535" s="5" t="s">
        <v>812</v>
      </c>
      <c r="O535" s="5" t="str">
        <f ca="1">IF(P535&lt;&gt;"EXPEDIÇÃO","Expedido",IF(NETWORKDAYS(C535,TODAY())&gt;=5,"Risco Alto",IF(NETWORKDAYS(C535,TODAY())&gt;=3,IF(NETWORKDAYS(C535,TODAY())&lt;5,"Risco Médio",""),IF(NETWORKDAYS(C535,TODAY())&lt;=2,"Risco Baixo",""))))</f>
        <v>Expedido</v>
      </c>
      <c r="P535" s="5" t="s">
        <v>25</v>
      </c>
      <c r="Q535" s="5" t="s">
        <v>897</v>
      </c>
      <c r="S535" s="7">
        <f>IF(ISBLANK(M535),"Aguardando Previsão/Data",NETWORKDAYS(L535,M535)-1)</f>
        <v>2</v>
      </c>
      <c r="T535" s="5" t="s">
        <v>942</v>
      </c>
    </row>
    <row r="536" spans="1:20" x14ac:dyDescent="0.35">
      <c r="A536" s="8">
        <v>8100270012</v>
      </c>
      <c r="B536" s="5">
        <v>10539</v>
      </c>
      <c r="C536" s="6">
        <v>45660</v>
      </c>
      <c r="D536" s="5" t="s">
        <v>239</v>
      </c>
      <c r="E536" s="5" t="s">
        <v>240</v>
      </c>
      <c r="F536" s="5" t="s">
        <v>242</v>
      </c>
      <c r="G536" s="5" t="s">
        <v>243</v>
      </c>
      <c r="H536" s="5" t="s">
        <v>218</v>
      </c>
      <c r="I536" s="5" t="s">
        <v>245</v>
      </c>
      <c r="J536" s="5" t="s">
        <v>246</v>
      </c>
      <c r="K536" s="5" t="s">
        <v>241</v>
      </c>
      <c r="L536" s="6">
        <v>45667</v>
      </c>
      <c r="M536" s="6">
        <v>45671</v>
      </c>
      <c r="N536" s="5" t="s">
        <v>812</v>
      </c>
      <c r="O536" s="5" t="str">
        <f ca="1">IF(P536&lt;&gt;"EXPEDIÇÃO","Expedido",IF(NETWORKDAYS(C536,TODAY())&gt;=5,"Risco Alto",IF(NETWORKDAYS(C536,TODAY())&gt;=3,IF(NETWORKDAYS(C536,TODAY())&lt;5,"Risco Médio",""),IF(NETWORKDAYS(C536,TODAY())&lt;=2,"Risco Baixo",""))))</f>
        <v>Expedido</v>
      </c>
      <c r="P536" s="5" t="s">
        <v>25</v>
      </c>
      <c r="Q536" s="5" t="s">
        <v>897</v>
      </c>
      <c r="S536" s="7">
        <f>IF(ISBLANK(M536),"Aguardando Previsão/Data",NETWORKDAYS(L536,M536)-1)</f>
        <v>2</v>
      </c>
      <c r="T536" s="5" t="s">
        <v>942</v>
      </c>
    </row>
    <row r="537" spans="1:20" x14ac:dyDescent="0.35">
      <c r="A537" s="5">
        <v>8100270013</v>
      </c>
      <c r="B537" s="5">
        <v>10541</v>
      </c>
      <c r="C537" s="6">
        <v>45660</v>
      </c>
      <c r="D537" s="5" t="s">
        <v>239</v>
      </c>
      <c r="E537" s="5" t="s">
        <v>240</v>
      </c>
      <c r="F537" s="5" t="s">
        <v>160</v>
      </c>
      <c r="G537" s="5" t="s">
        <v>161</v>
      </c>
      <c r="H537" s="5" t="s">
        <v>218</v>
      </c>
      <c r="I537" s="5" t="s">
        <v>347</v>
      </c>
      <c r="J537" s="5" t="s">
        <v>1148</v>
      </c>
      <c r="K537" s="5" t="s">
        <v>241</v>
      </c>
      <c r="L537" s="6">
        <v>45666</v>
      </c>
      <c r="M537" s="6">
        <v>45665</v>
      </c>
      <c r="N537" s="5" t="s">
        <v>811</v>
      </c>
      <c r="O537" s="5" t="str">
        <f ca="1">IF(P537&lt;&gt;"EXPEDIÇÃO","Expedido",IF(NETWORKDAYS(C537,TODAY())&gt;=5,"Risco Alto",IF(NETWORKDAYS(C537,TODAY())&gt;=3,IF(NETWORKDAYS(C537,TODAY())&lt;5,"Risco Médio",""),IF(NETWORKDAYS(C537,TODAY())&lt;=2,"Risco Baixo",""))))</f>
        <v>Expedido</v>
      </c>
      <c r="P537" s="5" t="s">
        <v>25</v>
      </c>
      <c r="Q537" s="5" t="s">
        <v>793</v>
      </c>
      <c r="S537" s="7">
        <f>IF(ISBLANK(M537),"Aguardando Previsão/Data",NETWORKDAYS(L537,M537)-1)</f>
        <v>-3</v>
      </c>
      <c r="T537" s="5" t="s">
        <v>942</v>
      </c>
    </row>
    <row r="538" spans="1:20" x14ac:dyDescent="0.35">
      <c r="A538" s="5">
        <v>8100270014</v>
      </c>
      <c r="B538" s="5">
        <v>10562</v>
      </c>
      <c r="C538" s="6">
        <v>45660</v>
      </c>
      <c r="D538" s="5" t="s">
        <v>239</v>
      </c>
      <c r="E538" s="5" t="s">
        <v>240</v>
      </c>
      <c r="F538" s="5" t="s">
        <v>242</v>
      </c>
      <c r="G538" s="5" t="s">
        <v>243</v>
      </c>
      <c r="H538" s="5" t="s">
        <v>218</v>
      </c>
      <c r="I538" s="5" t="s">
        <v>488</v>
      </c>
      <c r="J538" s="5" t="s">
        <v>489</v>
      </c>
      <c r="K538" s="5" t="s">
        <v>241</v>
      </c>
      <c r="L538" s="6">
        <v>45666</v>
      </c>
      <c r="M538" s="6">
        <v>45671</v>
      </c>
      <c r="N538" s="5" t="s">
        <v>812</v>
      </c>
      <c r="O538" s="5" t="str">
        <f ca="1">IF(P538&lt;&gt;"EXPEDIÇÃO","Expedido",IF(NETWORKDAYS(C538,TODAY())&gt;=5,"Risco Alto",IF(NETWORKDAYS(C538,TODAY())&gt;=3,IF(NETWORKDAYS(C538,TODAY())&lt;5,"Risco Médio",""),IF(NETWORKDAYS(C538,TODAY())&lt;=2,"Risco Baixo",""))))</f>
        <v>Expedido</v>
      </c>
      <c r="P538" s="5" t="s">
        <v>25</v>
      </c>
      <c r="Q538" s="5" t="s">
        <v>899</v>
      </c>
      <c r="S538" s="7">
        <f>IF(ISBLANK(M538),"Aguardando Previsão/Data",NETWORKDAYS(L538,M538)-1)</f>
        <v>3</v>
      </c>
      <c r="T538" s="5" t="s">
        <v>942</v>
      </c>
    </row>
    <row r="539" spans="1:20" x14ac:dyDescent="0.35">
      <c r="A539" s="5">
        <v>8100270015</v>
      </c>
      <c r="B539" s="5">
        <v>10540</v>
      </c>
      <c r="C539" s="6">
        <v>45660</v>
      </c>
      <c r="D539" s="5" t="s">
        <v>239</v>
      </c>
      <c r="E539" s="5" t="s">
        <v>240</v>
      </c>
      <c r="F539" s="5" t="s">
        <v>160</v>
      </c>
      <c r="G539" s="5" t="s">
        <v>161</v>
      </c>
      <c r="H539" s="5" t="s">
        <v>218</v>
      </c>
      <c r="I539" s="5" t="s">
        <v>1003</v>
      </c>
      <c r="J539" s="5" t="s">
        <v>1004</v>
      </c>
      <c r="K539" s="5" t="s">
        <v>241</v>
      </c>
      <c r="L539" s="6">
        <v>45666</v>
      </c>
      <c r="M539" s="6">
        <v>45666</v>
      </c>
      <c r="N539" s="5" t="s">
        <v>811</v>
      </c>
      <c r="O539" s="5" t="str">
        <f ca="1">IF(P539&lt;&gt;"EXPEDIÇÃO","Expedido",IF(NETWORKDAYS(C539,TODAY())&gt;=5,"Risco Alto",IF(NETWORKDAYS(C539,TODAY())&gt;=3,IF(NETWORKDAYS(C539,TODAY())&lt;5,"Risco Médio",""),IF(NETWORKDAYS(C539,TODAY())&lt;=2,"Risco Baixo",""))))</f>
        <v>Expedido</v>
      </c>
      <c r="P539" s="5" t="s">
        <v>25</v>
      </c>
      <c r="Q539" s="5" t="s">
        <v>793</v>
      </c>
      <c r="S539" s="7">
        <f>IF(ISBLANK(M539),"Aguardando Previsão/Data",NETWORKDAYS(L539,M539)-1)</f>
        <v>0</v>
      </c>
      <c r="T539" s="5" t="s">
        <v>942</v>
      </c>
    </row>
    <row r="540" spans="1:20" x14ac:dyDescent="0.35">
      <c r="A540" s="5">
        <v>8100270182</v>
      </c>
      <c r="B540" s="5">
        <v>10549</v>
      </c>
      <c r="C540" s="6">
        <v>45660</v>
      </c>
      <c r="D540" s="5" t="s">
        <v>239</v>
      </c>
      <c r="E540" s="5" t="s">
        <v>240</v>
      </c>
      <c r="F540" s="5" t="s">
        <v>160</v>
      </c>
      <c r="G540" s="5" t="s">
        <v>161</v>
      </c>
      <c r="H540" s="5" t="s">
        <v>218</v>
      </c>
      <c r="I540" s="5" t="s">
        <v>356</v>
      </c>
      <c r="J540" s="5" t="s">
        <v>357</v>
      </c>
      <c r="K540" s="5" t="s">
        <v>241</v>
      </c>
      <c r="L540" s="6">
        <v>45666</v>
      </c>
      <c r="M540" s="6">
        <v>45665</v>
      </c>
      <c r="N540" s="5" t="s">
        <v>811</v>
      </c>
      <c r="O540" s="5" t="str">
        <f ca="1">IF(P540&lt;&gt;"EXPEDIÇÃO","Expedido",IF(NETWORKDAYS(C540,TODAY())&gt;=5,"Risco Alto",IF(NETWORKDAYS(C540,TODAY())&gt;=3,IF(NETWORKDAYS(C540,TODAY())&lt;5,"Risco Médio",""),IF(NETWORKDAYS(C540,TODAY())&lt;=2,"Risco Baixo",""))))</f>
        <v>Expedido</v>
      </c>
      <c r="P540" s="5" t="s">
        <v>25</v>
      </c>
      <c r="Q540" s="5" t="s">
        <v>793</v>
      </c>
      <c r="S540" s="7">
        <f>IF(ISBLANK(M540),"Aguardando Previsão/Data",NETWORKDAYS(L540,M540)-1)</f>
        <v>-3</v>
      </c>
      <c r="T540" s="5" t="s">
        <v>942</v>
      </c>
    </row>
    <row r="541" spans="1:20" x14ac:dyDescent="0.35">
      <c r="A541" s="5">
        <v>8100270183</v>
      </c>
      <c r="B541" s="5">
        <v>10552</v>
      </c>
      <c r="C541" s="6">
        <v>45660</v>
      </c>
      <c r="D541" s="5" t="s">
        <v>239</v>
      </c>
      <c r="E541" s="5" t="s">
        <v>240</v>
      </c>
      <c r="F541" s="5" t="s">
        <v>242</v>
      </c>
      <c r="G541" s="5" t="s">
        <v>243</v>
      </c>
      <c r="H541" s="5" t="s">
        <v>218</v>
      </c>
      <c r="I541" s="5" t="s">
        <v>488</v>
      </c>
      <c r="J541" s="5" t="s">
        <v>489</v>
      </c>
      <c r="K541" s="5" t="s">
        <v>241</v>
      </c>
      <c r="L541" s="6">
        <v>45666</v>
      </c>
      <c r="M541" s="6">
        <v>45671</v>
      </c>
      <c r="N541" s="5" t="s">
        <v>812</v>
      </c>
      <c r="O541" s="5" t="str">
        <f ca="1">IF(P541&lt;&gt;"EXPEDIÇÃO","Expedido",IF(NETWORKDAYS(C541,TODAY())&gt;=5,"Risco Alto",IF(NETWORKDAYS(C541,TODAY())&gt;=3,IF(NETWORKDAYS(C541,TODAY())&lt;5,"Risco Médio",""),IF(NETWORKDAYS(C541,TODAY())&lt;=2,"Risco Baixo",""))))</f>
        <v>Expedido</v>
      </c>
      <c r="P541" s="5" t="s">
        <v>25</v>
      </c>
      <c r="Q541" s="5" t="s">
        <v>899</v>
      </c>
      <c r="S541" s="7">
        <f>IF(ISBLANK(M541),"Aguardando Previsão/Data",NETWORKDAYS(L541,M541)-1)</f>
        <v>3</v>
      </c>
      <c r="T541" s="5" t="s">
        <v>942</v>
      </c>
    </row>
    <row r="542" spans="1:20" x14ac:dyDescent="0.35">
      <c r="A542" s="5">
        <v>8100270184</v>
      </c>
      <c r="B542" s="5">
        <v>10550</v>
      </c>
      <c r="C542" s="6">
        <v>45660</v>
      </c>
      <c r="D542" s="5" t="s">
        <v>239</v>
      </c>
      <c r="E542" s="5" t="s">
        <v>240</v>
      </c>
      <c r="F542" s="5" t="s">
        <v>160</v>
      </c>
      <c r="G542" s="5" t="s">
        <v>161</v>
      </c>
      <c r="H542" s="5" t="s">
        <v>218</v>
      </c>
      <c r="I542" s="5" t="s">
        <v>354</v>
      </c>
      <c r="J542" s="5" t="s">
        <v>355</v>
      </c>
      <c r="K542" s="5" t="s">
        <v>241</v>
      </c>
      <c r="L542" s="6">
        <v>45666</v>
      </c>
      <c r="M542" s="6">
        <v>45666</v>
      </c>
      <c r="N542" s="5" t="s">
        <v>811</v>
      </c>
      <c r="O542" s="5" t="str">
        <f ca="1">IF(P542&lt;&gt;"EXPEDIÇÃO","Expedido",IF(NETWORKDAYS(C542,TODAY())&gt;=5,"Risco Alto",IF(NETWORKDAYS(C542,TODAY())&gt;=3,IF(NETWORKDAYS(C542,TODAY())&lt;5,"Risco Médio",""),IF(NETWORKDAYS(C542,TODAY())&lt;=2,"Risco Baixo",""))))</f>
        <v>Expedido</v>
      </c>
      <c r="P542" s="5" t="s">
        <v>25</v>
      </c>
      <c r="Q542" s="5" t="s">
        <v>793</v>
      </c>
      <c r="S542" s="7">
        <f>IF(ISBLANK(M542),"Aguardando Previsão/Data",NETWORKDAYS(L542,M542)-1)</f>
        <v>0</v>
      </c>
      <c r="T542" s="5" t="s">
        <v>942</v>
      </c>
    </row>
    <row r="543" spans="1:20" x14ac:dyDescent="0.35">
      <c r="A543" s="5">
        <v>8100270185</v>
      </c>
      <c r="B543" s="5">
        <v>10553</v>
      </c>
      <c r="C543" s="6">
        <v>45660</v>
      </c>
      <c r="D543" s="5" t="s">
        <v>239</v>
      </c>
      <c r="E543" s="5" t="s">
        <v>240</v>
      </c>
      <c r="F543" s="5" t="s">
        <v>242</v>
      </c>
      <c r="G543" s="5" t="s">
        <v>243</v>
      </c>
      <c r="H543" s="5" t="s">
        <v>218</v>
      </c>
      <c r="I543" s="5" t="s">
        <v>488</v>
      </c>
      <c r="J543" s="5" t="s">
        <v>489</v>
      </c>
      <c r="K543" s="5" t="s">
        <v>241</v>
      </c>
      <c r="L543" s="6">
        <v>45666</v>
      </c>
      <c r="M543" s="6">
        <v>45671</v>
      </c>
      <c r="N543" s="5" t="s">
        <v>812</v>
      </c>
      <c r="O543" s="5" t="str">
        <f ca="1">IF(P543&lt;&gt;"EXPEDIÇÃO","Expedido",IF(NETWORKDAYS(C543,TODAY())&gt;=5,"Risco Alto",IF(NETWORKDAYS(C543,TODAY())&gt;=3,IF(NETWORKDAYS(C543,TODAY())&lt;5,"Risco Médio",""),IF(NETWORKDAYS(C543,TODAY())&lt;=2,"Risco Baixo",""))))</f>
        <v>Expedido</v>
      </c>
      <c r="P543" s="5" t="s">
        <v>25</v>
      </c>
      <c r="Q543" s="5" t="s">
        <v>899</v>
      </c>
      <c r="S543" s="7">
        <f>IF(ISBLANK(M543),"Aguardando Previsão/Data",NETWORKDAYS(L543,M543)-1)</f>
        <v>3</v>
      </c>
      <c r="T543" s="5" t="s">
        <v>942</v>
      </c>
    </row>
    <row r="544" spans="1:20" x14ac:dyDescent="0.35">
      <c r="A544" s="5">
        <v>8100270186</v>
      </c>
      <c r="B544" s="5">
        <v>10546</v>
      </c>
      <c r="C544" s="6">
        <v>45660</v>
      </c>
      <c r="D544" s="5" t="s">
        <v>239</v>
      </c>
      <c r="E544" s="5" t="s">
        <v>240</v>
      </c>
      <c r="F544" s="5" t="s">
        <v>160</v>
      </c>
      <c r="G544" s="5" t="s">
        <v>161</v>
      </c>
      <c r="H544" s="5" t="s">
        <v>218</v>
      </c>
      <c r="I544" s="5" t="s">
        <v>1003</v>
      </c>
      <c r="J544" s="5" t="s">
        <v>1004</v>
      </c>
      <c r="K544" s="5" t="s">
        <v>241</v>
      </c>
      <c r="L544" s="6">
        <v>45666</v>
      </c>
      <c r="M544" s="6">
        <v>45666</v>
      </c>
      <c r="N544" s="5" t="s">
        <v>811</v>
      </c>
      <c r="O544" s="5" t="str">
        <f ca="1">IF(P544&lt;&gt;"EXPEDIÇÃO","Expedido",IF(NETWORKDAYS(C544,TODAY())&gt;=5,"Risco Alto",IF(NETWORKDAYS(C544,TODAY())&gt;=3,IF(NETWORKDAYS(C544,TODAY())&lt;5,"Risco Médio",""),IF(NETWORKDAYS(C544,TODAY())&lt;=2,"Risco Baixo",""))))</f>
        <v>Expedido</v>
      </c>
      <c r="P544" s="5" t="s">
        <v>25</v>
      </c>
      <c r="Q544" s="5" t="s">
        <v>793</v>
      </c>
      <c r="S544" s="7">
        <f>IF(ISBLANK(M544),"Aguardando Previsão/Data",NETWORKDAYS(L544,M544)-1)</f>
        <v>0</v>
      </c>
      <c r="T544" s="5" t="s">
        <v>942</v>
      </c>
    </row>
    <row r="545" spans="1:20" x14ac:dyDescent="0.35">
      <c r="A545" s="5">
        <v>8100270689</v>
      </c>
      <c r="B545" s="5">
        <v>10548</v>
      </c>
      <c r="C545" s="6">
        <v>45660</v>
      </c>
      <c r="D545" s="5" t="s">
        <v>239</v>
      </c>
      <c r="E545" s="5" t="s">
        <v>240</v>
      </c>
      <c r="F545" s="5" t="s">
        <v>242</v>
      </c>
      <c r="G545" s="5" t="s">
        <v>243</v>
      </c>
      <c r="H545" s="5" t="s">
        <v>218</v>
      </c>
      <c r="I545" s="5" t="s">
        <v>458</v>
      </c>
      <c r="J545" s="5" t="s">
        <v>459</v>
      </c>
      <c r="K545" s="5" t="s">
        <v>241</v>
      </c>
      <c r="L545" s="6">
        <v>45666</v>
      </c>
      <c r="M545" s="6">
        <v>45667</v>
      </c>
      <c r="N545" s="5" t="s">
        <v>811</v>
      </c>
      <c r="O545" s="5" t="str">
        <f ca="1">IF(P545&lt;&gt;"EXPEDIÇÃO","Expedido",IF(NETWORKDAYS(C545,TODAY())&gt;=5,"Risco Alto",IF(NETWORKDAYS(C545,TODAY())&gt;=3,IF(NETWORKDAYS(C545,TODAY())&lt;5,"Risco Médio",""),IF(NETWORKDAYS(C545,TODAY())&lt;=2,"Risco Baixo",""))))</f>
        <v>Expedido</v>
      </c>
      <c r="P545" s="5" t="s">
        <v>25</v>
      </c>
      <c r="Q545" s="5" t="s">
        <v>897</v>
      </c>
      <c r="S545" s="7">
        <f>IF(ISBLANK(M545),"Aguardando Previsão/Data",NETWORKDAYS(L545,M545)-1)</f>
        <v>1</v>
      </c>
      <c r="T545" s="5" t="s">
        <v>942</v>
      </c>
    </row>
    <row r="546" spans="1:20" x14ac:dyDescent="0.35">
      <c r="A546" s="5">
        <v>8100270767</v>
      </c>
      <c r="B546" s="5">
        <v>10543</v>
      </c>
      <c r="C546" s="6">
        <v>45660</v>
      </c>
      <c r="D546" s="5" t="s">
        <v>239</v>
      </c>
      <c r="E546" s="5" t="s">
        <v>240</v>
      </c>
      <c r="F546" s="5" t="s">
        <v>176</v>
      </c>
      <c r="G546" s="5" t="s">
        <v>177</v>
      </c>
      <c r="H546" s="5" t="s">
        <v>218</v>
      </c>
      <c r="I546" s="5" t="s">
        <v>915</v>
      </c>
      <c r="J546" s="5" t="s">
        <v>797</v>
      </c>
      <c r="K546" s="5" t="s">
        <v>241</v>
      </c>
      <c r="L546" s="6">
        <v>45667</v>
      </c>
      <c r="M546" s="6">
        <v>45670</v>
      </c>
      <c r="N546" s="5" t="s">
        <v>811</v>
      </c>
      <c r="O546" s="5" t="str">
        <f ca="1">IF(P546&lt;&gt;"EXPEDIÇÃO","Expedido",IF(NETWORKDAYS(C546,TODAY())&gt;=5,"Risco Alto",IF(NETWORKDAYS(C546,TODAY())&gt;=3,IF(NETWORKDAYS(C546,TODAY())&lt;5,"Risco Médio",""),IF(NETWORKDAYS(C546,TODAY())&lt;=2,"Risco Baixo",""))))</f>
        <v>Expedido</v>
      </c>
      <c r="P546" s="5" t="s">
        <v>25</v>
      </c>
      <c r="Q546" s="5" t="s">
        <v>897</v>
      </c>
      <c r="S546" s="7">
        <f>IF(ISBLANK(M546),"Aguardando Previsão/Data",NETWORKDAYS(L546,M546)-1)</f>
        <v>1</v>
      </c>
      <c r="T546" s="5" t="s">
        <v>942</v>
      </c>
    </row>
    <row r="547" spans="1:20" x14ac:dyDescent="0.35">
      <c r="A547" s="5">
        <v>8100270768</v>
      </c>
      <c r="B547" s="5">
        <v>10545</v>
      </c>
      <c r="C547" s="6">
        <v>45660</v>
      </c>
      <c r="D547" s="5" t="s">
        <v>239</v>
      </c>
      <c r="E547" s="5" t="s">
        <v>240</v>
      </c>
      <c r="F547" s="5" t="s">
        <v>176</v>
      </c>
      <c r="G547" s="5" t="s">
        <v>177</v>
      </c>
      <c r="H547" s="5" t="s">
        <v>218</v>
      </c>
      <c r="I547" s="5" t="s">
        <v>1163</v>
      </c>
      <c r="J547" s="5" t="s">
        <v>797</v>
      </c>
      <c r="K547" s="5" t="s">
        <v>241</v>
      </c>
      <c r="L547" s="6">
        <v>45667</v>
      </c>
      <c r="M547" s="6">
        <v>45670</v>
      </c>
      <c r="N547" s="5" t="s">
        <v>811</v>
      </c>
      <c r="O547" s="5" t="str">
        <f ca="1">IF(P547&lt;&gt;"EXPEDIÇÃO","Expedido",IF(NETWORKDAYS(C547,TODAY())&gt;=5,"Risco Alto",IF(NETWORKDAYS(C547,TODAY())&gt;=3,IF(NETWORKDAYS(C547,TODAY())&lt;5,"Risco Médio",""),IF(NETWORKDAYS(C547,TODAY())&lt;=2,"Risco Baixo",""))))</f>
        <v>Expedido</v>
      </c>
      <c r="P547" s="5" t="s">
        <v>25</v>
      </c>
      <c r="Q547" s="5" t="s">
        <v>897</v>
      </c>
      <c r="S547" s="7">
        <f>IF(ISBLANK(M547),"Aguardando Previsão/Data",NETWORKDAYS(L547,M547)-1)</f>
        <v>1</v>
      </c>
      <c r="T547" s="5" t="s">
        <v>942</v>
      </c>
    </row>
    <row r="548" spans="1:20" x14ac:dyDescent="0.35">
      <c r="A548" s="5">
        <v>8100270769</v>
      </c>
      <c r="B548" s="5">
        <v>10547</v>
      </c>
      <c r="C548" s="6">
        <v>45660</v>
      </c>
      <c r="D548" s="5" t="s">
        <v>239</v>
      </c>
      <c r="E548" s="5" t="s">
        <v>240</v>
      </c>
      <c r="F548" s="5" t="s">
        <v>176</v>
      </c>
      <c r="G548" s="5" t="s">
        <v>177</v>
      </c>
      <c r="H548" s="5" t="s">
        <v>218</v>
      </c>
      <c r="I548" s="5" t="s">
        <v>1164</v>
      </c>
      <c r="J548" s="5" t="s">
        <v>1129</v>
      </c>
      <c r="K548" s="5" t="s">
        <v>241</v>
      </c>
      <c r="L548" s="6">
        <v>45667</v>
      </c>
      <c r="M548" s="6">
        <v>45672</v>
      </c>
      <c r="N548" s="5" t="s">
        <v>812</v>
      </c>
      <c r="O548" s="5" t="str">
        <f ca="1">IF(P548&lt;&gt;"EXPEDIÇÃO","Expedido",IF(NETWORKDAYS(C548,TODAY())&gt;=5,"Risco Alto",IF(NETWORKDAYS(C548,TODAY())&gt;=3,IF(NETWORKDAYS(C548,TODAY())&lt;5,"Risco Médio",""),IF(NETWORKDAYS(C548,TODAY())&lt;=2,"Risco Baixo",""))))</f>
        <v>Expedido</v>
      </c>
      <c r="P548" s="5" t="s">
        <v>25</v>
      </c>
      <c r="Q548" s="5" t="s">
        <v>897</v>
      </c>
      <c r="S548" s="7">
        <f>IF(ISBLANK(M548),"Aguardando Previsão/Data",NETWORKDAYS(L548,M548)-1)</f>
        <v>3</v>
      </c>
      <c r="T548" s="5" t="s">
        <v>942</v>
      </c>
    </row>
    <row r="549" spans="1:20" x14ac:dyDescent="0.35">
      <c r="A549" s="5">
        <v>8100270770</v>
      </c>
      <c r="B549" s="5">
        <v>10544</v>
      </c>
      <c r="C549" s="6">
        <v>45660</v>
      </c>
      <c r="D549" s="5" t="s">
        <v>239</v>
      </c>
      <c r="E549" s="5" t="s">
        <v>240</v>
      </c>
      <c r="F549" s="5" t="s">
        <v>176</v>
      </c>
      <c r="G549" s="5" t="s">
        <v>177</v>
      </c>
      <c r="H549" s="5" t="s">
        <v>218</v>
      </c>
      <c r="I549" s="5" t="s">
        <v>1144</v>
      </c>
      <c r="J549" s="5" t="s">
        <v>797</v>
      </c>
      <c r="K549" s="5" t="s">
        <v>241</v>
      </c>
      <c r="L549" s="6">
        <v>45667</v>
      </c>
      <c r="M549" s="6">
        <v>45670</v>
      </c>
      <c r="N549" s="5" t="s">
        <v>811</v>
      </c>
      <c r="O549" s="5" t="str">
        <f ca="1">IF(P549&lt;&gt;"EXPEDIÇÃO","Expedido",IF(NETWORKDAYS(C549,TODAY())&gt;=5,"Risco Alto",IF(NETWORKDAYS(C549,TODAY())&gt;=3,IF(NETWORKDAYS(C549,TODAY())&lt;5,"Risco Médio",""),IF(NETWORKDAYS(C549,TODAY())&lt;=2,"Risco Baixo",""))))</f>
        <v>Expedido</v>
      </c>
      <c r="P549" s="5" t="s">
        <v>25</v>
      </c>
      <c r="Q549" s="5" t="s">
        <v>897</v>
      </c>
      <c r="S549" s="7">
        <f>IF(ISBLANK(M549),"Aguardando Previsão/Data",NETWORKDAYS(L549,M549)-1)</f>
        <v>1</v>
      </c>
      <c r="T549" s="5" t="s">
        <v>942</v>
      </c>
    </row>
    <row r="550" spans="1:20" x14ac:dyDescent="0.35">
      <c r="A550" s="5">
        <v>8100270771</v>
      </c>
      <c r="B550" s="5">
        <v>10551</v>
      </c>
      <c r="C550" s="6">
        <v>45660</v>
      </c>
      <c r="D550" s="5" t="s">
        <v>239</v>
      </c>
      <c r="E550" s="5" t="s">
        <v>240</v>
      </c>
      <c r="F550" s="5" t="s">
        <v>160</v>
      </c>
      <c r="G550" s="5" t="s">
        <v>161</v>
      </c>
      <c r="H550" s="5" t="s">
        <v>218</v>
      </c>
      <c r="I550" s="5" t="s">
        <v>354</v>
      </c>
      <c r="J550" s="5" t="s">
        <v>355</v>
      </c>
      <c r="K550" s="5" t="s">
        <v>241</v>
      </c>
      <c r="L550" s="6">
        <v>45666</v>
      </c>
      <c r="M550" s="6">
        <v>45666</v>
      </c>
      <c r="N550" s="5" t="s">
        <v>811</v>
      </c>
      <c r="O550" s="5" t="str">
        <f ca="1">IF(P550&lt;&gt;"EXPEDIÇÃO","Expedido",IF(NETWORKDAYS(C550,TODAY())&gt;=5,"Risco Alto",IF(NETWORKDAYS(C550,TODAY())&gt;=3,IF(NETWORKDAYS(C550,TODAY())&lt;5,"Risco Médio",""),IF(NETWORKDAYS(C550,TODAY())&lt;=2,"Risco Baixo",""))))</f>
        <v>Expedido</v>
      </c>
      <c r="P550" s="5" t="s">
        <v>25</v>
      </c>
      <c r="Q550" s="5" t="s">
        <v>793</v>
      </c>
      <c r="S550" s="7">
        <f>IF(ISBLANK(M550),"Aguardando Previsão/Data",NETWORKDAYS(L550,M550)-1)</f>
        <v>0</v>
      </c>
      <c r="T550" s="5" t="s">
        <v>942</v>
      </c>
    </row>
    <row r="551" spans="1:20" x14ac:dyDescent="0.35">
      <c r="A551" s="5">
        <v>8100270772</v>
      </c>
      <c r="B551" s="5">
        <v>10558</v>
      </c>
      <c r="C551" s="6">
        <v>45660</v>
      </c>
      <c r="D551" s="5" t="s">
        <v>239</v>
      </c>
      <c r="E551" s="5" t="s">
        <v>240</v>
      </c>
      <c r="F551" s="5" t="s">
        <v>176</v>
      </c>
      <c r="G551" s="5" t="s">
        <v>177</v>
      </c>
      <c r="H551" s="5" t="s">
        <v>218</v>
      </c>
      <c r="I551" s="5" t="s">
        <v>1163</v>
      </c>
      <c r="J551" s="5" t="s">
        <v>797</v>
      </c>
      <c r="K551" s="5" t="s">
        <v>241</v>
      </c>
      <c r="L551" s="6">
        <v>45667</v>
      </c>
      <c r="M551" s="6">
        <v>45670</v>
      </c>
      <c r="N551" s="5" t="s">
        <v>811</v>
      </c>
      <c r="O551" s="5" t="str">
        <f ca="1">IF(P551&lt;&gt;"EXPEDIÇÃO","Expedido",IF(NETWORKDAYS(C551,TODAY())&gt;=5,"Risco Alto",IF(NETWORKDAYS(C551,TODAY())&gt;=3,IF(NETWORKDAYS(C551,TODAY())&lt;5,"Risco Médio",""),IF(NETWORKDAYS(C551,TODAY())&lt;=2,"Risco Baixo",""))))</f>
        <v>Expedido</v>
      </c>
      <c r="P551" s="5" t="s">
        <v>25</v>
      </c>
      <c r="Q551" s="5" t="s">
        <v>897</v>
      </c>
      <c r="S551" s="7">
        <f>IF(ISBLANK(M551),"Aguardando Previsão/Data",NETWORKDAYS(L551,M551)-1)</f>
        <v>1</v>
      </c>
      <c r="T551" s="5" t="s">
        <v>942</v>
      </c>
    </row>
    <row r="552" spans="1:20" x14ac:dyDescent="0.35">
      <c r="A552" s="5">
        <v>8100270773</v>
      </c>
      <c r="B552" s="5">
        <v>10559</v>
      </c>
      <c r="C552" s="6">
        <v>45660</v>
      </c>
      <c r="D552" s="5" t="s">
        <v>239</v>
      </c>
      <c r="E552" s="5" t="s">
        <v>240</v>
      </c>
      <c r="F552" s="5" t="s">
        <v>176</v>
      </c>
      <c r="G552" s="5" t="s">
        <v>177</v>
      </c>
      <c r="H552" s="5" t="s">
        <v>218</v>
      </c>
      <c r="I552" s="5" t="s">
        <v>1164</v>
      </c>
      <c r="J552" s="5" t="s">
        <v>1129</v>
      </c>
      <c r="K552" s="5" t="s">
        <v>241</v>
      </c>
      <c r="L552" s="6">
        <v>45667</v>
      </c>
      <c r="M552" s="6">
        <v>45670</v>
      </c>
      <c r="N552" s="5" t="s">
        <v>811</v>
      </c>
      <c r="O552" s="5" t="str">
        <f ca="1">IF(P552&lt;&gt;"EXPEDIÇÃO","Expedido",IF(NETWORKDAYS(C552,TODAY())&gt;=5,"Risco Alto",IF(NETWORKDAYS(C552,TODAY())&gt;=3,IF(NETWORKDAYS(C552,TODAY())&lt;5,"Risco Médio",""),IF(NETWORKDAYS(C552,TODAY())&lt;=2,"Risco Baixo",""))))</f>
        <v>Expedido</v>
      </c>
      <c r="P552" s="5" t="s">
        <v>25</v>
      </c>
      <c r="Q552" s="5" t="s">
        <v>897</v>
      </c>
      <c r="S552" s="7">
        <f>IF(ISBLANK(M552),"Aguardando Previsão/Data",NETWORKDAYS(L552,M552)-1)</f>
        <v>1</v>
      </c>
      <c r="T552" s="5" t="s">
        <v>942</v>
      </c>
    </row>
    <row r="553" spans="1:20" x14ac:dyDescent="0.35">
      <c r="A553" s="5">
        <v>8100270774</v>
      </c>
      <c r="B553" s="5">
        <v>10554</v>
      </c>
      <c r="C553" s="6">
        <v>45660</v>
      </c>
      <c r="D553" s="5" t="s">
        <v>239</v>
      </c>
      <c r="E553" s="5" t="s">
        <v>240</v>
      </c>
      <c r="F553" s="5" t="s">
        <v>160</v>
      </c>
      <c r="G553" s="5" t="s">
        <v>161</v>
      </c>
      <c r="H553" s="5" t="s">
        <v>218</v>
      </c>
      <c r="I553" s="5" t="s">
        <v>354</v>
      </c>
      <c r="J553" s="5" t="s">
        <v>355</v>
      </c>
      <c r="K553" s="5" t="s">
        <v>241</v>
      </c>
      <c r="L553" s="6">
        <v>45666</v>
      </c>
      <c r="M553" s="6">
        <v>45667</v>
      </c>
      <c r="N553" s="5" t="s">
        <v>811</v>
      </c>
      <c r="O553" s="5" t="str">
        <f ca="1">IF(P553&lt;&gt;"EXPEDIÇÃO","Expedido",IF(NETWORKDAYS(C553,TODAY())&gt;=5,"Risco Alto",IF(NETWORKDAYS(C553,TODAY())&gt;=3,IF(NETWORKDAYS(C553,TODAY())&lt;5,"Risco Médio",""),IF(NETWORKDAYS(C553,TODAY())&lt;=2,"Risco Baixo",""))))</f>
        <v>Expedido</v>
      </c>
      <c r="P553" s="5" t="s">
        <v>25</v>
      </c>
      <c r="Q553" s="5" t="s">
        <v>897</v>
      </c>
      <c r="S553" s="7">
        <f>IF(ISBLANK(M553),"Aguardando Previsão/Data",NETWORKDAYS(L553,M553)-1)</f>
        <v>1</v>
      </c>
      <c r="T553" s="5" t="s">
        <v>942</v>
      </c>
    </row>
    <row r="554" spans="1:20" x14ac:dyDescent="0.35">
      <c r="A554" s="5">
        <v>8100270775</v>
      </c>
      <c r="B554" s="5">
        <v>10560</v>
      </c>
      <c r="C554" s="6">
        <v>45660</v>
      </c>
      <c r="D554" s="5" t="s">
        <v>239</v>
      </c>
      <c r="E554" s="5" t="s">
        <v>240</v>
      </c>
      <c r="F554" s="5" t="s">
        <v>176</v>
      </c>
      <c r="G554" s="5" t="s">
        <v>177</v>
      </c>
      <c r="H554" s="5" t="s">
        <v>218</v>
      </c>
      <c r="I554" s="5" t="s">
        <v>1164</v>
      </c>
      <c r="J554" s="5" t="s">
        <v>1129</v>
      </c>
      <c r="K554" s="5" t="s">
        <v>241</v>
      </c>
      <c r="L554" s="6">
        <v>45667</v>
      </c>
      <c r="M554" s="6">
        <v>45670</v>
      </c>
      <c r="N554" s="5" t="s">
        <v>811</v>
      </c>
      <c r="O554" s="5" t="str">
        <f ca="1">IF(P554&lt;&gt;"EXPEDIÇÃO","Expedido",IF(NETWORKDAYS(C554,TODAY())&gt;=5,"Risco Alto",IF(NETWORKDAYS(C554,TODAY())&gt;=3,IF(NETWORKDAYS(C554,TODAY())&lt;5,"Risco Médio",""),IF(NETWORKDAYS(C554,TODAY())&lt;=2,"Risco Baixo",""))))</f>
        <v>Expedido</v>
      </c>
      <c r="P554" s="5" t="s">
        <v>25</v>
      </c>
      <c r="Q554" s="5" t="s">
        <v>897</v>
      </c>
      <c r="S554" s="7">
        <f>IF(ISBLANK(M554),"Aguardando Previsão/Data",NETWORKDAYS(L554,M554)-1)</f>
        <v>1</v>
      </c>
      <c r="T554" s="5" t="s">
        <v>942</v>
      </c>
    </row>
    <row r="555" spans="1:20" x14ac:dyDescent="0.35">
      <c r="A555" s="5">
        <v>8100270796</v>
      </c>
      <c r="B555" s="5">
        <v>10557</v>
      </c>
      <c r="C555" s="6">
        <v>45660</v>
      </c>
      <c r="D555" s="5" t="s">
        <v>239</v>
      </c>
      <c r="E555" s="5" t="s">
        <v>240</v>
      </c>
      <c r="F555" s="5" t="s">
        <v>176</v>
      </c>
      <c r="G555" s="5" t="s">
        <v>177</v>
      </c>
      <c r="H555" s="5" t="s">
        <v>218</v>
      </c>
      <c r="I555" s="5" t="s">
        <v>1164</v>
      </c>
      <c r="J555" s="5" t="s">
        <v>1129</v>
      </c>
      <c r="K555" s="5" t="s">
        <v>241</v>
      </c>
      <c r="L555" s="6">
        <v>45667</v>
      </c>
      <c r="M555" s="6">
        <v>45670</v>
      </c>
      <c r="N555" s="5" t="s">
        <v>811</v>
      </c>
      <c r="O555" s="5" t="str">
        <f ca="1">IF(P555&lt;&gt;"EXPEDIÇÃO","Expedido",IF(NETWORKDAYS(C555,TODAY())&gt;=5,"Risco Alto",IF(NETWORKDAYS(C555,TODAY())&gt;=3,IF(NETWORKDAYS(C555,TODAY())&lt;5,"Risco Médio",""),IF(NETWORKDAYS(C555,TODAY())&lt;=2,"Risco Baixo",""))))</f>
        <v>Expedido</v>
      </c>
      <c r="P555" s="5" t="s">
        <v>25</v>
      </c>
      <c r="Q555" s="5" t="s">
        <v>897</v>
      </c>
      <c r="S555" s="7">
        <f>IF(ISBLANK(M555),"Aguardando Previsão/Data",NETWORKDAYS(L555,M555)-1)</f>
        <v>1</v>
      </c>
      <c r="T555" s="5" t="s">
        <v>942</v>
      </c>
    </row>
    <row r="556" spans="1:20" x14ac:dyDescent="0.35">
      <c r="A556" s="5">
        <v>8100270816</v>
      </c>
      <c r="B556" s="5">
        <v>10555</v>
      </c>
      <c r="C556" s="6">
        <v>45660</v>
      </c>
      <c r="D556" s="5" t="s">
        <v>239</v>
      </c>
      <c r="E556" s="5" t="s">
        <v>240</v>
      </c>
      <c r="F556" s="5" t="s">
        <v>160</v>
      </c>
      <c r="G556" s="5" t="s">
        <v>161</v>
      </c>
      <c r="H556" s="5" t="s">
        <v>218</v>
      </c>
      <c r="I556" s="5" t="s">
        <v>893</v>
      </c>
      <c r="J556" s="5" t="s">
        <v>457</v>
      </c>
      <c r="K556" s="5" t="s">
        <v>241</v>
      </c>
      <c r="L556" s="6">
        <v>45666</v>
      </c>
      <c r="M556" s="6">
        <v>45667</v>
      </c>
      <c r="N556" s="5" t="s">
        <v>811</v>
      </c>
      <c r="O556" s="5" t="str">
        <f ca="1">IF(P556&lt;&gt;"EXPEDIÇÃO","Expedido",IF(NETWORKDAYS(C556,TODAY())&gt;=5,"Risco Alto",IF(NETWORKDAYS(C556,TODAY())&gt;=3,IF(NETWORKDAYS(C556,TODAY())&lt;5,"Risco Médio",""),IF(NETWORKDAYS(C556,TODAY())&lt;=2,"Risco Baixo",""))))</f>
        <v>Expedido</v>
      </c>
      <c r="P556" s="5" t="s">
        <v>25</v>
      </c>
      <c r="Q556" s="5" t="s">
        <v>897</v>
      </c>
      <c r="S556" s="7">
        <f>IF(ISBLANK(M556),"Aguardando Previsão/Data",NETWORKDAYS(L556,M556)-1)</f>
        <v>1</v>
      </c>
      <c r="T556" s="5" t="s">
        <v>942</v>
      </c>
    </row>
    <row r="557" spans="1:20" x14ac:dyDescent="0.35">
      <c r="A557" s="5">
        <v>8100270817</v>
      </c>
      <c r="B557" s="5">
        <v>10556</v>
      </c>
      <c r="C557" s="6">
        <v>45660</v>
      </c>
      <c r="D557" s="5" t="s">
        <v>239</v>
      </c>
      <c r="E557" s="5" t="s">
        <v>240</v>
      </c>
      <c r="F557" s="5" t="s">
        <v>160</v>
      </c>
      <c r="G557" s="5" t="s">
        <v>161</v>
      </c>
      <c r="H557" s="5" t="s">
        <v>218</v>
      </c>
      <c r="I557" s="5" t="s">
        <v>893</v>
      </c>
      <c r="J557" s="5" t="s">
        <v>457</v>
      </c>
      <c r="K557" s="5" t="s">
        <v>241</v>
      </c>
      <c r="L557" s="6">
        <v>45666</v>
      </c>
      <c r="M557" s="6">
        <v>45667</v>
      </c>
      <c r="N557" s="5" t="s">
        <v>811</v>
      </c>
      <c r="O557" s="5" t="str">
        <f ca="1">IF(P557&lt;&gt;"EXPEDIÇÃO","Expedido",IF(NETWORKDAYS(C557,TODAY())&gt;=5,"Risco Alto",IF(NETWORKDAYS(C557,TODAY())&gt;=3,IF(NETWORKDAYS(C557,TODAY())&lt;5,"Risco Médio",""),IF(NETWORKDAYS(C557,TODAY())&lt;=2,"Risco Baixo",""))))</f>
        <v>Expedido</v>
      </c>
      <c r="P557" s="5" t="s">
        <v>25</v>
      </c>
      <c r="Q557" s="5" t="s">
        <v>897</v>
      </c>
      <c r="S557" s="7">
        <f>IF(ISBLANK(M557),"Aguardando Previsão/Data",NETWORKDAYS(L557,M557)-1)</f>
        <v>1</v>
      </c>
      <c r="T557" s="5" t="s">
        <v>942</v>
      </c>
    </row>
    <row r="558" spans="1:20" x14ac:dyDescent="0.35">
      <c r="A558" s="5">
        <v>8100270818</v>
      </c>
      <c r="B558" s="5">
        <v>10561</v>
      </c>
      <c r="C558" s="6">
        <v>45660</v>
      </c>
      <c r="D558" s="5" t="s">
        <v>239</v>
      </c>
      <c r="E558" s="5" t="s">
        <v>240</v>
      </c>
      <c r="F558" s="5" t="s">
        <v>176</v>
      </c>
      <c r="G558" s="5" t="s">
        <v>177</v>
      </c>
      <c r="H558" s="5" t="s">
        <v>218</v>
      </c>
      <c r="I558" s="5" t="s">
        <v>1164</v>
      </c>
      <c r="J558" s="5" t="s">
        <v>1129</v>
      </c>
      <c r="K558" s="5" t="s">
        <v>241</v>
      </c>
      <c r="L558" s="6">
        <v>45667</v>
      </c>
      <c r="M558" s="6">
        <v>45670</v>
      </c>
      <c r="N558" s="5" t="s">
        <v>811</v>
      </c>
      <c r="O558" s="5" t="str">
        <f ca="1">IF(P558&lt;&gt;"EXPEDIÇÃO","Expedido",IF(NETWORKDAYS(C558,TODAY())&gt;=5,"Risco Alto",IF(NETWORKDAYS(C558,TODAY())&gt;=3,IF(NETWORKDAYS(C558,TODAY())&lt;5,"Risco Médio",""),IF(NETWORKDAYS(C558,TODAY())&lt;=2,"Risco Baixo",""))))</f>
        <v>Expedido</v>
      </c>
      <c r="P558" s="5" t="s">
        <v>25</v>
      </c>
      <c r="Q558" s="5" t="s">
        <v>897</v>
      </c>
      <c r="S558" s="7">
        <f>IF(ISBLANK(M558),"Aguardando Previsão/Data",NETWORKDAYS(L558,M558)-1)</f>
        <v>1</v>
      </c>
      <c r="T558" s="5" t="s">
        <v>942</v>
      </c>
    </row>
    <row r="559" spans="1:20" x14ac:dyDescent="0.35">
      <c r="A559" s="5">
        <v>8100270910</v>
      </c>
      <c r="B559" s="5">
        <v>10563</v>
      </c>
      <c r="C559" s="6">
        <v>45660</v>
      </c>
      <c r="D559" s="5" t="s">
        <v>239</v>
      </c>
      <c r="E559" s="5" t="s">
        <v>240</v>
      </c>
      <c r="F559" s="5" t="s">
        <v>242</v>
      </c>
      <c r="G559" s="5" t="s">
        <v>243</v>
      </c>
      <c r="H559" s="5" t="s">
        <v>218</v>
      </c>
      <c r="I559" s="5" t="s">
        <v>488</v>
      </c>
      <c r="J559" s="5" t="s">
        <v>489</v>
      </c>
      <c r="K559" s="5" t="s">
        <v>241</v>
      </c>
      <c r="L559" s="6">
        <v>45666</v>
      </c>
      <c r="M559" s="6">
        <v>45666</v>
      </c>
      <c r="N559" s="5" t="s">
        <v>811</v>
      </c>
      <c r="O559" s="5" t="str">
        <f ca="1">IF(P559&lt;&gt;"EXPEDIÇÃO","Expedido",IF(NETWORKDAYS(C559,TODAY())&gt;=5,"Risco Alto",IF(NETWORKDAYS(C559,TODAY())&gt;=3,IF(NETWORKDAYS(C559,TODAY())&lt;5,"Risco Médio",""),IF(NETWORKDAYS(C559,TODAY())&lt;=2,"Risco Baixo",""))))</f>
        <v>Expedido</v>
      </c>
      <c r="P559" s="5" t="s">
        <v>25</v>
      </c>
      <c r="Q559" s="5" t="s">
        <v>897</v>
      </c>
      <c r="S559" s="7">
        <f>IF(ISBLANK(M559),"Aguardando Previsão/Data",NETWORKDAYS(L559,M559)-1)</f>
        <v>0</v>
      </c>
      <c r="T559" s="5" t="s">
        <v>942</v>
      </c>
    </row>
    <row r="560" spans="1:20" x14ac:dyDescent="0.35">
      <c r="A560" s="8">
        <v>8100270950</v>
      </c>
      <c r="B560" s="5">
        <v>10564</v>
      </c>
      <c r="C560" s="6">
        <v>45660</v>
      </c>
      <c r="D560" s="5" t="s">
        <v>239</v>
      </c>
      <c r="E560" s="5" t="s">
        <v>240</v>
      </c>
      <c r="F560" s="5" t="s">
        <v>242</v>
      </c>
      <c r="G560" s="5" t="s">
        <v>243</v>
      </c>
      <c r="H560" s="5" t="s">
        <v>218</v>
      </c>
      <c r="I560" s="5" t="s">
        <v>458</v>
      </c>
      <c r="J560" s="5" t="s">
        <v>459</v>
      </c>
      <c r="K560" s="5" t="s">
        <v>241</v>
      </c>
      <c r="L560" s="6">
        <v>45666</v>
      </c>
      <c r="M560" s="6">
        <v>45670</v>
      </c>
      <c r="N560" s="5" t="s">
        <v>812</v>
      </c>
      <c r="O560" s="5" t="str">
        <f ca="1">IF(P560&lt;&gt;"EXPEDIÇÃO","Expedido",IF(NETWORKDAYS(C560,TODAY())&gt;=5,"Risco Alto",IF(NETWORKDAYS(C560,TODAY())&gt;=3,IF(NETWORKDAYS(C560,TODAY())&lt;5,"Risco Médio",""),IF(NETWORKDAYS(C560,TODAY())&lt;=2,"Risco Baixo",""))))</f>
        <v>Expedido</v>
      </c>
      <c r="P560" s="5" t="s">
        <v>25</v>
      </c>
      <c r="Q560" s="5" t="s">
        <v>897</v>
      </c>
      <c r="S560" s="7">
        <f>IF(ISBLANK(M560),"Aguardando Previsão/Data",NETWORKDAYS(L560,M560)-1)</f>
        <v>2</v>
      </c>
      <c r="T560" s="5" t="s">
        <v>942</v>
      </c>
    </row>
    <row r="561" spans="1:20" x14ac:dyDescent="0.35">
      <c r="A561" s="5">
        <v>8100270951</v>
      </c>
      <c r="B561" s="5">
        <v>10566</v>
      </c>
      <c r="C561" s="6">
        <v>45660</v>
      </c>
      <c r="D561" s="5" t="s">
        <v>239</v>
      </c>
      <c r="E561" s="5" t="s">
        <v>240</v>
      </c>
      <c r="F561" s="5" t="s">
        <v>176</v>
      </c>
      <c r="G561" s="5" t="s">
        <v>177</v>
      </c>
      <c r="H561" s="5" t="s">
        <v>218</v>
      </c>
      <c r="I561" s="5" t="s">
        <v>360</v>
      </c>
      <c r="J561" s="5" t="s">
        <v>361</v>
      </c>
      <c r="K561" s="5" t="s">
        <v>241</v>
      </c>
      <c r="L561" s="6">
        <v>45666</v>
      </c>
      <c r="M561" s="6">
        <v>45667</v>
      </c>
      <c r="N561" s="5" t="s">
        <v>811</v>
      </c>
      <c r="O561" s="5" t="str">
        <f ca="1">IF(P561&lt;&gt;"EXPEDIÇÃO","Expedido",IF(NETWORKDAYS(C561,TODAY())&gt;=5,"Risco Alto",IF(NETWORKDAYS(C561,TODAY())&gt;=3,IF(NETWORKDAYS(C561,TODAY())&lt;5,"Risco Médio",""),IF(NETWORKDAYS(C561,TODAY())&lt;=2,"Risco Baixo",""))))</f>
        <v>Expedido</v>
      </c>
      <c r="P561" s="5" t="s">
        <v>25</v>
      </c>
      <c r="Q561" s="5" t="s">
        <v>897</v>
      </c>
      <c r="S561" s="7">
        <f>IF(ISBLANK(M561),"Aguardando Previsão/Data",NETWORKDAYS(L561,M561)-1)</f>
        <v>1</v>
      </c>
      <c r="T561" s="5" t="s">
        <v>942</v>
      </c>
    </row>
    <row r="562" spans="1:20" x14ac:dyDescent="0.35">
      <c r="A562" s="8">
        <v>8100270952</v>
      </c>
      <c r="B562" s="5">
        <v>10565</v>
      </c>
      <c r="C562" s="6">
        <v>45660</v>
      </c>
      <c r="D562" s="5" t="s">
        <v>239</v>
      </c>
      <c r="E562" s="5" t="s">
        <v>240</v>
      </c>
      <c r="F562" s="5" t="s">
        <v>242</v>
      </c>
      <c r="G562" s="5" t="s">
        <v>243</v>
      </c>
      <c r="H562" s="5" t="s">
        <v>218</v>
      </c>
      <c r="I562" s="5" t="s">
        <v>458</v>
      </c>
      <c r="J562" s="5" t="s">
        <v>459</v>
      </c>
      <c r="K562" s="5" t="s">
        <v>241</v>
      </c>
      <c r="L562" s="6">
        <v>45666</v>
      </c>
      <c r="M562" s="6">
        <v>45670</v>
      </c>
      <c r="N562" s="5" t="s">
        <v>812</v>
      </c>
      <c r="O562" s="5" t="str">
        <f ca="1">IF(P562&lt;&gt;"EXPEDIÇÃO","Expedido",IF(NETWORKDAYS(C562,TODAY())&gt;=5,"Risco Alto",IF(NETWORKDAYS(C562,TODAY())&gt;=3,IF(NETWORKDAYS(C562,TODAY())&lt;5,"Risco Médio",""),IF(NETWORKDAYS(C562,TODAY())&lt;=2,"Risco Baixo",""))))</f>
        <v>Expedido</v>
      </c>
      <c r="P562" s="5" t="s">
        <v>25</v>
      </c>
      <c r="Q562" s="5" t="s">
        <v>897</v>
      </c>
      <c r="S562" s="7">
        <f>IF(ISBLANK(M562),"Aguardando Previsão/Data",NETWORKDAYS(L562,M562)-1)</f>
        <v>2</v>
      </c>
      <c r="T562" s="5" t="s">
        <v>942</v>
      </c>
    </row>
    <row r="563" spans="1:20" x14ac:dyDescent="0.35">
      <c r="A563" s="5">
        <v>8100271016</v>
      </c>
      <c r="B563" s="5">
        <v>10567</v>
      </c>
      <c r="C563" s="6">
        <v>45660</v>
      </c>
      <c r="D563" s="5" t="s">
        <v>239</v>
      </c>
      <c r="E563" s="5" t="s">
        <v>240</v>
      </c>
      <c r="F563" s="5" t="s">
        <v>160</v>
      </c>
      <c r="G563" s="5" t="s">
        <v>161</v>
      </c>
      <c r="H563" s="5" t="s">
        <v>218</v>
      </c>
      <c r="I563" s="5" t="s">
        <v>354</v>
      </c>
      <c r="J563" s="5" t="s">
        <v>355</v>
      </c>
      <c r="K563" s="5" t="s">
        <v>241</v>
      </c>
      <c r="L563" s="6">
        <v>45666</v>
      </c>
      <c r="M563" s="6">
        <v>45667</v>
      </c>
      <c r="N563" s="5" t="s">
        <v>811</v>
      </c>
      <c r="O563" s="5" t="str">
        <f ca="1">IF(P563&lt;&gt;"EXPEDIÇÃO","Expedido",IF(NETWORKDAYS(C563,TODAY())&gt;=5,"Risco Alto",IF(NETWORKDAYS(C563,TODAY())&gt;=3,IF(NETWORKDAYS(C563,TODAY())&lt;5,"Risco Médio",""),IF(NETWORKDAYS(C563,TODAY())&lt;=2,"Risco Baixo",""))))</f>
        <v>Expedido</v>
      </c>
      <c r="P563" s="5" t="s">
        <v>25</v>
      </c>
      <c r="Q563" s="5" t="s">
        <v>897</v>
      </c>
      <c r="S563" s="7">
        <f>IF(ISBLANK(M563),"Aguardando Previsão/Data",NETWORKDAYS(L563,M563)-1)</f>
        <v>1</v>
      </c>
      <c r="T563" s="5" t="s">
        <v>942</v>
      </c>
    </row>
    <row r="564" spans="1:20" x14ac:dyDescent="0.35">
      <c r="A564" s="8">
        <v>8100271035</v>
      </c>
      <c r="B564" s="5">
        <v>10569</v>
      </c>
      <c r="C564" s="6">
        <v>45660</v>
      </c>
      <c r="D564" s="5" t="s">
        <v>239</v>
      </c>
      <c r="E564" s="5" t="s">
        <v>240</v>
      </c>
      <c r="F564" s="5" t="s">
        <v>176</v>
      </c>
      <c r="G564" s="5" t="s">
        <v>177</v>
      </c>
      <c r="H564" s="5" t="s">
        <v>218</v>
      </c>
      <c r="I564" s="5" t="s">
        <v>360</v>
      </c>
      <c r="J564" s="5" t="s">
        <v>361</v>
      </c>
      <c r="K564" s="5" t="s">
        <v>241</v>
      </c>
      <c r="L564" s="6">
        <v>45666</v>
      </c>
      <c r="M564" s="6">
        <v>45670</v>
      </c>
      <c r="N564" s="5" t="s">
        <v>812</v>
      </c>
      <c r="O564" s="5" t="str">
        <f ca="1">IF(P564&lt;&gt;"EXPEDIÇÃO","Expedido",IF(NETWORKDAYS(C564,TODAY())&gt;=5,"Risco Alto",IF(NETWORKDAYS(C564,TODAY())&gt;=3,IF(NETWORKDAYS(C564,TODAY())&lt;5,"Risco Médio",""),IF(NETWORKDAYS(C564,TODAY())&lt;=2,"Risco Baixo",""))))</f>
        <v>Expedido</v>
      </c>
      <c r="P564" s="5" t="s">
        <v>25</v>
      </c>
      <c r="Q564" s="5" t="s">
        <v>899</v>
      </c>
      <c r="S564" s="7">
        <f>IF(ISBLANK(M564),"Aguardando Previsão/Data",NETWORKDAYS(L564,M564)-1)</f>
        <v>2</v>
      </c>
      <c r="T564" s="5" t="s">
        <v>942</v>
      </c>
    </row>
    <row r="565" spans="1:20" x14ac:dyDescent="0.35">
      <c r="A565" s="8">
        <v>8100271036</v>
      </c>
      <c r="B565" s="5">
        <v>10570</v>
      </c>
      <c r="C565" s="6">
        <v>45660</v>
      </c>
      <c r="D565" s="5" t="s">
        <v>239</v>
      </c>
      <c r="E565" s="5" t="s">
        <v>240</v>
      </c>
      <c r="F565" s="5" t="s">
        <v>176</v>
      </c>
      <c r="G565" s="5" t="s">
        <v>177</v>
      </c>
      <c r="H565" s="5" t="s">
        <v>218</v>
      </c>
      <c r="I565" s="5" t="s">
        <v>360</v>
      </c>
      <c r="J565" s="5" t="s">
        <v>361</v>
      </c>
      <c r="K565" s="5" t="s">
        <v>241</v>
      </c>
      <c r="L565" s="6">
        <v>45666</v>
      </c>
      <c r="M565" s="6">
        <v>45670</v>
      </c>
      <c r="N565" s="5" t="s">
        <v>812</v>
      </c>
      <c r="O565" s="5" t="str">
        <f ca="1">IF(P565&lt;&gt;"EXPEDIÇÃO","Expedido",IF(NETWORKDAYS(C565,TODAY())&gt;=5,"Risco Alto",IF(NETWORKDAYS(C565,TODAY())&gt;=3,IF(NETWORKDAYS(C565,TODAY())&lt;5,"Risco Médio",""),IF(NETWORKDAYS(C565,TODAY())&lt;=2,"Risco Baixo",""))))</f>
        <v>Expedido</v>
      </c>
      <c r="P565" s="5" t="s">
        <v>25</v>
      </c>
      <c r="Q565" s="5" t="s">
        <v>899</v>
      </c>
      <c r="S565" s="7">
        <f>IF(ISBLANK(M565),"Aguardando Previsão/Data",NETWORKDAYS(L565,M565)-1)</f>
        <v>2</v>
      </c>
      <c r="T565" s="5" t="s">
        <v>942</v>
      </c>
    </row>
    <row r="566" spans="1:20" x14ac:dyDescent="0.35">
      <c r="A566" s="8">
        <v>8100271037</v>
      </c>
      <c r="B566" s="5">
        <v>10571</v>
      </c>
      <c r="C566" s="6">
        <v>45660</v>
      </c>
      <c r="D566" s="5" t="s">
        <v>239</v>
      </c>
      <c r="E566" s="5" t="s">
        <v>240</v>
      </c>
      <c r="F566" s="5" t="s">
        <v>176</v>
      </c>
      <c r="G566" s="5" t="s">
        <v>177</v>
      </c>
      <c r="H566" s="5" t="s">
        <v>218</v>
      </c>
      <c r="I566" s="5" t="s">
        <v>360</v>
      </c>
      <c r="J566" s="5" t="s">
        <v>361</v>
      </c>
      <c r="K566" s="5" t="s">
        <v>241</v>
      </c>
      <c r="L566" s="6">
        <v>45666</v>
      </c>
      <c r="M566" s="6">
        <v>45670</v>
      </c>
      <c r="N566" s="5" t="s">
        <v>812</v>
      </c>
      <c r="O566" s="5" t="str">
        <f ca="1">IF(P566&lt;&gt;"EXPEDIÇÃO","Expedido",IF(NETWORKDAYS(C566,TODAY())&gt;=5,"Risco Alto",IF(NETWORKDAYS(C566,TODAY())&gt;=3,IF(NETWORKDAYS(C566,TODAY())&lt;5,"Risco Médio",""),IF(NETWORKDAYS(C566,TODAY())&lt;=2,"Risco Baixo",""))))</f>
        <v>Expedido</v>
      </c>
      <c r="P566" s="5" t="s">
        <v>25</v>
      </c>
      <c r="Q566" s="5" t="s">
        <v>899</v>
      </c>
      <c r="S566" s="7">
        <f>IF(ISBLANK(M566),"Aguardando Previsão/Data",NETWORKDAYS(L566,M566)-1)</f>
        <v>2</v>
      </c>
      <c r="T566" s="5" t="s">
        <v>942</v>
      </c>
    </row>
    <row r="567" spans="1:20" x14ac:dyDescent="0.35">
      <c r="A567" s="8">
        <v>8100271038</v>
      </c>
      <c r="B567" s="5">
        <v>10572</v>
      </c>
      <c r="C567" s="6">
        <v>45660</v>
      </c>
      <c r="D567" s="5" t="s">
        <v>239</v>
      </c>
      <c r="E567" s="5" t="s">
        <v>240</v>
      </c>
      <c r="F567" s="5" t="s">
        <v>176</v>
      </c>
      <c r="G567" s="5" t="s">
        <v>177</v>
      </c>
      <c r="H567" s="5" t="s">
        <v>218</v>
      </c>
      <c r="I567" s="5" t="s">
        <v>360</v>
      </c>
      <c r="J567" s="5" t="s">
        <v>361</v>
      </c>
      <c r="K567" s="5" t="s">
        <v>241</v>
      </c>
      <c r="L567" s="6">
        <v>45666</v>
      </c>
      <c r="M567" s="6">
        <v>45670</v>
      </c>
      <c r="N567" s="5" t="s">
        <v>812</v>
      </c>
      <c r="O567" s="5" t="str">
        <f ca="1">IF(P567&lt;&gt;"EXPEDIÇÃO","Expedido",IF(NETWORKDAYS(C567,TODAY())&gt;=5,"Risco Alto",IF(NETWORKDAYS(C567,TODAY())&gt;=3,IF(NETWORKDAYS(C567,TODAY())&lt;5,"Risco Médio",""),IF(NETWORKDAYS(C567,TODAY())&lt;=2,"Risco Baixo",""))))</f>
        <v>Expedido</v>
      </c>
      <c r="P567" s="5" t="s">
        <v>25</v>
      </c>
      <c r="Q567" s="5" t="s">
        <v>899</v>
      </c>
      <c r="S567" s="7">
        <f>IF(ISBLANK(M567),"Aguardando Previsão/Data",NETWORKDAYS(L567,M567)-1)</f>
        <v>2</v>
      </c>
      <c r="T567" s="5" t="s">
        <v>942</v>
      </c>
    </row>
    <row r="568" spans="1:20" x14ac:dyDescent="0.35">
      <c r="A568" s="5">
        <v>8100271057</v>
      </c>
      <c r="B568" s="5">
        <v>10574</v>
      </c>
      <c r="C568" s="6">
        <v>45660</v>
      </c>
      <c r="D568" s="5" t="s">
        <v>239</v>
      </c>
      <c r="E568" s="5" t="s">
        <v>240</v>
      </c>
      <c r="F568" s="5" t="s">
        <v>176</v>
      </c>
      <c r="G568" s="5" t="s">
        <v>177</v>
      </c>
      <c r="H568" s="5" t="s">
        <v>218</v>
      </c>
      <c r="I568" s="5" t="s">
        <v>546</v>
      </c>
      <c r="J568" s="5" t="s">
        <v>355</v>
      </c>
      <c r="K568" s="5" t="s">
        <v>241</v>
      </c>
      <c r="L568" s="6">
        <v>45666</v>
      </c>
      <c r="M568" s="6">
        <v>45660</v>
      </c>
      <c r="N568" s="5" t="s">
        <v>811</v>
      </c>
      <c r="O568" s="5" t="str">
        <f ca="1">IF(P568&lt;&gt;"EXPEDIÇÃO","Expedido",IF(NETWORKDAYS(C568,TODAY())&gt;=5,"Risco Alto",IF(NETWORKDAYS(C568,TODAY())&gt;=3,IF(NETWORKDAYS(C568,TODAY())&lt;5,"Risco Médio",""),IF(NETWORKDAYS(C568,TODAY())&lt;=2,"Risco Baixo",""))))</f>
        <v>Expedido</v>
      </c>
      <c r="P568" s="5" t="s">
        <v>25</v>
      </c>
      <c r="S568" s="7">
        <f>IF(ISBLANK(M568),"Aguardando Previsão/Data",NETWORKDAYS(L568,M568)-1)</f>
        <v>-6</v>
      </c>
      <c r="T568" s="5" t="s">
        <v>942</v>
      </c>
    </row>
    <row r="569" spans="1:20" x14ac:dyDescent="0.35">
      <c r="A569" s="5">
        <v>8100271058</v>
      </c>
      <c r="B569" s="5">
        <v>10575</v>
      </c>
      <c r="C569" s="6">
        <v>45660</v>
      </c>
      <c r="D569" s="5" t="s">
        <v>239</v>
      </c>
      <c r="E569" s="5" t="s">
        <v>240</v>
      </c>
      <c r="F569" s="5" t="s">
        <v>242</v>
      </c>
      <c r="G569" s="5" t="s">
        <v>243</v>
      </c>
      <c r="H569" s="5" t="s">
        <v>218</v>
      </c>
      <c r="I569" s="5" t="s">
        <v>546</v>
      </c>
      <c r="J569" s="5" t="s">
        <v>355</v>
      </c>
      <c r="K569" s="5" t="s">
        <v>241</v>
      </c>
      <c r="L569" s="6">
        <v>45666</v>
      </c>
      <c r="M569" s="6">
        <v>45660</v>
      </c>
      <c r="N569" s="5" t="s">
        <v>811</v>
      </c>
      <c r="O569" s="5" t="str">
        <f ca="1">IF(P569&lt;&gt;"EXPEDIÇÃO","Expedido",IF(NETWORKDAYS(C569,TODAY())&gt;=5,"Risco Alto",IF(NETWORKDAYS(C569,TODAY())&gt;=3,IF(NETWORKDAYS(C569,TODAY())&lt;5,"Risco Médio",""),IF(NETWORKDAYS(C569,TODAY())&lt;=2,"Risco Baixo",""))))</f>
        <v>Expedido</v>
      </c>
      <c r="P569" s="5" t="s">
        <v>25</v>
      </c>
      <c r="S569" s="7">
        <f>IF(ISBLANK(M569),"Aguardando Previsão/Data",NETWORKDAYS(L569,M569)-1)</f>
        <v>-6</v>
      </c>
      <c r="T569" s="5" t="s">
        <v>942</v>
      </c>
    </row>
    <row r="570" spans="1:20" x14ac:dyDescent="0.35">
      <c r="A570" s="5">
        <v>8100271060</v>
      </c>
      <c r="B570" s="5">
        <v>10576</v>
      </c>
      <c r="C570" s="6">
        <v>45660</v>
      </c>
      <c r="D570" s="5" t="s">
        <v>239</v>
      </c>
      <c r="E570" s="5" t="s">
        <v>240</v>
      </c>
      <c r="F570" s="5" t="s">
        <v>160</v>
      </c>
      <c r="G570" s="5" t="s">
        <v>161</v>
      </c>
      <c r="H570" s="5" t="s">
        <v>218</v>
      </c>
      <c r="I570" s="5" t="s">
        <v>546</v>
      </c>
      <c r="J570" s="5" t="s">
        <v>355</v>
      </c>
      <c r="K570" s="5" t="s">
        <v>241</v>
      </c>
      <c r="L570" s="6">
        <v>45666</v>
      </c>
      <c r="M570" s="6">
        <v>45660</v>
      </c>
      <c r="N570" s="5" t="s">
        <v>811</v>
      </c>
      <c r="O570" s="5" t="str">
        <f ca="1">IF(P570&lt;&gt;"EXPEDIÇÃO","Expedido",IF(NETWORKDAYS(C570,TODAY())&gt;=5,"Risco Alto",IF(NETWORKDAYS(C570,TODAY())&gt;=3,IF(NETWORKDAYS(C570,TODAY())&lt;5,"Risco Médio",""),IF(NETWORKDAYS(C570,TODAY())&lt;=2,"Risco Baixo",""))))</f>
        <v>Expedido</v>
      </c>
      <c r="P570" s="5" t="s">
        <v>25</v>
      </c>
      <c r="S570" s="7">
        <f>IF(ISBLANK(M570),"Aguardando Previsão/Data",NETWORKDAYS(L570,M570)-1)</f>
        <v>-6</v>
      </c>
      <c r="T570" s="5" t="s">
        <v>942</v>
      </c>
    </row>
    <row r="571" spans="1:20" x14ac:dyDescent="0.35">
      <c r="A571" s="5">
        <v>8100271061</v>
      </c>
      <c r="B571" s="5">
        <v>10577</v>
      </c>
      <c r="C571" s="6">
        <v>45660</v>
      </c>
      <c r="D571" s="5" t="s">
        <v>239</v>
      </c>
      <c r="E571" s="5" t="s">
        <v>240</v>
      </c>
      <c r="F571" s="5" t="s">
        <v>176</v>
      </c>
      <c r="G571" s="5" t="s">
        <v>177</v>
      </c>
      <c r="H571" s="5" t="s">
        <v>218</v>
      </c>
      <c r="I571" s="5" t="s">
        <v>546</v>
      </c>
      <c r="J571" s="5" t="s">
        <v>355</v>
      </c>
      <c r="K571" s="5" t="s">
        <v>241</v>
      </c>
      <c r="L571" s="6">
        <v>45666</v>
      </c>
      <c r="M571" s="6">
        <v>45660</v>
      </c>
      <c r="N571" s="5" t="s">
        <v>811</v>
      </c>
      <c r="O571" s="5" t="str">
        <f ca="1">IF(P571&lt;&gt;"EXPEDIÇÃO","Expedido",IF(NETWORKDAYS(C571,TODAY())&gt;=5,"Risco Alto",IF(NETWORKDAYS(C571,TODAY())&gt;=3,IF(NETWORKDAYS(C571,TODAY())&lt;5,"Risco Médio",""),IF(NETWORKDAYS(C571,TODAY())&lt;=2,"Risco Baixo",""))))</f>
        <v>Expedido</v>
      </c>
      <c r="P571" s="5" t="s">
        <v>25</v>
      </c>
      <c r="S571" s="7">
        <f>IF(ISBLANK(M571),"Aguardando Previsão/Data",NETWORKDAYS(L571,M571)-1)</f>
        <v>-6</v>
      </c>
      <c r="T571" s="5" t="s">
        <v>942</v>
      </c>
    </row>
    <row r="572" spans="1:20" x14ac:dyDescent="0.35">
      <c r="A572" s="5">
        <v>8100271062</v>
      </c>
      <c r="B572" s="5">
        <v>10578</v>
      </c>
      <c r="C572" s="6">
        <v>45660</v>
      </c>
      <c r="D572" s="5" t="s">
        <v>239</v>
      </c>
      <c r="E572" s="5" t="s">
        <v>240</v>
      </c>
      <c r="F572" s="5" t="s">
        <v>242</v>
      </c>
      <c r="G572" s="5" t="s">
        <v>243</v>
      </c>
      <c r="H572" s="5" t="s">
        <v>218</v>
      </c>
      <c r="I572" s="5" t="s">
        <v>546</v>
      </c>
      <c r="J572" s="5" t="s">
        <v>355</v>
      </c>
      <c r="K572" s="5" t="s">
        <v>241</v>
      </c>
      <c r="L572" s="6">
        <v>45666</v>
      </c>
      <c r="M572" s="6">
        <v>45660</v>
      </c>
      <c r="N572" s="5" t="s">
        <v>811</v>
      </c>
      <c r="O572" s="5" t="str">
        <f ca="1">IF(P572&lt;&gt;"EXPEDIÇÃO","Expedido",IF(NETWORKDAYS(C572,TODAY())&gt;=5,"Risco Alto",IF(NETWORKDAYS(C572,TODAY())&gt;=3,IF(NETWORKDAYS(C572,TODAY())&lt;5,"Risco Médio",""),IF(NETWORKDAYS(C572,TODAY())&lt;=2,"Risco Baixo",""))))</f>
        <v>Expedido</v>
      </c>
      <c r="P572" s="5" t="s">
        <v>25</v>
      </c>
      <c r="S572" s="7">
        <f>IF(ISBLANK(M572),"Aguardando Previsão/Data",NETWORKDAYS(L572,M572)-1)</f>
        <v>-6</v>
      </c>
      <c r="T572" s="5" t="s">
        <v>942</v>
      </c>
    </row>
    <row r="573" spans="1:20" x14ac:dyDescent="0.35">
      <c r="A573" s="5">
        <v>8100269848</v>
      </c>
      <c r="B573" s="5">
        <v>18786</v>
      </c>
      <c r="C573" s="6">
        <v>45660</v>
      </c>
      <c r="D573" s="5" t="s">
        <v>106</v>
      </c>
      <c r="E573" s="5" t="s">
        <v>107</v>
      </c>
      <c r="F573" s="5" t="s">
        <v>58</v>
      </c>
      <c r="G573" s="5" t="s">
        <v>59</v>
      </c>
      <c r="H573" s="5" t="s">
        <v>218</v>
      </c>
      <c r="I573" s="5" t="s">
        <v>222</v>
      </c>
      <c r="J573" s="5" t="s">
        <v>220</v>
      </c>
      <c r="K573" s="5" t="s">
        <v>221</v>
      </c>
      <c r="L573" s="6">
        <v>45677</v>
      </c>
      <c r="M573" s="6">
        <v>45678</v>
      </c>
      <c r="N573" s="5" t="s">
        <v>812</v>
      </c>
      <c r="O573" s="5" t="str">
        <f ca="1">IF(P573&lt;&gt;"EXPEDIÇÃO","Expedido",IF(NETWORKDAYS(C573,TODAY())&gt;=5,"Risco Alto",IF(NETWORKDAYS(C573,TODAY())&gt;=3,IF(NETWORKDAYS(C573,TODAY())&lt;5,"Risco Médio",""),IF(NETWORKDAYS(C573,TODAY())&lt;=2,"Risco Baixo",""))))</f>
        <v>Expedido</v>
      </c>
      <c r="P573" s="5" t="s">
        <v>25</v>
      </c>
      <c r="R573" s="5" t="s">
        <v>1418</v>
      </c>
      <c r="S573" s="7">
        <f>IF(ISBLANK(M573),"Aguardando Previsão/Data",NETWORKDAYS(L573,M573)-1)</f>
        <v>1</v>
      </c>
      <c r="T573" s="5" t="s">
        <v>942</v>
      </c>
    </row>
    <row r="574" spans="1:20" x14ac:dyDescent="0.35">
      <c r="A574" s="5">
        <v>8100269849</v>
      </c>
      <c r="B574" s="5">
        <v>18788</v>
      </c>
      <c r="C574" s="6">
        <v>45660</v>
      </c>
      <c r="D574" s="5" t="s">
        <v>106</v>
      </c>
      <c r="E574" s="5" t="s">
        <v>107</v>
      </c>
      <c r="F574" s="5" t="s">
        <v>58</v>
      </c>
      <c r="G574" s="5" t="s">
        <v>59</v>
      </c>
      <c r="H574" s="5" t="s">
        <v>218</v>
      </c>
      <c r="I574" s="5" t="s">
        <v>223</v>
      </c>
      <c r="J574" s="5" t="s">
        <v>224</v>
      </c>
      <c r="K574" s="5" t="s">
        <v>221</v>
      </c>
      <c r="L574" s="6">
        <v>45678</v>
      </c>
      <c r="M574" s="6">
        <v>45678</v>
      </c>
      <c r="N574" s="5" t="s">
        <v>811</v>
      </c>
      <c r="O574" s="5" t="str">
        <f ca="1">IF(P574&lt;&gt;"EXPEDIÇÃO","Expedido",IF(NETWORKDAYS(C574,TODAY())&gt;=5,"Risco Alto",IF(NETWORKDAYS(C574,TODAY())&gt;=3,IF(NETWORKDAYS(C574,TODAY())&lt;5,"Risco Médio",""),IF(NETWORKDAYS(C574,TODAY())&lt;=2,"Risco Baixo",""))))</f>
        <v>Expedido</v>
      </c>
      <c r="P574" s="5" t="s">
        <v>25</v>
      </c>
      <c r="Q574" s="5" t="s">
        <v>899</v>
      </c>
      <c r="R574" s="5" t="s">
        <v>1418</v>
      </c>
      <c r="S574" s="7">
        <f>IF(ISBLANK(M574),"Aguardando Previsão/Data",NETWORKDAYS(L574,M574)-1)</f>
        <v>0</v>
      </c>
      <c r="T574" s="5" t="s">
        <v>942</v>
      </c>
    </row>
    <row r="575" spans="1:20" x14ac:dyDescent="0.35">
      <c r="A575" s="5">
        <v>8100269850</v>
      </c>
      <c r="B575" s="5">
        <v>18789</v>
      </c>
      <c r="C575" s="6">
        <v>45660</v>
      </c>
      <c r="D575" s="5" t="s">
        <v>106</v>
      </c>
      <c r="E575" s="5" t="s">
        <v>107</v>
      </c>
      <c r="F575" s="5" t="s">
        <v>58</v>
      </c>
      <c r="G575" s="5" t="s">
        <v>59</v>
      </c>
      <c r="H575" s="5" t="s">
        <v>218</v>
      </c>
      <c r="I575" s="5" t="s">
        <v>219</v>
      </c>
      <c r="J575" s="5" t="s">
        <v>220</v>
      </c>
      <c r="K575" s="5" t="s">
        <v>221</v>
      </c>
      <c r="L575" s="6">
        <v>45677</v>
      </c>
      <c r="M575" s="6">
        <v>45674</v>
      </c>
      <c r="N575" s="5" t="s">
        <v>811</v>
      </c>
      <c r="O575" s="5" t="str">
        <f ca="1">IF(P575&lt;&gt;"EXPEDIÇÃO","Expedido",IF(NETWORKDAYS(C575,TODAY())&gt;=5,"Risco Alto",IF(NETWORKDAYS(C575,TODAY())&gt;=3,IF(NETWORKDAYS(C575,TODAY())&lt;5,"Risco Médio",""),IF(NETWORKDAYS(C575,TODAY())&lt;=2,"Risco Baixo",""))))</f>
        <v>Expedido</v>
      </c>
      <c r="P575" s="5" t="s">
        <v>25</v>
      </c>
      <c r="R575" s="5" t="s">
        <v>1418</v>
      </c>
      <c r="S575" s="7">
        <f>IF(ISBLANK(M575),"Aguardando Previsão/Data",NETWORKDAYS(L575,M575)-1)</f>
        <v>-3</v>
      </c>
      <c r="T575" s="5" t="s">
        <v>942</v>
      </c>
    </row>
    <row r="576" spans="1:20" x14ac:dyDescent="0.35">
      <c r="A576" s="5">
        <v>8100269950</v>
      </c>
      <c r="B576" s="5">
        <v>18787</v>
      </c>
      <c r="C576" s="6">
        <v>45660</v>
      </c>
      <c r="D576" s="5" t="s">
        <v>106</v>
      </c>
      <c r="E576" s="5" t="s">
        <v>107</v>
      </c>
      <c r="F576" s="5" t="s">
        <v>58</v>
      </c>
      <c r="G576" s="5" t="s">
        <v>59</v>
      </c>
      <c r="H576" s="5" t="s">
        <v>218</v>
      </c>
      <c r="I576" s="5" t="s">
        <v>317</v>
      </c>
      <c r="J576" s="5" t="s">
        <v>1099</v>
      </c>
      <c r="K576" s="5" t="s">
        <v>233</v>
      </c>
      <c r="L576" s="6">
        <v>45679</v>
      </c>
      <c r="M576" s="6">
        <v>45679</v>
      </c>
      <c r="N576" s="5" t="s">
        <v>811</v>
      </c>
      <c r="O576" s="5" t="str">
        <f ca="1">IF(P576&lt;&gt;"EXPEDIÇÃO","Expedido",IF(NETWORKDAYS(C576,TODAY())&gt;=5,"Risco Alto",IF(NETWORKDAYS(C576,TODAY())&gt;=3,IF(NETWORKDAYS(C576,TODAY())&lt;5,"Risco Médio",""),IF(NETWORKDAYS(C576,TODAY())&lt;=2,"Risco Baixo",""))))</f>
        <v>Expedido</v>
      </c>
      <c r="P576" s="5" t="s">
        <v>25</v>
      </c>
      <c r="S576" s="7">
        <f>IF(ISBLANK(M576),"Aguardando Previsão/Data",NETWORKDAYS(L576,M576)-1)</f>
        <v>0</v>
      </c>
      <c r="T576" s="5" t="s">
        <v>942</v>
      </c>
    </row>
    <row r="577" spans="1:20" x14ac:dyDescent="0.35">
      <c r="A577" s="5">
        <v>8100270077</v>
      </c>
      <c r="B577" s="5">
        <v>18808</v>
      </c>
      <c r="C577" s="6">
        <v>45660</v>
      </c>
      <c r="D577" s="5" t="s">
        <v>106</v>
      </c>
      <c r="E577" s="5" t="s">
        <v>107</v>
      </c>
      <c r="F577" s="5" t="s">
        <v>58</v>
      </c>
      <c r="G577" s="5" t="s">
        <v>59</v>
      </c>
      <c r="H577" s="5" t="s">
        <v>218</v>
      </c>
      <c r="I577" s="5" t="s">
        <v>219</v>
      </c>
      <c r="J577" s="5" t="s">
        <v>220</v>
      </c>
      <c r="K577" s="5" t="s">
        <v>221</v>
      </c>
      <c r="L577" s="6">
        <v>45677</v>
      </c>
      <c r="M577" s="6">
        <v>45674</v>
      </c>
      <c r="N577" s="5" t="s">
        <v>811</v>
      </c>
      <c r="O577" s="5" t="str">
        <f ca="1">IF(P577&lt;&gt;"EXPEDIÇÃO","Expedido",IF(NETWORKDAYS(C577,TODAY())&gt;=5,"Risco Alto",IF(NETWORKDAYS(C577,TODAY())&gt;=3,IF(NETWORKDAYS(C577,TODAY())&lt;5,"Risco Médio",""),IF(NETWORKDAYS(C577,TODAY())&lt;=2,"Risco Baixo",""))))</f>
        <v>Expedido</v>
      </c>
      <c r="P577" s="5" t="s">
        <v>25</v>
      </c>
      <c r="R577" s="5" t="s">
        <v>1418</v>
      </c>
      <c r="S577" s="7">
        <f>IF(ISBLANK(M577),"Aguardando Previsão/Data",NETWORKDAYS(L577,M577)-1)</f>
        <v>-3</v>
      </c>
      <c r="T577" s="5" t="s">
        <v>942</v>
      </c>
    </row>
    <row r="578" spans="1:20" x14ac:dyDescent="0.35">
      <c r="A578" s="5">
        <v>8100270834</v>
      </c>
      <c r="B578" s="5">
        <v>18816</v>
      </c>
      <c r="C578" s="6">
        <v>45660</v>
      </c>
      <c r="D578" s="5" t="s">
        <v>106</v>
      </c>
      <c r="E578" s="5" t="s">
        <v>107</v>
      </c>
      <c r="F578" s="5" t="s">
        <v>69</v>
      </c>
      <c r="G578" s="5" t="s">
        <v>70</v>
      </c>
      <c r="H578" s="5" t="s">
        <v>218</v>
      </c>
      <c r="I578" s="5" t="s">
        <v>333</v>
      </c>
      <c r="J578" s="5" t="s">
        <v>234</v>
      </c>
      <c r="K578" s="5" t="s">
        <v>221</v>
      </c>
      <c r="L578" s="6">
        <v>45679</v>
      </c>
      <c r="M578" s="6">
        <v>45679</v>
      </c>
      <c r="N578" s="5" t="s">
        <v>811</v>
      </c>
      <c r="O578" s="5" t="str">
        <f ca="1">IF(P578&lt;&gt;"EXPEDIÇÃO","Expedido",IF(NETWORKDAYS(C578,TODAY())&gt;=5,"Risco Alto",IF(NETWORKDAYS(C578,TODAY())&gt;=3,IF(NETWORKDAYS(C578,TODAY())&lt;5,"Risco Médio",""),IF(NETWORKDAYS(C578,TODAY())&lt;=2,"Risco Baixo",""))))</f>
        <v>Expedido</v>
      </c>
      <c r="P578" s="5" t="s">
        <v>25</v>
      </c>
      <c r="Q578" s="5" t="s">
        <v>899</v>
      </c>
      <c r="R578" s="5" t="s">
        <v>1418</v>
      </c>
      <c r="S578" s="7">
        <f>IF(ISBLANK(M578),"Aguardando Previsão/Data",NETWORKDAYS(L578,M578)-1)</f>
        <v>0</v>
      </c>
      <c r="T578" s="5" t="s">
        <v>942</v>
      </c>
    </row>
    <row r="579" spans="1:20" x14ac:dyDescent="0.35">
      <c r="A579" s="5">
        <v>8100270835</v>
      </c>
      <c r="B579" s="5">
        <v>18817</v>
      </c>
      <c r="C579" s="6">
        <v>45660</v>
      </c>
      <c r="D579" s="5" t="s">
        <v>106</v>
      </c>
      <c r="E579" s="5" t="s">
        <v>107</v>
      </c>
      <c r="F579" s="5" t="s">
        <v>69</v>
      </c>
      <c r="G579" s="5" t="s">
        <v>70</v>
      </c>
      <c r="H579" s="5" t="s">
        <v>218</v>
      </c>
      <c r="I579" s="5" t="s">
        <v>333</v>
      </c>
      <c r="J579" s="5" t="s">
        <v>234</v>
      </c>
      <c r="K579" s="5" t="s">
        <v>221</v>
      </c>
      <c r="L579" s="6">
        <v>45679</v>
      </c>
      <c r="M579" s="6">
        <v>45679</v>
      </c>
      <c r="N579" s="5" t="s">
        <v>811</v>
      </c>
      <c r="O579" s="5" t="str">
        <f ca="1">IF(P579&lt;&gt;"EXPEDIÇÃO","Expedido",IF(NETWORKDAYS(C579,TODAY())&gt;=5,"Risco Alto",IF(NETWORKDAYS(C579,TODAY())&gt;=3,IF(NETWORKDAYS(C579,TODAY())&lt;5,"Risco Médio",""),IF(NETWORKDAYS(C579,TODAY())&lt;=2,"Risco Baixo",""))))</f>
        <v>Expedido</v>
      </c>
      <c r="P579" s="5" t="s">
        <v>25</v>
      </c>
      <c r="Q579" s="5" t="s">
        <v>899</v>
      </c>
      <c r="R579" s="5" t="s">
        <v>1418</v>
      </c>
      <c r="S579" s="7">
        <f>IF(ISBLANK(M579),"Aguardando Previsão/Data",NETWORKDAYS(L579,M579)-1)</f>
        <v>0</v>
      </c>
      <c r="T579" s="5" t="s">
        <v>942</v>
      </c>
    </row>
    <row r="580" spans="1:20" x14ac:dyDescent="0.35">
      <c r="A580" s="5">
        <v>8100270836</v>
      </c>
      <c r="B580" s="5">
        <v>18818</v>
      </c>
      <c r="C580" s="6">
        <v>45660</v>
      </c>
      <c r="D580" s="5" t="s">
        <v>106</v>
      </c>
      <c r="E580" s="5" t="s">
        <v>107</v>
      </c>
      <c r="F580" s="5" t="s">
        <v>69</v>
      </c>
      <c r="G580" s="5" t="s">
        <v>70</v>
      </c>
      <c r="H580" s="5" t="s">
        <v>218</v>
      </c>
      <c r="I580" s="5" t="s">
        <v>230</v>
      </c>
      <c r="J580" s="5" t="s">
        <v>231</v>
      </c>
      <c r="K580" s="5" t="s">
        <v>232</v>
      </c>
      <c r="L580" s="6">
        <v>45678</v>
      </c>
      <c r="M580" s="6">
        <v>45677</v>
      </c>
      <c r="N580" s="5" t="s">
        <v>811</v>
      </c>
      <c r="O580" s="5" t="str">
        <f ca="1">IF(P580&lt;&gt;"EXPEDIÇÃO","Expedido",IF(NETWORKDAYS(C580,TODAY())&gt;=5,"Risco Alto",IF(NETWORKDAYS(C580,TODAY())&gt;=3,IF(NETWORKDAYS(C580,TODAY())&lt;5,"Risco Médio",""),IF(NETWORKDAYS(C580,TODAY())&lt;=2,"Risco Baixo",""))))</f>
        <v>Expedido</v>
      </c>
      <c r="P580" s="5" t="s">
        <v>25</v>
      </c>
      <c r="R580" s="5" t="s">
        <v>1418</v>
      </c>
      <c r="S580" s="7">
        <f>IF(ISBLANK(M580),"Aguardando Previsão/Data",NETWORKDAYS(L580,M580)-1)</f>
        <v>-3</v>
      </c>
      <c r="T580" s="5" t="s">
        <v>942</v>
      </c>
    </row>
    <row r="581" spans="1:20" x14ac:dyDescent="0.35">
      <c r="A581" s="5">
        <v>8100270941</v>
      </c>
      <c r="B581" s="5">
        <v>18823</v>
      </c>
      <c r="C581" s="6">
        <v>45660</v>
      </c>
      <c r="D581" s="5" t="s">
        <v>106</v>
      </c>
      <c r="E581" s="5" t="s">
        <v>107</v>
      </c>
      <c r="F581" s="5" t="s">
        <v>58</v>
      </c>
      <c r="G581" s="5" t="s">
        <v>59</v>
      </c>
      <c r="H581" s="5" t="s">
        <v>218</v>
      </c>
      <c r="I581" s="5" t="s">
        <v>237</v>
      </c>
      <c r="J581" s="5" t="s">
        <v>220</v>
      </c>
      <c r="K581" s="5" t="s">
        <v>221</v>
      </c>
      <c r="L581" s="6">
        <v>45677</v>
      </c>
      <c r="M581" s="6">
        <v>45674</v>
      </c>
      <c r="N581" s="5" t="s">
        <v>811</v>
      </c>
      <c r="O581" s="5" t="str">
        <f ca="1">IF(P581&lt;&gt;"EXPEDIÇÃO","Expedido",IF(NETWORKDAYS(C581,TODAY())&gt;=5,"Risco Alto",IF(NETWORKDAYS(C581,TODAY())&gt;=3,IF(NETWORKDAYS(C581,TODAY())&lt;5,"Risco Médio",""),IF(NETWORKDAYS(C581,TODAY())&lt;=2,"Risco Baixo",""))))</f>
        <v>Expedido</v>
      </c>
      <c r="P581" s="5" t="s">
        <v>25</v>
      </c>
      <c r="R581" s="5" t="s">
        <v>1418</v>
      </c>
      <c r="S581" s="7">
        <f>IF(ISBLANK(M581),"Aguardando Previsão/Data",NETWORKDAYS(L581,M581)-1)</f>
        <v>-3</v>
      </c>
      <c r="T581" s="5" t="s">
        <v>942</v>
      </c>
    </row>
    <row r="582" spans="1:20" x14ac:dyDescent="0.35">
      <c r="A582" s="5">
        <v>8100269498</v>
      </c>
      <c r="B582" s="5">
        <v>18805</v>
      </c>
      <c r="C582" s="6">
        <v>45660</v>
      </c>
      <c r="D582" s="5" t="s">
        <v>106</v>
      </c>
      <c r="E582" s="5" t="s">
        <v>107</v>
      </c>
      <c r="F582" s="5" t="s">
        <v>111</v>
      </c>
      <c r="G582" s="5" t="s">
        <v>112</v>
      </c>
      <c r="H582" s="5" t="s">
        <v>108</v>
      </c>
      <c r="I582" s="5" t="s">
        <v>444</v>
      </c>
      <c r="J582" s="5" t="s">
        <v>289</v>
      </c>
      <c r="K582" s="5" t="s">
        <v>110</v>
      </c>
      <c r="L582" s="6">
        <v>45667</v>
      </c>
      <c r="M582" s="6">
        <v>45663</v>
      </c>
      <c r="N582" s="5" t="s">
        <v>811</v>
      </c>
      <c r="O582" s="5" t="str">
        <f ca="1">IF(P582&lt;&gt;"EXPEDIÇÃO","Expedido",IF(NETWORKDAYS(C582,TODAY())&gt;=5,"Risco Alto",IF(NETWORKDAYS(C582,TODAY())&gt;=3,IF(NETWORKDAYS(C582,TODAY())&lt;5,"Risco Médio",""),IF(NETWORKDAYS(C582,TODAY())&lt;=2,"Risco Baixo",""))))</f>
        <v>Expedido</v>
      </c>
      <c r="P582" s="5" t="s">
        <v>25</v>
      </c>
      <c r="S582" s="7">
        <f>IF(ISBLANK(M582),"Aguardando Previsão/Data",NETWORKDAYS(L582,M582)-1)</f>
        <v>-6</v>
      </c>
      <c r="T582" s="5" t="s">
        <v>942</v>
      </c>
    </row>
    <row r="583" spans="1:20" x14ac:dyDescent="0.35">
      <c r="A583" s="5">
        <v>8100269499</v>
      </c>
      <c r="B583" s="5">
        <v>18804</v>
      </c>
      <c r="C583" s="6">
        <v>45660</v>
      </c>
      <c r="D583" s="5" t="s">
        <v>106</v>
      </c>
      <c r="E583" s="5" t="s">
        <v>107</v>
      </c>
      <c r="F583" s="5" t="s">
        <v>111</v>
      </c>
      <c r="G583" s="5" t="s">
        <v>112</v>
      </c>
      <c r="H583" s="5" t="s">
        <v>108</v>
      </c>
      <c r="I583" s="5" t="s">
        <v>445</v>
      </c>
      <c r="J583" s="5" t="s">
        <v>446</v>
      </c>
      <c r="K583" s="5" t="s">
        <v>110</v>
      </c>
      <c r="L583" s="6">
        <v>45670</v>
      </c>
      <c r="M583" s="6">
        <v>45664</v>
      </c>
      <c r="N583" s="5" t="s">
        <v>811</v>
      </c>
      <c r="O583" s="5" t="str">
        <f ca="1">IF(P583&lt;&gt;"EXPEDIÇÃO","Expedido",IF(NETWORKDAYS(C583,TODAY())&gt;=5,"Risco Alto",IF(NETWORKDAYS(C583,TODAY())&gt;=3,IF(NETWORKDAYS(C583,TODAY())&lt;5,"Risco Médio",""),IF(NETWORKDAYS(C583,TODAY())&lt;=2,"Risco Baixo",""))))</f>
        <v>Expedido</v>
      </c>
      <c r="P583" s="5" t="s">
        <v>25</v>
      </c>
      <c r="R583" s="5" t="s">
        <v>1177</v>
      </c>
      <c r="S583" s="7">
        <f>IF(ISBLANK(M583),"Aguardando Previsão/Data",NETWORKDAYS(L583,M583)-1)</f>
        <v>-6</v>
      </c>
      <c r="T583" s="5" t="s">
        <v>942</v>
      </c>
    </row>
    <row r="584" spans="1:20" x14ac:dyDescent="0.35">
      <c r="A584" s="5">
        <v>8100269851</v>
      </c>
      <c r="B584" s="5">
        <v>18790</v>
      </c>
      <c r="C584" s="6">
        <v>45660</v>
      </c>
      <c r="D584" s="5" t="s">
        <v>106</v>
      </c>
      <c r="E584" s="5" t="s">
        <v>107</v>
      </c>
      <c r="F584" s="5" t="s">
        <v>66</v>
      </c>
      <c r="G584" s="5" t="s">
        <v>67</v>
      </c>
      <c r="H584" s="5" t="s">
        <v>108</v>
      </c>
      <c r="I584" s="5" t="s">
        <v>82</v>
      </c>
      <c r="J584" s="5" t="s">
        <v>151</v>
      </c>
      <c r="K584" s="5" t="s">
        <v>110</v>
      </c>
      <c r="L584" s="6">
        <v>45670</v>
      </c>
      <c r="M584" s="6">
        <v>45665</v>
      </c>
      <c r="N584" s="5" t="s">
        <v>811</v>
      </c>
      <c r="O584" s="5" t="str">
        <f ca="1">IF(P584&lt;&gt;"EXPEDIÇÃO","Expedido",IF(NETWORKDAYS(C584,TODAY())&gt;=5,"Risco Alto",IF(NETWORKDAYS(C584,TODAY())&gt;=3,IF(NETWORKDAYS(C584,TODAY())&lt;5,"Risco Médio",""),IF(NETWORKDAYS(C584,TODAY())&lt;=2,"Risco Baixo",""))))</f>
        <v>Expedido</v>
      </c>
      <c r="P584" s="5" t="s">
        <v>25</v>
      </c>
      <c r="S584" s="7">
        <f>IF(ISBLANK(M584),"Aguardando Previsão/Data",NETWORKDAYS(L584,M584)-1)</f>
        <v>-5</v>
      </c>
      <c r="T584" s="5" t="s">
        <v>942</v>
      </c>
    </row>
    <row r="585" spans="1:20" x14ac:dyDescent="0.35">
      <c r="A585" s="5">
        <v>8100270075</v>
      </c>
      <c r="B585" s="5">
        <v>18827</v>
      </c>
      <c r="C585" s="6">
        <v>45660</v>
      </c>
      <c r="D585" s="5" t="s">
        <v>106</v>
      </c>
      <c r="E585" s="5" t="s">
        <v>107</v>
      </c>
      <c r="F585" s="5" t="s">
        <v>19</v>
      </c>
      <c r="G585" s="5" t="s">
        <v>20</v>
      </c>
      <c r="H585" s="5" t="s">
        <v>108</v>
      </c>
      <c r="I585" s="5" t="s">
        <v>885</v>
      </c>
      <c r="J585" s="5" t="s">
        <v>287</v>
      </c>
      <c r="K585" s="5" t="s">
        <v>110</v>
      </c>
      <c r="L585" s="6">
        <v>45667</v>
      </c>
      <c r="M585" s="6">
        <v>45663</v>
      </c>
      <c r="N585" s="5" t="s">
        <v>811</v>
      </c>
      <c r="O585" s="5" t="str">
        <f ca="1">IF(P585&lt;&gt;"EXPEDIÇÃO","Expedido",IF(NETWORKDAYS(C585,TODAY())&gt;=5,"Risco Alto",IF(NETWORKDAYS(C585,TODAY())&gt;=3,IF(NETWORKDAYS(C585,TODAY())&lt;5,"Risco Médio",""),IF(NETWORKDAYS(C585,TODAY())&lt;=2,"Risco Baixo",""))))</f>
        <v>Expedido</v>
      </c>
      <c r="P585" s="5" t="s">
        <v>25</v>
      </c>
      <c r="S585" s="7">
        <f>IF(ISBLANK(M585),"Aguardando Previsão/Data",NETWORKDAYS(L585,M585)-1)</f>
        <v>-6</v>
      </c>
      <c r="T585" s="5" t="s">
        <v>942</v>
      </c>
    </row>
    <row r="586" spans="1:20" x14ac:dyDescent="0.35">
      <c r="A586" s="5">
        <v>8100270078</v>
      </c>
      <c r="B586" s="5">
        <v>18806</v>
      </c>
      <c r="C586" s="6">
        <v>45660</v>
      </c>
      <c r="D586" s="5" t="s">
        <v>106</v>
      </c>
      <c r="E586" s="5" t="s">
        <v>107</v>
      </c>
      <c r="F586" s="5" t="s">
        <v>147</v>
      </c>
      <c r="G586" s="5" t="s">
        <v>148</v>
      </c>
      <c r="H586" s="5" t="s">
        <v>108</v>
      </c>
      <c r="I586" s="5" t="s">
        <v>128</v>
      </c>
      <c r="J586" s="5" t="s">
        <v>449</v>
      </c>
      <c r="K586" s="5" t="s">
        <v>110</v>
      </c>
      <c r="L586" s="6">
        <v>45670</v>
      </c>
      <c r="M586" s="6">
        <v>45664</v>
      </c>
      <c r="N586" s="5" t="s">
        <v>811</v>
      </c>
      <c r="O586" s="5" t="str">
        <f ca="1">IF(P586&lt;&gt;"EXPEDIÇÃO","Expedido",IF(NETWORKDAYS(C586,TODAY())&gt;=5,"Risco Alto",IF(NETWORKDAYS(C586,TODAY())&gt;=3,IF(NETWORKDAYS(C586,TODAY())&lt;5,"Risco Médio",""),IF(NETWORKDAYS(C586,TODAY())&lt;=2,"Risco Baixo",""))))</f>
        <v>Expedido</v>
      </c>
      <c r="P586" s="5" t="s">
        <v>25</v>
      </c>
      <c r="S586" s="7">
        <f>IF(ISBLANK(M586),"Aguardando Previsão/Data",NETWORKDAYS(L586,M586)-1)</f>
        <v>-6</v>
      </c>
      <c r="T586" s="5" t="s">
        <v>942</v>
      </c>
    </row>
    <row r="587" spans="1:20" x14ac:dyDescent="0.35">
      <c r="A587" s="5">
        <v>8100270079</v>
      </c>
      <c r="B587" s="5">
        <v>18809</v>
      </c>
      <c r="C587" s="6">
        <v>45660</v>
      </c>
      <c r="D587" s="5" t="s">
        <v>106</v>
      </c>
      <c r="E587" s="5" t="s">
        <v>107</v>
      </c>
      <c r="F587" s="5" t="s">
        <v>69</v>
      </c>
      <c r="G587" s="5" t="s">
        <v>70</v>
      </c>
      <c r="H587" s="5" t="s">
        <v>108</v>
      </c>
      <c r="I587" s="5" t="s">
        <v>118</v>
      </c>
      <c r="J587" s="5" t="s">
        <v>114</v>
      </c>
      <c r="K587" s="5" t="s">
        <v>110</v>
      </c>
      <c r="L587" s="6">
        <v>45670</v>
      </c>
      <c r="M587" s="6">
        <v>45670</v>
      </c>
      <c r="N587" s="5" t="s">
        <v>811</v>
      </c>
      <c r="O587" s="5" t="str">
        <f ca="1">IF(P587&lt;&gt;"EXPEDIÇÃO","Expedido",IF(NETWORKDAYS(C587,TODAY())&gt;=5,"Risco Alto",IF(NETWORKDAYS(C587,TODAY())&gt;=3,IF(NETWORKDAYS(C587,TODAY())&lt;5,"Risco Médio",""),IF(NETWORKDAYS(C587,TODAY())&lt;=2,"Risco Baixo",""))))</f>
        <v>Expedido</v>
      </c>
      <c r="P587" s="5" t="s">
        <v>25</v>
      </c>
      <c r="Q587" s="5" t="s">
        <v>897</v>
      </c>
      <c r="R587" s="5" t="s">
        <v>1182</v>
      </c>
      <c r="S587" s="7">
        <f>IF(ISBLANK(M587),"Aguardando Previsão/Data",NETWORKDAYS(L587,M587)-1)</f>
        <v>0</v>
      </c>
      <c r="T587" s="5" t="s">
        <v>942</v>
      </c>
    </row>
    <row r="588" spans="1:20" x14ac:dyDescent="0.35">
      <c r="A588" s="5">
        <v>8100270087</v>
      </c>
      <c r="B588" s="5">
        <v>18810</v>
      </c>
      <c r="C588" s="6">
        <v>45660</v>
      </c>
      <c r="D588" s="5" t="s">
        <v>106</v>
      </c>
      <c r="E588" s="5" t="s">
        <v>107</v>
      </c>
      <c r="F588" s="5" t="s">
        <v>69</v>
      </c>
      <c r="G588" s="5" t="s">
        <v>70</v>
      </c>
      <c r="H588" s="5" t="s">
        <v>108</v>
      </c>
      <c r="I588" s="5" t="s">
        <v>118</v>
      </c>
      <c r="J588" s="5" t="s">
        <v>114</v>
      </c>
      <c r="K588" s="5" t="s">
        <v>110</v>
      </c>
      <c r="L588" s="6">
        <v>45670</v>
      </c>
      <c r="M588" s="6">
        <v>45670</v>
      </c>
      <c r="N588" s="5" t="s">
        <v>811</v>
      </c>
      <c r="O588" s="5" t="str">
        <f ca="1">IF(P588&lt;&gt;"EXPEDIÇÃO","Expedido",IF(NETWORKDAYS(C588,TODAY())&gt;=5,"Risco Alto",IF(NETWORKDAYS(C588,TODAY())&gt;=3,IF(NETWORKDAYS(C588,TODAY())&lt;5,"Risco Médio",""),IF(NETWORKDAYS(C588,TODAY())&lt;=2,"Risco Baixo",""))))</f>
        <v>Expedido</v>
      </c>
      <c r="P588" s="5" t="s">
        <v>25</v>
      </c>
      <c r="Q588" s="5" t="s">
        <v>897</v>
      </c>
      <c r="R588" s="5" t="s">
        <v>1182</v>
      </c>
      <c r="S588" s="7">
        <f>IF(ISBLANK(M588),"Aguardando Previsão/Data",NETWORKDAYS(L588,M588)-1)</f>
        <v>0</v>
      </c>
      <c r="T588" s="5" t="s">
        <v>942</v>
      </c>
    </row>
    <row r="589" spans="1:20" x14ac:dyDescent="0.35">
      <c r="A589" s="5">
        <v>8100270111</v>
      </c>
      <c r="B589" s="5">
        <v>18811</v>
      </c>
      <c r="C589" s="6">
        <v>45660</v>
      </c>
      <c r="D589" s="5" t="s">
        <v>106</v>
      </c>
      <c r="E589" s="5" t="s">
        <v>107</v>
      </c>
      <c r="F589" s="5" t="s">
        <v>69</v>
      </c>
      <c r="G589" s="5" t="s">
        <v>70</v>
      </c>
      <c r="H589" s="5" t="s">
        <v>108</v>
      </c>
      <c r="I589" s="5" t="s">
        <v>118</v>
      </c>
      <c r="J589" s="5" t="s">
        <v>114</v>
      </c>
      <c r="K589" s="5" t="s">
        <v>110</v>
      </c>
      <c r="L589" s="6">
        <v>45670</v>
      </c>
      <c r="M589" s="6">
        <v>45672</v>
      </c>
      <c r="N589" s="5" t="s">
        <v>811</v>
      </c>
      <c r="O589" s="5" t="str">
        <f ca="1">IF(P589&lt;&gt;"EXPEDIÇÃO","Expedido",IF(NETWORKDAYS(C589,TODAY())&gt;=5,"Risco Alto",IF(NETWORKDAYS(C589,TODAY())&gt;=3,IF(NETWORKDAYS(C589,TODAY())&lt;5,"Risco Médio",""),IF(NETWORKDAYS(C589,TODAY())&lt;=2,"Risco Baixo",""))))</f>
        <v>Expedido</v>
      </c>
      <c r="P589" s="5" t="s">
        <v>25</v>
      </c>
      <c r="Q589" s="5" t="s">
        <v>897</v>
      </c>
      <c r="R589" s="5">
        <v>3080312</v>
      </c>
      <c r="S589" s="7">
        <f>IF(ISBLANK(M589),"Aguardando Previsão/Data",NETWORKDAYS(L589,M589)-1)</f>
        <v>2</v>
      </c>
      <c r="T589" s="5" t="s">
        <v>942</v>
      </c>
    </row>
    <row r="590" spans="1:20" x14ac:dyDescent="0.35">
      <c r="A590" s="5">
        <v>8100270112</v>
      </c>
      <c r="B590" s="5">
        <v>18814</v>
      </c>
      <c r="C590" s="6">
        <v>45660</v>
      </c>
      <c r="D590" s="5" t="s">
        <v>106</v>
      </c>
      <c r="E590" s="5" t="s">
        <v>107</v>
      </c>
      <c r="F590" s="5" t="s">
        <v>147</v>
      </c>
      <c r="G590" s="5" t="s">
        <v>148</v>
      </c>
      <c r="H590" s="5" t="s">
        <v>108</v>
      </c>
      <c r="I590" s="5" t="s">
        <v>128</v>
      </c>
      <c r="J590" s="5" t="s">
        <v>297</v>
      </c>
      <c r="K590" s="5" t="s">
        <v>110</v>
      </c>
      <c r="L590" s="6">
        <v>45666</v>
      </c>
      <c r="M590" s="6">
        <v>45665</v>
      </c>
      <c r="N590" s="5" t="s">
        <v>811</v>
      </c>
      <c r="O590" s="5" t="str">
        <f ca="1">IF(P590&lt;&gt;"EXPEDIÇÃO","Expedido",IF(NETWORKDAYS(C590,TODAY())&gt;=5,"Risco Alto",IF(NETWORKDAYS(C590,TODAY())&gt;=3,IF(NETWORKDAYS(C590,TODAY())&lt;5,"Risco Médio",""),IF(NETWORKDAYS(C590,TODAY())&lt;=2,"Risco Baixo",""))))</f>
        <v>Expedido</v>
      </c>
      <c r="P590" s="5" t="s">
        <v>25</v>
      </c>
      <c r="S590" s="7">
        <f>IF(ISBLANK(M590),"Aguardando Previsão/Data",NETWORKDAYS(L590,M590)-1)</f>
        <v>-3</v>
      </c>
      <c r="T590" s="5" t="s">
        <v>942</v>
      </c>
    </row>
    <row r="591" spans="1:20" x14ac:dyDescent="0.35">
      <c r="A591" s="5">
        <v>8100270113</v>
      </c>
      <c r="B591" s="5">
        <v>18807</v>
      </c>
      <c r="C591" s="6">
        <v>45660</v>
      </c>
      <c r="D591" s="5" t="s">
        <v>106</v>
      </c>
      <c r="E591" s="5" t="s">
        <v>107</v>
      </c>
      <c r="F591" s="5" t="s">
        <v>147</v>
      </c>
      <c r="G591" s="5" t="s">
        <v>148</v>
      </c>
      <c r="H591" s="5" t="s">
        <v>108</v>
      </c>
      <c r="I591" s="5" t="s">
        <v>128</v>
      </c>
      <c r="J591" s="5" t="s">
        <v>283</v>
      </c>
      <c r="K591" s="5" t="s">
        <v>110</v>
      </c>
      <c r="L591" s="6">
        <v>45667</v>
      </c>
      <c r="M591" s="6">
        <v>45663</v>
      </c>
      <c r="N591" s="5" t="s">
        <v>811</v>
      </c>
      <c r="O591" s="5" t="str">
        <f ca="1">IF(P591&lt;&gt;"EXPEDIÇÃO","Expedido",IF(NETWORKDAYS(C591,TODAY())&gt;=5,"Risco Alto",IF(NETWORKDAYS(C591,TODAY())&gt;=3,IF(NETWORKDAYS(C591,TODAY())&lt;5,"Risco Médio",""),IF(NETWORKDAYS(C591,TODAY())&lt;=2,"Risco Baixo",""))))</f>
        <v>Expedido</v>
      </c>
      <c r="P591" s="5" t="s">
        <v>25</v>
      </c>
      <c r="S591" s="7">
        <f>IF(ISBLANK(M591),"Aguardando Previsão/Data",NETWORKDAYS(L591,M591)-1)</f>
        <v>-6</v>
      </c>
      <c r="T591" s="5" t="s">
        <v>942</v>
      </c>
    </row>
    <row r="592" spans="1:20" x14ac:dyDescent="0.35">
      <c r="A592" s="5">
        <v>8100270121</v>
      </c>
      <c r="B592" s="5">
        <v>18812</v>
      </c>
      <c r="C592" s="6">
        <v>45660</v>
      </c>
      <c r="D592" s="5" t="s">
        <v>106</v>
      </c>
      <c r="E592" s="5" t="s">
        <v>107</v>
      </c>
      <c r="F592" s="5" t="s">
        <v>69</v>
      </c>
      <c r="G592" s="5" t="s">
        <v>70</v>
      </c>
      <c r="H592" s="5" t="s">
        <v>108</v>
      </c>
      <c r="I592" s="5" t="s">
        <v>118</v>
      </c>
      <c r="J592" s="5" t="s">
        <v>114</v>
      </c>
      <c r="K592" s="5" t="s">
        <v>110</v>
      </c>
      <c r="L592" s="6">
        <v>45670</v>
      </c>
      <c r="M592" s="6">
        <v>45671</v>
      </c>
      <c r="N592" s="5" t="s">
        <v>811</v>
      </c>
      <c r="O592" s="5" t="str">
        <f ca="1">IF(P592&lt;&gt;"EXPEDIÇÃO","Expedido",IF(NETWORKDAYS(C592,TODAY())&gt;=5,"Risco Alto",IF(NETWORKDAYS(C592,TODAY())&gt;=3,IF(NETWORKDAYS(C592,TODAY())&lt;5,"Risco Médio",""),IF(NETWORKDAYS(C592,TODAY())&lt;=2,"Risco Baixo",""))))</f>
        <v>Expedido</v>
      </c>
      <c r="P592" s="5" t="s">
        <v>25</v>
      </c>
      <c r="Q592" s="5" t="s">
        <v>897</v>
      </c>
      <c r="R592" s="5">
        <v>3080312</v>
      </c>
      <c r="S592" s="7">
        <f>IF(ISBLANK(M592),"Aguardando Previsão/Data",NETWORKDAYS(L592,M592)-1)</f>
        <v>1</v>
      </c>
      <c r="T592" s="5" t="s">
        <v>942</v>
      </c>
    </row>
    <row r="593" spans="1:20" x14ac:dyDescent="0.35">
      <c r="A593" s="5">
        <v>8100270122</v>
      </c>
      <c r="B593" s="5">
        <v>18813</v>
      </c>
      <c r="C593" s="6">
        <v>45660</v>
      </c>
      <c r="D593" s="5" t="s">
        <v>106</v>
      </c>
      <c r="E593" s="5" t="s">
        <v>107</v>
      </c>
      <c r="F593" s="5" t="s">
        <v>53</v>
      </c>
      <c r="G593" s="5" t="s">
        <v>54</v>
      </c>
      <c r="H593" s="5" t="s">
        <v>108</v>
      </c>
      <c r="I593" s="5" t="s">
        <v>561</v>
      </c>
      <c r="J593" s="5" t="s">
        <v>121</v>
      </c>
      <c r="K593" s="5" t="s">
        <v>110</v>
      </c>
      <c r="L593" s="6">
        <v>45667</v>
      </c>
      <c r="M593" s="6">
        <v>45663</v>
      </c>
      <c r="N593" s="5" t="s">
        <v>811</v>
      </c>
      <c r="O593" s="5" t="str">
        <f ca="1">IF(P593&lt;&gt;"EXPEDIÇÃO","Expedido",IF(NETWORKDAYS(C593,TODAY())&gt;=5,"Risco Alto",IF(NETWORKDAYS(C593,TODAY())&gt;=3,IF(NETWORKDAYS(C593,TODAY())&lt;5,"Risco Médio",""),IF(NETWORKDAYS(C593,TODAY())&lt;=2,"Risco Baixo",""))))</f>
        <v>Expedido</v>
      </c>
      <c r="P593" s="5" t="s">
        <v>25</v>
      </c>
      <c r="S593" s="7">
        <f>IF(ISBLANK(M593),"Aguardando Previsão/Data",NETWORKDAYS(L593,M593)-1)</f>
        <v>-6</v>
      </c>
      <c r="T593" s="5" t="s">
        <v>942</v>
      </c>
    </row>
    <row r="594" spans="1:20" x14ac:dyDescent="0.35">
      <c r="A594" s="5">
        <v>8100270829</v>
      </c>
      <c r="B594" s="5">
        <v>18819</v>
      </c>
      <c r="C594" s="6">
        <v>45660</v>
      </c>
      <c r="D594" s="5" t="s">
        <v>106</v>
      </c>
      <c r="E594" s="5" t="s">
        <v>107</v>
      </c>
      <c r="F594" s="5" t="s">
        <v>69</v>
      </c>
      <c r="G594" s="5" t="s">
        <v>70</v>
      </c>
      <c r="H594" s="5" t="s">
        <v>108</v>
      </c>
      <c r="I594" s="5" t="s">
        <v>157</v>
      </c>
      <c r="J594" s="5" t="s">
        <v>114</v>
      </c>
      <c r="K594" s="5" t="s">
        <v>110</v>
      </c>
      <c r="L594" s="6">
        <v>45670</v>
      </c>
      <c r="M594" s="6">
        <v>45671</v>
      </c>
      <c r="N594" s="5" t="s">
        <v>811</v>
      </c>
      <c r="O594" s="5" t="str">
        <f ca="1">IF(P594&lt;&gt;"EXPEDIÇÃO","Expedido",IF(NETWORKDAYS(C594,TODAY())&gt;=5,"Risco Alto",IF(NETWORKDAYS(C594,TODAY())&gt;=3,IF(NETWORKDAYS(C594,TODAY())&lt;5,"Risco Médio",""),IF(NETWORKDAYS(C594,TODAY())&lt;=2,"Risco Baixo",""))))</f>
        <v>Expedido</v>
      </c>
      <c r="P594" s="5" t="s">
        <v>25</v>
      </c>
      <c r="Q594" s="5" t="s">
        <v>897</v>
      </c>
      <c r="R594" s="5">
        <v>3080312</v>
      </c>
      <c r="S594" s="7">
        <f>IF(ISBLANK(M594),"Aguardando Previsão/Data",NETWORKDAYS(L594,M594)-1)</f>
        <v>1</v>
      </c>
      <c r="T594" s="5" t="s">
        <v>942</v>
      </c>
    </row>
    <row r="595" spans="1:20" x14ac:dyDescent="0.35">
      <c r="A595" s="5">
        <v>8100270830</v>
      </c>
      <c r="B595" s="5">
        <v>18820</v>
      </c>
      <c r="C595" s="6">
        <v>45660</v>
      </c>
      <c r="D595" s="5" t="s">
        <v>106</v>
      </c>
      <c r="E595" s="5" t="s">
        <v>107</v>
      </c>
      <c r="F595" s="5" t="s">
        <v>69</v>
      </c>
      <c r="G595" s="5" t="s">
        <v>70</v>
      </c>
      <c r="H595" s="5" t="s">
        <v>108</v>
      </c>
      <c r="I595" s="5" t="s">
        <v>157</v>
      </c>
      <c r="J595" s="5" t="s">
        <v>114</v>
      </c>
      <c r="K595" s="5" t="s">
        <v>110</v>
      </c>
      <c r="L595" s="6">
        <v>45670</v>
      </c>
      <c r="M595" s="6">
        <v>45671</v>
      </c>
      <c r="N595" s="5" t="s">
        <v>811</v>
      </c>
      <c r="O595" s="5" t="str">
        <f ca="1">IF(P595&lt;&gt;"EXPEDIÇÃO","Expedido",IF(NETWORKDAYS(C595,TODAY())&gt;=5,"Risco Alto",IF(NETWORKDAYS(C595,TODAY())&gt;=3,IF(NETWORKDAYS(C595,TODAY())&lt;5,"Risco Médio",""),IF(NETWORKDAYS(C595,TODAY())&lt;=2,"Risco Baixo",""))))</f>
        <v>Expedido</v>
      </c>
      <c r="P595" s="5" t="s">
        <v>25</v>
      </c>
      <c r="Q595" s="5" t="s">
        <v>897</v>
      </c>
      <c r="R595" s="5">
        <v>3080312</v>
      </c>
      <c r="S595" s="7">
        <f>IF(ISBLANK(M595),"Aguardando Previsão/Data",NETWORKDAYS(L595,M595)-1)</f>
        <v>1</v>
      </c>
      <c r="T595" s="5" t="s">
        <v>942</v>
      </c>
    </row>
    <row r="596" spans="1:20" x14ac:dyDescent="0.35">
      <c r="A596" s="5">
        <v>8100270831</v>
      </c>
      <c r="B596" s="5">
        <v>18815</v>
      </c>
      <c r="C596" s="6">
        <v>45660</v>
      </c>
      <c r="D596" s="5" t="s">
        <v>106</v>
      </c>
      <c r="E596" s="5" t="s">
        <v>107</v>
      </c>
      <c r="F596" s="5" t="s">
        <v>69</v>
      </c>
      <c r="G596" s="5" t="s">
        <v>70</v>
      </c>
      <c r="H596" s="5" t="s">
        <v>108</v>
      </c>
      <c r="I596" s="5" t="s">
        <v>64</v>
      </c>
      <c r="J596" s="5" t="s">
        <v>135</v>
      </c>
      <c r="K596" s="5" t="s">
        <v>110</v>
      </c>
      <c r="L596" s="6">
        <v>45670</v>
      </c>
      <c r="M596" s="6">
        <v>45665</v>
      </c>
      <c r="N596" s="5" t="s">
        <v>811</v>
      </c>
      <c r="O596" s="5" t="str">
        <f ca="1">IF(P596&lt;&gt;"EXPEDIÇÃO","Expedido",IF(NETWORKDAYS(C596,TODAY())&gt;=5,"Risco Alto",IF(NETWORKDAYS(C596,TODAY())&gt;=3,IF(NETWORKDAYS(C596,TODAY())&lt;5,"Risco Médio",""),IF(NETWORKDAYS(C596,TODAY())&lt;=2,"Risco Baixo",""))))</f>
        <v>Expedido</v>
      </c>
      <c r="P596" s="5" t="s">
        <v>25</v>
      </c>
      <c r="S596" s="7">
        <f>IF(ISBLANK(M596),"Aguardando Previsão/Data",NETWORKDAYS(L596,M596)-1)</f>
        <v>-5</v>
      </c>
      <c r="T596" s="5" t="s">
        <v>942</v>
      </c>
    </row>
    <row r="597" spans="1:20" x14ac:dyDescent="0.35">
      <c r="A597" s="5">
        <v>8100270832</v>
      </c>
      <c r="B597" s="5">
        <v>18821</v>
      </c>
      <c r="C597" s="6">
        <v>45660</v>
      </c>
      <c r="D597" s="5" t="s">
        <v>106</v>
      </c>
      <c r="E597" s="5" t="s">
        <v>107</v>
      </c>
      <c r="F597" s="5" t="s">
        <v>69</v>
      </c>
      <c r="G597" s="5" t="s">
        <v>70</v>
      </c>
      <c r="H597" s="5" t="s">
        <v>108</v>
      </c>
      <c r="I597" s="5" t="s">
        <v>118</v>
      </c>
      <c r="J597" s="5" t="s">
        <v>114</v>
      </c>
      <c r="K597" s="5" t="s">
        <v>110</v>
      </c>
      <c r="L597" s="6">
        <v>45670</v>
      </c>
      <c r="M597" s="6">
        <v>45671</v>
      </c>
      <c r="N597" s="5" t="s">
        <v>811</v>
      </c>
      <c r="O597" s="5" t="str">
        <f ca="1">IF(P597&lt;&gt;"EXPEDIÇÃO","Expedido",IF(NETWORKDAYS(C597,TODAY())&gt;=5,"Risco Alto",IF(NETWORKDAYS(C597,TODAY())&gt;=3,IF(NETWORKDAYS(C597,TODAY())&lt;5,"Risco Médio",""),IF(NETWORKDAYS(C597,TODAY())&lt;=2,"Risco Baixo",""))))</f>
        <v>Expedido</v>
      </c>
      <c r="P597" s="5" t="s">
        <v>25</v>
      </c>
      <c r="Q597" s="5" t="s">
        <v>897</v>
      </c>
      <c r="R597" s="5">
        <v>3080312</v>
      </c>
      <c r="S597" s="7">
        <f>IF(ISBLANK(M597),"Aguardando Previsão/Data",NETWORKDAYS(L597,M597)-1)</f>
        <v>1</v>
      </c>
      <c r="T597" s="5" t="s">
        <v>942</v>
      </c>
    </row>
    <row r="598" spans="1:20" x14ac:dyDescent="0.35">
      <c r="A598" s="5">
        <v>8100270833</v>
      </c>
      <c r="B598" s="5">
        <v>18822</v>
      </c>
      <c r="C598" s="6">
        <v>45660</v>
      </c>
      <c r="D598" s="5" t="s">
        <v>106</v>
      </c>
      <c r="E598" s="5" t="s">
        <v>107</v>
      </c>
      <c r="F598" s="5" t="s">
        <v>147</v>
      </c>
      <c r="G598" s="5" t="s">
        <v>148</v>
      </c>
      <c r="H598" s="5" t="s">
        <v>108</v>
      </c>
      <c r="I598" s="5" t="s">
        <v>118</v>
      </c>
      <c r="J598" s="5" t="s">
        <v>114</v>
      </c>
      <c r="K598" s="5" t="s">
        <v>110</v>
      </c>
      <c r="L598" s="6">
        <v>45670</v>
      </c>
      <c r="M598" s="6">
        <v>45671</v>
      </c>
      <c r="N598" s="5" t="s">
        <v>811</v>
      </c>
      <c r="O598" s="5" t="str">
        <f ca="1">IF(P598&lt;&gt;"EXPEDIÇÃO","Expedido",IF(NETWORKDAYS(C598,TODAY())&gt;=5,"Risco Alto",IF(NETWORKDAYS(C598,TODAY())&gt;=3,IF(NETWORKDAYS(C598,TODAY())&lt;5,"Risco Médio",""),IF(NETWORKDAYS(C598,TODAY())&lt;=2,"Risco Baixo",""))))</f>
        <v>Expedido</v>
      </c>
      <c r="P598" s="5" t="s">
        <v>25</v>
      </c>
      <c r="Q598" s="5" t="s">
        <v>897</v>
      </c>
      <c r="R598" s="5">
        <v>3080312</v>
      </c>
      <c r="S598" s="7">
        <f>IF(ISBLANK(M598),"Aguardando Previsão/Data",NETWORKDAYS(L598,M598)-1)</f>
        <v>1</v>
      </c>
      <c r="T598" s="5" t="s">
        <v>942</v>
      </c>
    </row>
    <row r="599" spans="1:20" x14ac:dyDescent="0.35">
      <c r="A599" s="5">
        <v>8100270942</v>
      </c>
      <c r="B599" s="5">
        <v>18824</v>
      </c>
      <c r="C599" s="6">
        <v>45660</v>
      </c>
      <c r="D599" s="5" t="s">
        <v>106</v>
      </c>
      <c r="E599" s="5" t="s">
        <v>107</v>
      </c>
      <c r="F599" s="5" t="s">
        <v>69</v>
      </c>
      <c r="G599" s="5" t="s">
        <v>70</v>
      </c>
      <c r="H599" s="5" t="s">
        <v>108</v>
      </c>
      <c r="I599" s="5" t="s">
        <v>118</v>
      </c>
      <c r="J599" s="5" t="s">
        <v>114</v>
      </c>
      <c r="K599" s="5" t="s">
        <v>110</v>
      </c>
      <c r="L599" s="6">
        <v>45670</v>
      </c>
      <c r="M599" s="6">
        <v>45671</v>
      </c>
      <c r="N599" s="5" t="s">
        <v>811</v>
      </c>
      <c r="O599" s="5" t="str">
        <f ca="1">IF(P599&lt;&gt;"EXPEDIÇÃO","Expedido",IF(NETWORKDAYS(C599,TODAY())&gt;=5,"Risco Alto",IF(NETWORKDAYS(C599,TODAY())&gt;=3,IF(NETWORKDAYS(C599,TODAY())&lt;5,"Risco Médio",""),IF(NETWORKDAYS(C599,TODAY())&lt;=2,"Risco Baixo",""))))</f>
        <v>Expedido</v>
      </c>
      <c r="P599" s="5" t="s">
        <v>25</v>
      </c>
      <c r="Q599" s="5" t="s">
        <v>897</v>
      </c>
      <c r="R599" s="5">
        <v>3080312</v>
      </c>
      <c r="S599" s="7">
        <f>IF(ISBLANK(M599),"Aguardando Previsão/Data",NETWORKDAYS(L599,M599)-1)</f>
        <v>1</v>
      </c>
      <c r="T599" s="5" t="s">
        <v>942</v>
      </c>
    </row>
    <row r="600" spans="1:20" x14ac:dyDescent="0.35">
      <c r="A600" s="5">
        <v>8100270943</v>
      </c>
      <c r="B600" s="5">
        <v>18825</v>
      </c>
      <c r="C600" s="6">
        <v>45660</v>
      </c>
      <c r="D600" s="5" t="s">
        <v>106</v>
      </c>
      <c r="E600" s="5" t="s">
        <v>107</v>
      </c>
      <c r="F600" s="5" t="s">
        <v>69</v>
      </c>
      <c r="G600" s="5" t="s">
        <v>70</v>
      </c>
      <c r="H600" s="5" t="s">
        <v>108</v>
      </c>
      <c r="I600" s="5" t="s">
        <v>118</v>
      </c>
      <c r="J600" s="5" t="s">
        <v>114</v>
      </c>
      <c r="K600" s="5" t="s">
        <v>110</v>
      </c>
      <c r="L600" s="6">
        <v>45670</v>
      </c>
      <c r="M600" s="6">
        <v>45671</v>
      </c>
      <c r="N600" s="5" t="s">
        <v>811</v>
      </c>
      <c r="O600" s="5" t="str">
        <f ca="1">IF(P600&lt;&gt;"EXPEDIÇÃO","Expedido",IF(NETWORKDAYS(C600,TODAY())&gt;=5,"Risco Alto",IF(NETWORKDAYS(C600,TODAY())&gt;=3,IF(NETWORKDAYS(C600,TODAY())&lt;5,"Risco Médio",""),IF(NETWORKDAYS(C600,TODAY())&lt;=2,"Risco Baixo",""))))</f>
        <v>Expedido</v>
      </c>
      <c r="P600" s="5" t="s">
        <v>25</v>
      </c>
      <c r="Q600" s="5" t="s">
        <v>897</v>
      </c>
      <c r="R600" s="5">
        <v>3080312</v>
      </c>
      <c r="S600" s="7">
        <f>IF(ISBLANK(M600),"Aguardando Previsão/Data",NETWORKDAYS(L600,M600)-1)</f>
        <v>1</v>
      </c>
      <c r="T600" s="5" t="s">
        <v>942</v>
      </c>
    </row>
    <row r="601" spans="1:20" x14ac:dyDescent="0.35">
      <c r="A601" s="5">
        <v>8100269082</v>
      </c>
      <c r="B601" s="5">
        <v>7010</v>
      </c>
      <c r="C601" s="6">
        <v>45660</v>
      </c>
      <c r="D601" s="5" t="s">
        <v>194</v>
      </c>
      <c r="E601" s="5" t="s">
        <v>195</v>
      </c>
      <c r="F601" s="5" t="s">
        <v>406</v>
      </c>
      <c r="G601" s="5" t="s">
        <v>407</v>
      </c>
      <c r="H601" s="5" t="s">
        <v>108</v>
      </c>
      <c r="I601" s="5" t="s">
        <v>934</v>
      </c>
      <c r="J601" s="5" t="s">
        <v>735</v>
      </c>
      <c r="K601" s="5" t="s">
        <v>198</v>
      </c>
      <c r="L601" s="6">
        <v>45667</v>
      </c>
      <c r="M601" s="6">
        <v>45667</v>
      </c>
      <c r="N601" s="5" t="s">
        <v>811</v>
      </c>
      <c r="O601" s="5" t="str">
        <f ca="1">IF(P601&lt;&gt;"EXPEDIÇÃO","Expedido",IF(NETWORKDAYS(C601,TODAY())&gt;=5,"Risco Alto",IF(NETWORKDAYS(C601,TODAY())&gt;=3,IF(NETWORKDAYS(C601,TODAY())&lt;5,"Risco Médio",""),IF(NETWORKDAYS(C601,TODAY())&lt;=2,"Risco Baixo",""))))</f>
        <v>Expedido</v>
      </c>
      <c r="P601" s="5" t="s">
        <v>25</v>
      </c>
      <c r="S601" s="7">
        <f>IF(ISBLANK(M601),"Aguardando Previsão/Data",NETWORKDAYS(L601,M601)-1)</f>
        <v>0</v>
      </c>
      <c r="T601" s="5" t="s">
        <v>942</v>
      </c>
    </row>
    <row r="602" spans="1:20" x14ac:dyDescent="0.35">
      <c r="A602" s="5">
        <v>8100269119</v>
      </c>
      <c r="B602" s="5">
        <v>7009</v>
      </c>
      <c r="C602" s="6">
        <v>45660</v>
      </c>
      <c r="D602" s="5" t="s">
        <v>194</v>
      </c>
      <c r="E602" s="5" t="s">
        <v>195</v>
      </c>
      <c r="F602" s="5" t="s">
        <v>406</v>
      </c>
      <c r="G602" s="5" t="s">
        <v>407</v>
      </c>
      <c r="H602" s="5" t="s">
        <v>108</v>
      </c>
      <c r="I602" s="5" t="s">
        <v>1127</v>
      </c>
      <c r="J602" s="5" t="s">
        <v>588</v>
      </c>
      <c r="K602" s="5" t="s">
        <v>198</v>
      </c>
      <c r="L602" s="6">
        <v>45667</v>
      </c>
      <c r="M602" s="6">
        <v>45671</v>
      </c>
      <c r="N602" s="5" t="s">
        <v>812</v>
      </c>
      <c r="O602" s="5" t="str">
        <f ca="1">IF(P602&lt;&gt;"EXPEDIÇÃO","Expedido",IF(NETWORKDAYS(C602,TODAY())&gt;=5,"Risco Alto",IF(NETWORKDAYS(C602,TODAY())&gt;=3,IF(NETWORKDAYS(C602,TODAY())&lt;5,"Risco Médio",""),IF(NETWORKDAYS(C602,TODAY())&lt;=2,"Risco Baixo",""))))</f>
        <v>Expedido</v>
      </c>
      <c r="P602" s="5" t="s">
        <v>25</v>
      </c>
      <c r="Q602" s="5" t="s">
        <v>899</v>
      </c>
      <c r="S602" s="7">
        <f>IF(ISBLANK(M602),"Aguardando Previsão/Data",NETWORKDAYS(L602,M602)-1)</f>
        <v>2</v>
      </c>
      <c r="T602" s="5" t="s">
        <v>942</v>
      </c>
    </row>
    <row r="603" spans="1:20" x14ac:dyDescent="0.35">
      <c r="A603" s="5">
        <v>8100269365</v>
      </c>
      <c r="B603" s="5">
        <v>7005</v>
      </c>
      <c r="C603" s="6">
        <v>45660</v>
      </c>
      <c r="D603" s="5" t="s">
        <v>194</v>
      </c>
      <c r="E603" s="5" t="s">
        <v>195</v>
      </c>
      <c r="F603" s="5" t="s">
        <v>406</v>
      </c>
      <c r="G603" s="5" t="s">
        <v>407</v>
      </c>
      <c r="H603" s="5" t="s">
        <v>108</v>
      </c>
      <c r="I603" s="5" t="s">
        <v>201</v>
      </c>
      <c r="J603" s="5" t="s">
        <v>202</v>
      </c>
      <c r="K603" s="5" t="s">
        <v>198</v>
      </c>
      <c r="L603" s="6">
        <v>45667</v>
      </c>
      <c r="M603" s="6">
        <v>45666</v>
      </c>
      <c r="N603" s="5" t="s">
        <v>811</v>
      </c>
      <c r="O603" s="5" t="str">
        <f ca="1">IF(P603&lt;&gt;"EXPEDIÇÃO","Expedido",IF(NETWORKDAYS(C603,TODAY())&gt;=5,"Risco Alto",IF(NETWORKDAYS(C603,TODAY())&gt;=3,IF(NETWORKDAYS(C603,TODAY())&lt;5,"Risco Médio",""),IF(NETWORKDAYS(C603,TODAY())&lt;=2,"Risco Baixo",""))))</f>
        <v>Expedido</v>
      </c>
      <c r="P603" s="5" t="s">
        <v>25</v>
      </c>
      <c r="Q603" s="5" t="s">
        <v>1179</v>
      </c>
      <c r="S603" s="7">
        <f>IF(ISBLANK(M603),"Aguardando Previsão/Data",NETWORKDAYS(L603,M603)-1)</f>
        <v>-3</v>
      </c>
      <c r="T603" s="5" t="s">
        <v>942</v>
      </c>
    </row>
    <row r="604" spans="1:20" x14ac:dyDescent="0.35">
      <c r="A604" s="5">
        <v>8100269632</v>
      </c>
      <c r="B604" s="5">
        <v>7004</v>
      </c>
      <c r="C604" s="6">
        <v>45660</v>
      </c>
      <c r="D604" s="5" t="s">
        <v>194</v>
      </c>
      <c r="E604" s="5" t="s">
        <v>195</v>
      </c>
      <c r="F604" s="5" t="s">
        <v>406</v>
      </c>
      <c r="G604" s="5" t="s">
        <v>407</v>
      </c>
      <c r="H604" s="5" t="s">
        <v>108</v>
      </c>
      <c r="I604" s="5" t="s">
        <v>1157</v>
      </c>
      <c r="J604" s="5" t="s">
        <v>513</v>
      </c>
      <c r="K604" s="5" t="s">
        <v>198</v>
      </c>
      <c r="L604" s="6">
        <v>45667</v>
      </c>
      <c r="M604" s="6">
        <v>45667</v>
      </c>
      <c r="N604" s="5" t="s">
        <v>811</v>
      </c>
      <c r="O604" s="5" t="str">
        <f ca="1">IF(P604&lt;&gt;"EXPEDIÇÃO","Expedido",IF(NETWORKDAYS(C604,TODAY())&gt;=5,"Risco Alto",IF(NETWORKDAYS(C604,TODAY())&gt;=3,IF(NETWORKDAYS(C604,TODAY())&lt;5,"Risco Médio",""),IF(NETWORKDAYS(C604,TODAY())&lt;=2,"Risco Baixo",""))))</f>
        <v>Expedido</v>
      </c>
      <c r="P604" s="5" t="s">
        <v>25</v>
      </c>
      <c r="S604" s="7">
        <f>IF(ISBLANK(M604),"Aguardando Previsão/Data",NETWORKDAYS(L604,M604)-1)</f>
        <v>0</v>
      </c>
      <c r="T604" s="5" t="s">
        <v>942</v>
      </c>
    </row>
    <row r="605" spans="1:20" x14ac:dyDescent="0.35">
      <c r="A605" s="5">
        <v>8100269634</v>
      </c>
      <c r="B605" s="5">
        <v>7011</v>
      </c>
      <c r="C605" s="6">
        <v>45660</v>
      </c>
      <c r="D605" s="5" t="s">
        <v>194</v>
      </c>
      <c r="E605" s="5" t="s">
        <v>195</v>
      </c>
      <c r="F605" s="5" t="s">
        <v>406</v>
      </c>
      <c r="G605" s="5" t="s">
        <v>407</v>
      </c>
      <c r="H605" s="5" t="s">
        <v>108</v>
      </c>
      <c r="I605" s="5" t="s">
        <v>1158</v>
      </c>
      <c r="J605" s="5" t="s">
        <v>1064</v>
      </c>
      <c r="K605" s="5" t="s">
        <v>198</v>
      </c>
      <c r="L605" s="6">
        <v>45667</v>
      </c>
      <c r="M605" s="6">
        <v>45666</v>
      </c>
      <c r="N605" s="5" t="s">
        <v>811</v>
      </c>
      <c r="O605" s="5" t="str">
        <f ca="1">IF(P605&lt;&gt;"EXPEDIÇÃO","Expedido",IF(NETWORKDAYS(C605,TODAY())&gt;=5,"Risco Alto",IF(NETWORKDAYS(C605,TODAY())&gt;=3,IF(NETWORKDAYS(C605,TODAY())&lt;5,"Risco Médio",""),IF(NETWORKDAYS(C605,TODAY())&lt;=2,"Risco Baixo",""))))</f>
        <v>Expedido</v>
      </c>
      <c r="P605" s="5" t="s">
        <v>25</v>
      </c>
      <c r="S605" s="7">
        <f>IF(ISBLANK(M605),"Aguardando Previsão/Data",NETWORKDAYS(L605,M605)-1)</f>
        <v>-3</v>
      </c>
      <c r="T605" s="5" t="s">
        <v>942</v>
      </c>
    </row>
    <row r="606" spans="1:20" x14ac:dyDescent="0.35">
      <c r="A606" s="5">
        <v>8100269636</v>
      </c>
      <c r="B606" s="5">
        <v>7007</v>
      </c>
      <c r="C606" s="6">
        <v>45660</v>
      </c>
      <c r="D606" s="5" t="s">
        <v>194</v>
      </c>
      <c r="E606" s="5" t="s">
        <v>195</v>
      </c>
      <c r="F606" s="5" t="s">
        <v>406</v>
      </c>
      <c r="G606" s="5" t="s">
        <v>407</v>
      </c>
      <c r="H606" s="5" t="s">
        <v>108</v>
      </c>
      <c r="I606" s="5" t="s">
        <v>1159</v>
      </c>
      <c r="J606" s="5" t="s">
        <v>483</v>
      </c>
      <c r="K606" s="5" t="s">
        <v>198</v>
      </c>
      <c r="L606" s="6">
        <v>45667</v>
      </c>
      <c r="M606" s="6">
        <v>45667</v>
      </c>
      <c r="N606" s="5" t="s">
        <v>811</v>
      </c>
      <c r="O606" s="5" t="str">
        <f ca="1">IF(P606&lt;&gt;"EXPEDIÇÃO","Expedido",IF(NETWORKDAYS(C606,TODAY())&gt;=5,"Risco Alto",IF(NETWORKDAYS(C606,TODAY())&gt;=3,IF(NETWORKDAYS(C606,TODAY())&lt;5,"Risco Médio",""),IF(NETWORKDAYS(C606,TODAY())&lt;=2,"Risco Baixo",""))))</f>
        <v>Expedido</v>
      </c>
      <c r="P606" s="5" t="s">
        <v>25</v>
      </c>
      <c r="S606" s="7">
        <f>IF(ISBLANK(M606),"Aguardando Previsão/Data",NETWORKDAYS(L606,M606)-1)</f>
        <v>0</v>
      </c>
      <c r="T606" s="5" t="s">
        <v>942</v>
      </c>
    </row>
    <row r="607" spans="1:20" x14ac:dyDescent="0.35">
      <c r="A607" s="5">
        <v>8100269637</v>
      </c>
      <c r="B607" s="5">
        <v>7006</v>
      </c>
      <c r="C607" s="6">
        <v>45660</v>
      </c>
      <c r="D607" s="5" t="s">
        <v>194</v>
      </c>
      <c r="E607" s="5" t="s">
        <v>195</v>
      </c>
      <c r="F607" s="5" t="s">
        <v>406</v>
      </c>
      <c r="G607" s="5" t="s">
        <v>407</v>
      </c>
      <c r="H607" s="5" t="s">
        <v>108</v>
      </c>
      <c r="I607" s="5" t="s">
        <v>1160</v>
      </c>
      <c r="J607" s="5" t="s">
        <v>407</v>
      </c>
      <c r="K607" s="5" t="s">
        <v>198</v>
      </c>
      <c r="L607" s="6">
        <v>45666</v>
      </c>
      <c r="M607" s="6">
        <v>45666</v>
      </c>
      <c r="N607" s="5" t="s">
        <v>811</v>
      </c>
      <c r="O607" s="5" t="str">
        <f ca="1">IF(P607&lt;&gt;"EXPEDIÇÃO","Expedido",IF(NETWORKDAYS(C607,TODAY())&gt;=5,"Risco Alto",IF(NETWORKDAYS(C607,TODAY())&gt;=3,IF(NETWORKDAYS(C607,TODAY())&lt;5,"Risco Médio",""),IF(NETWORKDAYS(C607,TODAY())&lt;=2,"Risco Baixo",""))))</f>
        <v>Expedido</v>
      </c>
      <c r="P607" s="5" t="s">
        <v>25</v>
      </c>
      <c r="S607" s="7">
        <f>IF(ISBLANK(M607),"Aguardando Previsão/Data",NETWORKDAYS(L607,M607)-1)</f>
        <v>0</v>
      </c>
      <c r="T607" s="5" t="s">
        <v>942</v>
      </c>
    </row>
    <row r="608" spans="1:20" x14ac:dyDescent="0.35">
      <c r="A608" s="5">
        <v>8100270005</v>
      </c>
      <c r="B608" s="5">
        <v>7013</v>
      </c>
      <c r="C608" s="6">
        <v>45660</v>
      </c>
      <c r="D608" s="5" t="s">
        <v>194</v>
      </c>
      <c r="E608" s="5" t="s">
        <v>195</v>
      </c>
      <c r="F608" s="5" t="s">
        <v>406</v>
      </c>
      <c r="G608" s="5" t="s">
        <v>407</v>
      </c>
      <c r="H608" s="5" t="s">
        <v>108</v>
      </c>
      <c r="I608" s="5" t="s">
        <v>821</v>
      </c>
      <c r="J608" s="5" t="s">
        <v>407</v>
      </c>
      <c r="K608" s="5" t="s">
        <v>198</v>
      </c>
      <c r="L608" s="6">
        <v>45666</v>
      </c>
      <c r="M608" s="6">
        <v>45665</v>
      </c>
      <c r="N608" s="5" t="s">
        <v>811</v>
      </c>
      <c r="O608" s="5" t="str">
        <f ca="1">IF(P608&lt;&gt;"EXPEDIÇÃO","Expedido",IF(NETWORKDAYS(C608,TODAY())&gt;=5,"Risco Alto",IF(NETWORKDAYS(C608,TODAY())&gt;=3,IF(NETWORKDAYS(C608,TODAY())&lt;5,"Risco Médio",""),IF(NETWORKDAYS(C608,TODAY())&lt;=2,"Risco Baixo",""))))</f>
        <v>Expedido</v>
      </c>
      <c r="P608" s="5" t="s">
        <v>25</v>
      </c>
      <c r="S608" s="7">
        <f>IF(ISBLANK(M608),"Aguardando Previsão/Data",NETWORKDAYS(L608,M608)-1)</f>
        <v>-3</v>
      </c>
      <c r="T608" s="5" t="s">
        <v>942</v>
      </c>
    </row>
    <row r="609" spans="1:20" x14ac:dyDescent="0.35">
      <c r="A609" s="5">
        <v>8100270007</v>
      </c>
      <c r="B609" s="5">
        <v>7008</v>
      </c>
      <c r="C609" s="6">
        <v>45660</v>
      </c>
      <c r="D609" s="5" t="s">
        <v>194</v>
      </c>
      <c r="E609" s="5" t="s">
        <v>195</v>
      </c>
      <c r="F609" s="5" t="s">
        <v>406</v>
      </c>
      <c r="G609" s="5" t="s">
        <v>407</v>
      </c>
      <c r="H609" s="5" t="s">
        <v>108</v>
      </c>
      <c r="I609" s="5" t="s">
        <v>544</v>
      </c>
      <c r="J609" s="5" t="s">
        <v>202</v>
      </c>
      <c r="K609" s="5" t="s">
        <v>198</v>
      </c>
      <c r="L609" s="6">
        <v>45667</v>
      </c>
      <c r="M609" s="6">
        <v>45666</v>
      </c>
      <c r="N609" s="5" t="s">
        <v>811</v>
      </c>
      <c r="O609" s="5" t="str">
        <f ca="1">IF(P609&lt;&gt;"EXPEDIÇÃO","Expedido",IF(NETWORKDAYS(C609,TODAY())&gt;=5,"Risco Alto",IF(NETWORKDAYS(C609,TODAY())&gt;=3,IF(NETWORKDAYS(C609,TODAY())&lt;5,"Risco Médio",""),IF(NETWORKDAYS(C609,TODAY())&lt;=2,"Risco Baixo",""))))</f>
        <v>Expedido</v>
      </c>
      <c r="P609" s="5" t="s">
        <v>25</v>
      </c>
      <c r="Q609" s="5" t="s">
        <v>1243</v>
      </c>
      <c r="S609" s="7">
        <f>IF(ISBLANK(M609),"Aguardando Previsão/Data",NETWORKDAYS(L609,M609)-1)</f>
        <v>-3</v>
      </c>
      <c r="T609" s="5" t="s">
        <v>942</v>
      </c>
    </row>
    <row r="610" spans="1:20" x14ac:dyDescent="0.35">
      <c r="A610" s="5">
        <v>8100270144</v>
      </c>
      <c r="B610" s="5">
        <v>7012</v>
      </c>
      <c r="C610" s="6">
        <v>45660</v>
      </c>
      <c r="D610" s="5" t="s">
        <v>194</v>
      </c>
      <c r="E610" s="5" t="s">
        <v>195</v>
      </c>
      <c r="F610" s="5" t="s">
        <v>406</v>
      </c>
      <c r="G610" s="5" t="s">
        <v>407</v>
      </c>
      <c r="H610" s="5" t="s">
        <v>108</v>
      </c>
      <c r="I610" s="5" t="s">
        <v>1000</v>
      </c>
      <c r="J610" s="5" t="s">
        <v>616</v>
      </c>
      <c r="K610" s="5" t="s">
        <v>198</v>
      </c>
      <c r="L610" s="6">
        <v>45666</v>
      </c>
      <c r="M610" s="6">
        <v>45666</v>
      </c>
      <c r="N610" s="5" t="s">
        <v>811</v>
      </c>
      <c r="O610" s="5" t="str">
        <f ca="1">IF(P610&lt;&gt;"EXPEDIÇÃO","Expedido",IF(NETWORKDAYS(C610,TODAY())&gt;=5,"Risco Alto",IF(NETWORKDAYS(C610,TODAY())&gt;=3,IF(NETWORKDAYS(C610,TODAY())&lt;5,"Risco Médio",""),IF(NETWORKDAYS(C610,TODAY())&lt;=2,"Risco Baixo",""))))</f>
        <v>Expedido</v>
      </c>
      <c r="P610" s="5" t="s">
        <v>25</v>
      </c>
      <c r="Q610" s="5" t="s">
        <v>899</v>
      </c>
      <c r="S610" s="7">
        <f>IF(ISBLANK(M610),"Aguardando Previsão/Data",NETWORKDAYS(L610,M610)-1)</f>
        <v>0</v>
      </c>
      <c r="T610" s="5" t="s">
        <v>942</v>
      </c>
    </row>
    <row r="611" spans="1:20" x14ac:dyDescent="0.35">
      <c r="A611" s="5">
        <v>8100270145</v>
      </c>
      <c r="B611" s="5">
        <v>7014</v>
      </c>
      <c r="C611" s="6">
        <v>45660</v>
      </c>
      <c r="D611" s="5" t="s">
        <v>194</v>
      </c>
      <c r="E611" s="5" t="s">
        <v>195</v>
      </c>
      <c r="F611" s="5" t="s">
        <v>69</v>
      </c>
      <c r="G611" s="5" t="s">
        <v>70</v>
      </c>
      <c r="H611" s="5" t="s">
        <v>108</v>
      </c>
      <c r="I611" s="5" t="s">
        <v>128</v>
      </c>
      <c r="J611" s="5" t="s">
        <v>290</v>
      </c>
      <c r="K611" s="5" t="s">
        <v>198</v>
      </c>
      <c r="L611" s="6">
        <v>45666</v>
      </c>
      <c r="M611" s="6">
        <v>45664</v>
      </c>
      <c r="N611" s="5" t="s">
        <v>811</v>
      </c>
      <c r="O611" s="5" t="str">
        <f ca="1">IF(P611&lt;&gt;"EXPEDIÇÃO","Expedido",IF(NETWORKDAYS(C611,TODAY())&gt;=5,"Risco Alto",IF(NETWORKDAYS(C611,TODAY())&gt;=3,IF(NETWORKDAYS(C611,TODAY())&lt;5,"Risco Médio",""),IF(NETWORKDAYS(C611,TODAY())&lt;=2,"Risco Baixo",""))))</f>
        <v>Expedido</v>
      </c>
      <c r="P611" s="5" t="s">
        <v>25</v>
      </c>
      <c r="Q611" s="5" t="s">
        <v>1180</v>
      </c>
      <c r="R611" s="5">
        <v>3067942</v>
      </c>
      <c r="S611" s="7">
        <f>IF(ISBLANK(M611),"Aguardando Previsão/Data",NETWORKDAYS(L611,M611)-1)</f>
        <v>-4</v>
      </c>
      <c r="T611" s="5" t="s">
        <v>942</v>
      </c>
    </row>
    <row r="612" spans="1:20" x14ac:dyDescent="0.35">
      <c r="A612" s="5">
        <v>8100270160</v>
      </c>
      <c r="B612" s="5">
        <v>7015</v>
      </c>
      <c r="C612" s="6">
        <v>45660</v>
      </c>
      <c r="D612" s="5" t="s">
        <v>194</v>
      </c>
      <c r="E612" s="5" t="s">
        <v>195</v>
      </c>
      <c r="F612" s="5" t="s">
        <v>69</v>
      </c>
      <c r="G612" s="5" t="s">
        <v>70</v>
      </c>
      <c r="H612" s="5" t="s">
        <v>108</v>
      </c>
      <c r="I612" s="5" t="s">
        <v>128</v>
      </c>
      <c r="J612" s="5" t="s">
        <v>290</v>
      </c>
      <c r="K612" s="5" t="s">
        <v>198</v>
      </c>
      <c r="L612" s="6">
        <v>45666</v>
      </c>
      <c r="M612" s="6">
        <v>45664</v>
      </c>
      <c r="N612" s="5" t="s">
        <v>811</v>
      </c>
      <c r="O612" s="5" t="str">
        <f ca="1">IF(P612&lt;&gt;"EXPEDIÇÃO","Expedido",IF(NETWORKDAYS(C612,TODAY())&gt;=5,"Risco Alto",IF(NETWORKDAYS(C612,TODAY())&gt;=3,IF(NETWORKDAYS(C612,TODAY())&lt;5,"Risco Médio",""),IF(NETWORKDAYS(C612,TODAY())&lt;=2,"Risco Baixo",""))))</f>
        <v>Expedido</v>
      </c>
      <c r="P612" s="5" t="s">
        <v>25</v>
      </c>
      <c r="Q612" s="5" t="s">
        <v>1180</v>
      </c>
      <c r="R612" s="5">
        <v>3067942</v>
      </c>
      <c r="S612" s="7">
        <f>IF(ISBLANK(M612),"Aguardando Previsão/Data",NETWORKDAYS(L612,M612)-1)</f>
        <v>-4</v>
      </c>
      <c r="T612" s="5" t="s">
        <v>942</v>
      </c>
    </row>
    <row r="613" spans="1:20" x14ac:dyDescent="0.35">
      <c r="A613" s="5">
        <v>8100271029</v>
      </c>
      <c r="B613" s="5">
        <v>7023</v>
      </c>
      <c r="C613" s="6">
        <v>45660</v>
      </c>
      <c r="D613" s="5" t="s">
        <v>723</v>
      </c>
      <c r="E613" s="5" t="s">
        <v>195</v>
      </c>
      <c r="F613" s="5" t="s">
        <v>724</v>
      </c>
      <c r="G613" s="5" t="s">
        <v>725</v>
      </c>
      <c r="H613" s="5" t="s">
        <v>108</v>
      </c>
      <c r="I613" s="5" t="s">
        <v>1168</v>
      </c>
      <c r="J613" s="5" t="s">
        <v>407</v>
      </c>
      <c r="K613" s="5" t="s">
        <v>198</v>
      </c>
      <c r="L613" s="6">
        <v>45666</v>
      </c>
      <c r="M613" s="6">
        <v>45660</v>
      </c>
      <c r="N613" s="5" t="s">
        <v>811</v>
      </c>
      <c r="O613" s="5" t="str">
        <f ca="1">IF(P613&lt;&gt;"EXPEDIÇÃO","Expedido",IF(NETWORKDAYS(C613,TODAY())&gt;=5,"Risco Alto",IF(NETWORKDAYS(C613,TODAY())&gt;=3,IF(NETWORKDAYS(C613,TODAY())&lt;5,"Risco Médio",""),IF(NETWORKDAYS(C613,TODAY())&lt;=2,"Risco Baixo",""))))</f>
        <v>Expedido</v>
      </c>
      <c r="P613" s="5" t="s">
        <v>25</v>
      </c>
      <c r="S613" s="7">
        <f>IF(ISBLANK(M613),"Aguardando Previsão/Data",NETWORKDAYS(L613,M613)-1)</f>
        <v>-6</v>
      </c>
      <c r="T613" s="5" t="s">
        <v>942</v>
      </c>
    </row>
    <row r="614" spans="1:20" x14ac:dyDescent="0.35">
      <c r="A614" s="5">
        <v>8100270032</v>
      </c>
      <c r="B614" s="5">
        <v>14205</v>
      </c>
      <c r="C614" s="6">
        <v>45660</v>
      </c>
      <c r="D614" s="5" t="s">
        <v>211</v>
      </c>
      <c r="E614" s="5" t="s">
        <v>212</v>
      </c>
      <c r="F614" s="5" t="s">
        <v>58</v>
      </c>
      <c r="G614" s="5" t="s">
        <v>59</v>
      </c>
      <c r="H614" s="5" t="s">
        <v>108</v>
      </c>
      <c r="I614" s="5" t="s">
        <v>312</v>
      </c>
      <c r="J614" s="5" t="s">
        <v>313</v>
      </c>
      <c r="K614" s="5" t="s">
        <v>119</v>
      </c>
      <c r="L614" s="6">
        <v>45667</v>
      </c>
      <c r="M614" s="6">
        <v>45666</v>
      </c>
      <c r="N614" s="5" t="s">
        <v>811</v>
      </c>
      <c r="O614" s="5" t="str">
        <f ca="1">IF(P614&lt;&gt;"EXPEDIÇÃO","Expedido",IF(NETWORKDAYS(C614,TODAY())&gt;=5,"Risco Alto",IF(NETWORKDAYS(C614,TODAY())&gt;=3,IF(NETWORKDAYS(C614,TODAY())&lt;5,"Risco Médio",""),IF(NETWORKDAYS(C614,TODAY())&lt;=2,"Risco Baixo",""))))</f>
        <v>Expedido</v>
      </c>
      <c r="P614" s="5" t="s">
        <v>25</v>
      </c>
      <c r="S614" s="7">
        <f>IF(ISBLANK(M614),"Aguardando Previsão/Data",NETWORKDAYS(L614,M614)-1)</f>
        <v>-3</v>
      </c>
      <c r="T614" s="5" t="s">
        <v>942</v>
      </c>
    </row>
    <row r="615" spans="1:20" x14ac:dyDescent="0.35">
      <c r="A615" s="5">
        <v>8100270033</v>
      </c>
      <c r="B615" s="5">
        <v>14206</v>
      </c>
      <c r="C615" s="6">
        <v>45660</v>
      </c>
      <c r="D615" s="5" t="s">
        <v>211</v>
      </c>
      <c r="E615" s="5" t="s">
        <v>212</v>
      </c>
      <c r="F615" s="5" t="s">
        <v>58</v>
      </c>
      <c r="G615" s="5" t="s">
        <v>59</v>
      </c>
      <c r="H615" s="5" t="s">
        <v>108</v>
      </c>
      <c r="I615" s="5" t="s">
        <v>312</v>
      </c>
      <c r="J615" s="5" t="s">
        <v>313</v>
      </c>
      <c r="K615" s="5" t="s">
        <v>119</v>
      </c>
      <c r="L615" s="6">
        <v>45667</v>
      </c>
      <c r="M615" s="6">
        <v>45666</v>
      </c>
      <c r="N615" s="5" t="s">
        <v>811</v>
      </c>
      <c r="O615" s="5" t="str">
        <f ca="1">IF(P615&lt;&gt;"EXPEDIÇÃO","Expedido",IF(NETWORKDAYS(C615,TODAY())&gt;=5,"Risco Alto",IF(NETWORKDAYS(C615,TODAY())&gt;=3,IF(NETWORKDAYS(C615,TODAY())&lt;5,"Risco Médio",""),IF(NETWORKDAYS(C615,TODAY())&lt;=2,"Risco Baixo",""))))</f>
        <v>Expedido</v>
      </c>
      <c r="P615" s="5" t="s">
        <v>25</v>
      </c>
      <c r="S615" s="7">
        <f>IF(ISBLANK(M615),"Aguardando Previsão/Data",NETWORKDAYS(L615,M615)-1)</f>
        <v>-3</v>
      </c>
      <c r="T615" s="5" t="s">
        <v>942</v>
      </c>
    </row>
    <row r="616" spans="1:20" x14ac:dyDescent="0.35">
      <c r="A616" s="5">
        <v>8100270034</v>
      </c>
      <c r="B616" s="5">
        <v>14207</v>
      </c>
      <c r="C616" s="6">
        <v>45660</v>
      </c>
      <c r="D616" s="5" t="s">
        <v>211</v>
      </c>
      <c r="E616" s="5" t="s">
        <v>212</v>
      </c>
      <c r="F616" s="5" t="s">
        <v>58</v>
      </c>
      <c r="G616" s="5" t="s">
        <v>59</v>
      </c>
      <c r="H616" s="5" t="s">
        <v>108</v>
      </c>
      <c r="I616" s="5" t="s">
        <v>213</v>
      </c>
      <c r="J616" s="5" t="s">
        <v>214</v>
      </c>
      <c r="K616" s="5" t="s">
        <v>119</v>
      </c>
      <c r="L616" s="6">
        <v>45666</v>
      </c>
      <c r="M616" s="6">
        <v>45665</v>
      </c>
      <c r="N616" s="5" t="s">
        <v>811</v>
      </c>
      <c r="O616" s="5" t="str">
        <f ca="1">IF(P616&lt;&gt;"EXPEDIÇÃO","Expedido",IF(NETWORKDAYS(C616,TODAY())&gt;=5,"Risco Alto",IF(NETWORKDAYS(C616,TODAY())&gt;=3,IF(NETWORKDAYS(C616,TODAY())&lt;5,"Risco Médio",""),IF(NETWORKDAYS(C616,TODAY())&lt;=2,"Risco Baixo",""))))</f>
        <v>Expedido</v>
      </c>
      <c r="P616" s="5" t="s">
        <v>25</v>
      </c>
      <c r="S616" s="7">
        <f>IF(ISBLANK(M616),"Aguardando Previsão/Data",NETWORKDAYS(L616,M616)-1)</f>
        <v>-3</v>
      </c>
      <c r="T616" s="5" t="s">
        <v>942</v>
      </c>
    </row>
    <row r="617" spans="1:20" x14ac:dyDescent="0.35">
      <c r="A617" s="5">
        <v>8100270822</v>
      </c>
      <c r="B617" s="5">
        <v>14204</v>
      </c>
      <c r="C617" s="6">
        <v>45660</v>
      </c>
      <c r="D617" s="5" t="s">
        <v>211</v>
      </c>
      <c r="E617" s="5" t="s">
        <v>212</v>
      </c>
      <c r="F617" s="5" t="s">
        <v>66</v>
      </c>
      <c r="G617" s="5" t="s">
        <v>67</v>
      </c>
      <c r="H617" s="5" t="s">
        <v>108</v>
      </c>
      <c r="I617" s="5" t="s">
        <v>269</v>
      </c>
      <c r="J617" s="5" t="s">
        <v>316</v>
      </c>
      <c r="K617" s="5" t="s">
        <v>156</v>
      </c>
      <c r="L617" s="6">
        <v>45672</v>
      </c>
      <c r="M617" s="6">
        <v>45671</v>
      </c>
      <c r="N617" s="5" t="s">
        <v>811</v>
      </c>
      <c r="O617" s="5" t="str">
        <f ca="1">IF(P617&lt;&gt;"EXPEDIÇÃO","Expedido",IF(NETWORKDAYS(C617,TODAY())&gt;=5,"Risco Alto",IF(NETWORKDAYS(C617,TODAY())&gt;=3,IF(NETWORKDAYS(C617,TODAY())&lt;5,"Risco Médio",""),IF(NETWORKDAYS(C617,TODAY())&lt;=2,"Risco Baixo",""))))</f>
        <v>Expedido</v>
      </c>
      <c r="P617" s="5" t="s">
        <v>25</v>
      </c>
      <c r="S617" s="7">
        <f>IF(ISBLANK(M617),"Aguardando Previsão/Data",NETWORKDAYS(L617,M617)-1)</f>
        <v>-3</v>
      </c>
      <c r="T617" s="5" t="s">
        <v>942</v>
      </c>
    </row>
    <row r="618" spans="1:20" x14ac:dyDescent="0.35">
      <c r="A618" s="5">
        <v>8100270017</v>
      </c>
      <c r="B618" s="5">
        <v>12112</v>
      </c>
      <c r="C618" s="6">
        <v>45660</v>
      </c>
      <c r="D618" s="5" t="s">
        <v>158</v>
      </c>
      <c r="E618" s="5" t="s">
        <v>159</v>
      </c>
      <c r="F618" s="5" t="s">
        <v>176</v>
      </c>
      <c r="G618" s="5" t="s">
        <v>177</v>
      </c>
      <c r="H618" s="5" t="s">
        <v>108</v>
      </c>
      <c r="I618" s="5" t="s">
        <v>989</v>
      </c>
      <c r="J618" s="5" t="s">
        <v>309</v>
      </c>
      <c r="K618" s="5" t="s">
        <v>175</v>
      </c>
      <c r="L618" s="6">
        <v>45671</v>
      </c>
      <c r="M618" s="6">
        <v>45670</v>
      </c>
      <c r="N618" s="5" t="s">
        <v>811</v>
      </c>
      <c r="O618" s="5" t="str">
        <f ca="1">IF(P618&lt;&gt;"EXPEDIÇÃO","Expedido",IF(NETWORKDAYS(C618,TODAY())&gt;=5,"Risco Alto",IF(NETWORKDAYS(C618,TODAY())&gt;=3,IF(NETWORKDAYS(C618,TODAY())&lt;5,"Risco Médio",""),IF(NETWORKDAYS(C618,TODAY())&lt;=2,"Risco Baixo",""))))</f>
        <v>Expedido</v>
      </c>
      <c r="P618" s="5" t="s">
        <v>25</v>
      </c>
      <c r="S618" s="7">
        <f>IF(ISBLANK(M618),"Aguardando Previsão/Data",NETWORKDAYS(L618,M618)-1)</f>
        <v>-3</v>
      </c>
      <c r="T618" s="5" t="s">
        <v>942</v>
      </c>
    </row>
    <row r="619" spans="1:20" x14ac:dyDescent="0.35">
      <c r="A619" s="5">
        <v>8100270018</v>
      </c>
      <c r="B619" s="5">
        <v>12109</v>
      </c>
      <c r="C619" s="6">
        <v>45660</v>
      </c>
      <c r="D619" s="5" t="s">
        <v>158</v>
      </c>
      <c r="E619" s="5" t="s">
        <v>159</v>
      </c>
      <c r="F619" s="5" t="s">
        <v>176</v>
      </c>
      <c r="G619" s="5" t="s">
        <v>177</v>
      </c>
      <c r="H619" s="5" t="s">
        <v>108</v>
      </c>
      <c r="I619" s="5" t="s">
        <v>1161</v>
      </c>
      <c r="J619" s="5" t="s">
        <v>895</v>
      </c>
      <c r="K619" s="5" t="s">
        <v>175</v>
      </c>
      <c r="L619" s="6">
        <v>45672</v>
      </c>
      <c r="M619" s="6">
        <v>45671</v>
      </c>
      <c r="N619" s="5" t="s">
        <v>811</v>
      </c>
      <c r="O619" s="5" t="str">
        <f ca="1">IF(P619&lt;&gt;"EXPEDIÇÃO","Expedido",IF(NETWORKDAYS(C619,TODAY())&gt;=5,"Risco Alto",IF(NETWORKDAYS(C619,TODAY())&gt;=3,IF(NETWORKDAYS(C619,TODAY())&lt;5,"Risco Médio",""),IF(NETWORKDAYS(C619,TODAY())&lt;=2,"Risco Baixo",""))))</f>
        <v>Expedido</v>
      </c>
      <c r="P619" s="5" t="s">
        <v>25</v>
      </c>
      <c r="S619" s="7">
        <f>IF(ISBLANK(M619),"Aguardando Previsão/Data",NETWORKDAYS(L619,M619)-1)</f>
        <v>-3</v>
      </c>
      <c r="T619" s="5" t="s">
        <v>942</v>
      </c>
    </row>
    <row r="620" spans="1:20" x14ac:dyDescent="0.35">
      <c r="A620" s="5">
        <v>8100270019</v>
      </c>
      <c r="B620" s="5">
        <v>12107</v>
      </c>
      <c r="C620" s="6">
        <v>45660</v>
      </c>
      <c r="D620" s="5" t="s">
        <v>158</v>
      </c>
      <c r="E620" s="5" t="s">
        <v>159</v>
      </c>
      <c r="F620" s="5" t="s">
        <v>176</v>
      </c>
      <c r="G620" s="5" t="s">
        <v>177</v>
      </c>
      <c r="H620" s="5" t="s">
        <v>108</v>
      </c>
      <c r="I620" s="5" t="s">
        <v>1111</v>
      </c>
      <c r="J620" s="5" t="s">
        <v>1162</v>
      </c>
      <c r="K620" s="5" t="s">
        <v>175</v>
      </c>
      <c r="L620" s="6">
        <v>45671</v>
      </c>
      <c r="M620" s="6">
        <v>45670</v>
      </c>
      <c r="N620" s="5" t="s">
        <v>811</v>
      </c>
      <c r="O620" s="5" t="str">
        <f ca="1">IF(P620&lt;&gt;"EXPEDIÇÃO","Expedido",IF(NETWORKDAYS(C620,TODAY())&gt;=5,"Risco Alto",IF(NETWORKDAYS(C620,TODAY())&gt;=3,IF(NETWORKDAYS(C620,TODAY())&lt;5,"Risco Médio",""),IF(NETWORKDAYS(C620,TODAY())&lt;=2,"Risco Baixo",""))))</f>
        <v>Expedido</v>
      </c>
      <c r="P620" s="5" t="s">
        <v>25</v>
      </c>
      <c r="S620" s="7">
        <f>IF(ISBLANK(M620),"Aguardando Previsão/Data",NETWORKDAYS(L620,M620)-1)</f>
        <v>-3</v>
      </c>
      <c r="T620" s="5" t="s">
        <v>942</v>
      </c>
    </row>
    <row r="621" spans="1:20" x14ac:dyDescent="0.35">
      <c r="A621" s="5">
        <v>8100270024</v>
      </c>
      <c r="B621" s="5">
        <v>12110</v>
      </c>
      <c r="C621" s="6">
        <v>45660</v>
      </c>
      <c r="D621" s="5" t="s">
        <v>158</v>
      </c>
      <c r="E621" s="5" t="s">
        <v>159</v>
      </c>
      <c r="F621" s="5" t="s">
        <v>176</v>
      </c>
      <c r="G621" s="5" t="s">
        <v>177</v>
      </c>
      <c r="H621" s="5" t="s">
        <v>108</v>
      </c>
      <c r="I621" s="5" t="s">
        <v>1161</v>
      </c>
      <c r="J621" s="5" t="s">
        <v>895</v>
      </c>
      <c r="K621" s="5" t="s">
        <v>175</v>
      </c>
      <c r="L621" s="6">
        <v>45672</v>
      </c>
      <c r="M621" s="6">
        <v>45671</v>
      </c>
      <c r="N621" s="5" t="s">
        <v>811</v>
      </c>
      <c r="O621" s="5" t="str">
        <f ca="1">IF(P621&lt;&gt;"EXPEDIÇÃO","Expedido",IF(NETWORKDAYS(C621,TODAY())&gt;=5,"Risco Alto",IF(NETWORKDAYS(C621,TODAY())&gt;=3,IF(NETWORKDAYS(C621,TODAY())&lt;5,"Risco Médio",""),IF(NETWORKDAYS(C621,TODAY())&lt;=2,"Risco Baixo",""))))</f>
        <v>Expedido</v>
      </c>
      <c r="P621" s="5" t="s">
        <v>25</v>
      </c>
      <c r="S621" s="7">
        <f>IF(ISBLANK(M621),"Aguardando Previsão/Data",NETWORKDAYS(L621,M621)-1)</f>
        <v>-3</v>
      </c>
      <c r="T621" s="5" t="s">
        <v>942</v>
      </c>
    </row>
    <row r="622" spans="1:20" x14ac:dyDescent="0.35">
      <c r="A622" s="5">
        <v>8100270025</v>
      </c>
      <c r="B622" s="5">
        <v>12108</v>
      </c>
      <c r="C622" s="6">
        <v>45660</v>
      </c>
      <c r="D622" s="5" t="s">
        <v>158</v>
      </c>
      <c r="E622" s="5" t="s">
        <v>159</v>
      </c>
      <c r="F622" s="5" t="s">
        <v>176</v>
      </c>
      <c r="G622" s="5" t="s">
        <v>177</v>
      </c>
      <c r="H622" s="5" t="s">
        <v>108</v>
      </c>
      <c r="I622" s="5" t="s">
        <v>1111</v>
      </c>
      <c r="J622" s="5" t="s">
        <v>1162</v>
      </c>
      <c r="K622" s="5" t="s">
        <v>175</v>
      </c>
      <c r="L622" s="6">
        <v>45671</v>
      </c>
      <c r="M622" s="6">
        <v>45670</v>
      </c>
      <c r="N622" s="5" t="s">
        <v>811</v>
      </c>
      <c r="O622" s="5" t="str">
        <f ca="1">IF(P622&lt;&gt;"EXPEDIÇÃO","Expedido",IF(NETWORKDAYS(C622,TODAY())&gt;=5,"Risco Alto",IF(NETWORKDAYS(C622,TODAY())&gt;=3,IF(NETWORKDAYS(C622,TODAY())&lt;5,"Risco Médio",""),IF(NETWORKDAYS(C622,TODAY())&lt;=2,"Risco Baixo",""))))</f>
        <v>Expedido</v>
      </c>
      <c r="P622" s="5" t="s">
        <v>25</v>
      </c>
      <c r="S622" s="7">
        <f>IF(ISBLANK(M622),"Aguardando Previsão/Data",NETWORKDAYS(L622,M622)-1)</f>
        <v>-3</v>
      </c>
      <c r="T622" s="5" t="s">
        <v>942</v>
      </c>
    </row>
    <row r="623" spans="1:20" x14ac:dyDescent="0.35">
      <c r="A623" s="5">
        <v>8100270190</v>
      </c>
      <c r="B623" s="5">
        <v>12111</v>
      </c>
      <c r="C623" s="6">
        <v>45660</v>
      </c>
      <c r="D623" s="5" t="s">
        <v>158</v>
      </c>
      <c r="E623" s="5" t="s">
        <v>159</v>
      </c>
      <c r="F623" s="5" t="s">
        <v>176</v>
      </c>
      <c r="G623" s="5" t="s">
        <v>177</v>
      </c>
      <c r="H623" s="5" t="s">
        <v>108</v>
      </c>
      <c r="I623" s="5" t="s">
        <v>1161</v>
      </c>
      <c r="J623" s="5" t="s">
        <v>895</v>
      </c>
      <c r="K623" s="5" t="s">
        <v>175</v>
      </c>
      <c r="L623" s="6">
        <v>45672</v>
      </c>
      <c r="M623" s="6">
        <v>45671</v>
      </c>
      <c r="N623" s="5" t="s">
        <v>811</v>
      </c>
      <c r="O623" s="5" t="str">
        <f ca="1">IF(P623&lt;&gt;"EXPEDIÇÃO","Expedido",IF(NETWORKDAYS(C623,TODAY())&gt;=5,"Risco Alto",IF(NETWORKDAYS(C623,TODAY())&gt;=3,IF(NETWORKDAYS(C623,TODAY())&lt;5,"Risco Médio",""),IF(NETWORKDAYS(C623,TODAY())&lt;=2,"Risco Baixo",""))))</f>
        <v>Expedido</v>
      </c>
      <c r="P623" s="5" t="s">
        <v>25</v>
      </c>
      <c r="S623" s="7">
        <f>IF(ISBLANK(M623),"Aguardando Previsão/Data",NETWORKDAYS(L623,M623)-1)</f>
        <v>-3</v>
      </c>
      <c r="T623" s="5" t="s">
        <v>942</v>
      </c>
    </row>
    <row r="624" spans="1:20" x14ac:dyDescent="0.35">
      <c r="A624" s="5">
        <v>8100270691</v>
      </c>
      <c r="B624" s="5">
        <v>12115</v>
      </c>
      <c r="C624" s="6">
        <v>45660</v>
      </c>
      <c r="D624" s="5" t="s">
        <v>158</v>
      </c>
      <c r="E624" s="5" t="s">
        <v>159</v>
      </c>
      <c r="F624" s="5" t="s">
        <v>167</v>
      </c>
      <c r="G624" s="5" t="s">
        <v>168</v>
      </c>
      <c r="H624" s="5" t="s">
        <v>108</v>
      </c>
      <c r="I624" s="5" t="s">
        <v>184</v>
      </c>
      <c r="J624" s="5" t="s">
        <v>185</v>
      </c>
      <c r="K624" s="5" t="s">
        <v>170</v>
      </c>
      <c r="L624" s="6">
        <v>45666</v>
      </c>
      <c r="M624" s="6">
        <v>45665</v>
      </c>
      <c r="N624" s="5" t="s">
        <v>811</v>
      </c>
      <c r="O624" s="5" t="str">
        <f ca="1">IF(P624&lt;&gt;"EXPEDIÇÃO","Expedido",IF(NETWORKDAYS(C624,TODAY())&gt;=5,"Risco Alto",IF(NETWORKDAYS(C624,TODAY())&gt;=3,IF(NETWORKDAYS(C624,TODAY())&lt;5,"Risco Médio",""),IF(NETWORKDAYS(C624,TODAY())&lt;=2,"Risco Baixo",""))))</f>
        <v>Expedido</v>
      </c>
      <c r="P624" s="5" t="s">
        <v>25</v>
      </c>
      <c r="S624" s="7">
        <f>IF(ISBLANK(M624),"Aguardando Previsão/Data",NETWORKDAYS(L624,M624)-1)</f>
        <v>-3</v>
      </c>
      <c r="T624" s="5" t="s">
        <v>942</v>
      </c>
    </row>
    <row r="625" spans="1:20" x14ac:dyDescent="0.35">
      <c r="A625" s="5">
        <v>8100270783</v>
      </c>
      <c r="B625" s="5">
        <v>12119</v>
      </c>
      <c r="C625" s="6">
        <v>45660</v>
      </c>
      <c r="D625" s="5" t="s">
        <v>158</v>
      </c>
      <c r="E625" s="5" t="s">
        <v>159</v>
      </c>
      <c r="F625" s="5" t="s">
        <v>176</v>
      </c>
      <c r="G625" s="5" t="s">
        <v>177</v>
      </c>
      <c r="H625" s="5" t="s">
        <v>108</v>
      </c>
      <c r="I625" s="5" t="s">
        <v>894</v>
      </c>
      <c r="J625" s="5" t="s">
        <v>348</v>
      </c>
      <c r="K625" s="5" t="s">
        <v>175</v>
      </c>
      <c r="L625" s="6">
        <v>45670</v>
      </c>
      <c r="M625" s="6">
        <v>45666</v>
      </c>
      <c r="N625" s="5" t="s">
        <v>811</v>
      </c>
      <c r="O625" s="5" t="str">
        <f ca="1">IF(P625&lt;&gt;"EXPEDIÇÃO","Expedido",IF(NETWORKDAYS(C625,TODAY())&gt;=5,"Risco Alto",IF(NETWORKDAYS(C625,TODAY())&gt;=3,IF(NETWORKDAYS(C625,TODAY())&lt;5,"Risco Médio",""),IF(NETWORKDAYS(C625,TODAY())&lt;=2,"Risco Baixo",""))))</f>
        <v>Expedido</v>
      </c>
      <c r="P625" s="5" t="s">
        <v>25</v>
      </c>
      <c r="S625" s="7">
        <f>IF(ISBLANK(M625),"Aguardando Previsão/Data",NETWORKDAYS(L625,M625)-1)</f>
        <v>-4</v>
      </c>
      <c r="T625" s="5" t="s">
        <v>942</v>
      </c>
    </row>
    <row r="626" spans="1:20" x14ac:dyDescent="0.35">
      <c r="A626" s="5">
        <v>8100270784</v>
      </c>
      <c r="B626" s="5">
        <v>12123</v>
      </c>
      <c r="C626" s="6">
        <v>45660</v>
      </c>
      <c r="D626" s="5" t="s">
        <v>158</v>
      </c>
      <c r="E626" s="5" t="s">
        <v>159</v>
      </c>
      <c r="F626" s="5" t="s">
        <v>176</v>
      </c>
      <c r="G626" s="5" t="s">
        <v>177</v>
      </c>
      <c r="H626" s="5" t="s">
        <v>108</v>
      </c>
      <c r="I626" s="5" t="s">
        <v>894</v>
      </c>
      <c r="J626" s="5" t="s">
        <v>895</v>
      </c>
      <c r="K626" s="5" t="s">
        <v>175</v>
      </c>
      <c r="L626" s="6">
        <v>45672</v>
      </c>
      <c r="M626" s="6">
        <v>45674</v>
      </c>
      <c r="N626" s="5" t="s">
        <v>812</v>
      </c>
      <c r="O626" s="5" t="str">
        <f ca="1">IF(P626&lt;&gt;"EXPEDIÇÃO","Expedido",IF(NETWORKDAYS(C626,TODAY())&gt;=5,"Risco Alto",IF(NETWORKDAYS(C626,TODAY())&gt;=3,IF(NETWORKDAYS(C626,TODAY())&lt;5,"Risco Médio",""),IF(NETWORKDAYS(C626,TODAY())&lt;=2,"Risco Baixo",""))))</f>
        <v>Expedido</v>
      </c>
      <c r="P626" s="5" t="s">
        <v>25</v>
      </c>
      <c r="Q626" s="5" t="s">
        <v>899</v>
      </c>
      <c r="S626" s="7">
        <f>IF(ISBLANK(M626),"Aguardando Previsão/Data",NETWORKDAYS(L626,M626)-1)</f>
        <v>2</v>
      </c>
      <c r="T626" s="5" t="s">
        <v>942</v>
      </c>
    </row>
    <row r="627" spans="1:20" x14ac:dyDescent="0.35">
      <c r="A627" s="5">
        <v>8100270785</v>
      </c>
      <c r="B627" s="5">
        <v>12122</v>
      </c>
      <c r="C627" s="6">
        <v>45660</v>
      </c>
      <c r="D627" s="5" t="s">
        <v>158</v>
      </c>
      <c r="E627" s="5" t="s">
        <v>159</v>
      </c>
      <c r="F627" s="5" t="s">
        <v>176</v>
      </c>
      <c r="G627" s="5" t="s">
        <v>177</v>
      </c>
      <c r="H627" s="5" t="s">
        <v>108</v>
      </c>
      <c r="I627" s="5" t="s">
        <v>909</v>
      </c>
      <c r="J627" s="5" t="s">
        <v>908</v>
      </c>
      <c r="K627" s="5" t="s">
        <v>170</v>
      </c>
      <c r="L627" s="6">
        <v>45667</v>
      </c>
      <c r="M627" s="6">
        <v>45666</v>
      </c>
      <c r="N627" s="5" t="s">
        <v>811</v>
      </c>
      <c r="O627" s="5" t="str">
        <f ca="1">IF(P627&lt;&gt;"EXPEDIÇÃO","Expedido",IF(NETWORKDAYS(C627,TODAY())&gt;=5,"Risco Alto",IF(NETWORKDAYS(C627,TODAY())&gt;=3,IF(NETWORKDAYS(C627,TODAY())&lt;5,"Risco Médio",""),IF(NETWORKDAYS(C627,TODAY())&lt;=2,"Risco Baixo",""))))</f>
        <v>Expedido</v>
      </c>
      <c r="P627" s="5" t="s">
        <v>25</v>
      </c>
      <c r="S627" s="7">
        <f>IF(ISBLANK(M627),"Aguardando Previsão/Data",NETWORKDAYS(L627,M627)-1)</f>
        <v>-3</v>
      </c>
      <c r="T627" s="5" t="s">
        <v>942</v>
      </c>
    </row>
    <row r="628" spans="1:20" x14ac:dyDescent="0.35">
      <c r="A628" s="5">
        <v>8100270786</v>
      </c>
      <c r="B628" s="5">
        <v>12132</v>
      </c>
      <c r="C628" s="6">
        <v>45660</v>
      </c>
      <c r="D628" s="5" t="s">
        <v>158</v>
      </c>
      <c r="E628" s="5" t="s">
        <v>159</v>
      </c>
      <c r="F628" s="5" t="s">
        <v>176</v>
      </c>
      <c r="G628" s="5" t="s">
        <v>177</v>
      </c>
      <c r="H628" s="5" t="s">
        <v>108</v>
      </c>
      <c r="I628" s="5" t="s">
        <v>1165</v>
      </c>
      <c r="J628" s="5" t="s">
        <v>1162</v>
      </c>
      <c r="K628" s="5" t="s">
        <v>175</v>
      </c>
      <c r="L628" s="6">
        <v>45671</v>
      </c>
      <c r="M628" s="6">
        <v>45670</v>
      </c>
      <c r="N628" s="5" t="s">
        <v>811</v>
      </c>
      <c r="O628" s="5" t="str">
        <f ca="1">IF(P628&lt;&gt;"EXPEDIÇÃO","Expedido",IF(NETWORKDAYS(C628,TODAY())&gt;=5,"Risco Alto",IF(NETWORKDAYS(C628,TODAY())&gt;=3,IF(NETWORKDAYS(C628,TODAY())&lt;5,"Risco Médio",""),IF(NETWORKDAYS(C628,TODAY())&lt;=2,"Risco Baixo",""))))</f>
        <v>Expedido</v>
      </c>
      <c r="P628" s="5" t="s">
        <v>25</v>
      </c>
      <c r="S628" s="7">
        <f>IF(ISBLANK(M628),"Aguardando Previsão/Data",NETWORKDAYS(L628,M628)-1)</f>
        <v>-3</v>
      </c>
      <c r="T628" s="5" t="s">
        <v>942</v>
      </c>
    </row>
    <row r="629" spans="1:20" x14ac:dyDescent="0.35">
      <c r="A629" s="5">
        <v>8100270787</v>
      </c>
      <c r="B629" s="5">
        <v>12125</v>
      </c>
      <c r="C629" s="6">
        <v>45660</v>
      </c>
      <c r="D629" s="5" t="s">
        <v>158</v>
      </c>
      <c r="E629" s="5" t="s">
        <v>159</v>
      </c>
      <c r="F629" s="5" t="s">
        <v>176</v>
      </c>
      <c r="G629" s="5" t="s">
        <v>177</v>
      </c>
      <c r="H629" s="5" t="s">
        <v>108</v>
      </c>
      <c r="I629" s="5" t="s">
        <v>929</v>
      </c>
      <c r="J629" s="5" t="s">
        <v>348</v>
      </c>
      <c r="K629" s="5" t="s">
        <v>175</v>
      </c>
      <c r="L629" s="6">
        <v>45670</v>
      </c>
      <c r="M629" s="6">
        <v>45666</v>
      </c>
      <c r="N629" s="5" t="s">
        <v>811</v>
      </c>
      <c r="O629" s="5" t="str">
        <f ca="1">IF(P629&lt;&gt;"EXPEDIÇÃO","Expedido",IF(NETWORKDAYS(C629,TODAY())&gt;=5,"Risco Alto",IF(NETWORKDAYS(C629,TODAY())&gt;=3,IF(NETWORKDAYS(C629,TODAY())&lt;5,"Risco Médio",""),IF(NETWORKDAYS(C629,TODAY())&lt;=2,"Risco Baixo",""))))</f>
        <v>Expedido</v>
      </c>
      <c r="P629" s="5" t="s">
        <v>25</v>
      </c>
      <c r="S629" s="7">
        <f>IF(ISBLANK(M629),"Aguardando Previsão/Data",NETWORKDAYS(L629,M629)-1)</f>
        <v>-4</v>
      </c>
      <c r="T629" s="5" t="s">
        <v>942</v>
      </c>
    </row>
    <row r="630" spans="1:20" x14ac:dyDescent="0.35">
      <c r="A630" s="5">
        <v>8100270788</v>
      </c>
      <c r="B630" s="5">
        <v>12126</v>
      </c>
      <c r="C630" s="6">
        <v>45660</v>
      </c>
      <c r="D630" s="5" t="s">
        <v>158</v>
      </c>
      <c r="E630" s="5" t="s">
        <v>159</v>
      </c>
      <c r="F630" s="5" t="s">
        <v>176</v>
      </c>
      <c r="G630" s="5" t="s">
        <v>177</v>
      </c>
      <c r="H630" s="5" t="s">
        <v>108</v>
      </c>
      <c r="I630" s="5" t="s">
        <v>929</v>
      </c>
      <c r="J630" s="5" t="s">
        <v>455</v>
      </c>
      <c r="K630" s="5" t="s">
        <v>175</v>
      </c>
      <c r="L630" s="6">
        <v>45671</v>
      </c>
      <c r="M630" s="6">
        <v>45670</v>
      </c>
      <c r="N630" s="5" t="s">
        <v>811</v>
      </c>
      <c r="O630" s="5" t="str">
        <f ca="1">IF(P630&lt;&gt;"EXPEDIÇÃO","Expedido",IF(NETWORKDAYS(C630,TODAY())&gt;=5,"Risco Alto",IF(NETWORKDAYS(C630,TODAY())&gt;=3,IF(NETWORKDAYS(C630,TODAY())&lt;5,"Risco Médio",""),IF(NETWORKDAYS(C630,TODAY())&lt;=2,"Risco Baixo",""))))</f>
        <v>Expedido</v>
      </c>
      <c r="P630" s="5" t="s">
        <v>25</v>
      </c>
      <c r="S630" s="7">
        <f>IF(ISBLANK(M630),"Aguardando Previsão/Data",NETWORKDAYS(L630,M630)-1)</f>
        <v>-3</v>
      </c>
      <c r="T630" s="5" t="s">
        <v>942</v>
      </c>
    </row>
    <row r="631" spans="1:20" x14ac:dyDescent="0.35">
      <c r="A631" s="5">
        <v>8100270789</v>
      </c>
      <c r="B631" s="5">
        <v>12130</v>
      </c>
      <c r="C631" s="6">
        <v>45660</v>
      </c>
      <c r="D631" s="5" t="s">
        <v>158</v>
      </c>
      <c r="E631" s="5" t="s">
        <v>159</v>
      </c>
      <c r="F631" s="5" t="s">
        <v>176</v>
      </c>
      <c r="G631" s="5" t="s">
        <v>177</v>
      </c>
      <c r="H631" s="5" t="s">
        <v>108</v>
      </c>
      <c r="I631" s="5" t="s">
        <v>929</v>
      </c>
      <c r="J631" s="5" t="s">
        <v>455</v>
      </c>
      <c r="K631" s="5" t="s">
        <v>175</v>
      </c>
      <c r="L631" s="6">
        <v>45671</v>
      </c>
      <c r="M631" s="6">
        <v>45670</v>
      </c>
      <c r="N631" s="5" t="s">
        <v>811</v>
      </c>
      <c r="O631" s="5" t="str">
        <f ca="1">IF(P631&lt;&gt;"EXPEDIÇÃO","Expedido",IF(NETWORKDAYS(C631,TODAY())&gt;=5,"Risco Alto",IF(NETWORKDAYS(C631,TODAY())&gt;=3,IF(NETWORKDAYS(C631,TODAY())&lt;5,"Risco Médio",""),IF(NETWORKDAYS(C631,TODAY())&lt;=2,"Risco Baixo",""))))</f>
        <v>Expedido</v>
      </c>
      <c r="P631" s="5" t="s">
        <v>25</v>
      </c>
      <c r="S631" s="7">
        <f>IF(ISBLANK(M631),"Aguardando Previsão/Data",NETWORKDAYS(L631,M631)-1)</f>
        <v>-3</v>
      </c>
      <c r="T631" s="5" t="s">
        <v>942</v>
      </c>
    </row>
    <row r="632" spans="1:20" x14ac:dyDescent="0.35">
      <c r="A632" s="5">
        <v>8100270790</v>
      </c>
      <c r="B632" s="5">
        <v>12131</v>
      </c>
      <c r="C632" s="6">
        <v>45660</v>
      </c>
      <c r="D632" s="5" t="s">
        <v>158</v>
      </c>
      <c r="E632" s="5" t="s">
        <v>159</v>
      </c>
      <c r="F632" s="5" t="s">
        <v>176</v>
      </c>
      <c r="G632" s="5" t="s">
        <v>177</v>
      </c>
      <c r="H632" s="5" t="s">
        <v>108</v>
      </c>
      <c r="I632" s="5" t="s">
        <v>907</v>
      </c>
      <c r="J632" s="5" t="s">
        <v>908</v>
      </c>
      <c r="K632" s="5" t="s">
        <v>170</v>
      </c>
      <c r="L632" s="6">
        <v>45667</v>
      </c>
      <c r="M632" s="6">
        <v>45666</v>
      </c>
      <c r="N632" s="5" t="s">
        <v>811</v>
      </c>
      <c r="O632" s="5" t="str">
        <f ca="1">IF(P632&lt;&gt;"EXPEDIÇÃO","Expedido",IF(NETWORKDAYS(C632,TODAY())&gt;=5,"Risco Alto",IF(NETWORKDAYS(C632,TODAY())&gt;=3,IF(NETWORKDAYS(C632,TODAY())&lt;5,"Risco Médio",""),IF(NETWORKDAYS(C632,TODAY())&lt;=2,"Risco Baixo",""))))</f>
        <v>Expedido</v>
      </c>
      <c r="P632" s="5" t="s">
        <v>25</v>
      </c>
      <c r="S632" s="7">
        <f>IF(ISBLANK(M632),"Aguardando Previsão/Data",NETWORKDAYS(L632,M632)-1)</f>
        <v>-3</v>
      </c>
      <c r="T632" s="5" t="s">
        <v>942</v>
      </c>
    </row>
    <row r="633" spans="1:20" x14ac:dyDescent="0.35">
      <c r="A633" s="5">
        <v>8100270791</v>
      </c>
      <c r="B633" s="5">
        <v>12120</v>
      </c>
      <c r="C633" s="6">
        <v>45660</v>
      </c>
      <c r="D633" s="5" t="s">
        <v>158</v>
      </c>
      <c r="E633" s="5" t="s">
        <v>159</v>
      </c>
      <c r="F633" s="5" t="s">
        <v>176</v>
      </c>
      <c r="G633" s="5" t="s">
        <v>177</v>
      </c>
      <c r="H633" s="5" t="s">
        <v>108</v>
      </c>
      <c r="I633" s="5" t="s">
        <v>915</v>
      </c>
      <c r="J633" s="5" t="s">
        <v>455</v>
      </c>
      <c r="K633" s="5" t="s">
        <v>175</v>
      </c>
      <c r="L633" s="6">
        <v>45671</v>
      </c>
      <c r="M633" s="6">
        <v>45670</v>
      </c>
      <c r="N633" s="5" t="s">
        <v>811</v>
      </c>
      <c r="O633" s="5" t="str">
        <f ca="1">IF(P633&lt;&gt;"EXPEDIÇÃO","Expedido",IF(NETWORKDAYS(C633,TODAY())&gt;=5,"Risco Alto",IF(NETWORKDAYS(C633,TODAY())&gt;=3,IF(NETWORKDAYS(C633,TODAY())&lt;5,"Risco Médio",""),IF(NETWORKDAYS(C633,TODAY())&lt;=2,"Risco Baixo",""))))</f>
        <v>Expedido</v>
      </c>
      <c r="P633" s="5" t="s">
        <v>25</v>
      </c>
      <c r="S633" s="7">
        <f>IF(ISBLANK(M633),"Aguardando Previsão/Data",NETWORKDAYS(L633,M633)-1)</f>
        <v>-3</v>
      </c>
      <c r="T633" s="5" t="s">
        <v>942</v>
      </c>
    </row>
    <row r="634" spans="1:20" x14ac:dyDescent="0.35">
      <c r="A634" s="5">
        <v>8100270792</v>
      </c>
      <c r="B634" s="5">
        <v>12118</v>
      </c>
      <c r="C634" s="6">
        <v>45660</v>
      </c>
      <c r="D634" s="5" t="s">
        <v>158</v>
      </c>
      <c r="E634" s="5" t="s">
        <v>159</v>
      </c>
      <c r="F634" s="5" t="s">
        <v>176</v>
      </c>
      <c r="G634" s="5" t="s">
        <v>177</v>
      </c>
      <c r="H634" s="5" t="s">
        <v>108</v>
      </c>
      <c r="I634" s="5" t="s">
        <v>915</v>
      </c>
      <c r="J634" s="5" t="s">
        <v>301</v>
      </c>
      <c r="K634" s="5" t="s">
        <v>175</v>
      </c>
      <c r="L634" s="6">
        <v>45670</v>
      </c>
      <c r="M634" s="6">
        <v>45667</v>
      </c>
      <c r="N634" s="5" t="s">
        <v>811</v>
      </c>
      <c r="O634" s="5" t="str">
        <f ca="1">IF(P634&lt;&gt;"EXPEDIÇÃO","Expedido",IF(NETWORKDAYS(C634,TODAY())&gt;=5,"Risco Alto",IF(NETWORKDAYS(C634,TODAY())&gt;=3,IF(NETWORKDAYS(C634,TODAY())&lt;5,"Risco Médio",""),IF(NETWORKDAYS(C634,TODAY())&lt;=2,"Risco Baixo",""))))</f>
        <v>Expedido</v>
      </c>
      <c r="P634" s="5" t="s">
        <v>25</v>
      </c>
      <c r="S634" s="7">
        <f>IF(ISBLANK(M634),"Aguardando Previsão/Data",NETWORKDAYS(L634,M634)-1)</f>
        <v>-3</v>
      </c>
      <c r="T634" s="5" t="s">
        <v>942</v>
      </c>
    </row>
    <row r="635" spans="1:20" x14ac:dyDescent="0.35">
      <c r="A635" s="5">
        <v>8100270793</v>
      </c>
      <c r="B635" s="5">
        <v>12121</v>
      </c>
      <c r="C635" s="6">
        <v>45660</v>
      </c>
      <c r="D635" s="5" t="s">
        <v>158</v>
      </c>
      <c r="E635" s="5" t="s">
        <v>159</v>
      </c>
      <c r="F635" s="5" t="s">
        <v>176</v>
      </c>
      <c r="G635" s="5" t="s">
        <v>177</v>
      </c>
      <c r="H635" s="5" t="s">
        <v>108</v>
      </c>
      <c r="I635" s="5" t="s">
        <v>915</v>
      </c>
      <c r="J635" s="5" t="s">
        <v>1145</v>
      </c>
      <c r="K635" s="5" t="s">
        <v>170</v>
      </c>
      <c r="L635" s="6">
        <v>45667</v>
      </c>
      <c r="M635" s="6">
        <v>45666</v>
      </c>
      <c r="N635" s="5" t="s">
        <v>811</v>
      </c>
      <c r="O635" s="5" t="str">
        <f ca="1">IF(P635&lt;&gt;"EXPEDIÇÃO","Expedido",IF(NETWORKDAYS(C635,TODAY())&gt;=5,"Risco Alto",IF(NETWORKDAYS(C635,TODAY())&gt;=3,IF(NETWORKDAYS(C635,TODAY())&lt;5,"Risco Médio",""),IF(NETWORKDAYS(C635,TODAY())&lt;=2,"Risco Baixo",""))))</f>
        <v>Expedido</v>
      </c>
      <c r="P635" s="5" t="s">
        <v>25</v>
      </c>
      <c r="S635" s="7">
        <f>IF(ISBLANK(M635),"Aguardando Previsão/Data",NETWORKDAYS(L635,M635)-1)</f>
        <v>-3</v>
      </c>
      <c r="T635" s="5" t="s">
        <v>942</v>
      </c>
    </row>
    <row r="636" spans="1:20" x14ac:dyDescent="0.35">
      <c r="A636" s="5">
        <v>8100270794</v>
      </c>
      <c r="B636" s="5">
        <v>12133</v>
      </c>
      <c r="C636" s="6">
        <v>45660</v>
      </c>
      <c r="D636" s="5" t="s">
        <v>158</v>
      </c>
      <c r="E636" s="5" t="s">
        <v>159</v>
      </c>
      <c r="F636" s="5" t="s">
        <v>176</v>
      </c>
      <c r="G636" s="5" t="s">
        <v>177</v>
      </c>
      <c r="H636" s="5" t="s">
        <v>108</v>
      </c>
      <c r="I636" s="5" t="s">
        <v>1161</v>
      </c>
      <c r="J636" s="5" t="s">
        <v>908</v>
      </c>
      <c r="K636" s="5" t="s">
        <v>170</v>
      </c>
      <c r="L636" s="6">
        <v>45667</v>
      </c>
      <c r="M636" s="6">
        <v>45666</v>
      </c>
      <c r="N636" s="5" t="s">
        <v>811</v>
      </c>
      <c r="O636" s="5" t="str">
        <f ca="1">IF(P636&lt;&gt;"EXPEDIÇÃO","Expedido",IF(NETWORKDAYS(C636,TODAY())&gt;=5,"Risco Alto",IF(NETWORKDAYS(C636,TODAY())&gt;=3,IF(NETWORKDAYS(C636,TODAY())&lt;5,"Risco Médio",""),IF(NETWORKDAYS(C636,TODAY())&lt;=2,"Risco Baixo",""))))</f>
        <v>Expedido</v>
      </c>
      <c r="P636" s="5" t="s">
        <v>25</v>
      </c>
      <c r="S636" s="7">
        <f>IF(ISBLANK(M636),"Aguardando Previsão/Data",NETWORKDAYS(L636,M636)-1)</f>
        <v>-3</v>
      </c>
      <c r="T636" s="5" t="s">
        <v>942</v>
      </c>
    </row>
    <row r="637" spans="1:20" x14ac:dyDescent="0.35">
      <c r="A637" s="5">
        <v>8100270798</v>
      </c>
      <c r="B637" s="5">
        <v>12124</v>
      </c>
      <c r="C637" s="6">
        <v>45660</v>
      </c>
      <c r="D637" s="5" t="s">
        <v>158</v>
      </c>
      <c r="E637" s="5" t="s">
        <v>159</v>
      </c>
      <c r="F637" s="5" t="s">
        <v>176</v>
      </c>
      <c r="G637" s="5" t="s">
        <v>177</v>
      </c>
      <c r="H637" s="5" t="s">
        <v>108</v>
      </c>
      <c r="I637" s="5" t="s">
        <v>1166</v>
      </c>
      <c r="J637" s="5" t="s">
        <v>455</v>
      </c>
      <c r="K637" s="5" t="s">
        <v>175</v>
      </c>
      <c r="L637" s="6">
        <v>45671</v>
      </c>
      <c r="M637" s="6">
        <v>45670</v>
      </c>
      <c r="N637" s="5" t="s">
        <v>811</v>
      </c>
      <c r="O637" s="5" t="str">
        <f ca="1">IF(P637&lt;&gt;"EXPEDIÇÃO","Expedido",IF(NETWORKDAYS(C637,TODAY())&gt;=5,"Risco Alto",IF(NETWORKDAYS(C637,TODAY())&gt;=3,IF(NETWORKDAYS(C637,TODAY())&lt;5,"Risco Médio",""),IF(NETWORKDAYS(C637,TODAY())&lt;=2,"Risco Baixo",""))))</f>
        <v>Expedido</v>
      </c>
      <c r="P637" s="5" t="s">
        <v>25</v>
      </c>
      <c r="S637" s="7">
        <f>IF(ISBLANK(M637),"Aguardando Previsão/Data",NETWORKDAYS(L637,M637)-1)</f>
        <v>-3</v>
      </c>
      <c r="T637" s="5" t="s">
        <v>942</v>
      </c>
    </row>
    <row r="638" spans="1:20" x14ac:dyDescent="0.35">
      <c r="A638" s="5">
        <v>8100270799</v>
      </c>
      <c r="B638" s="5">
        <v>12128</v>
      </c>
      <c r="C638" s="6">
        <v>45660</v>
      </c>
      <c r="D638" s="5" t="s">
        <v>158</v>
      </c>
      <c r="E638" s="5" t="s">
        <v>159</v>
      </c>
      <c r="F638" s="5" t="s">
        <v>176</v>
      </c>
      <c r="G638" s="5" t="s">
        <v>177</v>
      </c>
      <c r="H638" s="5" t="s">
        <v>108</v>
      </c>
      <c r="I638" s="5" t="s">
        <v>915</v>
      </c>
      <c r="J638" s="5" t="s">
        <v>455</v>
      </c>
      <c r="K638" s="5" t="s">
        <v>175</v>
      </c>
      <c r="L638" s="6">
        <v>45671</v>
      </c>
      <c r="M638" s="6">
        <v>45670</v>
      </c>
      <c r="N638" s="5" t="s">
        <v>811</v>
      </c>
      <c r="O638" s="5" t="str">
        <f ca="1">IF(P638&lt;&gt;"EXPEDIÇÃO","Expedido",IF(NETWORKDAYS(C638,TODAY())&gt;=5,"Risco Alto",IF(NETWORKDAYS(C638,TODAY())&gt;=3,IF(NETWORKDAYS(C638,TODAY())&lt;5,"Risco Médio",""),IF(NETWORKDAYS(C638,TODAY())&lt;=2,"Risco Baixo",""))))</f>
        <v>Expedido</v>
      </c>
      <c r="P638" s="5" t="s">
        <v>25</v>
      </c>
      <c r="S638" s="7">
        <f>IF(ISBLANK(M638),"Aguardando Previsão/Data",NETWORKDAYS(L638,M638)-1)</f>
        <v>-3</v>
      </c>
      <c r="T638" s="5" t="s">
        <v>942</v>
      </c>
    </row>
    <row r="639" spans="1:20" x14ac:dyDescent="0.35">
      <c r="A639" s="5">
        <v>8100270800</v>
      </c>
      <c r="B639" s="5">
        <v>12127</v>
      </c>
      <c r="C639" s="6">
        <v>45660</v>
      </c>
      <c r="D639" s="5" t="s">
        <v>158</v>
      </c>
      <c r="E639" s="5" t="s">
        <v>159</v>
      </c>
      <c r="F639" s="5" t="s">
        <v>176</v>
      </c>
      <c r="G639" s="5" t="s">
        <v>177</v>
      </c>
      <c r="H639" s="5" t="s">
        <v>108</v>
      </c>
      <c r="I639" s="5" t="s">
        <v>915</v>
      </c>
      <c r="J639" s="5" t="s">
        <v>301</v>
      </c>
      <c r="K639" s="5" t="s">
        <v>175</v>
      </c>
      <c r="L639" s="6">
        <v>45670</v>
      </c>
      <c r="M639" s="6">
        <v>45667</v>
      </c>
      <c r="N639" s="5" t="s">
        <v>811</v>
      </c>
      <c r="O639" s="5" t="str">
        <f ca="1">IF(P639&lt;&gt;"EXPEDIÇÃO","Expedido",IF(NETWORKDAYS(C639,TODAY())&gt;=5,"Risco Alto",IF(NETWORKDAYS(C639,TODAY())&gt;=3,IF(NETWORKDAYS(C639,TODAY())&lt;5,"Risco Médio",""),IF(NETWORKDAYS(C639,TODAY())&lt;=2,"Risco Baixo",""))))</f>
        <v>Expedido</v>
      </c>
      <c r="P639" s="5" t="s">
        <v>25</v>
      </c>
      <c r="S639" s="7">
        <f>IF(ISBLANK(M639),"Aguardando Previsão/Data",NETWORKDAYS(L639,M639)-1)</f>
        <v>-3</v>
      </c>
      <c r="T639" s="5" t="s">
        <v>942</v>
      </c>
    </row>
    <row r="640" spans="1:20" x14ac:dyDescent="0.35">
      <c r="A640" s="5">
        <v>8100270821</v>
      </c>
      <c r="B640" s="5">
        <v>12114</v>
      </c>
      <c r="C640" s="6">
        <v>45660</v>
      </c>
      <c r="D640" s="5" t="s">
        <v>158</v>
      </c>
      <c r="E640" s="5" t="s">
        <v>159</v>
      </c>
      <c r="F640" s="5" t="s">
        <v>79</v>
      </c>
      <c r="G640" s="5" t="s">
        <v>80</v>
      </c>
      <c r="H640" s="5" t="s">
        <v>108</v>
      </c>
      <c r="I640" s="5" t="s">
        <v>401</v>
      </c>
      <c r="J640" s="5" t="s">
        <v>402</v>
      </c>
      <c r="K640" s="5" t="s">
        <v>80</v>
      </c>
      <c r="L640" s="6">
        <v>45667</v>
      </c>
      <c r="M640" s="6">
        <v>45671</v>
      </c>
      <c r="N640" s="5" t="s">
        <v>812</v>
      </c>
      <c r="O640" s="5" t="str">
        <f ca="1">IF(P640&lt;&gt;"EXPEDIÇÃO","Expedido",IF(NETWORKDAYS(C640,TODAY())&gt;=5,"Risco Alto",IF(NETWORKDAYS(C640,TODAY())&gt;=3,IF(NETWORKDAYS(C640,TODAY())&lt;5,"Risco Médio",""),IF(NETWORKDAYS(C640,TODAY())&lt;=2,"Risco Baixo",""))))</f>
        <v>Expedido</v>
      </c>
      <c r="P640" s="5" t="s">
        <v>25</v>
      </c>
      <c r="Q640" s="5" t="s">
        <v>820</v>
      </c>
      <c r="S640" s="7">
        <f>IF(ISBLANK(M640),"Aguardando Previsão/Data",NETWORKDAYS(L640,M640)-1)</f>
        <v>2</v>
      </c>
      <c r="T640" s="5" t="s">
        <v>942</v>
      </c>
    </row>
    <row r="641" spans="1:20" x14ac:dyDescent="0.35">
      <c r="A641" s="5">
        <v>8100270827</v>
      </c>
      <c r="B641" s="5">
        <v>12129</v>
      </c>
      <c r="C641" s="6">
        <v>45660</v>
      </c>
      <c r="D641" s="5" t="s">
        <v>158</v>
      </c>
      <c r="E641" s="5" t="s">
        <v>159</v>
      </c>
      <c r="F641" s="5" t="s">
        <v>176</v>
      </c>
      <c r="G641" s="5" t="s">
        <v>177</v>
      </c>
      <c r="H641" s="5" t="s">
        <v>108</v>
      </c>
      <c r="I641" s="5" t="s">
        <v>1166</v>
      </c>
      <c r="J641" s="5" t="s">
        <v>455</v>
      </c>
      <c r="K641" s="5" t="s">
        <v>175</v>
      </c>
      <c r="L641" s="6">
        <v>45671</v>
      </c>
      <c r="M641" s="6">
        <v>45670</v>
      </c>
      <c r="N641" s="5" t="s">
        <v>811</v>
      </c>
      <c r="O641" s="5" t="str">
        <f ca="1">IF(P641&lt;&gt;"EXPEDIÇÃO","Expedido",IF(NETWORKDAYS(C641,TODAY())&gt;=5,"Risco Alto",IF(NETWORKDAYS(C641,TODAY())&gt;=3,IF(NETWORKDAYS(C641,TODAY())&lt;5,"Risco Médio",""),IF(NETWORKDAYS(C641,TODAY())&lt;=2,"Risco Baixo",""))))</f>
        <v>Expedido</v>
      </c>
      <c r="P641" s="5" t="s">
        <v>25</v>
      </c>
      <c r="S641" s="7">
        <f>IF(ISBLANK(M641),"Aguardando Previsão/Data",NETWORKDAYS(L641,M641)-1)</f>
        <v>-3</v>
      </c>
      <c r="T641" s="5" t="s">
        <v>942</v>
      </c>
    </row>
    <row r="642" spans="1:20" x14ac:dyDescent="0.35">
      <c r="A642" s="5">
        <v>8100271176</v>
      </c>
      <c r="B642" s="5">
        <v>17230</v>
      </c>
      <c r="C642" s="6">
        <v>45663</v>
      </c>
      <c r="D642" s="5" t="s">
        <v>51</v>
      </c>
      <c r="E642" s="5" t="s">
        <v>52</v>
      </c>
      <c r="F642" s="5" t="s">
        <v>66</v>
      </c>
      <c r="G642" s="5" t="s">
        <v>67</v>
      </c>
      <c r="H642" s="5" t="s">
        <v>21</v>
      </c>
      <c r="I642" s="5" t="s">
        <v>528</v>
      </c>
      <c r="J642" s="5" t="s">
        <v>268</v>
      </c>
      <c r="K642" s="5" t="s">
        <v>57</v>
      </c>
      <c r="L642" s="6">
        <v>45671</v>
      </c>
      <c r="M642" s="6">
        <v>45670</v>
      </c>
      <c r="N642" s="5" t="s">
        <v>811</v>
      </c>
      <c r="O642" s="5" t="str">
        <f ca="1">IF(P642&lt;&gt;"EXPEDIÇÃO","Expedido",IF(NETWORKDAYS(C642,TODAY())&gt;=5,"Risco Alto",IF(NETWORKDAYS(C642,TODAY())&gt;=3,IF(NETWORKDAYS(C642,TODAY())&lt;5,"Risco Médio",""),IF(NETWORKDAYS(C642,TODAY())&lt;=2,"Risco Baixo",""))))</f>
        <v>Expedido</v>
      </c>
      <c r="P642" s="5" t="s">
        <v>25</v>
      </c>
      <c r="S642" s="7">
        <f>IF(ISBLANK(M642),"Aguardando Previsão/Data",NETWORKDAYS(L642,M642)-1)</f>
        <v>-3</v>
      </c>
      <c r="T642" s="5" t="s">
        <v>942</v>
      </c>
    </row>
    <row r="643" spans="1:20" x14ac:dyDescent="0.35">
      <c r="A643" s="5">
        <v>8100271177</v>
      </c>
      <c r="B643" s="5">
        <v>17228</v>
      </c>
      <c r="C643" s="6">
        <v>45663</v>
      </c>
      <c r="D643" s="5" t="s">
        <v>51</v>
      </c>
      <c r="E643" s="5" t="s">
        <v>52</v>
      </c>
      <c r="F643" s="5" t="s">
        <v>329</v>
      </c>
      <c r="G643" s="5" t="s">
        <v>330</v>
      </c>
      <c r="H643" s="5" t="s">
        <v>21</v>
      </c>
      <c r="I643" s="5" t="s">
        <v>675</v>
      </c>
      <c r="J643" s="5" t="s">
        <v>676</v>
      </c>
      <c r="K643" s="5" t="s">
        <v>57</v>
      </c>
      <c r="L643" s="6">
        <v>45666</v>
      </c>
      <c r="M643" s="6">
        <v>45665</v>
      </c>
      <c r="N643" s="5" t="s">
        <v>811</v>
      </c>
      <c r="O643" s="5" t="str">
        <f ca="1">IF(P643&lt;&gt;"EXPEDIÇÃO","Expedido",IF(NETWORKDAYS(C643,TODAY())&gt;=5,"Risco Alto",IF(NETWORKDAYS(C643,TODAY())&gt;=3,IF(NETWORKDAYS(C643,TODAY())&lt;5,"Risco Médio",""),IF(NETWORKDAYS(C643,TODAY())&lt;=2,"Risco Baixo",""))))</f>
        <v>Expedido</v>
      </c>
      <c r="P643" s="5" t="s">
        <v>25</v>
      </c>
      <c r="S643" s="7">
        <f>IF(ISBLANK(M643),"Aguardando Previsão/Data",NETWORKDAYS(L643,M643)-1)</f>
        <v>-3</v>
      </c>
      <c r="T643" s="5" t="s">
        <v>942</v>
      </c>
    </row>
    <row r="644" spans="1:20" x14ac:dyDescent="0.35">
      <c r="A644" s="5">
        <v>8100271178</v>
      </c>
      <c r="B644" s="5">
        <v>17229</v>
      </c>
      <c r="C644" s="6">
        <v>45663</v>
      </c>
      <c r="D644" s="5" t="s">
        <v>51</v>
      </c>
      <c r="E644" s="5" t="s">
        <v>52</v>
      </c>
      <c r="F644" s="5" t="s">
        <v>66</v>
      </c>
      <c r="G644" s="5" t="s">
        <v>67</v>
      </c>
      <c r="H644" s="5" t="s">
        <v>21</v>
      </c>
      <c r="I644" s="5" t="s">
        <v>1174</v>
      </c>
      <c r="J644" s="5" t="s">
        <v>1055</v>
      </c>
      <c r="K644" s="5" t="s">
        <v>57</v>
      </c>
      <c r="L644" s="6">
        <v>45671</v>
      </c>
      <c r="M644" s="6">
        <v>45670</v>
      </c>
      <c r="N644" s="5" t="s">
        <v>811</v>
      </c>
      <c r="O644" s="5" t="str">
        <f ca="1">IF(P644&lt;&gt;"EXPEDIÇÃO","Expedido",IF(NETWORKDAYS(C644,TODAY())&gt;=5,"Risco Alto",IF(NETWORKDAYS(C644,TODAY())&gt;=3,IF(NETWORKDAYS(C644,TODAY())&lt;5,"Risco Médio",""),IF(NETWORKDAYS(C644,TODAY())&lt;=2,"Risco Baixo",""))))</f>
        <v>Expedido</v>
      </c>
      <c r="P644" s="5" t="s">
        <v>25</v>
      </c>
      <c r="S644" s="7">
        <f>IF(ISBLANK(M644),"Aguardando Previsão/Data",NETWORKDAYS(L644,M644)-1)</f>
        <v>-3</v>
      </c>
      <c r="T644" s="5" t="s">
        <v>942</v>
      </c>
    </row>
    <row r="645" spans="1:20" x14ac:dyDescent="0.35">
      <c r="A645" s="5">
        <v>8100271442</v>
      </c>
      <c r="B645" s="5">
        <v>17233</v>
      </c>
      <c r="C645" s="6">
        <v>45663</v>
      </c>
      <c r="D645" s="5" t="s">
        <v>51</v>
      </c>
      <c r="E645" s="5" t="s">
        <v>52</v>
      </c>
      <c r="F645" s="5" t="s">
        <v>58</v>
      </c>
      <c r="G645" s="5" t="s">
        <v>59</v>
      </c>
      <c r="H645" s="5" t="s">
        <v>21</v>
      </c>
      <c r="I645" s="5" t="s">
        <v>410</v>
      </c>
      <c r="J645" s="5" t="s">
        <v>611</v>
      </c>
      <c r="K645" s="5" t="s">
        <v>57</v>
      </c>
      <c r="L645" s="6">
        <v>45667</v>
      </c>
      <c r="M645" s="6">
        <v>45665</v>
      </c>
      <c r="N645" s="5" t="s">
        <v>811</v>
      </c>
      <c r="O645" s="5" t="str">
        <f ca="1">IF(P645&lt;&gt;"EXPEDIÇÃO","Expedido",IF(NETWORKDAYS(C645,TODAY())&gt;=5,"Risco Alto",IF(NETWORKDAYS(C645,TODAY())&gt;=3,IF(NETWORKDAYS(C645,TODAY())&lt;5,"Risco Médio",""),IF(NETWORKDAYS(C645,TODAY())&lt;=2,"Risco Baixo",""))))</f>
        <v>Expedido</v>
      </c>
      <c r="P645" s="5" t="s">
        <v>25</v>
      </c>
      <c r="S645" s="7">
        <f>IF(ISBLANK(M645),"Aguardando Previsão/Data",NETWORKDAYS(L645,M645)-1)</f>
        <v>-4</v>
      </c>
      <c r="T645" s="5" t="s">
        <v>942</v>
      </c>
    </row>
    <row r="646" spans="1:20" x14ac:dyDescent="0.35">
      <c r="A646" s="5">
        <v>8100271443</v>
      </c>
      <c r="B646" s="5">
        <v>17231</v>
      </c>
      <c r="C646" s="6">
        <v>45663</v>
      </c>
      <c r="D646" s="5" t="s">
        <v>51</v>
      </c>
      <c r="E646" s="5" t="s">
        <v>52</v>
      </c>
      <c r="F646" s="5" t="s">
        <v>329</v>
      </c>
      <c r="G646" s="5" t="s">
        <v>330</v>
      </c>
      <c r="H646" s="5" t="s">
        <v>21</v>
      </c>
      <c r="I646" s="5" t="s">
        <v>675</v>
      </c>
      <c r="J646" s="5" t="s">
        <v>676</v>
      </c>
      <c r="K646" s="5" t="s">
        <v>57</v>
      </c>
      <c r="L646" s="6">
        <v>45666</v>
      </c>
      <c r="M646" s="6">
        <v>45665</v>
      </c>
      <c r="N646" s="5" t="s">
        <v>811</v>
      </c>
      <c r="O646" s="5" t="str">
        <f ca="1">IF(P646&lt;&gt;"EXPEDIÇÃO","Expedido",IF(NETWORKDAYS(C646,TODAY())&gt;=5,"Risco Alto",IF(NETWORKDAYS(C646,TODAY())&gt;=3,IF(NETWORKDAYS(C646,TODAY())&lt;5,"Risco Médio",""),IF(NETWORKDAYS(C646,TODAY())&lt;=2,"Risco Baixo",""))))</f>
        <v>Expedido</v>
      </c>
      <c r="P646" s="5" t="s">
        <v>25</v>
      </c>
      <c r="S646" s="7">
        <f>IF(ISBLANK(M646),"Aguardando Previsão/Data",NETWORKDAYS(L646,M646)-1)</f>
        <v>-3</v>
      </c>
      <c r="T646" s="5" t="s">
        <v>942</v>
      </c>
    </row>
    <row r="647" spans="1:20" x14ac:dyDescent="0.35">
      <c r="A647" s="5">
        <v>8100271444</v>
      </c>
      <c r="B647" s="5">
        <v>17232</v>
      </c>
      <c r="C647" s="6">
        <v>45663</v>
      </c>
      <c r="D647" s="5" t="s">
        <v>51</v>
      </c>
      <c r="E647" s="5" t="s">
        <v>52</v>
      </c>
      <c r="F647" s="5" t="s">
        <v>329</v>
      </c>
      <c r="G647" s="5" t="s">
        <v>330</v>
      </c>
      <c r="H647" s="5" t="s">
        <v>21</v>
      </c>
      <c r="I647" s="5" t="s">
        <v>675</v>
      </c>
      <c r="J647" s="5" t="s">
        <v>676</v>
      </c>
      <c r="K647" s="5" t="s">
        <v>57</v>
      </c>
      <c r="L647" s="6">
        <v>45666</v>
      </c>
      <c r="M647" s="6">
        <v>45665</v>
      </c>
      <c r="N647" s="5" t="s">
        <v>811</v>
      </c>
      <c r="O647" s="5" t="str">
        <f ca="1">IF(P647&lt;&gt;"EXPEDIÇÃO","Expedido",IF(NETWORKDAYS(C647,TODAY())&gt;=5,"Risco Alto",IF(NETWORKDAYS(C647,TODAY())&gt;=3,IF(NETWORKDAYS(C647,TODAY())&lt;5,"Risco Médio",""),IF(NETWORKDAYS(C647,TODAY())&lt;=2,"Risco Baixo",""))))</f>
        <v>Expedido</v>
      </c>
      <c r="P647" s="5" t="s">
        <v>25</v>
      </c>
      <c r="S647" s="7">
        <f>IF(ISBLANK(M647),"Aguardando Previsão/Data",NETWORKDAYS(L647,M647)-1)</f>
        <v>-3</v>
      </c>
      <c r="T647" s="5" t="s">
        <v>942</v>
      </c>
    </row>
    <row r="648" spans="1:20" x14ac:dyDescent="0.35">
      <c r="A648" s="5">
        <v>8100271445</v>
      </c>
      <c r="B648" s="5">
        <v>17234</v>
      </c>
      <c r="C648" s="6">
        <v>45663</v>
      </c>
      <c r="D648" s="5" t="s">
        <v>51</v>
      </c>
      <c r="E648" s="5" t="s">
        <v>52</v>
      </c>
      <c r="F648" s="5" t="s">
        <v>66</v>
      </c>
      <c r="G648" s="5" t="s">
        <v>67</v>
      </c>
      <c r="H648" s="5" t="s">
        <v>21</v>
      </c>
      <c r="I648" s="5" t="s">
        <v>1174</v>
      </c>
      <c r="J648" s="5" t="s">
        <v>1055</v>
      </c>
      <c r="K648" s="5" t="s">
        <v>57</v>
      </c>
      <c r="L648" s="6">
        <v>45671</v>
      </c>
      <c r="M648" s="6">
        <v>45670</v>
      </c>
      <c r="N648" s="5" t="s">
        <v>811</v>
      </c>
      <c r="O648" s="5" t="str">
        <f ca="1">IF(P648&lt;&gt;"EXPEDIÇÃO","Expedido",IF(NETWORKDAYS(C648,TODAY())&gt;=5,"Risco Alto",IF(NETWORKDAYS(C648,TODAY())&gt;=3,IF(NETWORKDAYS(C648,TODAY())&lt;5,"Risco Médio",""),IF(NETWORKDAYS(C648,TODAY())&lt;=2,"Risco Baixo",""))))</f>
        <v>Expedido</v>
      </c>
      <c r="P648" s="5" t="s">
        <v>25</v>
      </c>
      <c r="S648" s="7">
        <f>IF(ISBLANK(M648),"Aguardando Previsão/Data",NETWORKDAYS(L648,M648)-1)</f>
        <v>-3</v>
      </c>
      <c r="T648" s="5" t="s">
        <v>942</v>
      </c>
    </row>
    <row r="649" spans="1:20" x14ac:dyDescent="0.35">
      <c r="A649" s="5">
        <v>8100270048</v>
      </c>
      <c r="B649" s="5">
        <v>20977</v>
      </c>
      <c r="C649" s="6">
        <v>45663</v>
      </c>
      <c r="D649" s="5" t="s">
        <v>17</v>
      </c>
      <c r="E649" s="5" t="s">
        <v>18</v>
      </c>
      <c r="F649" s="5" t="s">
        <v>19</v>
      </c>
      <c r="G649" s="5" t="s">
        <v>20</v>
      </c>
      <c r="H649" s="5" t="s">
        <v>21</v>
      </c>
      <c r="I649" s="5" t="s">
        <v>972</v>
      </c>
      <c r="J649" s="5" t="s">
        <v>38</v>
      </c>
      <c r="K649" s="5" t="s">
        <v>24</v>
      </c>
      <c r="L649" s="6">
        <v>45671</v>
      </c>
      <c r="M649" s="6">
        <v>45670</v>
      </c>
      <c r="N649" s="5" t="s">
        <v>811</v>
      </c>
      <c r="O649" s="5" t="str">
        <f ca="1">IF(P649&lt;&gt;"EXPEDIÇÃO","Expedido",IF(NETWORKDAYS(C649,TODAY())&gt;=5,"Risco Alto",IF(NETWORKDAYS(C649,TODAY())&gt;=3,IF(NETWORKDAYS(C649,TODAY())&lt;5,"Risco Médio",""),IF(NETWORKDAYS(C649,TODAY())&lt;=2,"Risco Baixo",""))))</f>
        <v>Expedido</v>
      </c>
      <c r="P649" s="5" t="s">
        <v>25</v>
      </c>
      <c r="Q649" s="5" t="s">
        <v>1032</v>
      </c>
      <c r="R649" s="5">
        <v>1676986</v>
      </c>
      <c r="S649" s="7">
        <f>IF(ISBLANK(M649),"Aguardando Previsão/Data",NETWORKDAYS(L649,M649)-1)</f>
        <v>-3</v>
      </c>
      <c r="T649" s="5" t="s">
        <v>942</v>
      </c>
    </row>
    <row r="650" spans="1:20" x14ac:dyDescent="0.35">
      <c r="A650" s="5">
        <v>8100270049</v>
      </c>
      <c r="B650" s="5">
        <v>20979</v>
      </c>
      <c r="C650" s="6">
        <v>45663</v>
      </c>
      <c r="D650" s="5" t="s">
        <v>17</v>
      </c>
      <c r="E650" s="5" t="s">
        <v>18</v>
      </c>
      <c r="F650" s="5" t="s">
        <v>19</v>
      </c>
      <c r="G650" s="5" t="s">
        <v>20</v>
      </c>
      <c r="H650" s="5" t="s">
        <v>21</v>
      </c>
      <c r="I650" s="5" t="s">
        <v>1042</v>
      </c>
      <c r="J650" s="5" t="s">
        <v>364</v>
      </c>
      <c r="K650" s="5" t="s">
        <v>24</v>
      </c>
      <c r="L650" s="6">
        <v>45670</v>
      </c>
      <c r="M650" s="6">
        <v>45666</v>
      </c>
      <c r="N650" s="5" t="s">
        <v>811</v>
      </c>
      <c r="O650" s="5" t="str">
        <f ca="1">IF(P650&lt;&gt;"EXPEDIÇÃO","Expedido",IF(NETWORKDAYS(C650,TODAY())&gt;=5,"Risco Alto",IF(NETWORKDAYS(C650,TODAY())&gt;=3,IF(NETWORKDAYS(C650,TODAY())&lt;5,"Risco Médio",""),IF(NETWORKDAYS(C650,TODAY())&lt;=2,"Risco Baixo",""))))</f>
        <v>Expedido</v>
      </c>
      <c r="P650" s="5" t="s">
        <v>25</v>
      </c>
      <c r="S650" s="7">
        <f>IF(ISBLANK(M650),"Aguardando Previsão/Data",NETWORKDAYS(L650,M650)-1)</f>
        <v>-4</v>
      </c>
      <c r="T650" s="5" t="s">
        <v>942</v>
      </c>
    </row>
    <row r="651" spans="1:20" x14ac:dyDescent="0.35">
      <c r="A651" s="5">
        <v>8100270050</v>
      </c>
      <c r="B651" s="5">
        <v>20981</v>
      </c>
      <c r="C651" s="6">
        <v>45663</v>
      </c>
      <c r="D651" s="5" t="s">
        <v>17</v>
      </c>
      <c r="E651" s="5" t="s">
        <v>18</v>
      </c>
      <c r="F651" s="5" t="s">
        <v>19</v>
      </c>
      <c r="G651" s="5" t="s">
        <v>20</v>
      </c>
      <c r="H651" s="5" t="s">
        <v>21</v>
      </c>
      <c r="I651" s="5" t="s">
        <v>416</v>
      </c>
      <c r="J651" s="5" t="s">
        <v>47</v>
      </c>
      <c r="K651" s="5" t="s">
        <v>24</v>
      </c>
      <c r="L651" s="6">
        <v>45670</v>
      </c>
      <c r="M651" s="6">
        <v>45665</v>
      </c>
      <c r="N651" s="5" t="s">
        <v>811</v>
      </c>
      <c r="O651" s="5" t="str">
        <f ca="1">IF(P651&lt;&gt;"EXPEDIÇÃO","Expedido",IF(NETWORKDAYS(C651,TODAY())&gt;=5,"Risco Alto",IF(NETWORKDAYS(C651,TODAY())&gt;=3,IF(NETWORKDAYS(C651,TODAY())&lt;5,"Risco Médio",""),IF(NETWORKDAYS(C651,TODAY())&lt;=2,"Risco Baixo",""))))</f>
        <v>Expedido</v>
      </c>
      <c r="P651" s="5" t="s">
        <v>25</v>
      </c>
      <c r="S651" s="7">
        <f>IF(ISBLANK(M651),"Aguardando Previsão/Data",NETWORKDAYS(L651,M651)-1)</f>
        <v>-5</v>
      </c>
      <c r="T651" s="5" t="s">
        <v>942</v>
      </c>
    </row>
    <row r="652" spans="1:20" x14ac:dyDescent="0.35">
      <c r="A652" s="5">
        <v>8100270051</v>
      </c>
      <c r="B652" s="5">
        <v>20984</v>
      </c>
      <c r="C652" s="6">
        <v>45663</v>
      </c>
      <c r="D652" s="5" t="s">
        <v>17</v>
      </c>
      <c r="E652" s="5" t="s">
        <v>18</v>
      </c>
      <c r="F652" s="5" t="s">
        <v>19</v>
      </c>
      <c r="G652" s="5" t="s">
        <v>20</v>
      </c>
      <c r="H652" s="5" t="s">
        <v>21</v>
      </c>
      <c r="I652" s="5" t="s">
        <v>1034</v>
      </c>
      <c r="J652" s="5" t="s">
        <v>365</v>
      </c>
      <c r="K652" s="5" t="s">
        <v>24</v>
      </c>
      <c r="L652" s="6">
        <v>45670</v>
      </c>
      <c r="M652" s="6">
        <v>45666</v>
      </c>
      <c r="N652" s="5" t="s">
        <v>811</v>
      </c>
      <c r="O652" s="5" t="str">
        <f ca="1">IF(P652&lt;&gt;"EXPEDIÇÃO","Expedido",IF(NETWORKDAYS(C652,TODAY())&gt;=5,"Risco Alto",IF(NETWORKDAYS(C652,TODAY())&gt;=3,IF(NETWORKDAYS(C652,TODAY())&lt;5,"Risco Médio",""),IF(NETWORKDAYS(C652,TODAY())&lt;=2,"Risco Baixo",""))))</f>
        <v>Expedido</v>
      </c>
      <c r="P652" s="5" t="s">
        <v>25</v>
      </c>
      <c r="S652" s="7">
        <f>IF(ISBLANK(M652),"Aguardando Previsão/Data",NETWORKDAYS(L652,M652)-1)</f>
        <v>-4</v>
      </c>
      <c r="T652" s="5" t="s">
        <v>942</v>
      </c>
    </row>
    <row r="653" spans="1:20" x14ac:dyDescent="0.35">
      <c r="A653" s="5">
        <v>8100270052</v>
      </c>
      <c r="B653" s="5">
        <v>20985</v>
      </c>
      <c r="C653" s="6">
        <v>45663</v>
      </c>
      <c r="D653" s="5" t="s">
        <v>17</v>
      </c>
      <c r="E653" s="5" t="s">
        <v>18</v>
      </c>
      <c r="F653" s="5" t="s">
        <v>19</v>
      </c>
      <c r="G653" s="5" t="s">
        <v>20</v>
      </c>
      <c r="H653" s="5" t="s">
        <v>21</v>
      </c>
      <c r="I653" s="5" t="s">
        <v>1172</v>
      </c>
      <c r="J653" s="5" t="s">
        <v>491</v>
      </c>
      <c r="K653" s="5" t="s">
        <v>24</v>
      </c>
      <c r="L653" s="6">
        <v>45670</v>
      </c>
      <c r="M653" s="6">
        <v>45666</v>
      </c>
      <c r="N653" s="5" t="s">
        <v>811</v>
      </c>
      <c r="O653" s="5" t="str">
        <f ca="1">IF(P653&lt;&gt;"EXPEDIÇÃO","Expedido",IF(NETWORKDAYS(C653,TODAY())&gt;=5,"Risco Alto",IF(NETWORKDAYS(C653,TODAY())&gt;=3,IF(NETWORKDAYS(C653,TODAY())&lt;5,"Risco Médio",""),IF(NETWORKDAYS(C653,TODAY())&lt;=2,"Risco Baixo",""))))</f>
        <v>Expedido</v>
      </c>
      <c r="P653" s="5" t="s">
        <v>25</v>
      </c>
      <c r="S653" s="7">
        <f>IF(ISBLANK(M653),"Aguardando Previsão/Data",NETWORKDAYS(L653,M653)-1)</f>
        <v>-4</v>
      </c>
      <c r="T653" s="5" t="s">
        <v>942</v>
      </c>
    </row>
    <row r="654" spans="1:20" x14ac:dyDescent="0.35">
      <c r="A654" s="5">
        <v>8100270088</v>
      </c>
      <c r="B654" s="5">
        <v>20978</v>
      </c>
      <c r="C654" s="6">
        <v>45663</v>
      </c>
      <c r="D654" s="5" t="s">
        <v>17</v>
      </c>
      <c r="E654" s="5" t="s">
        <v>18</v>
      </c>
      <c r="F654" s="5" t="s">
        <v>19</v>
      </c>
      <c r="G654" s="5" t="s">
        <v>20</v>
      </c>
      <c r="H654" s="5" t="s">
        <v>21</v>
      </c>
      <c r="I654" s="5" t="s">
        <v>973</v>
      </c>
      <c r="J654" s="5" t="s">
        <v>365</v>
      </c>
      <c r="K654" s="5" t="s">
        <v>24</v>
      </c>
      <c r="L654" s="6">
        <v>45670</v>
      </c>
      <c r="M654" s="6">
        <v>45666</v>
      </c>
      <c r="N654" s="5" t="s">
        <v>811</v>
      </c>
      <c r="O654" s="5" t="str">
        <f ca="1">IF(P654&lt;&gt;"EXPEDIÇÃO","Expedido",IF(NETWORKDAYS(C654,TODAY())&gt;=5,"Risco Alto",IF(NETWORKDAYS(C654,TODAY())&gt;=3,IF(NETWORKDAYS(C654,TODAY())&lt;5,"Risco Médio",""),IF(NETWORKDAYS(C654,TODAY())&lt;=2,"Risco Baixo",""))))</f>
        <v>Expedido</v>
      </c>
      <c r="P654" s="5" t="s">
        <v>25</v>
      </c>
      <c r="S654" s="7">
        <f>IF(ISBLANK(M654),"Aguardando Previsão/Data",NETWORKDAYS(L654,M654)-1)</f>
        <v>-4</v>
      </c>
      <c r="T654" s="5" t="s">
        <v>942</v>
      </c>
    </row>
    <row r="655" spans="1:20" x14ac:dyDescent="0.35">
      <c r="A655" s="5">
        <v>8100270089</v>
      </c>
      <c r="B655" s="5">
        <v>20980</v>
      </c>
      <c r="C655" s="6">
        <v>45663</v>
      </c>
      <c r="D655" s="5" t="s">
        <v>17</v>
      </c>
      <c r="E655" s="5" t="s">
        <v>18</v>
      </c>
      <c r="F655" s="5" t="s">
        <v>19</v>
      </c>
      <c r="G655" s="5" t="s">
        <v>20</v>
      </c>
      <c r="H655" s="5" t="s">
        <v>21</v>
      </c>
      <c r="I655" s="5" t="s">
        <v>973</v>
      </c>
      <c r="J655" s="5" t="s">
        <v>619</v>
      </c>
      <c r="K655" s="5" t="s">
        <v>24</v>
      </c>
      <c r="L655" s="6">
        <v>45671</v>
      </c>
      <c r="M655" s="6">
        <v>45670</v>
      </c>
      <c r="N655" s="5" t="s">
        <v>811</v>
      </c>
      <c r="O655" s="5" t="str">
        <f ca="1">IF(P655&lt;&gt;"EXPEDIÇÃO","Expedido",IF(NETWORKDAYS(C655,TODAY())&gt;=5,"Risco Alto",IF(NETWORKDAYS(C655,TODAY())&gt;=3,IF(NETWORKDAYS(C655,TODAY())&lt;5,"Risco Médio",""),IF(NETWORKDAYS(C655,TODAY())&lt;=2,"Risco Baixo",""))))</f>
        <v>Expedido</v>
      </c>
      <c r="P655" s="5" t="s">
        <v>25</v>
      </c>
      <c r="S655" s="7">
        <f>IF(ISBLANK(M655),"Aguardando Previsão/Data",NETWORKDAYS(L655,M655)-1)</f>
        <v>-3</v>
      </c>
      <c r="T655" s="5" t="s">
        <v>942</v>
      </c>
    </row>
    <row r="656" spans="1:20" x14ac:dyDescent="0.35">
      <c r="A656" s="5">
        <v>8100270091</v>
      </c>
      <c r="B656" s="5">
        <v>20982</v>
      </c>
      <c r="C656" s="6">
        <v>45663</v>
      </c>
      <c r="D656" s="5" t="s">
        <v>17</v>
      </c>
      <c r="E656" s="5" t="s">
        <v>18</v>
      </c>
      <c r="F656" s="5" t="s">
        <v>19</v>
      </c>
      <c r="G656" s="5" t="s">
        <v>20</v>
      </c>
      <c r="H656" s="5" t="s">
        <v>21</v>
      </c>
      <c r="I656" s="5" t="s">
        <v>973</v>
      </c>
      <c r="J656" s="5" t="s">
        <v>598</v>
      </c>
      <c r="K656" s="5" t="s">
        <v>24</v>
      </c>
      <c r="L656" s="6">
        <v>45672</v>
      </c>
      <c r="M656" s="6">
        <v>45672</v>
      </c>
      <c r="N656" s="5" t="s">
        <v>811</v>
      </c>
      <c r="O656" s="5" t="str">
        <f ca="1">IF(P656&lt;&gt;"EXPEDIÇÃO","Expedido",IF(NETWORKDAYS(C656,TODAY())&gt;=5,"Risco Alto",IF(NETWORKDAYS(C656,TODAY())&gt;=3,IF(NETWORKDAYS(C656,TODAY())&lt;5,"Risco Médio",""),IF(NETWORKDAYS(C656,TODAY())&lt;=2,"Risco Baixo",""))))</f>
        <v>Expedido</v>
      </c>
      <c r="P656" s="5" t="s">
        <v>25</v>
      </c>
      <c r="S656" s="7">
        <f>IF(ISBLANK(M656),"Aguardando Previsão/Data",NETWORKDAYS(L656,M656)-1)</f>
        <v>0</v>
      </c>
      <c r="T656" s="5" t="s">
        <v>942</v>
      </c>
    </row>
    <row r="657" spans="1:20" x14ac:dyDescent="0.35">
      <c r="A657" s="5">
        <v>8100270092</v>
      </c>
      <c r="B657" s="5">
        <v>20983</v>
      </c>
      <c r="C657" s="6">
        <v>45663</v>
      </c>
      <c r="D657" s="5" t="s">
        <v>17</v>
      </c>
      <c r="E657" s="5" t="s">
        <v>18</v>
      </c>
      <c r="F657" s="5" t="s">
        <v>19</v>
      </c>
      <c r="G657" s="5" t="s">
        <v>20</v>
      </c>
      <c r="H657" s="5" t="s">
        <v>21</v>
      </c>
      <c r="I657" s="5" t="s">
        <v>972</v>
      </c>
      <c r="J657" s="5" t="s">
        <v>38</v>
      </c>
      <c r="K657" s="5" t="s">
        <v>24</v>
      </c>
      <c r="L657" s="6">
        <v>45671</v>
      </c>
      <c r="M657" s="6">
        <v>45670</v>
      </c>
      <c r="N657" s="5" t="s">
        <v>811</v>
      </c>
      <c r="O657" s="5" t="str">
        <f ca="1">IF(P657&lt;&gt;"EXPEDIÇÃO","Expedido",IF(NETWORKDAYS(C657,TODAY())&gt;=5,"Risco Alto",IF(NETWORKDAYS(C657,TODAY())&gt;=3,IF(NETWORKDAYS(C657,TODAY())&lt;5,"Risco Médio",""),IF(NETWORKDAYS(C657,TODAY())&lt;=2,"Risco Baixo",""))))</f>
        <v>Expedido</v>
      </c>
      <c r="P657" s="5" t="s">
        <v>25</v>
      </c>
      <c r="Q657" s="5" t="s">
        <v>1032</v>
      </c>
      <c r="R657" s="5">
        <v>1676986</v>
      </c>
      <c r="S657" s="7">
        <f>IF(ISBLANK(M657),"Aguardando Previsão/Data",NETWORKDAYS(L657,M657)-1)</f>
        <v>-3</v>
      </c>
      <c r="T657" s="5" t="s">
        <v>942</v>
      </c>
    </row>
    <row r="658" spans="1:20" x14ac:dyDescent="0.35">
      <c r="A658" s="5">
        <v>8100271451</v>
      </c>
      <c r="B658" s="5">
        <v>20976</v>
      </c>
      <c r="C658" s="6">
        <v>45663</v>
      </c>
      <c r="D658" s="5" t="s">
        <v>17</v>
      </c>
      <c r="E658" s="5" t="s">
        <v>18</v>
      </c>
      <c r="F658" s="5" t="s">
        <v>44</v>
      </c>
      <c r="G658" s="5" t="s">
        <v>45</v>
      </c>
      <c r="H658" s="5" t="s">
        <v>21</v>
      </c>
      <c r="I658" s="5" t="s">
        <v>327</v>
      </c>
      <c r="J658" s="5" t="s">
        <v>45</v>
      </c>
      <c r="K658" s="5" t="s">
        <v>24</v>
      </c>
      <c r="L658" s="6">
        <v>45670</v>
      </c>
      <c r="M658" s="6">
        <v>45666</v>
      </c>
      <c r="N658" s="5" t="s">
        <v>811</v>
      </c>
      <c r="O658" s="5" t="str">
        <f ca="1">IF(P658&lt;&gt;"EXPEDIÇÃO","Expedido",IF(NETWORKDAYS(C658,TODAY())&gt;=5,"Risco Alto",IF(NETWORKDAYS(C658,TODAY())&gt;=3,IF(NETWORKDAYS(C658,TODAY())&lt;5,"Risco Médio",""),IF(NETWORKDAYS(C658,TODAY())&lt;=2,"Risco Baixo",""))))</f>
        <v>Expedido</v>
      </c>
      <c r="P658" s="5" t="s">
        <v>25</v>
      </c>
      <c r="Q658" s="5" t="s">
        <v>897</v>
      </c>
      <c r="S658" s="7">
        <f>IF(ISBLANK(M658),"Aguardando Previsão/Data",NETWORKDAYS(L658,M658)-1)</f>
        <v>-4</v>
      </c>
      <c r="T658" s="5" t="s">
        <v>942</v>
      </c>
    </row>
    <row r="659" spans="1:20" x14ac:dyDescent="0.35">
      <c r="A659" s="5">
        <v>8100270021</v>
      </c>
      <c r="B659" s="5">
        <v>13096</v>
      </c>
      <c r="C659" s="6">
        <v>45663</v>
      </c>
      <c r="D659" s="5" t="s">
        <v>91</v>
      </c>
      <c r="E659" s="5" t="s">
        <v>92</v>
      </c>
      <c r="F659" s="5" t="s">
        <v>19</v>
      </c>
      <c r="G659" s="5" t="s">
        <v>20</v>
      </c>
      <c r="H659" s="5" t="s">
        <v>21</v>
      </c>
      <c r="I659" s="5" t="s">
        <v>683</v>
      </c>
      <c r="J659" s="5" t="s">
        <v>636</v>
      </c>
      <c r="K659" s="5" t="s">
        <v>95</v>
      </c>
      <c r="L659" s="6">
        <v>45670</v>
      </c>
      <c r="M659" s="6">
        <v>45667</v>
      </c>
      <c r="N659" s="5" t="s">
        <v>811</v>
      </c>
      <c r="O659" s="5" t="str">
        <f ca="1">IF(P659&lt;&gt;"EXPEDIÇÃO","Expedido",IF(NETWORKDAYS(C659,TODAY())&gt;=5,"Risco Alto",IF(NETWORKDAYS(C659,TODAY())&gt;=3,IF(NETWORKDAYS(C659,TODAY())&lt;5,"Risco Médio",""),IF(NETWORKDAYS(C659,TODAY())&lt;=2,"Risco Baixo",""))))</f>
        <v>Expedido</v>
      </c>
      <c r="P659" s="5" t="s">
        <v>25</v>
      </c>
      <c r="S659" s="7">
        <f>IF(ISBLANK(M659),"Aguardando Previsão/Data",NETWORKDAYS(L659,M659)-1)</f>
        <v>-3</v>
      </c>
      <c r="T659" s="5" t="s">
        <v>942</v>
      </c>
    </row>
    <row r="660" spans="1:20" x14ac:dyDescent="0.35">
      <c r="A660" s="5">
        <v>8100270023</v>
      </c>
      <c r="B660" s="5">
        <v>13099</v>
      </c>
      <c r="C660" s="6">
        <v>45663</v>
      </c>
      <c r="D660" s="5" t="s">
        <v>91</v>
      </c>
      <c r="E660" s="5" t="s">
        <v>92</v>
      </c>
      <c r="F660" s="5" t="s">
        <v>103</v>
      </c>
      <c r="G660" s="5" t="s">
        <v>104</v>
      </c>
      <c r="H660" s="5" t="s">
        <v>21</v>
      </c>
      <c r="I660" s="5" t="s">
        <v>1170</v>
      </c>
      <c r="J660" s="5" t="s">
        <v>578</v>
      </c>
      <c r="K660" s="5" t="s">
        <v>274</v>
      </c>
      <c r="L660" s="6">
        <v>45672</v>
      </c>
      <c r="M660" s="6">
        <v>45671</v>
      </c>
      <c r="N660" s="5" t="s">
        <v>811</v>
      </c>
      <c r="O660" s="5" t="str">
        <f ca="1">IF(P660&lt;&gt;"EXPEDIÇÃO","Expedido",IF(NETWORKDAYS(C660,TODAY())&gt;=5,"Risco Alto",IF(NETWORKDAYS(C660,TODAY())&gt;=3,IF(NETWORKDAYS(C660,TODAY())&lt;5,"Risco Médio",""),IF(NETWORKDAYS(C660,TODAY())&lt;=2,"Risco Baixo",""))))</f>
        <v>Expedido</v>
      </c>
      <c r="P660" s="5" t="s">
        <v>25</v>
      </c>
      <c r="S660" s="7">
        <f>IF(ISBLANK(M660),"Aguardando Previsão/Data",NETWORKDAYS(L660,M660)-1)</f>
        <v>-3</v>
      </c>
      <c r="T660" s="5" t="s">
        <v>942</v>
      </c>
    </row>
    <row r="661" spans="1:20" x14ac:dyDescent="0.35">
      <c r="A661" s="5">
        <v>8100270026</v>
      </c>
      <c r="B661" s="5">
        <v>13110</v>
      </c>
      <c r="C661" s="6">
        <v>45663</v>
      </c>
      <c r="D661" s="5" t="s">
        <v>91</v>
      </c>
      <c r="E661" s="5" t="s">
        <v>92</v>
      </c>
      <c r="F661" s="5" t="s">
        <v>19</v>
      </c>
      <c r="G661" s="5" t="s">
        <v>20</v>
      </c>
      <c r="H661" s="5" t="s">
        <v>21</v>
      </c>
      <c r="I661" s="5" t="s">
        <v>203</v>
      </c>
      <c r="J661" s="5" t="s">
        <v>578</v>
      </c>
      <c r="K661" s="5" t="s">
        <v>274</v>
      </c>
      <c r="L661" s="6">
        <v>45672</v>
      </c>
      <c r="M661" s="6">
        <v>45671</v>
      </c>
      <c r="N661" s="5" t="s">
        <v>811</v>
      </c>
      <c r="O661" s="5" t="str">
        <f ca="1">IF(P661&lt;&gt;"EXPEDIÇÃO","Expedido",IF(NETWORKDAYS(C661,TODAY())&gt;=5,"Risco Alto",IF(NETWORKDAYS(C661,TODAY())&gt;=3,IF(NETWORKDAYS(C661,TODAY())&lt;5,"Risco Médio",""),IF(NETWORKDAYS(C661,TODAY())&lt;=2,"Risco Baixo",""))))</f>
        <v>Expedido</v>
      </c>
      <c r="P661" s="5" t="s">
        <v>25</v>
      </c>
      <c r="S661" s="7">
        <f>IF(ISBLANK(M661),"Aguardando Previsão/Data",NETWORKDAYS(L661,M661)-1)</f>
        <v>-3</v>
      </c>
      <c r="T661" s="5" t="s">
        <v>942</v>
      </c>
    </row>
    <row r="662" spans="1:20" x14ac:dyDescent="0.35">
      <c r="A662" s="5">
        <v>8100270027</v>
      </c>
      <c r="B662" s="5">
        <v>13098</v>
      </c>
      <c r="C662" s="6">
        <v>45663</v>
      </c>
      <c r="D662" s="5" t="s">
        <v>91</v>
      </c>
      <c r="E662" s="5" t="s">
        <v>92</v>
      </c>
      <c r="F662" s="5" t="s">
        <v>19</v>
      </c>
      <c r="G662" s="5" t="s">
        <v>20</v>
      </c>
      <c r="H662" s="5" t="s">
        <v>21</v>
      </c>
      <c r="I662" s="5" t="s">
        <v>612</v>
      </c>
      <c r="J662" s="5" t="s">
        <v>424</v>
      </c>
      <c r="K662" s="5" t="s">
        <v>95</v>
      </c>
      <c r="L662" s="6">
        <v>45670</v>
      </c>
      <c r="M662" s="6">
        <v>45666</v>
      </c>
      <c r="N662" s="5" t="s">
        <v>811</v>
      </c>
      <c r="O662" s="5" t="str">
        <f ca="1">IF(P662&lt;&gt;"EXPEDIÇÃO","Expedido",IF(NETWORKDAYS(C662,TODAY())&gt;=5,"Risco Alto",IF(NETWORKDAYS(C662,TODAY())&gt;=3,IF(NETWORKDAYS(C662,TODAY())&lt;5,"Risco Médio",""),IF(NETWORKDAYS(C662,TODAY())&lt;=2,"Risco Baixo",""))))</f>
        <v>Expedido</v>
      </c>
      <c r="P662" s="5" t="s">
        <v>25</v>
      </c>
      <c r="S662" s="7">
        <f>IF(ISBLANK(M662),"Aguardando Previsão/Data",NETWORKDAYS(L662,M662)-1)</f>
        <v>-4</v>
      </c>
      <c r="T662" s="5" t="s">
        <v>942</v>
      </c>
    </row>
    <row r="663" spans="1:20" x14ac:dyDescent="0.35">
      <c r="A663" s="5">
        <v>8100270028</v>
      </c>
      <c r="B663" s="5">
        <v>13108</v>
      </c>
      <c r="C663" s="6">
        <v>45663</v>
      </c>
      <c r="D663" s="5" t="s">
        <v>91</v>
      </c>
      <c r="E663" s="5" t="s">
        <v>92</v>
      </c>
      <c r="F663" s="5" t="s">
        <v>19</v>
      </c>
      <c r="G663" s="5" t="s">
        <v>20</v>
      </c>
      <c r="H663" s="5" t="s">
        <v>21</v>
      </c>
      <c r="I663" s="5" t="s">
        <v>577</v>
      </c>
      <c r="J663" s="5" t="s">
        <v>578</v>
      </c>
      <c r="K663" s="5" t="s">
        <v>274</v>
      </c>
      <c r="L663" s="6">
        <v>45672</v>
      </c>
      <c r="M663" s="6">
        <v>45672</v>
      </c>
      <c r="N663" s="5" t="s">
        <v>811</v>
      </c>
      <c r="O663" s="5" t="str">
        <f ca="1">IF(P663&lt;&gt;"EXPEDIÇÃO","Expedido",IF(NETWORKDAYS(C663,TODAY())&gt;=5,"Risco Alto",IF(NETWORKDAYS(C663,TODAY())&gt;=3,IF(NETWORKDAYS(C663,TODAY())&lt;5,"Risco Médio",""),IF(NETWORKDAYS(C663,TODAY())&lt;=2,"Risco Baixo",""))))</f>
        <v>Expedido</v>
      </c>
      <c r="P663" s="5" t="s">
        <v>25</v>
      </c>
      <c r="S663" s="7">
        <f>IF(ISBLANK(M663),"Aguardando Previsão/Data",NETWORKDAYS(L663,M663)-1)</f>
        <v>0</v>
      </c>
      <c r="T663" s="5" t="s">
        <v>942</v>
      </c>
    </row>
    <row r="664" spans="1:20" x14ac:dyDescent="0.35">
      <c r="A664" s="5">
        <v>8100270030</v>
      </c>
      <c r="B664" s="5">
        <v>13107</v>
      </c>
      <c r="C664" s="6">
        <v>45663</v>
      </c>
      <c r="D664" s="5" t="s">
        <v>91</v>
      </c>
      <c r="E664" s="5" t="s">
        <v>92</v>
      </c>
      <c r="F664" s="5" t="s">
        <v>19</v>
      </c>
      <c r="G664" s="5" t="s">
        <v>20</v>
      </c>
      <c r="H664" s="5" t="s">
        <v>21</v>
      </c>
      <c r="I664" s="5" t="s">
        <v>808</v>
      </c>
      <c r="J664" s="5" t="s">
        <v>273</v>
      </c>
      <c r="K664" s="5" t="s">
        <v>274</v>
      </c>
      <c r="L664" s="6">
        <v>45672</v>
      </c>
      <c r="M664" s="6">
        <v>45680</v>
      </c>
      <c r="N664" s="5" t="s">
        <v>812</v>
      </c>
      <c r="O664" s="5" t="str">
        <f ca="1">IF(P664&lt;&gt;"EXPEDIÇÃO","Expedido",IF(NETWORKDAYS(C664,TODAY())&gt;=5,"Risco Alto",IF(NETWORKDAYS(C664,TODAY())&gt;=3,IF(NETWORKDAYS(C664,TODAY())&lt;5,"Risco Médio",""),IF(NETWORKDAYS(C664,TODAY())&lt;=2,"Risco Baixo",""))))</f>
        <v>Expedido</v>
      </c>
      <c r="P664" s="5" t="s">
        <v>25</v>
      </c>
      <c r="Q664" s="5" t="s">
        <v>937</v>
      </c>
      <c r="S664" s="7">
        <f>IF(ISBLANK(M664),"Aguardando Previsão/Data",NETWORKDAYS(L664,M664)-1)</f>
        <v>6</v>
      </c>
      <c r="T664" s="5" t="s">
        <v>942</v>
      </c>
    </row>
    <row r="665" spans="1:20" x14ac:dyDescent="0.35">
      <c r="A665" s="5">
        <v>8100270035</v>
      </c>
      <c r="B665" s="5">
        <v>13101</v>
      </c>
      <c r="C665" s="6">
        <v>45663</v>
      </c>
      <c r="D665" s="5" t="s">
        <v>91</v>
      </c>
      <c r="E665" s="5" t="s">
        <v>92</v>
      </c>
      <c r="F665" s="5" t="s">
        <v>19</v>
      </c>
      <c r="G665" s="5" t="s">
        <v>20</v>
      </c>
      <c r="H665" s="5" t="s">
        <v>21</v>
      </c>
      <c r="I665" s="5" t="s">
        <v>806</v>
      </c>
      <c r="J665" s="5" t="s">
        <v>273</v>
      </c>
      <c r="K665" s="5" t="s">
        <v>274</v>
      </c>
      <c r="L665" s="6">
        <v>45672</v>
      </c>
      <c r="M665" s="6">
        <v>45671</v>
      </c>
      <c r="N665" s="5" t="s">
        <v>811</v>
      </c>
      <c r="O665" s="5" t="str">
        <f ca="1">IF(P665&lt;&gt;"EXPEDIÇÃO","Expedido",IF(NETWORKDAYS(C665,TODAY())&gt;=5,"Risco Alto",IF(NETWORKDAYS(C665,TODAY())&gt;=3,IF(NETWORKDAYS(C665,TODAY())&lt;5,"Risco Médio",""),IF(NETWORKDAYS(C665,TODAY())&lt;=2,"Risco Baixo",""))))</f>
        <v>Expedido</v>
      </c>
      <c r="P665" s="5" t="s">
        <v>25</v>
      </c>
      <c r="S665" s="7">
        <f>IF(ISBLANK(M665),"Aguardando Previsão/Data",NETWORKDAYS(L665,M665)-1)</f>
        <v>-3</v>
      </c>
      <c r="T665" s="5" t="s">
        <v>942</v>
      </c>
    </row>
    <row r="666" spans="1:20" x14ac:dyDescent="0.35">
      <c r="A666" s="5">
        <v>8100270036</v>
      </c>
      <c r="B666" s="5">
        <v>13102</v>
      </c>
      <c r="C666" s="6">
        <v>45663</v>
      </c>
      <c r="D666" s="5" t="s">
        <v>91</v>
      </c>
      <c r="E666" s="5" t="s">
        <v>92</v>
      </c>
      <c r="F666" s="5" t="s">
        <v>19</v>
      </c>
      <c r="G666" s="5" t="s">
        <v>20</v>
      </c>
      <c r="H666" s="5" t="s">
        <v>21</v>
      </c>
      <c r="I666" s="5" t="s">
        <v>806</v>
      </c>
      <c r="J666" s="5" t="s">
        <v>273</v>
      </c>
      <c r="K666" s="5" t="s">
        <v>274</v>
      </c>
      <c r="L666" s="6">
        <v>45672</v>
      </c>
      <c r="M666" s="6">
        <v>45671</v>
      </c>
      <c r="N666" s="5" t="s">
        <v>811</v>
      </c>
      <c r="O666" s="5" t="str">
        <f ca="1">IF(P666&lt;&gt;"EXPEDIÇÃO","Expedido",IF(NETWORKDAYS(C666,TODAY())&gt;=5,"Risco Alto",IF(NETWORKDAYS(C666,TODAY())&gt;=3,IF(NETWORKDAYS(C666,TODAY())&lt;5,"Risco Médio",""),IF(NETWORKDAYS(C666,TODAY())&lt;=2,"Risco Baixo",""))))</f>
        <v>Expedido</v>
      </c>
      <c r="P666" s="5" t="s">
        <v>25</v>
      </c>
      <c r="S666" s="7">
        <f>IF(ISBLANK(M666),"Aguardando Previsão/Data",NETWORKDAYS(L666,M666)-1)</f>
        <v>-3</v>
      </c>
      <c r="T666" s="5" t="s">
        <v>942</v>
      </c>
    </row>
    <row r="667" spans="1:20" x14ac:dyDescent="0.35">
      <c r="A667" s="5">
        <v>8100270037</v>
      </c>
      <c r="B667" s="5">
        <v>13106</v>
      </c>
      <c r="C667" s="6">
        <v>45663</v>
      </c>
      <c r="D667" s="5" t="s">
        <v>91</v>
      </c>
      <c r="E667" s="5" t="s">
        <v>92</v>
      </c>
      <c r="F667" s="5" t="s">
        <v>19</v>
      </c>
      <c r="G667" s="5" t="s">
        <v>20</v>
      </c>
      <c r="H667" s="5" t="s">
        <v>21</v>
      </c>
      <c r="I667" s="5" t="s">
        <v>1171</v>
      </c>
      <c r="J667" s="5" t="s">
        <v>273</v>
      </c>
      <c r="K667" s="5" t="s">
        <v>274</v>
      </c>
      <c r="L667" s="6">
        <v>45672</v>
      </c>
      <c r="M667" s="6">
        <v>45673</v>
      </c>
      <c r="N667" s="5" t="s">
        <v>812</v>
      </c>
      <c r="O667" s="5" t="str">
        <f ca="1">IF(P667&lt;&gt;"EXPEDIÇÃO","Expedido",IF(NETWORKDAYS(C667,TODAY())&gt;=5,"Risco Alto",IF(NETWORKDAYS(C667,TODAY())&gt;=3,IF(NETWORKDAYS(C667,TODAY())&lt;5,"Risco Médio",""),IF(NETWORKDAYS(C667,TODAY())&lt;=2,"Risco Baixo",""))))</f>
        <v>Expedido</v>
      </c>
      <c r="P667" s="5" t="s">
        <v>25</v>
      </c>
      <c r="Q667" s="5" t="s">
        <v>898</v>
      </c>
      <c r="S667" s="7">
        <f>IF(ISBLANK(M667),"Aguardando Previsão/Data",NETWORKDAYS(L667,M667)-1)</f>
        <v>1</v>
      </c>
      <c r="T667" s="5" t="s">
        <v>942</v>
      </c>
    </row>
    <row r="668" spans="1:20" x14ac:dyDescent="0.35">
      <c r="A668" s="5">
        <v>8100270038</v>
      </c>
      <c r="B668" s="5">
        <v>13100</v>
      </c>
      <c r="C668" s="6">
        <v>45663</v>
      </c>
      <c r="D668" s="5" t="s">
        <v>91</v>
      </c>
      <c r="E668" s="5" t="s">
        <v>92</v>
      </c>
      <c r="F668" s="5" t="s">
        <v>19</v>
      </c>
      <c r="G668" s="5" t="s">
        <v>20</v>
      </c>
      <c r="H668" s="5" t="s">
        <v>21</v>
      </c>
      <c r="I668" s="5" t="s">
        <v>659</v>
      </c>
      <c r="J668" s="5" t="s">
        <v>426</v>
      </c>
      <c r="K668" s="5" t="s">
        <v>95</v>
      </c>
      <c r="L668" s="6">
        <v>45670</v>
      </c>
      <c r="M668" s="6">
        <v>45666</v>
      </c>
      <c r="N668" s="5" t="s">
        <v>811</v>
      </c>
      <c r="O668" s="5" t="str">
        <f ca="1">IF(P668&lt;&gt;"EXPEDIÇÃO","Expedido",IF(NETWORKDAYS(C668,TODAY())&gt;=5,"Risco Alto",IF(NETWORKDAYS(C668,TODAY())&gt;=3,IF(NETWORKDAYS(C668,TODAY())&lt;5,"Risco Médio",""),IF(NETWORKDAYS(C668,TODAY())&lt;=2,"Risco Baixo",""))))</f>
        <v>Expedido</v>
      </c>
      <c r="P668" s="5" t="s">
        <v>25</v>
      </c>
      <c r="S668" s="7">
        <f>IF(ISBLANK(M668),"Aguardando Previsão/Data",NETWORKDAYS(L668,M668)-1)</f>
        <v>-4</v>
      </c>
      <c r="T668" s="5" t="s">
        <v>942</v>
      </c>
    </row>
    <row r="669" spans="1:20" x14ac:dyDescent="0.35">
      <c r="A669" s="5">
        <v>8100270072</v>
      </c>
      <c r="B669" s="5">
        <v>13105</v>
      </c>
      <c r="C669" s="6">
        <v>45663</v>
      </c>
      <c r="D669" s="5" t="s">
        <v>91</v>
      </c>
      <c r="E669" s="5" t="s">
        <v>92</v>
      </c>
      <c r="F669" s="5" t="s">
        <v>19</v>
      </c>
      <c r="G669" s="5" t="s">
        <v>20</v>
      </c>
      <c r="H669" s="5" t="s">
        <v>21</v>
      </c>
      <c r="I669" s="5" t="s">
        <v>683</v>
      </c>
      <c r="J669" s="5" t="s">
        <v>636</v>
      </c>
      <c r="K669" s="5" t="s">
        <v>95</v>
      </c>
      <c r="L669" s="6">
        <v>45670</v>
      </c>
      <c r="M669" s="6">
        <v>45667</v>
      </c>
      <c r="N669" s="5" t="s">
        <v>811</v>
      </c>
      <c r="O669" s="5" t="str">
        <f ca="1">IF(P669&lt;&gt;"EXPEDIÇÃO","Expedido",IF(NETWORKDAYS(C669,TODAY())&gt;=5,"Risco Alto",IF(NETWORKDAYS(C669,TODAY())&gt;=3,IF(NETWORKDAYS(C669,TODAY())&lt;5,"Risco Médio",""),IF(NETWORKDAYS(C669,TODAY())&lt;=2,"Risco Baixo",""))))</f>
        <v>Expedido</v>
      </c>
      <c r="P669" s="5" t="s">
        <v>25</v>
      </c>
      <c r="S669" s="7">
        <f>IF(ISBLANK(M669),"Aguardando Previsão/Data",NETWORKDAYS(L669,M669)-1)</f>
        <v>-3</v>
      </c>
      <c r="T669" s="5" t="s">
        <v>942</v>
      </c>
    </row>
    <row r="670" spans="1:20" x14ac:dyDescent="0.35">
      <c r="A670" s="5">
        <v>8100270073</v>
      </c>
      <c r="B670" s="5">
        <v>13111</v>
      </c>
      <c r="C670" s="6">
        <v>45663</v>
      </c>
      <c r="D670" s="5" t="s">
        <v>91</v>
      </c>
      <c r="E670" s="5" t="s">
        <v>92</v>
      </c>
      <c r="F670" s="5" t="s">
        <v>19</v>
      </c>
      <c r="G670" s="5" t="s">
        <v>20</v>
      </c>
      <c r="H670" s="5" t="s">
        <v>21</v>
      </c>
      <c r="I670" s="5" t="s">
        <v>203</v>
      </c>
      <c r="J670" s="5" t="s">
        <v>578</v>
      </c>
      <c r="K670" s="5" t="s">
        <v>274</v>
      </c>
      <c r="L670" s="6">
        <v>45672</v>
      </c>
      <c r="M670" s="6">
        <v>45671</v>
      </c>
      <c r="N670" s="5" t="s">
        <v>811</v>
      </c>
      <c r="O670" s="5" t="str">
        <f ca="1">IF(P670&lt;&gt;"EXPEDIÇÃO","Expedido",IF(NETWORKDAYS(C670,TODAY())&gt;=5,"Risco Alto",IF(NETWORKDAYS(C670,TODAY())&gt;=3,IF(NETWORKDAYS(C670,TODAY())&lt;5,"Risco Médio",""),IF(NETWORKDAYS(C670,TODAY())&lt;=2,"Risco Baixo",""))))</f>
        <v>Expedido</v>
      </c>
      <c r="P670" s="5" t="s">
        <v>25</v>
      </c>
      <c r="S670" s="7">
        <f>IF(ISBLANK(M670),"Aguardando Previsão/Data",NETWORKDAYS(L670,M670)-1)</f>
        <v>-3</v>
      </c>
      <c r="T670" s="5" t="s">
        <v>942</v>
      </c>
    </row>
    <row r="671" spans="1:20" x14ac:dyDescent="0.35">
      <c r="A671" s="5">
        <v>8100270161</v>
      </c>
      <c r="B671" s="5">
        <v>13109</v>
      </c>
      <c r="C671" s="6">
        <v>45663</v>
      </c>
      <c r="D671" s="5" t="s">
        <v>91</v>
      </c>
      <c r="E671" s="5" t="s">
        <v>92</v>
      </c>
      <c r="F671" s="5" t="s">
        <v>96</v>
      </c>
      <c r="G671" s="5" t="s">
        <v>97</v>
      </c>
      <c r="H671" s="5" t="s">
        <v>21</v>
      </c>
      <c r="I671" s="5" t="s">
        <v>1072</v>
      </c>
      <c r="J671" s="5" t="s">
        <v>426</v>
      </c>
      <c r="K671" s="5" t="s">
        <v>95</v>
      </c>
      <c r="L671" s="6">
        <v>45670</v>
      </c>
      <c r="M671" s="6">
        <v>45665</v>
      </c>
      <c r="N671" s="5" t="s">
        <v>811</v>
      </c>
      <c r="O671" s="5" t="str">
        <f ca="1">IF(P671&lt;&gt;"EXPEDIÇÃO","Expedido",IF(NETWORKDAYS(C671,TODAY())&gt;=5,"Risco Alto",IF(NETWORKDAYS(C671,TODAY())&gt;=3,IF(NETWORKDAYS(C671,TODAY())&lt;5,"Risco Médio",""),IF(NETWORKDAYS(C671,TODAY())&lt;=2,"Risco Baixo",""))))</f>
        <v>Expedido</v>
      </c>
      <c r="P671" s="5" t="s">
        <v>25</v>
      </c>
      <c r="S671" s="7">
        <f>IF(ISBLANK(M671),"Aguardando Previsão/Data",NETWORKDAYS(L671,M671)-1)</f>
        <v>-5</v>
      </c>
      <c r="T671" s="5" t="s">
        <v>942</v>
      </c>
    </row>
    <row r="672" spans="1:20" x14ac:dyDescent="0.35">
      <c r="A672" s="5">
        <v>8100270705</v>
      </c>
      <c r="B672" s="5">
        <v>13097</v>
      </c>
      <c r="C672" s="6">
        <v>45663</v>
      </c>
      <c r="D672" s="5" t="s">
        <v>91</v>
      </c>
      <c r="E672" s="5" t="s">
        <v>92</v>
      </c>
      <c r="F672" s="5" t="s">
        <v>176</v>
      </c>
      <c r="G672" s="5" t="s">
        <v>177</v>
      </c>
      <c r="H672" s="5" t="s">
        <v>21</v>
      </c>
      <c r="I672" s="5" t="s">
        <v>499</v>
      </c>
      <c r="J672" s="5" t="s">
        <v>500</v>
      </c>
      <c r="K672" s="5" t="s">
        <v>95</v>
      </c>
      <c r="L672" s="6">
        <v>45671</v>
      </c>
      <c r="M672" s="6">
        <v>45665</v>
      </c>
      <c r="N672" s="5" t="s">
        <v>811</v>
      </c>
      <c r="O672" s="5" t="str">
        <f ca="1">IF(P672&lt;&gt;"EXPEDIÇÃO","Expedido",IF(NETWORKDAYS(C672,TODAY())&gt;=5,"Risco Alto",IF(NETWORKDAYS(C672,TODAY())&gt;=3,IF(NETWORKDAYS(C672,TODAY())&lt;5,"Risco Médio",""),IF(NETWORKDAYS(C672,TODAY())&lt;=2,"Risco Baixo",""))))</f>
        <v>Expedido</v>
      </c>
      <c r="P672" s="5" t="s">
        <v>25</v>
      </c>
      <c r="S672" s="7">
        <f>IF(ISBLANK(M672),"Aguardando Previsão/Data",NETWORKDAYS(L672,M672)-1)</f>
        <v>-6</v>
      </c>
      <c r="T672" s="5" t="s">
        <v>942</v>
      </c>
    </row>
    <row r="673" spans="1:20" x14ac:dyDescent="0.35">
      <c r="A673" s="5">
        <v>8100271457</v>
      </c>
      <c r="B673" s="5">
        <v>13103</v>
      </c>
      <c r="C673" s="6">
        <v>45663</v>
      </c>
      <c r="D673" s="5" t="s">
        <v>91</v>
      </c>
      <c r="E673" s="5" t="s">
        <v>92</v>
      </c>
      <c r="F673" s="5" t="s">
        <v>196</v>
      </c>
      <c r="G673" s="5" t="s">
        <v>197</v>
      </c>
      <c r="H673" s="5" t="s">
        <v>21</v>
      </c>
      <c r="I673" s="5" t="s">
        <v>791</v>
      </c>
      <c r="J673" s="5" t="s">
        <v>658</v>
      </c>
      <c r="K673" s="5" t="s">
        <v>95</v>
      </c>
      <c r="L673" s="6">
        <v>45670</v>
      </c>
      <c r="M673" s="6">
        <v>45665</v>
      </c>
      <c r="N673" s="5" t="s">
        <v>811</v>
      </c>
      <c r="O673" s="5" t="str">
        <f ca="1">IF(P673&lt;&gt;"EXPEDIÇÃO","Expedido",IF(NETWORKDAYS(C673,TODAY())&gt;=5,"Risco Alto",IF(NETWORKDAYS(C673,TODAY())&gt;=3,IF(NETWORKDAYS(C673,TODAY())&lt;5,"Risco Médio",""),IF(NETWORKDAYS(C673,TODAY())&lt;=2,"Risco Baixo",""))))</f>
        <v>Expedido</v>
      </c>
      <c r="P673" s="5" t="s">
        <v>25</v>
      </c>
      <c r="S673" s="7">
        <f>IF(ISBLANK(M673),"Aguardando Previsão/Data",NETWORKDAYS(L673,M673)-1)</f>
        <v>-5</v>
      </c>
      <c r="T673" s="5" t="s">
        <v>942</v>
      </c>
    </row>
    <row r="674" spans="1:20" x14ac:dyDescent="0.35">
      <c r="A674" s="5">
        <v>8100271196</v>
      </c>
      <c r="B674" s="5">
        <v>20974</v>
      </c>
      <c r="C674" s="6">
        <v>45663</v>
      </c>
      <c r="D674" s="5" t="s">
        <v>836</v>
      </c>
      <c r="E674" s="5" t="s">
        <v>837</v>
      </c>
      <c r="F674" s="5" t="s">
        <v>39</v>
      </c>
      <c r="G674" s="5" t="s">
        <v>40</v>
      </c>
      <c r="H674" s="5" t="s">
        <v>21</v>
      </c>
      <c r="I674" s="5" t="s">
        <v>781</v>
      </c>
      <c r="J674" s="5" t="s">
        <v>260</v>
      </c>
      <c r="K674" s="5" t="s">
        <v>24</v>
      </c>
      <c r="L674" s="6">
        <v>45671</v>
      </c>
      <c r="M674" s="6">
        <v>45673</v>
      </c>
      <c r="N674" s="5" t="s">
        <v>811</v>
      </c>
      <c r="O674" s="5" t="str">
        <f ca="1">IF(P674&lt;&gt;"EXPEDIÇÃO","Expedido",IF(NETWORKDAYS(C674,TODAY())&gt;=5,"Risco Alto",IF(NETWORKDAYS(C674,TODAY())&gt;=3,IF(NETWORKDAYS(C674,TODAY())&lt;5,"Risco Médio",""),IF(NETWORKDAYS(C674,TODAY())&lt;=2,"Risco Baixo",""))))</f>
        <v>Expedido</v>
      </c>
      <c r="P674" s="5" t="s">
        <v>25</v>
      </c>
      <c r="Q674" s="5" t="s">
        <v>897</v>
      </c>
      <c r="R674" s="5">
        <v>1677229</v>
      </c>
      <c r="S674" s="7">
        <f>IF(ISBLANK(M674),"Aguardando Previsão/Data",NETWORKDAYS(L674,M674)-1)</f>
        <v>2</v>
      </c>
      <c r="T674" s="5" t="s">
        <v>942</v>
      </c>
    </row>
    <row r="675" spans="1:20" x14ac:dyDescent="0.35">
      <c r="A675" s="5">
        <v>8100271033</v>
      </c>
      <c r="B675" s="5">
        <v>10579</v>
      </c>
      <c r="C675" s="6">
        <v>45663</v>
      </c>
      <c r="D675" s="5" t="s">
        <v>239</v>
      </c>
      <c r="E675" s="5" t="s">
        <v>240</v>
      </c>
      <c r="F675" s="5" t="s">
        <v>176</v>
      </c>
      <c r="G675" s="5" t="s">
        <v>177</v>
      </c>
      <c r="H675" s="5" t="s">
        <v>218</v>
      </c>
      <c r="I675" s="5" t="s">
        <v>360</v>
      </c>
      <c r="J675" s="5" t="s">
        <v>361</v>
      </c>
      <c r="K675" s="5" t="s">
        <v>241</v>
      </c>
      <c r="L675" s="6">
        <v>45667</v>
      </c>
      <c r="M675" s="6">
        <v>45670</v>
      </c>
      <c r="N675" s="5" t="s">
        <v>811</v>
      </c>
      <c r="O675" s="5" t="str">
        <f ca="1">IF(P675&lt;&gt;"EXPEDIÇÃO","Expedido",IF(NETWORKDAYS(C675,TODAY())&gt;=5,"Risco Alto",IF(NETWORKDAYS(C675,TODAY())&gt;=3,IF(NETWORKDAYS(C675,TODAY())&lt;5,"Risco Médio",""),IF(NETWORKDAYS(C675,TODAY())&lt;=2,"Risco Baixo",""))))</f>
        <v>Expedido</v>
      </c>
      <c r="P675" s="5" t="s">
        <v>25</v>
      </c>
      <c r="Q675" s="5" t="s">
        <v>897</v>
      </c>
      <c r="S675" s="7">
        <f>IF(ISBLANK(M675),"Aguardando Previsão/Data",NETWORKDAYS(L675,M675)-1)</f>
        <v>1</v>
      </c>
      <c r="T675" s="5" t="s">
        <v>942</v>
      </c>
    </row>
    <row r="676" spans="1:20" x14ac:dyDescent="0.35">
      <c r="A676" s="5">
        <v>8100271034</v>
      </c>
      <c r="B676" s="5">
        <v>10580</v>
      </c>
      <c r="C676" s="6">
        <v>45663</v>
      </c>
      <c r="D676" s="5" t="s">
        <v>239</v>
      </c>
      <c r="E676" s="5" t="s">
        <v>240</v>
      </c>
      <c r="F676" s="5" t="s">
        <v>176</v>
      </c>
      <c r="G676" s="5" t="s">
        <v>177</v>
      </c>
      <c r="H676" s="5" t="s">
        <v>218</v>
      </c>
      <c r="I676" s="5" t="s">
        <v>360</v>
      </c>
      <c r="J676" s="5" t="s">
        <v>361</v>
      </c>
      <c r="K676" s="5" t="s">
        <v>241</v>
      </c>
      <c r="L676" s="6">
        <v>45667</v>
      </c>
      <c r="M676" s="6">
        <v>45670</v>
      </c>
      <c r="N676" s="5" t="s">
        <v>811</v>
      </c>
      <c r="O676" s="5" t="str">
        <f ca="1">IF(P676&lt;&gt;"EXPEDIÇÃO","Expedido",IF(NETWORKDAYS(C676,TODAY())&gt;=5,"Risco Alto",IF(NETWORKDAYS(C676,TODAY())&gt;=3,IF(NETWORKDAYS(C676,TODAY())&lt;5,"Risco Médio",""),IF(NETWORKDAYS(C676,TODAY())&lt;=2,"Risco Baixo",""))))</f>
        <v>Expedido</v>
      </c>
      <c r="P676" s="5" t="s">
        <v>25</v>
      </c>
      <c r="Q676" s="5" t="s">
        <v>897</v>
      </c>
      <c r="S676" s="7">
        <f>IF(ISBLANK(M676),"Aguardando Previsão/Data",NETWORKDAYS(L676,M676)-1)</f>
        <v>1</v>
      </c>
      <c r="T676" s="5" t="s">
        <v>942</v>
      </c>
    </row>
    <row r="677" spans="1:20" x14ac:dyDescent="0.35">
      <c r="A677" s="5">
        <v>8100271039</v>
      </c>
      <c r="B677" s="5">
        <v>10581</v>
      </c>
      <c r="C677" s="6">
        <v>45663</v>
      </c>
      <c r="D677" s="5" t="s">
        <v>239</v>
      </c>
      <c r="E677" s="5" t="s">
        <v>240</v>
      </c>
      <c r="F677" s="5" t="s">
        <v>176</v>
      </c>
      <c r="G677" s="5" t="s">
        <v>177</v>
      </c>
      <c r="H677" s="5" t="s">
        <v>218</v>
      </c>
      <c r="I677" s="5" t="s">
        <v>360</v>
      </c>
      <c r="J677" s="5" t="s">
        <v>361</v>
      </c>
      <c r="K677" s="5" t="s">
        <v>241</v>
      </c>
      <c r="L677" s="6">
        <v>45667</v>
      </c>
      <c r="M677" s="6">
        <v>45670</v>
      </c>
      <c r="N677" s="5" t="s">
        <v>811</v>
      </c>
      <c r="O677" s="5" t="str">
        <f ca="1">IF(P677&lt;&gt;"EXPEDIÇÃO","Expedido",IF(NETWORKDAYS(C677,TODAY())&gt;=5,"Risco Alto",IF(NETWORKDAYS(C677,TODAY())&gt;=3,IF(NETWORKDAYS(C677,TODAY())&lt;5,"Risco Médio",""),IF(NETWORKDAYS(C677,TODAY())&lt;=2,"Risco Baixo",""))))</f>
        <v>Expedido</v>
      </c>
      <c r="P677" s="5" t="s">
        <v>25</v>
      </c>
      <c r="Q677" s="5" t="s">
        <v>897</v>
      </c>
      <c r="S677" s="7">
        <f>IF(ISBLANK(M677),"Aguardando Previsão/Data",NETWORKDAYS(L677,M677)-1)</f>
        <v>1</v>
      </c>
      <c r="T677" s="5" t="s">
        <v>942</v>
      </c>
    </row>
    <row r="678" spans="1:20" x14ac:dyDescent="0.35">
      <c r="A678" s="5">
        <v>8100271059</v>
      </c>
      <c r="B678" s="5">
        <v>10596</v>
      </c>
      <c r="C678" s="6">
        <v>45663</v>
      </c>
      <c r="D678" s="5" t="s">
        <v>239</v>
      </c>
      <c r="E678" s="5" t="s">
        <v>240</v>
      </c>
      <c r="F678" s="5" t="s">
        <v>160</v>
      </c>
      <c r="G678" s="5" t="s">
        <v>161</v>
      </c>
      <c r="H678" s="5" t="s">
        <v>218</v>
      </c>
      <c r="I678" s="5" t="s">
        <v>893</v>
      </c>
      <c r="J678" s="5" t="s">
        <v>457</v>
      </c>
      <c r="K678" s="5" t="s">
        <v>241</v>
      </c>
      <c r="L678" s="6">
        <v>45667</v>
      </c>
      <c r="M678" s="6">
        <v>45667</v>
      </c>
      <c r="N678" s="5" t="s">
        <v>811</v>
      </c>
      <c r="O678" s="5" t="str">
        <f ca="1">IF(P678&lt;&gt;"EXPEDIÇÃO","Expedido",IF(NETWORKDAYS(C678,TODAY())&gt;=5,"Risco Alto",IF(NETWORKDAYS(C678,TODAY())&gt;=3,IF(NETWORKDAYS(C678,TODAY())&lt;5,"Risco Médio",""),IF(NETWORKDAYS(C678,TODAY())&lt;=2,"Risco Baixo",""))))</f>
        <v>Expedido</v>
      </c>
      <c r="P678" s="5" t="s">
        <v>25</v>
      </c>
      <c r="Q678" s="5" t="s">
        <v>793</v>
      </c>
      <c r="S678" s="7">
        <f>IF(ISBLANK(M678),"Aguardando Previsão/Data",NETWORKDAYS(L678,M678)-1)</f>
        <v>0</v>
      </c>
      <c r="T678" s="5" t="s">
        <v>942</v>
      </c>
    </row>
    <row r="679" spans="1:20" x14ac:dyDescent="0.35">
      <c r="A679" s="5">
        <v>8100271063</v>
      </c>
      <c r="B679" s="5">
        <v>10597</v>
      </c>
      <c r="C679" s="6">
        <v>45663</v>
      </c>
      <c r="D679" s="5" t="s">
        <v>239</v>
      </c>
      <c r="E679" s="5" t="s">
        <v>240</v>
      </c>
      <c r="F679" s="5" t="s">
        <v>160</v>
      </c>
      <c r="G679" s="5" t="s">
        <v>161</v>
      </c>
      <c r="H679" s="5" t="s">
        <v>218</v>
      </c>
      <c r="I679" s="5" t="s">
        <v>893</v>
      </c>
      <c r="J679" s="5" t="s">
        <v>457</v>
      </c>
      <c r="K679" s="5" t="s">
        <v>241</v>
      </c>
      <c r="L679" s="6">
        <v>45667</v>
      </c>
      <c r="M679" s="6">
        <v>45667</v>
      </c>
      <c r="N679" s="5" t="s">
        <v>811</v>
      </c>
      <c r="O679" s="5" t="str">
        <f ca="1">IF(P679&lt;&gt;"EXPEDIÇÃO","Expedido",IF(NETWORKDAYS(C679,TODAY())&gt;=5,"Risco Alto",IF(NETWORKDAYS(C679,TODAY())&gt;=3,IF(NETWORKDAYS(C679,TODAY())&lt;5,"Risco Médio",""),IF(NETWORKDAYS(C679,TODAY())&lt;=2,"Risco Baixo",""))))</f>
        <v>Expedido</v>
      </c>
      <c r="P679" s="5" t="s">
        <v>25</v>
      </c>
      <c r="Q679" s="5" t="s">
        <v>793</v>
      </c>
      <c r="S679" s="7">
        <f>IF(ISBLANK(M679),"Aguardando Previsão/Data",NETWORKDAYS(L679,M679)-1)</f>
        <v>0</v>
      </c>
      <c r="T679" s="5" t="s">
        <v>942</v>
      </c>
    </row>
    <row r="680" spans="1:20" x14ac:dyDescent="0.35">
      <c r="A680" s="5">
        <v>8100271210</v>
      </c>
      <c r="B680" s="5">
        <v>10584</v>
      </c>
      <c r="C680" s="6">
        <v>45663</v>
      </c>
      <c r="D680" s="5" t="s">
        <v>239</v>
      </c>
      <c r="E680" s="5" t="s">
        <v>240</v>
      </c>
      <c r="F680" s="5" t="s">
        <v>242</v>
      </c>
      <c r="G680" s="5" t="s">
        <v>243</v>
      </c>
      <c r="H680" s="5" t="s">
        <v>218</v>
      </c>
      <c r="I680" s="5" t="s">
        <v>245</v>
      </c>
      <c r="J680" s="5" t="s">
        <v>246</v>
      </c>
      <c r="K680" s="5" t="s">
        <v>241</v>
      </c>
      <c r="L680" s="6">
        <v>45670</v>
      </c>
      <c r="M680" s="6">
        <v>45663</v>
      </c>
      <c r="N680" s="5"/>
      <c r="O680" s="5" t="str">
        <f ca="1">IF(P680&lt;&gt;"EXPEDIÇÃO","Expedido",IF(NETWORKDAYS(C680,TODAY())&gt;=5,"Risco Alto",IF(NETWORKDAYS(C680,TODAY())&gt;=3,IF(NETWORKDAYS(C680,TODAY())&lt;5,"Risco Médio",""),IF(NETWORKDAYS(C680,TODAY())&lt;=2,"Risco Baixo",""))))</f>
        <v>Expedido</v>
      </c>
      <c r="P680" s="5" t="s">
        <v>629</v>
      </c>
      <c r="Q680" s="5" t="s">
        <v>897</v>
      </c>
      <c r="S680" s="7">
        <f>IF(ISBLANK(M680),"Aguardando Previsão/Data",NETWORKDAYS(L680,M680)-1)</f>
        <v>-7</v>
      </c>
      <c r="T680" s="5" t="s">
        <v>942</v>
      </c>
    </row>
    <row r="681" spans="1:20" x14ac:dyDescent="0.35">
      <c r="A681" s="8">
        <v>8100271211</v>
      </c>
      <c r="B681" s="5">
        <v>10588</v>
      </c>
      <c r="C681" s="6">
        <v>45663</v>
      </c>
      <c r="D681" s="5" t="s">
        <v>239</v>
      </c>
      <c r="E681" s="5" t="s">
        <v>240</v>
      </c>
      <c r="F681" s="5" t="s">
        <v>160</v>
      </c>
      <c r="G681" s="5" t="s">
        <v>161</v>
      </c>
      <c r="H681" s="5" t="s">
        <v>218</v>
      </c>
      <c r="I681" s="5" t="s">
        <v>354</v>
      </c>
      <c r="J681" s="5" t="s">
        <v>355</v>
      </c>
      <c r="K681" s="5" t="s">
        <v>241</v>
      </c>
      <c r="L681" s="6">
        <v>45667</v>
      </c>
      <c r="M681" s="6">
        <v>45671</v>
      </c>
      <c r="N681" s="5" t="s">
        <v>812</v>
      </c>
      <c r="O681" s="5" t="str">
        <f ca="1">IF(P681&lt;&gt;"EXPEDIÇÃO","Expedido",IF(NETWORKDAYS(C681,TODAY())&gt;=5,"Risco Alto",IF(NETWORKDAYS(C681,TODAY())&gt;=3,IF(NETWORKDAYS(C681,TODAY())&lt;5,"Risco Médio",""),IF(NETWORKDAYS(C681,TODAY())&lt;=2,"Risco Baixo",""))))</f>
        <v>Expedido</v>
      </c>
      <c r="P681" s="5" t="s">
        <v>25</v>
      </c>
      <c r="Q681" s="5" t="s">
        <v>897</v>
      </c>
      <c r="S681" s="7">
        <f>IF(ISBLANK(M681),"Aguardando Previsão/Data",NETWORKDAYS(L681,M681)-1)</f>
        <v>2</v>
      </c>
      <c r="T681" s="5" t="s">
        <v>942</v>
      </c>
    </row>
    <row r="682" spans="1:20" x14ac:dyDescent="0.35">
      <c r="A682" s="8">
        <v>8100271212</v>
      </c>
      <c r="B682" s="8">
        <v>10589</v>
      </c>
      <c r="C682" s="6">
        <v>45663</v>
      </c>
      <c r="D682" s="5" t="s">
        <v>239</v>
      </c>
      <c r="E682" s="5" t="s">
        <v>240</v>
      </c>
      <c r="F682" s="5" t="s">
        <v>176</v>
      </c>
      <c r="G682" s="5" t="s">
        <v>177</v>
      </c>
      <c r="H682" s="5" t="s">
        <v>218</v>
      </c>
      <c r="I682" s="5" t="s">
        <v>354</v>
      </c>
      <c r="J682" s="5" t="s">
        <v>355</v>
      </c>
      <c r="K682" s="5" t="s">
        <v>241</v>
      </c>
      <c r="L682" s="6">
        <v>45667</v>
      </c>
      <c r="M682" s="6">
        <v>45671</v>
      </c>
      <c r="N682" s="5" t="s">
        <v>812</v>
      </c>
      <c r="O682" s="5" t="str">
        <f ca="1">IF(P682&lt;&gt;"EXPEDIÇÃO","Expedido",IF(NETWORKDAYS(C682,TODAY())&gt;=5,"Risco Alto",IF(NETWORKDAYS(C682,TODAY())&gt;=3,IF(NETWORKDAYS(C682,TODAY())&lt;5,"Risco Médio",""),IF(NETWORKDAYS(C682,TODAY())&lt;=2,"Risco Baixo",""))))</f>
        <v>Expedido</v>
      </c>
      <c r="P682" s="5" t="s">
        <v>25</v>
      </c>
      <c r="Q682" s="5" t="s">
        <v>897</v>
      </c>
      <c r="S682" s="7">
        <f>IF(ISBLANK(M682),"Aguardando Previsão/Data",NETWORKDAYS(L682,M682)-1)</f>
        <v>2</v>
      </c>
      <c r="T682" s="5" t="s">
        <v>942</v>
      </c>
    </row>
    <row r="683" spans="1:20" x14ac:dyDescent="0.35">
      <c r="A683" s="5">
        <v>8100271213</v>
      </c>
      <c r="B683" s="5">
        <v>10598</v>
      </c>
      <c r="C683" s="6">
        <v>45663</v>
      </c>
      <c r="D683" s="5" t="s">
        <v>239</v>
      </c>
      <c r="E683" s="5" t="s">
        <v>240</v>
      </c>
      <c r="F683" s="5" t="s">
        <v>176</v>
      </c>
      <c r="G683" s="5" t="s">
        <v>177</v>
      </c>
      <c r="H683" s="5" t="s">
        <v>218</v>
      </c>
      <c r="I683" s="5" t="s">
        <v>360</v>
      </c>
      <c r="J683" s="5" t="s">
        <v>361</v>
      </c>
      <c r="K683" s="5" t="s">
        <v>241</v>
      </c>
      <c r="L683" s="6">
        <v>45667</v>
      </c>
      <c r="M683" s="6">
        <v>45670</v>
      </c>
      <c r="N683" s="5" t="s">
        <v>811</v>
      </c>
      <c r="O683" s="5" t="str">
        <f ca="1">IF(P683&lt;&gt;"EXPEDIÇÃO","Expedido",IF(NETWORKDAYS(C683,TODAY())&gt;=5,"Risco Alto",IF(NETWORKDAYS(C683,TODAY())&gt;=3,IF(NETWORKDAYS(C683,TODAY())&lt;5,"Risco Médio",""),IF(NETWORKDAYS(C683,TODAY())&lt;=2,"Risco Baixo",""))))</f>
        <v>Expedido</v>
      </c>
      <c r="P683" s="5" t="s">
        <v>25</v>
      </c>
      <c r="Q683" s="5" t="s">
        <v>897</v>
      </c>
      <c r="S683" s="7">
        <f>IF(ISBLANK(M683),"Aguardando Previsão/Data",NETWORKDAYS(L683,M683)-1)</f>
        <v>1</v>
      </c>
      <c r="T683" s="5" t="s">
        <v>942</v>
      </c>
    </row>
    <row r="684" spans="1:20" x14ac:dyDescent="0.35">
      <c r="A684" s="5">
        <v>8100271214</v>
      </c>
      <c r="B684" s="5">
        <v>10599</v>
      </c>
      <c r="C684" s="6">
        <v>45663</v>
      </c>
      <c r="D684" s="5" t="s">
        <v>239</v>
      </c>
      <c r="E684" s="5" t="s">
        <v>240</v>
      </c>
      <c r="F684" s="5" t="s">
        <v>176</v>
      </c>
      <c r="G684" s="5" t="s">
        <v>177</v>
      </c>
      <c r="H684" s="5" t="s">
        <v>218</v>
      </c>
      <c r="I684" s="5" t="s">
        <v>360</v>
      </c>
      <c r="J684" s="5" t="s">
        <v>361</v>
      </c>
      <c r="K684" s="5" t="s">
        <v>241</v>
      </c>
      <c r="L684" s="6">
        <v>45667</v>
      </c>
      <c r="M684" s="6">
        <v>45670</v>
      </c>
      <c r="N684" s="5" t="s">
        <v>811</v>
      </c>
      <c r="O684" s="5" t="str">
        <f ca="1">IF(P684&lt;&gt;"EXPEDIÇÃO","Expedido",IF(NETWORKDAYS(C684,TODAY())&gt;=5,"Risco Alto",IF(NETWORKDAYS(C684,TODAY())&gt;=3,IF(NETWORKDAYS(C684,TODAY())&lt;5,"Risco Médio",""),IF(NETWORKDAYS(C684,TODAY())&lt;=2,"Risco Baixo",""))))</f>
        <v>Expedido</v>
      </c>
      <c r="P684" s="5" t="s">
        <v>25</v>
      </c>
      <c r="Q684" s="5" t="s">
        <v>897</v>
      </c>
      <c r="S684" s="7">
        <f>IF(ISBLANK(M684),"Aguardando Previsão/Data",NETWORKDAYS(L684,M684)-1)</f>
        <v>1</v>
      </c>
      <c r="T684" s="5" t="s">
        <v>942</v>
      </c>
    </row>
    <row r="685" spans="1:20" x14ac:dyDescent="0.35">
      <c r="A685" s="8">
        <v>8100271215</v>
      </c>
      <c r="B685" s="5">
        <v>10590</v>
      </c>
      <c r="C685" s="6">
        <v>45663</v>
      </c>
      <c r="D685" s="5" t="s">
        <v>239</v>
      </c>
      <c r="E685" s="5" t="s">
        <v>240</v>
      </c>
      <c r="F685" s="5" t="s">
        <v>242</v>
      </c>
      <c r="G685" s="5" t="s">
        <v>243</v>
      </c>
      <c r="H685" s="5" t="s">
        <v>218</v>
      </c>
      <c r="I685" s="5" t="s">
        <v>354</v>
      </c>
      <c r="J685" s="5" t="s">
        <v>355</v>
      </c>
      <c r="K685" s="5" t="s">
        <v>241</v>
      </c>
      <c r="L685" s="6">
        <v>45667</v>
      </c>
      <c r="M685" s="6">
        <v>45671</v>
      </c>
      <c r="N685" s="5" t="s">
        <v>812</v>
      </c>
      <c r="O685" s="5" t="str">
        <f ca="1">IF(P685&lt;&gt;"EXPEDIÇÃO","Expedido",IF(NETWORKDAYS(C685,TODAY())&gt;=5,"Risco Alto",IF(NETWORKDAYS(C685,TODAY())&gt;=3,IF(NETWORKDAYS(C685,TODAY())&lt;5,"Risco Médio",""),IF(NETWORKDAYS(C685,TODAY())&lt;=2,"Risco Baixo",""))))</f>
        <v>Expedido</v>
      </c>
      <c r="P685" s="5" t="s">
        <v>25</v>
      </c>
      <c r="Q685" s="5" t="s">
        <v>897</v>
      </c>
      <c r="S685" s="7">
        <f>IF(ISBLANK(M685),"Aguardando Previsão/Data",NETWORKDAYS(L685,M685)-1)</f>
        <v>2</v>
      </c>
      <c r="T685" s="5" t="s">
        <v>942</v>
      </c>
    </row>
    <row r="686" spans="1:20" x14ac:dyDescent="0.35">
      <c r="A686" s="5">
        <v>8100271226</v>
      </c>
      <c r="B686" s="5">
        <v>10582</v>
      </c>
      <c r="C686" s="6">
        <v>45663</v>
      </c>
      <c r="D686" s="5" t="s">
        <v>239</v>
      </c>
      <c r="E686" s="5" t="s">
        <v>240</v>
      </c>
      <c r="F686" s="5" t="s">
        <v>160</v>
      </c>
      <c r="G686" s="5" t="s">
        <v>161</v>
      </c>
      <c r="H686" s="5" t="s">
        <v>218</v>
      </c>
      <c r="I686" s="5" t="s">
        <v>546</v>
      </c>
      <c r="J686" s="5" t="s">
        <v>355</v>
      </c>
      <c r="K686" s="5" t="s">
        <v>241</v>
      </c>
      <c r="L686" s="6">
        <v>45667</v>
      </c>
      <c r="M686" s="6">
        <v>45663</v>
      </c>
      <c r="N686" s="5" t="s">
        <v>811</v>
      </c>
      <c r="O686" s="5" t="str">
        <f ca="1">IF(P686&lt;&gt;"EXPEDIÇÃO","Expedido",IF(NETWORKDAYS(C686,TODAY())&gt;=5,"Risco Alto",IF(NETWORKDAYS(C686,TODAY())&gt;=3,IF(NETWORKDAYS(C686,TODAY())&lt;5,"Risco Médio",""),IF(NETWORKDAYS(C686,TODAY())&lt;=2,"Risco Baixo",""))))</f>
        <v>Expedido</v>
      </c>
      <c r="P686" s="5" t="s">
        <v>25</v>
      </c>
      <c r="Q686" s="5" t="s">
        <v>900</v>
      </c>
      <c r="S686" s="7">
        <f>IF(ISBLANK(M686),"Aguardando Previsão/Data",NETWORKDAYS(L686,M686)-1)</f>
        <v>-6</v>
      </c>
      <c r="T686" s="5" t="s">
        <v>942</v>
      </c>
    </row>
    <row r="687" spans="1:20" x14ac:dyDescent="0.35">
      <c r="A687" s="5">
        <v>8100271227</v>
      </c>
      <c r="B687" s="5">
        <v>10585</v>
      </c>
      <c r="C687" s="6">
        <v>45663</v>
      </c>
      <c r="D687" s="5" t="s">
        <v>239</v>
      </c>
      <c r="E687" s="5" t="s">
        <v>240</v>
      </c>
      <c r="F687" s="5" t="s">
        <v>242</v>
      </c>
      <c r="G687" s="5" t="s">
        <v>243</v>
      </c>
      <c r="H687" s="5" t="s">
        <v>218</v>
      </c>
      <c r="I687" s="5" t="s">
        <v>245</v>
      </c>
      <c r="J687" s="5" t="s">
        <v>246</v>
      </c>
      <c r="K687" s="5" t="s">
        <v>241</v>
      </c>
      <c r="L687" s="6">
        <v>45670</v>
      </c>
      <c r="M687" s="6">
        <v>45663</v>
      </c>
      <c r="N687" s="5"/>
      <c r="O687" s="5" t="str">
        <f ca="1">IF(P687&lt;&gt;"EXPEDIÇÃO","Expedido",IF(NETWORKDAYS(C687,TODAY())&gt;=5,"Risco Alto",IF(NETWORKDAYS(C687,TODAY())&gt;=3,IF(NETWORKDAYS(C687,TODAY())&lt;5,"Risco Médio",""),IF(NETWORKDAYS(C687,TODAY())&lt;=2,"Risco Baixo",""))))</f>
        <v>Expedido</v>
      </c>
      <c r="P687" s="5" t="s">
        <v>629</v>
      </c>
      <c r="Q687" s="5" t="s">
        <v>897</v>
      </c>
      <c r="S687" s="7">
        <f>IF(ISBLANK(M687),"Aguardando Previsão/Data",NETWORKDAYS(L687,M687)-1)</f>
        <v>-7</v>
      </c>
      <c r="T687" s="5" t="s">
        <v>942</v>
      </c>
    </row>
    <row r="688" spans="1:20" x14ac:dyDescent="0.35">
      <c r="A688" s="5">
        <v>8100271228</v>
      </c>
      <c r="B688" s="5">
        <v>10586</v>
      </c>
      <c r="C688" s="6">
        <v>45663</v>
      </c>
      <c r="D688" s="5" t="s">
        <v>239</v>
      </c>
      <c r="E688" s="5" t="s">
        <v>240</v>
      </c>
      <c r="F688" s="5" t="s">
        <v>242</v>
      </c>
      <c r="G688" s="5" t="s">
        <v>243</v>
      </c>
      <c r="H688" s="5" t="s">
        <v>218</v>
      </c>
      <c r="I688" s="5" t="s">
        <v>245</v>
      </c>
      <c r="J688" s="5" t="s">
        <v>246</v>
      </c>
      <c r="K688" s="5" t="s">
        <v>241</v>
      </c>
      <c r="L688" s="6">
        <v>45670</v>
      </c>
      <c r="M688" s="6">
        <v>45663</v>
      </c>
      <c r="N688" s="5"/>
      <c r="O688" s="5" t="str">
        <f ca="1">IF(P688&lt;&gt;"EXPEDIÇÃO","Expedido",IF(NETWORKDAYS(C688,TODAY())&gt;=5,"Risco Alto",IF(NETWORKDAYS(C688,TODAY())&gt;=3,IF(NETWORKDAYS(C688,TODAY())&lt;5,"Risco Médio",""),IF(NETWORKDAYS(C688,TODAY())&lt;=2,"Risco Baixo",""))))</f>
        <v>Expedido</v>
      </c>
      <c r="P688" s="5" t="s">
        <v>629</v>
      </c>
      <c r="Q688" s="5" t="s">
        <v>897</v>
      </c>
      <c r="S688" s="7">
        <f>IF(ISBLANK(M688),"Aguardando Previsão/Data",NETWORKDAYS(L688,M688)-1)</f>
        <v>-7</v>
      </c>
      <c r="T688" s="5" t="s">
        <v>942</v>
      </c>
    </row>
    <row r="689" spans="1:20" x14ac:dyDescent="0.35">
      <c r="A689" s="5">
        <v>8100271229</v>
      </c>
      <c r="B689" s="5">
        <v>10587</v>
      </c>
      <c r="C689" s="6">
        <v>45663</v>
      </c>
      <c r="D689" s="5" t="s">
        <v>239</v>
      </c>
      <c r="E689" s="5" t="s">
        <v>240</v>
      </c>
      <c r="F689" s="5" t="s">
        <v>242</v>
      </c>
      <c r="G689" s="5" t="s">
        <v>243</v>
      </c>
      <c r="H689" s="5" t="s">
        <v>218</v>
      </c>
      <c r="I689" s="5" t="s">
        <v>245</v>
      </c>
      <c r="J689" s="5" t="s">
        <v>246</v>
      </c>
      <c r="K689" s="5" t="s">
        <v>241</v>
      </c>
      <c r="L689" s="6">
        <v>45670</v>
      </c>
      <c r="M689" s="6">
        <v>45663</v>
      </c>
      <c r="N689" s="5"/>
      <c r="O689" s="5" t="str">
        <f ca="1">IF(P689&lt;&gt;"EXPEDIÇÃO","Expedido",IF(NETWORKDAYS(C689,TODAY())&gt;=5,"Risco Alto",IF(NETWORKDAYS(C689,TODAY())&gt;=3,IF(NETWORKDAYS(C689,TODAY())&lt;5,"Risco Médio",""),IF(NETWORKDAYS(C689,TODAY())&lt;=2,"Risco Baixo",""))))</f>
        <v>Expedido</v>
      </c>
      <c r="P689" s="5" t="s">
        <v>629</v>
      </c>
      <c r="Q689" s="5" t="s">
        <v>897</v>
      </c>
      <c r="S689" s="7">
        <f>IF(ISBLANK(M689),"Aguardando Previsão/Data",NETWORKDAYS(L689,M689)-1)</f>
        <v>-7</v>
      </c>
      <c r="T689" s="5" t="s">
        <v>942</v>
      </c>
    </row>
    <row r="690" spans="1:20" x14ac:dyDescent="0.35">
      <c r="A690" s="8">
        <v>8100271230</v>
      </c>
      <c r="B690" s="5">
        <v>10591</v>
      </c>
      <c r="C690" s="6">
        <v>45663</v>
      </c>
      <c r="D690" s="5" t="s">
        <v>239</v>
      </c>
      <c r="E690" s="5" t="s">
        <v>240</v>
      </c>
      <c r="F690" s="5" t="s">
        <v>160</v>
      </c>
      <c r="G690" s="5" t="s">
        <v>161</v>
      </c>
      <c r="H690" s="5" t="s">
        <v>218</v>
      </c>
      <c r="I690" s="5" t="s">
        <v>354</v>
      </c>
      <c r="J690" s="5" t="s">
        <v>355</v>
      </c>
      <c r="K690" s="5" t="s">
        <v>241</v>
      </c>
      <c r="L690" s="6">
        <v>45667</v>
      </c>
      <c r="M690" s="6">
        <v>45671</v>
      </c>
      <c r="N690" s="5" t="s">
        <v>812</v>
      </c>
      <c r="O690" s="5" t="str">
        <f ca="1">IF(P690&lt;&gt;"EXPEDIÇÃO","Expedido",IF(NETWORKDAYS(C690,TODAY())&gt;=5,"Risco Alto",IF(NETWORKDAYS(C690,TODAY())&gt;=3,IF(NETWORKDAYS(C690,TODAY())&lt;5,"Risco Médio",""),IF(NETWORKDAYS(C690,TODAY())&lt;=2,"Risco Baixo",""))))</f>
        <v>Expedido</v>
      </c>
      <c r="P690" s="5" t="s">
        <v>25</v>
      </c>
      <c r="Q690" s="5" t="s">
        <v>897</v>
      </c>
      <c r="S690" s="7">
        <f>IF(ISBLANK(M690),"Aguardando Previsão/Data",NETWORKDAYS(L690,M690)-1)</f>
        <v>2</v>
      </c>
      <c r="T690" s="5" t="s">
        <v>942</v>
      </c>
    </row>
    <row r="691" spans="1:20" x14ac:dyDescent="0.35">
      <c r="A691" s="5">
        <v>8100271231</v>
      </c>
      <c r="B691" s="5">
        <v>10592</v>
      </c>
      <c r="C691" s="6">
        <v>45663</v>
      </c>
      <c r="D691" s="5" t="s">
        <v>239</v>
      </c>
      <c r="E691" s="5" t="s">
        <v>240</v>
      </c>
      <c r="F691" s="5" t="s">
        <v>160</v>
      </c>
      <c r="G691" s="5" t="s">
        <v>161</v>
      </c>
      <c r="H691" s="5" t="s">
        <v>218</v>
      </c>
      <c r="I691" s="5" t="s">
        <v>354</v>
      </c>
      <c r="J691" s="5" t="s">
        <v>355</v>
      </c>
      <c r="K691" s="5" t="s">
        <v>241</v>
      </c>
      <c r="L691" s="6">
        <v>45667</v>
      </c>
      <c r="M691" s="6">
        <v>45667</v>
      </c>
      <c r="N691" s="5" t="s">
        <v>811</v>
      </c>
      <c r="O691" s="5" t="str">
        <f ca="1">IF(P691&lt;&gt;"EXPEDIÇÃO","Expedido",IF(NETWORKDAYS(C691,TODAY())&gt;=5,"Risco Alto",IF(NETWORKDAYS(C691,TODAY())&gt;=3,IF(NETWORKDAYS(C691,TODAY())&lt;5,"Risco Médio",""),IF(NETWORKDAYS(C691,TODAY())&lt;=2,"Risco Baixo",""))))</f>
        <v>Expedido</v>
      </c>
      <c r="P691" s="5" t="s">
        <v>25</v>
      </c>
      <c r="Q691" s="5" t="s">
        <v>793</v>
      </c>
      <c r="S691" s="7">
        <f>IF(ISBLANK(M691),"Aguardando Previsão/Data",NETWORKDAYS(L691,M691)-1)</f>
        <v>0</v>
      </c>
      <c r="T691" s="5" t="s">
        <v>942</v>
      </c>
    </row>
    <row r="692" spans="1:20" x14ac:dyDescent="0.35">
      <c r="A692" s="5">
        <v>8100271232</v>
      </c>
      <c r="B692" s="5">
        <v>10600</v>
      </c>
      <c r="C692" s="6">
        <v>45663</v>
      </c>
      <c r="D692" s="5" t="s">
        <v>239</v>
      </c>
      <c r="E692" s="5" t="s">
        <v>240</v>
      </c>
      <c r="F692" s="5" t="s">
        <v>242</v>
      </c>
      <c r="G692" s="5" t="s">
        <v>243</v>
      </c>
      <c r="H692" s="5" t="s">
        <v>218</v>
      </c>
      <c r="I692" s="5" t="s">
        <v>354</v>
      </c>
      <c r="J692" s="5" t="s">
        <v>355</v>
      </c>
      <c r="K692" s="5" t="s">
        <v>241</v>
      </c>
      <c r="L692" s="6">
        <v>45667</v>
      </c>
      <c r="M692" s="6">
        <v>45672</v>
      </c>
      <c r="N692" s="5" t="s">
        <v>812</v>
      </c>
      <c r="O692" s="5" t="str">
        <f ca="1">IF(P692&lt;&gt;"EXPEDIÇÃO","Expedido",IF(NETWORKDAYS(C692,TODAY())&gt;=5,"Risco Alto",IF(NETWORKDAYS(C692,TODAY())&gt;=3,IF(NETWORKDAYS(C692,TODAY())&lt;5,"Risco Médio",""),IF(NETWORKDAYS(C692,TODAY())&lt;=2,"Risco Baixo",""))))</f>
        <v>Expedido</v>
      </c>
      <c r="P692" s="5" t="s">
        <v>25</v>
      </c>
      <c r="Q692" s="5" t="s">
        <v>897</v>
      </c>
      <c r="S692" s="7">
        <f>IF(ISBLANK(M692),"Aguardando Previsão/Data",NETWORKDAYS(L692,M692)-1)</f>
        <v>3</v>
      </c>
      <c r="T692" s="5" t="s">
        <v>942</v>
      </c>
    </row>
    <row r="693" spans="1:20" x14ac:dyDescent="0.35">
      <c r="A693" s="5">
        <v>8100271233</v>
      </c>
      <c r="B693" s="5">
        <v>10595</v>
      </c>
      <c r="C693" s="6">
        <v>45663</v>
      </c>
      <c r="D693" s="5" t="s">
        <v>239</v>
      </c>
      <c r="E693" s="5" t="s">
        <v>240</v>
      </c>
      <c r="F693" s="5" t="s">
        <v>160</v>
      </c>
      <c r="G693" s="5" t="s">
        <v>161</v>
      </c>
      <c r="H693" s="5" t="s">
        <v>218</v>
      </c>
      <c r="I693" s="5" t="s">
        <v>685</v>
      </c>
      <c r="J693" s="5" t="s">
        <v>521</v>
      </c>
      <c r="K693" s="5" t="s">
        <v>241</v>
      </c>
      <c r="L693" s="6">
        <v>45667</v>
      </c>
      <c r="M693" s="6">
        <v>45670</v>
      </c>
      <c r="N693" s="5" t="s">
        <v>811</v>
      </c>
      <c r="O693" s="5" t="str">
        <f ca="1">IF(P693&lt;&gt;"EXPEDIÇÃO","Expedido",IF(NETWORKDAYS(C693,TODAY())&gt;=5,"Risco Alto",IF(NETWORKDAYS(C693,TODAY())&gt;=3,IF(NETWORKDAYS(C693,TODAY())&lt;5,"Risco Médio",""),IF(NETWORKDAYS(C693,TODAY())&lt;=2,"Risco Baixo",""))))</f>
        <v>Expedido</v>
      </c>
      <c r="P693" s="5" t="s">
        <v>25</v>
      </c>
      <c r="Q693" s="5" t="s">
        <v>897</v>
      </c>
      <c r="S693" s="7">
        <f>IF(ISBLANK(M693),"Aguardando Previsão/Data",NETWORKDAYS(L693,M693)-1)</f>
        <v>1</v>
      </c>
      <c r="T693" s="5" t="s">
        <v>942</v>
      </c>
    </row>
    <row r="694" spans="1:20" x14ac:dyDescent="0.35">
      <c r="A694" s="5">
        <v>8100271308</v>
      </c>
      <c r="B694" s="5">
        <v>10583</v>
      </c>
      <c r="C694" s="6">
        <v>45663</v>
      </c>
      <c r="D694" s="5" t="s">
        <v>239</v>
      </c>
      <c r="E694" s="5" t="s">
        <v>240</v>
      </c>
      <c r="F694" s="5" t="s">
        <v>242</v>
      </c>
      <c r="G694" s="5" t="s">
        <v>243</v>
      </c>
      <c r="H694" s="5" t="s">
        <v>218</v>
      </c>
      <c r="I694" s="5" t="s">
        <v>546</v>
      </c>
      <c r="J694" s="5" t="s">
        <v>355</v>
      </c>
      <c r="K694" s="5" t="s">
        <v>241</v>
      </c>
      <c r="L694" s="6">
        <v>45667</v>
      </c>
      <c r="M694" s="6">
        <v>45663</v>
      </c>
      <c r="N694" s="5" t="s">
        <v>811</v>
      </c>
      <c r="O694" s="5" t="str">
        <f ca="1">IF(P694&lt;&gt;"EXPEDIÇÃO","Expedido",IF(NETWORKDAYS(C694,TODAY())&gt;=5,"Risco Alto",IF(NETWORKDAYS(C694,TODAY())&gt;=3,IF(NETWORKDAYS(C694,TODAY())&lt;5,"Risco Médio",""),IF(NETWORKDAYS(C694,TODAY())&lt;=2,"Risco Baixo",""))))</f>
        <v>Expedido</v>
      </c>
      <c r="P694" s="5" t="s">
        <v>25</v>
      </c>
      <c r="Q694" s="5" t="s">
        <v>900</v>
      </c>
      <c r="S694" s="7">
        <f>IF(ISBLANK(M694),"Aguardando Previsão/Data",NETWORKDAYS(L694,M694)-1)</f>
        <v>-6</v>
      </c>
      <c r="T694" s="5" t="s">
        <v>942</v>
      </c>
    </row>
    <row r="695" spans="1:20" x14ac:dyDescent="0.35">
      <c r="A695" s="5">
        <v>8100271309</v>
      </c>
      <c r="B695" s="5">
        <v>10593</v>
      </c>
      <c r="C695" s="6">
        <v>45663</v>
      </c>
      <c r="D695" s="5" t="s">
        <v>239</v>
      </c>
      <c r="E695" s="5" t="s">
        <v>240</v>
      </c>
      <c r="F695" s="5" t="s">
        <v>242</v>
      </c>
      <c r="G695" s="5" t="s">
        <v>243</v>
      </c>
      <c r="H695" s="5" t="s">
        <v>218</v>
      </c>
      <c r="I695" s="5" t="s">
        <v>354</v>
      </c>
      <c r="J695" s="5" t="s">
        <v>355</v>
      </c>
      <c r="K695" s="5" t="s">
        <v>241</v>
      </c>
      <c r="L695" s="6">
        <v>45667</v>
      </c>
      <c r="M695" s="6">
        <v>45667</v>
      </c>
      <c r="N695" s="5" t="s">
        <v>811</v>
      </c>
      <c r="O695" s="5" t="str">
        <f ca="1">IF(P695&lt;&gt;"EXPEDIÇÃO","Expedido",IF(NETWORKDAYS(C695,TODAY())&gt;=5,"Risco Alto",IF(NETWORKDAYS(C695,TODAY())&gt;=3,IF(NETWORKDAYS(C695,TODAY())&lt;5,"Risco Médio",""),IF(NETWORKDAYS(C695,TODAY())&lt;=2,"Risco Baixo",""))))</f>
        <v>Expedido</v>
      </c>
      <c r="P695" s="5" t="s">
        <v>25</v>
      </c>
      <c r="Q695" s="5" t="s">
        <v>793</v>
      </c>
      <c r="S695" s="7">
        <f>IF(ISBLANK(M695),"Aguardando Previsão/Data",NETWORKDAYS(L695,M695)-1)</f>
        <v>0</v>
      </c>
      <c r="T695" s="5" t="s">
        <v>942</v>
      </c>
    </row>
    <row r="696" spans="1:20" x14ac:dyDescent="0.35">
      <c r="A696" s="8">
        <v>8100271310</v>
      </c>
      <c r="B696" s="5">
        <v>10594</v>
      </c>
      <c r="C696" s="6">
        <v>45663</v>
      </c>
      <c r="D696" s="5" t="s">
        <v>239</v>
      </c>
      <c r="E696" s="5" t="s">
        <v>240</v>
      </c>
      <c r="F696" s="5" t="s">
        <v>160</v>
      </c>
      <c r="G696" s="5" t="s">
        <v>161</v>
      </c>
      <c r="H696" s="5" t="s">
        <v>218</v>
      </c>
      <c r="I696" s="5" t="s">
        <v>354</v>
      </c>
      <c r="J696" s="5" t="s">
        <v>355</v>
      </c>
      <c r="K696" s="5" t="s">
        <v>241</v>
      </c>
      <c r="L696" s="6">
        <v>45667</v>
      </c>
      <c r="M696" s="6">
        <v>45671</v>
      </c>
      <c r="N696" s="5" t="s">
        <v>812</v>
      </c>
      <c r="O696" s="5" t="str">
        <f ca="1">IF(P696&lt;&gt;"EXPEDIÇÃO","Expedido",IF(NETWORKDAYS(C696,TODAY())&gt;=5,"Risco Alto",IF(NETWORKDAYS(C696,TODAY())&gt;=3,IF(NETWORKDAYS(C696,TODAY())&lt;5,"Risco Médio",""),IF(NETWORKDAYS(C696,TODAY())&lt;=2,"Risco Baixo",""))))</f>
        <v>Expedido</v>
      </c>
      <c r="P696" s="5" t="s">
        <v>25</v>
      </c>
      <c r="Q696" s="5" t="s">
        <v>897</v>
      </c>
      <c r="S696" s="7">
        <f>IF(ISBLANK(M696),"Aguardando Previsão/Data",NETWORKDAYS(L696,M696)-1)</f>
        <v>2</v>
      </c>
      <c r="T696" s="5" t="s">
        <v>942</v>
      </c>
    </row>
    <row r="697" spans="1:20" x14ac:dyDescent="0.35">
      <c r="A697" s="5">
        <v>8100271378</v>
      </c>
      <c r="B697" s="5">
        <v>10601</v>
      </c>
      <c r="C697" s="6">
        <v>45663</v>
      </c>
      <c r="D697" s="5" t="s">
        <v>239</v>
      </c>
      <c r="E697" s="5" t="s">
        <v>240</v>
      </c>
      <c r="F697" s="5" t="s">
        <v>242</v>
      </c>
      <c r="G697" s="5" t="s">
        <v>243</v>
      </c>
      <c r="H697" s="5" t="s">
        <v>218</v>
      </c>
      <c r="I697" s="5" t="s">
        <v>354</v>
      </c>
      <c r="J697" s="5" t="s">
        <v>355</v>
      </c>
      <c r="K697" s="5" t="s">
        <v>241</v>
      </c>
      <c r="L697" s="6">
        <v>45667</v>
      </c>
      <c r="M697" s="6">
        <v>45672</v>
      </c>
      <c r="N697" s="5" t="s">
        <v>812</v>
      </c>
      <c r="O697" s="5" t="str">
        <f ca="1">IF(P697&lt;&gt;"EXPEDIÇÃO","Expedido",IF(NETWORKDAYS(C697,TODAY())&gt;=5,"Risco Alto",IF(NETWORKDAYS(C697,TODAY())&gt;=3,IF(NETWORKDAYS(C697,TODAY())&lt;5,"Risco Médio",""),IF(NETWORKDAYS(C697,TODAY())&lt;=2,"Risco Baixo",""))))</f>
        <v>Expedido</v>
      </c>
      <c r="P697" s="5" t="s">
        <v>25</v>
      </c>
      <c r="Q697" s="5" t="s">
        <v>897</v>
      </c>
      <c r="S697" s="7">
        <f>IF(ISBLANK(M697),"Aguardando Previsão/Data",NETWORKDAYS(L697,M697)-1)</f>
        <v>3</v>
      </c>
      <c r="T697" s="5" t="s">
        <v>942</v>
      </c>
    </row>
    <row r="698" spans="1:20" x14ac:dyDescent="0.35">
      <c r="A698" s="5">
        <v>8100271621</v>
      </c>
      <c r="B698" s="5">
        <v>10605</v>
      </c>
      <c r="C698" s="6">
        <v>45663</v>
      </c>
      <c r="D698" s="5" t="s">
        <v>239</v>
      </c>
      <c r="E698" s="5" t="s">
        <v>240</v>
      </c>
      <c r="F698" s="5" t="s">
        <v>160</v>
      </c>
      <c r="G698" s="5" t="s">
        <v>161</v>
      </c>
      <c r="H698" s="5" t="s">
        <v>218</v>
      </c>
      <c r="I698" s="5" t="s">
        <v>356</v>
      </c>
      <c r="J698" s="5" t="s">
        <v>357</v>
      </c>
      <c r="K698" s="5" t="s">
        <v>241</v>
      </c>
      <c r="L698" s="6">
        <v>45667</v>
      </c>
      <c r="M698" s="6">
        <v>45666</v>
      </c>
      <c r="N698" s="5" t="s">
        <v>811</v>
      </c>
      <c r="O698" s="5" t="str">
        <f ca="1">IF(P698&lt;&gt;"EXPEDIÇÃO","Expedido",IF(NETWORKDAYS(C698,TODAY())&gt;=5,"Risco Alto",IF(NETWORKDAYS(C698,TODAY())&gt;=3,IF(NETWORKDAYS(C698,TODAY())&lt;5,"Risco Médio",""),IF(NETWORKDAYS(C698,TODAY())&lt;=2,"Risco Baixo",""))))</f>
        <v>Expedido</v>
      </c>
      <c r="P698" s="5" t="s">
        <v>25</v>
      </c>
      <c r="Q698" s="5" t="s">
        <v>793</v>
      </c>
      <c r="S698" s="7">
        <f>IF(ISBLANK(M698),"Aguardando Previsão/Data",NETWORKDAYS(L698,M698)-1)</f>
        <v>-3</v>
      </c>
      <c r="T698" s="5" t="s">
        <v>942</v>
      </c>
    </row>
    <row r="699" spans="1:20" x14ac:dyDescent="0.35">
      <c r="A699" s="5">
        <v>8100271622</v>
      </c>
      <c r="B699" s="5">
        <v>10602</v>
      </c>
      <c r="C699" s="6">
        <v>45663</v>
      </c>
      <c r="D699" s="5" t="s">
        <v>239</v>
      </c>
      <c r="E699" s="5" t="s">
        <v>240</v>
      </c>
      <c r="F699" s="5" t="s">
        <v>242</v>
      </c>
      <c r="G699" s="5" t="s">
        <v>243</v>
      </c>
      <c r="H699" s="5" t="s">
        <v>218</v>
      </c>
      <c r="I699" s="5" t="s">
        <v>458</v>
      </c>
      <c r="J699" s="5" t="s">
        <v>459</v>
      </c>
      <c r="K699" s="5" t="s">
        <v>241</v>
      </c>
      <c r="L699" s="6">
        <v>45667</v>
      </c>
      <c r="M699" s="6">
        <v>45670</v>
      </c>
      <c r="N699" s="5" t="s">
        <v>811</v>
      </c>
      <c r="O699" s="5" t="str">
        <f ca="1">IF(P699&lt;&gt;"EXPEDIÇÃO","Expedido",IF(NETWORKDAYS(C699,TODAY())&gt;=5,"Risco Alto",IF(NETWORKDAYS(C699,TODAY())&gt;=3,IF(NETWORKDAYS(C699,TODAY())&lt;5,"Risco Médio",""),IF(NETWORKDAYS(C699,TODAY())&lt;=2,"Risco Baixo",""))))</f>
        <v>Expedido</v>
      </c>
      <c r="P699" s="5" t="s">
        <v>25</v>
      </c>
      <c r="Q699" s="5" t="s">
        <v>897</v>
      </c>
      <c r="S699" s="7">
        <f>IF(ISBLANK(M699),"Aguardando Previsão/Data",NETWORKDAYS(L699,M699)-1)</f>
        <v>1</v>
      </c>
      <c r="T699" s="5" t="s">
        <v>942</v>
      </c>
    </row>
    <row r="700" spans="1:20" x14ac:dyDescent="0.35">
      <c r="A700" s="5">
        <v>8100271623</v>
      </c>
      <c r="B700" s="5">
        <v>10603</v>
      </c>
      <c r="C700" s="6">
        <v>45663</v>
      </c>
      <c r="D700" s="5" t="s">
        <v>239</v>
      </c>
      <c r="E700" s="5" t="s">
        <v>240</v>
      </c>
      <c r="F700" s="5" t="s">
        <v>242</v>
      </c>
      <c r="G700" s="5" t="s">
        <v>243</v>
      </c>
      <c r="H700" s="5" t="s">
        <v>218</v>
      </c>
      <c r="I700" s="5" t="s">
        <v>458</v>
      </c>
      <c r="J700" s="5" t="s">
        <v>459</v>
      </c>
      <c r="K700" s="5" t="s">
        <v>241</v>
      </c>
      <c r="L700" s="6">
        <v>45667</v>
      </c>
      <c r="M700" s="6">
        <v>45670</v>
      </c>
      <c r="N700" s="5" t="s">
        <v>811</v>
      </c>
      <c r="O700" s="5" t="str">
        <f ca="1">IF(P700&lt;&gt;"EXPEDIÇÃO","Expedido",IF(NETWORKDAYS(C700,TODAY())&gt;=5,"Risco Alto",IF(NETWORKDAYS(C700,TODAY())&gt;=3,IF(NETWORKDAYS(C700,TODAY())&lt;5,"Risco Médio",""),IF(NETWORKDAYS(C700,TODAY())&lt;=2,"Risco Baixo",""))))</f>
        <v>Expedido</v>
      </c>
      <c r="P700" s="5" t="s">
        <v>25</v>
      </c>
      <c r="Q700" s="5" t="s">
        <v>897</v>
      </c>
      <c r="S700" s="7">
        <f>IF(ISBLANK(M700),"Aguardando Previsão/Data",NETWORKDAYS(L700,M700)-1)</f>
        <v>1</v>
      </c>
      <c r="T700" s="5" t="s">
        <v>942</v>
      </c>
    </row>
    <row r="701" spans="1:20" x14ac:dyDescent="0.35">
      <c r="A701" s="5">
        <v>8100271625</v>
      </c>
      <c r="B701" s="5">
        <v>10606</v>
      </c>
      <c r="C701" s="6">
        <v>45663</v>
      </c>
      <c r="D701" s="5" t="s">
        <v>239</v>
      </c>
      <c r="E701" s="5" t="s">
        <v>240</v>
      </c>
      <c r="F701" s="5" t="s">
        <v>160</v>
      </c>
      <c r="G701" s="5" t="s">
        <v>161</v>
      </c>
      <c r="H701" s="5" t="s">
        <v>218</v>
      </c>
      <c r="I701" s="5" t="s">
        <v>356</v>
      </c>
      <c r="J701" s="5" t="s">
        <v>357</v>
      </c>
      <c r="K701" s="5" t="s">
        <v>241</v>
      </c>
      <c r="L701" s="6">
        <v>45667</v>
      </c>
      <c r="M701" s="6">
        <v>45672</v>
      </c>
      <c r="N701" s="5" t="s">
        <v>812</v>
      </c>
      <c r="O701" s="5" t="str">
        <f ca="1">IF(P701&lt;&gt;"EXPEDIÇÃO","Expedido",IF(NETWORKDAYS(C701,TODAY())&gt;=5,"Risco Alto",IF(NETWORKDAYS(C701,TODAY())&gt;=3,IF(NETWORKDAYS(C701,TODAY())&lt;5,"Risco Médio",""),IF(NETWORKDAYS(C701,TODAY())&lt;=2,"Risco Baixo",""))))</f>
        <v>Expedido</v>
      </c>
      <c r="P701" s="5" t="s">
        <v>25</v>
      </c>
      <c r="Q701" s="5" t="s">
        <v>897</v>
      </c>
      <c r="S701" s="7">
        <f>IF(ISBLANK(M701),"Aguardando Previsão/Data",NETWORKDAYS(L701,M701)-1)</f>
        <v>3</v>
      </c>
      <c r="T701" s="5" t="s">
        <v>942</v>
      </c>
    </row>
    <row r="702" spans="1:20" x14ac:dyDescent="0.35">
      <c r="A702" s="5">
        <v>8100271626</v>
      </c>
      <c r="B702" s="5">
        <v>10604</v>
      </c>
      <c r="C702" s="6">
        <v>45663</v>
      </c>
      <c r="D702" s="5" t="s">
        <v>239</v>
      </c>
      <c r="E702" s="5" t="s">
        <v>240</v>
      </c>
      <c r="F702" s="5" t="s">
        <v>242</v>
      </c>
      <c r="G702" s="5" t="s">
        <v>243</v>
      </c>
      <c r="H702" s="5" t="s">
        <v>218</v>
      </c>
      <c r="I702" s="5" t="s">
        <v>458</v>
      </c>
      <c r="J702" s="5" t="s">
        <v>459</v>
      </c>
      <c r="K702" s="5" t="s">
        <v>241</v>
      </c>
      <c r="L702" s="6">
        <v>45667</v>
      </c>
      <c r="M702" s="6">
        <v>45670</v>
      </c>
      <c r="N702" s="5" t="s">
        <v>811</v>
      </c>
      <c r="O702" s="5" t="str">
        <f ca="1">IF(P702&lt;&gt;"EXPEDIÇÃO","Expedido",IF(NETWORKDAYS(C702,TODAY())&gt;=5,"Risco Alto",IF(NETWORKDAYS(C702,TODAY())&gt;=3,IF(NETWORKDAYS(C702,TODAY())&lt;5,"Risco Médio",""),IF(NETWORKDAYS(C702,TODAY())&lt;=2,"Risco Baixo",""))))</f>
        <v>Expedido</v>
      </c>
      <c r="P702" s="5" t="s">
        <v>25</v>
      </c>
      <c r="Q702" s="5" t="s">
        <v>897</v>
      </c>
      <c r="S702" s="7">
        <f>IF(ISBLANK(M702),"Aguardando Previsão/Data",NETWORKDAYS(L702,M702)-1)</f>
        <v>1</v>
      </c>
      <c r="T702" s="5" t="s">
        <v>942</v>
      </c>
    </row>
    <row r="703" spans="1:20" x14ac:dyDescent="0.35">
      <c r="A703" s="5">
        <v>8100271627</v>
      </c>
      <c r="B703" s="5">
        <v>10609</v>
      </c>
      <c r="C703" s="6">
        <v>45663</v>
      </c>
      <c r="D703" s="5" t="s">
        <v>239</v>
      </c>
      <c r="E703" s="5" t="s">
        <v>240</v>
      </c>
      <c r="F703" s="5" t="s">
        <v>160</v>
      </c>
      <c r="G703" s="5" t="s">
        <v>161</v>
      </c>
      <c r="H703" s="5" t="s">
        <v>218</v>
      </c>
      <c r="I703" s="5" t="s">
        <v>318</v>
      </c>
      <c r="J703" s="5" t="s">
        <v>319</v>
      </c>
      <c r="K703" s="5" t="s">
        <v>241</v>
      </c>
      <c r="L703" s="6">
        <v>45667</v>
      </c>
      <c r="M703" s="6">
        <v>45670</v>
      </c>
      <c r="N703" s="5" t="s">
        <v>811</v>
      </c>
      <c r="O703" s="5" t="str">
        <f ca="1">IF(P703&lt;&gt;"EXPEDIÇÃO","Expedido",IF(NETWORKDAYS(C703,TODAY())&gt;=5,"Risco Alto",IF(NETWORKDAYS(C703,TODAY())&gt;=3,IF(NETWORKDAYS(C703,TODAY())&lt;5,"Risco Médio",""),IF(NETWORKDAYS(C703,TODAY())&lt;=2,"Risco Baixo",""))))</f>
        <v>Expedido</v>
      </c>
      <c r="P703" s="5" t="s">
        <v>25</v>
      </c>
      <c r="Q703" s="5" t="s">
        <v>897</v>
      </c>
      <c r="S703" s="7">
        <f>IF(ISBLANK(M703),"Aguardando Previsão/Data",NETWORKDAYS(L703,M703)-1)</f>
        <v>1</v>
      </c>
      <c r="T703" s="5" t="s">
        <v>942</v>
      </c>
    </row>
    <row r="704" spans="1:20" x14ac:dyDescent="0.35">
      <c r="A704" s="5">
        <v>8100271628</v>
      </c>
      <c r="B704" s="5">
        <v>10607</v>
      </c>
      <c r="C704" s="6">
        <v>45663</v>
      </c>
      <c r="D704" s="5" t="s">
        <v>239</v>
      </c>
      <c r="E704" s="5" t="s">
        <v>240</v>
      </c>
      <c r="F704" s="5" t="s">
        <v>160</v>
      </c>
      <c r="G704" s="5" t="s">
        <v>161</v>
      </c>
      <c r="H704" s="5" t="s">
        <v>218</v>
      </c>
      <c r="I704" s="5" t="s">
        <v>356</v>
      </c>
      <c r="J704" s="5" t="s">
        <v>357</v>
      </c>
      <c r="K704" s="5" t="s">
        <v>241</v>
      </c>
      <c r="L704" s="6">
        <v>45667</v>
      </c>
      <c r="M704" s="6">
        <v>45672</v>
      </c>
      <c r="N704" s="5" t="s">
        <v>812</v>
      </c>
      <c r="O704" s="5" t="str">
        <f ca="1">IF(P704&lt;&gt;"EXPEDIÇÃO","Expedido",IF(NETWORKDAYS(C704,TODAY())&gt;=5,"Risco Alto",IF(NETWORKDAYS(C704,TODAY())&gt;=3,IF(NETWORKDAYS(C704,TODAY())&lt;5,"Risco Médio",""),IF(NETWORKDAYS(C704,TODAY())&lt;=2,"Risco Baixo",""))))</f>
        <v>Expedido</v>
      </c>
      <c r="P704" s="5" t="s">
        <v>25</v>
      </c>
      <c r="Q704" s="5" t="s">
        <v>897</v>
      </c>
      <c r="S704" s="7">
        <f>IF(ISBLANK(M704),"Aguardando Previsão/Data",NETWORKDAYS(L704,M704)-1)</f>
        <v>3</v>
      </c>
      <c r="T704" s="5" t="s">
        <v>942</v>
      </c>
    </row>
    <row r="705" spans="1:20" x14ac:dyDescent="0.35">
      <c r="A705" s="5">
        <v>8100271693</v>
      </c>
      <c r="B705" s="5">
        <v>10608</v>
      </c>
      <c r="C705" s="6">
        <v>45663</v>
      </c>
      <c r="D705" s="5" t="s">
        <v>239</v>
      </c>
      <c r="E705" s="5" t="s">
        <v>240</v>
      </c>
      <c r="F705" s="5" t="s">
        <v>160</v>
      </c>
      <c r="G705" s="5" t="s">
        <v>161</v>
      </c>
      <c r="H705" s="5" t="s">
        <v>218</v>
      </c>
      <c r="I705" s="5" t="s">
        <v>326</v>
      </c>
      <c r="J705" s="5" t="s">
        <v>244</v>
      </c>
      <c r="K705" s="5" t="s">
        <v>241</v>
      </c>
      <c r="L705" s="6">
        <v>45667</v>
      </c>
      <c r="M705" s="6">
        <v>45667</v>
      </c>
      <c r="N705" s="5" t="s">
        <v>811</v>
      </c>
      <c r="O705" s="5" t="str">
        <f ca="1">IF(P705&lt;&gt;"EXPEDIÇÃO","Expedido",IF(NETWORKDAYS(C705,TODAY())&gt;=5,"Risco Alto",IF(NETWORKDAYS(C705,TODAY())&gt;=3,IF(NETWORKDAYS(C705,TODAY())&lt;5,"Risco Médio",""),IF(NETWORKDAYS(C705,TODAY())&lt;=2,"Risco Baixo",""))))</f>
        <v>Expedido</v>
      </c>
      <c r="P705" s="5" t="s">
        <v>25</v>
      </c>
      <c r="Q705" s="5" t="s">
        <v>793</v>
      </c>
      <c r="S705" s="7">
        <f>IF(ISBLANK(M705),"Aguardando Previsão/Data",NETWORKDAYS(L705,M705)-1)</f>
        <v>0</v>
      </c>
      <c r="T705" s="5" t="s">
        <v>942</v>
      </c>
    </row>
    <row r="706" spans="1:20" x14ac:dyDescent="0.35">
      <c r="A706" s="5">
        <v>8100271187</v>
      </c>
      <c r="B706" s="5">
        <v>18845</v>
      </c>
      <c r="C706" s="6">
        <v>45663</v>
      </c>
      <c r="D706" s="5" t="s">
        <v>106</v>
      </c>
      <c r="E706" s="5" t="s">
        <v>107</v>
      </c>
      <c r="F706" s="5" t="s">
        <v>58</v>
      </c>
      <c r="G706" s="5" t="s">
        <v>59</v>
      </c>
      <c r="H706" s="5" t="s">
        <v>218</v>
      </c>
      <c r="I706" s="5" t="s">
        <v>237</v>
      </c>
      <c r="J706" s="5" t="s">
        <v>220</v>
      </c>
      <c r="K706" s="5" t="s">
        <v>221</v>
      </c>
      <c r="L706" s="6">
        <v>45678</v>
      </c>
      <c r="M706" s="6">
        <v>45674</v>
      </c>
      <c r="N706" s="5" t="s">
        <v>811</v>
      </c>
      <c r="O706" s="5" t="str">
        <f ca="1">IF(P706&lt;&gt;"EXPEDIÇÃO","Expedido",IF(NETWORKDAYS(C706,TODAY())&gt;=5,"Risco Alto",IF(NETWORKDAYS(C706,TODAY())&gt;=3,IF(NETWORKDAYS(C706,TODAY())&lt;5,"Risco Médio",""),IF(NETWORKDAYS(C706,TODAY())&lt;=2,"Risco Baixo",""))))</f>
        <v>Expedido</v>
      </c>
      <c r="P706" s="5" t="s">
        <v>25</v>
      </c>
      <c r="S706" s="7">
        <f>IF(ISBLANK(M706),"Aguardando Previsão/Data",NETWORKDAYS(L706,M706)-1)</f>
        <v>-4</v>
      </c>
      <c r="T706" s="5" t="s">
        <v>942</v>
      </c>
    </row>
    <row r="707" spans="1:20" x14ac:dyDescent="0.35">
      <c r="A707" s="5">
        <v>8100271191</v>
      </c>
      <c r="B707" s="5">
        <v>18844</v>
      </c>
      <c r="C707" s="6">
        <v>45663</v>
      </c>
      <c r="D707" s="5" t="s">
        <v>106</v>
      </c>
      <c r="E707" s="5" t="s">
        <v>107</v>
      </c>
      <c r="F707" s="5" t="s">
        <v>58</v>
      </c>
      <c r="G707" s="5" t="s">
        <v>59</v>
      </c>
      <c r="H707" s="5" t="s">
        <v>218</v>
      </c>
      <c r="I707" s="5" t="s">
        <v>222</v>
      </c>
      <c r="J707" s="5" t="s">
        <v>220</v>
      </c>
      <c r="K707" s="5" t="s">
        <v>221</v>
      </c>
      <c r="L707" s="6">
        <v>45678</v>
      </c>
      <c r="M707" s="6">
        <v>45674</v>
      </c>
      <c r="N707" s="5" t="s">
        <v>811</v>
      </c>
      <c r="O707" s="5" t="str">
        <f ca="1">IF(P707&lt;&gt;"EXPEDIÇÃO","Expedido",IF(NETWORKDAYS(C707,TODAY())&gt;=5,"Risco Alto",IF(NETWORKDAYS(C707,TODAY())&gt;=3,IF(NETWORKDAYS(C707,TODAY())&lt;5,"Risco Médio",""),IF(NETWORKDAYS(C707,TODAY())&lt;=2,"Risco Baixo",""))))</f>
        <v>Expedido</v>
      </c>
      <c r="P707" s="5" t="s">
        <v>25</v>
      </c>
      <c r="S707" s="7">
        <f>IF(ISBLANK(M707),"Aguardando Previsão/Data",NETWORKDAYS(L707,M707)-1)</f>
        <v>-4</v>
      </c>
      <c r="T707" s="5" t="s">
        <v>942</v>
      </c>
    </row>
    <row r="708" spans="1:20" x14ac:dyDescent="0.35">
      <c r="A708" s="5">
        <v>8100271189</v>
      </c>
      <c r="B708" s="5">
        <v>18842</v>
      </c>
      <c r="C708" s="6">
        <v>45663</v>
      </c>
      <c r="D708" s="5" t="s">
        <v>106</v>
      </c>
      <c r="E708" s="5" t="s">
        <v>107</v>
      </c>
      <c r="F708" s="5" t="s">
        <v>53</v>
      </c>
      <c r="G708" s="5" t="s">
        <v>54</v>
      </c>
      <c r="H708" s="5" t="s">
        <v>108</v>
      </c>
      <c r="I708" s="5" t="s">
        <v>727</v>
      </c>
      <c r="J708" s="5" t="s">
        <v>582</v>
      </c>
      <c r="K708" s="5" t="s">
        <v>110</v>
      </c>
      <c r="L708" s="6">
        <v>45671</v>
      </c>
      <c r="M708" s="6">
        <v>45665</v>
      </c>
      <c r="N708" s="5" t="s">
        <v>811</v>
      </c>
      <c r="O708" s="5" t="str">
        <f ca="1">IF(P708&lt;&gt;"EXPEDIÇÃO","Expedido",IF(NETWORKDAYS(C708,TODAY())&gt;=5,"Risco Alto",IF(NETWORKDAYS(C708,TODAY())&gt;=3,IF(NETWORKDAYS(C708,TODAY())&lt;5,"Risco Médio",""),IF(NETWORKDAYS(C708,TODAY())&lt;=2,"Risco Baixo",""))))</f>
        <v>Expedido</v>
      </c>
      <c r="P708" s="5" t="s">
        <v>25</v>
      </c>
      <c r="S708" s="7">
        <f>IF(ISBLANK(M708),"Aguardando Previsão/Data",NETWORKDAYS(L708,M708)-1)</f>
        <v>-6</v>
      </c>
      <c r="T708" s="5" t="s">
        <v>942</v>
      </c>
    </row>
    <row r="709" spans="1:20" x14ac:dyDescent="0.35">
      <c r="A709" s="5">
        <v>8100271190</v>
      </c>
      <c r="B709" s="5">
        <v>18841</v>
      </c>
      <c r="C709" s="6">
        <v>45663</v>
      </c>
      <c r="D709" s="5" t="s">
        <v>106</v>
      </c>
      <c r="E709" s="5" t="s">
        <v>107</v>
      </c>
      <c r="F709" s="5" t="s">
        <v>147</v>
      </c>
      <c r="G709" s="5" t="s">
        <v>148</v>
      </c>
      <c r="H709" s="5" t="s">
        <v>108</v>
      </c>
      <c r="I709" s="5" t="s">
        <v>129</v>
      </c>
      <c r="J709" s="5" t="s">
        <v>150</v>
      </c>
      <c r="K709" s="5" t="s">
        <v>110</v>
      </c>
      <c r="L709" s="6">
        <v>45671</v>
      </c>
      <c r="M709" s="6">
        <v>45666</v>
      </c>
      <c r="N709" s="5" t="s">
        <v>811</v>
      </c>
      <c r="O709" s="5" t="str">
        <f ca="1">IF(P709&lt;&gt;"EXPEDIÇÃO","Expedido",IF(NETWORKDAYS(C709,TODAY())&gt;=5,"Risco Alto",IF(NETWORKDAYS(C709,TODAY())&gt;=3,IF(NETWORKDAYS(C709,TODAY())&lt;5,"Risco Médio",""),IF(NETWORKDAYS(C709,TODAY())&lt;=2,"Risco Baixo",""))))</f>
        <v>Expedido</v>
      </c>
      <c r="P709" s="5" t="s">
        <v>25</v>
      </c>
      <c r="S709" s="7">
        <f>IF(ISBLANK(M709),"Aguardando Previsão/Data",NETWORKDAYS(L709,M709)-1)</f>
        <v>-5</v>
      </c>
      <c r="T709" s="5" t="s">
        <v>942</v>
      </c>
    </row>
    <row r="710" spans="1:20" x14ac:dyDescent="0.35">
      <c r="A710" s="5">
        <v>8100271192</v>
      </c>
      <c r="B710" s="5">
        <v>18840</v>
      </c>
      <c r="C710" s="6">
        <v>45663</v>
      </c>
      <c r="D710" s="5" t="s">
        <v>106</v>
      </c>
      <c r="E710" s="5" t="s">
        <v>107</v>
      </c>
      <c r="F710" s="5" t="s">
        <v>69</v>
      </c>
      <c r="G710" s="5" t="s">
        <v>70</v>
      </c>
      <c r="H710" s="5" t="s">
        <v>108</v>
      </c>
      <c r="I710" s="5" t="s">
        <v>113</v>
      </c>
      <c r="J710" s="5" t="s">
        <v>339</v>
      </c>
      <c r="K710" s="5" t="s">
        <v>110</v>
      </c>
      <c r="L710" s="6">
        <v>45670</v>
      </c>
      <c r="M710" s="6">
        <v>45664</v>
      </c>
      <c r="N710" s="5" t="s">
        <v>811</v>
      </c>
      <c r="O710" s="5" t="str">
        <f ca="1">IF(P710&lt;&gt;"EXPEDIÇÃO","Expedido",IF(NETWORKDAYS(C710,TODAY())&gt;=5,"Risco Alto",IF(NETWORKDAYS(C710,TODAY())&gt;=3,IF(NETWORKDAYS(C710,TODAY())&lt;5,"Risco Médio",""),IF(NETWORKDAYS(C710,TODAY())&lt;=2,"Risco Baixo",""))))</f>
        <v>Expedido</v>
      </c>
      <c r="P710" s="5" t="s">
        <v>25</v>
      </c>
      <c r="S710" s="7">
        <f>IF(ISBLANK(M710),"Aguardando Previsão/Data",NETWORKDAYS(L710,M710)-1)</f>
        <v>-6</v>
      </c>
      <c r="T710" s="5" t="s">
        <v>942</v>
      </c>
    </row>
    <row r="711" spans="1:20" x14ac:dyDescent="0.35">
      <c r="A711" s="5">
        <v>8100271193</v>
      </c>
      <c r="B711" s="5">
        <v>18843</v>
      </c>
      <c r="C711" s="6">
        <v>45663</v>
      </c>
      <c r="D711" s="5" t="s">
        <v>106</v>
      </c>
      <c r="E711" s="5" t="s">
        <v>107</v>
      </c>
      <c r="F711" s="5" t="s">
        <v>58</v>
      </c>
      <c r="G711" s="5" t="s">
        <v>59</v>
      </c>
      <c r="H711" s="5" t="s">
        <v>108</v>
      </c>
      <c r="I711" s="5" t="s">
        <v>394</v>
      </c>
      <c r="J711" s="5" t="s">
        <v>395</v>
      </c>
      <c r="K711" s="5" t="s">
        <v>110</v>
      </c>
      <c r="L711" s="6">
        <v>45670</v>
      </c>
      <c r="M711" s="6">
        <v>45665</v>
      </c>
      <c r="N711" s="5" t="s">
        <v>811</v>
      </c>
      <c r="O711" s="5" t="str">
        <f ca="1">IF(P711&lt;&gt;"EXPEDIÇÃO","Expedido",IF(NETWORKDAYS(C711,TODAY())&gt;=5,"Risco Alto",IF(NETWORKDAYS(C711,TODAY())&gt;=3,IF(NETWORKDAYS(C711,TODAY())&lt;5,"Risco Médio",""),IF(NETWORKDAYS(C711,TODAY())&lt;=2,"Risco Baixo",""))))</f>
        <v>Expedido</v>
      </c>
      <c r="P711" s="5" t="s">
        <v>25</v>
      </c>
      <c r="S711" s="7">
        <f>IF(ISBLANK(M711),"Aguardando Previsão/Data",NETWORKDAYS(L711,M711)-1)</f>
        <v>-5</v>
      </c>
      <c r="T711" s="5" t="s">
        <v>942</v>
      </c>
    </row>
    <row r="712" spans="1:20" x14ac:dyDescent="0.35">
      <c r="A712" s="5">
        <v>8100270004</v>
      </c>
      <c r="B712" s="5">
        <v>7026</v>
      </c>
      <c r="C712" s="6">
        <v>45663</v>
      </c>
      <c r="D712" s="5" t="s">
        <v>194</v>
      </c>
      <c r="E712" s="5" t="s">
        <v>195</v>
      </c>
      <c r="F712" s="5" t="s">
        <v>406</v>
      </c>
      <c r="G712" s="5" t="s">
        <v>407</v>
      </c>
      <c r="H712" s="5" t="s">
        <v>108</v>
      </c>
      <c r="I712" s="5" t="s">
        <v>817</v>
      </c>
      <c r="J712" s="5" t="s">
        <v>407</v>
      </c>
      <c r="K712" s="5" t="s">
        <v>198</v>
      </c>
      <c r="L712" s="6">
        <v>45667</v>
      </c>
      <c r="M712" s="6">
        <v>45665</v>
      </c>
      <c r="N712" s="5" t="s">
        <v>811</v>
      </c>
      <c r="O712" s="5" t="str">
        <f ca="1">IF(P712&lt;&gt;"EXPEDIÇÃO","Expedido",IF(NETWORKDAYS(C712,TODAY())&gt;=5,"Risco Alto",IF(NETWORKDAYS(C712,TODAY())&gt;=3,IF(NETWORKDAYS(C712,TODAY())&lt;5,"Risco Médio",""),IF(NETWORKDAYS(C712,TODAY())&lt;=2,"Risco Baixo",""))))</f>
        <v>Expedido</v>
      </c>
      <c r="P712" s="5" t="s">
        <v>25</v>
      </c>
      <c r="S712" s="7">
        <f>IF(ISBLANK(M712),"Aguardando Previsão/Data",NETWORKDAYS(L712,M712)-1)</f>
        <v>-4</v>
      </c>
      <c r="T712" s="5" t="s">
        <v>942</v>
      </c>
    </row>
    <row r="713" spans="1:20" x14ac:dyDescent="0.35">
      <c r="A713" s="5">
        <v>8100270006</v>
      </c>
      <c r="B713" s="5">
        <v>7025</v>
      </c>
      <c r="C713" s="6">
        <v>45663</v>
      </c>
      <c r="D713" s="5" t="s">
        <v>194</v>
      </c>
      <c r="E713" s="5" t="s">
        <v>195</v>
      </c>
      <c r="F713" s="5" t="s">
        <v>406</v>
      </c>
      <c r="G713" s="5" t="s">
        <v>407</v>
      </c>
      <c r="H713" s="5" t="s">
        <v>108</v>
      </c>
      <c r="I713" s="5" t="s">
        <v>1169</v>
      </c>
      <c r="J713" s="5" t="s">
        <v>588</v>
      </c>
      <c r="K713" s="5" t="s">
        <v>198</v>
      </c>
      <c r="L713" s="6">
        <v>45670</v>
      </c>
      <c r="M713" s="6">
        <v>45666</v>
      </c>
      <c r="N713" s="5" t="s">
        <v>811</v>
      </c>
      <c r="O713" s="5" t="str">
        <f ca="1">IF(P713&lt;&gt;"EXPEDIÇÃO","Expedido",IF(NETWORKDAYS(C713,TODAY())&gt;=5,"Risco Alto",IF(NETWORKDAYS(C713,TODAY())&gt;=3,IF(NETWORKDAYS(C713,TODAY())&lt;5,"Risco Médio",""),IF(NETWORKDAYS(C713,TODAY())&lt;=2,"Risco Baixo",""))))</f>
        <v>Expedido</v>
      </c>
      <c r="P713" s="5" t="s">
        <v>25</v>
      </c>
      <c r="S713" s="7">
        <f>IF(ISBLANK(M713),"Aguardando Previsão/Data",NETWORKDAYS(L713,M713)-1)</f>
        <v>-4</v>
      </c>
      <c r="T713" s="5" t="s">
        <v>942</v>
      </c>
    </row>
    <row r="714" spans="1:20" x14ac:dyDescent="0.35">
      <c r="A714" s="5">
        <v>8100270009</v>
      </c>
      <c r="B714" s="5">
        <v>7024</v>
      </c>
      <c r="C714" s="6">
        <v>45663</v>
      </c>
      <c r="D714" s="5" t="s">
        <v>194</v>
      </c>
      <c r="E714" s="5" t="s">
        <v>195</v>
      </c>
      <c r="F714" s="5" t="s">
        <v>406</v>
      </c>
      <c r="G714" s="5" t="s">
        <v>407</v>
      </c>
      <c r="H714" s="5" t="s">
        <v>108</v>
      </c>
      <c r="I714" s="5" t="s">
        <v>544</v>
      </c>
      <c r="J714" s="5" t="s">
        <v>202</v>
      </c>
      <c r="K714" s="5" t="s">
        <v>198</v>
      </c>
      <c r="L714" s="6">
        <v>45670</v>
      </c>
      <c r="M714" s="6">
        <v>45666</v>
      </c>
      <c r="N714" s="5" t="s">
        <v>811</v>
      </c>
      <c r="O714" s="5" t="str">
        <f ca="1">IF(P714&lt;&gt;"EXPEDIÇÃO","Expedido",IF(NETWORKDAYS(C714,TODAY())&gt;=5,"Risco Alto",IF(NETWORKDAYS(C714,TODAY())&gt;=3,IF(NETWORKDAYS(C714,TODAY())&lt;5,"Risco Médio",""),IF(NETWORKDAYS(C714,TODAY())&lt;=2,"Risco Baixo",""))))</f>
        <v>Expedido</v>
      </c>
      <c r="P714" s="5" t="s">
        <v>25</v>
      </c>
      <c r="S714" s="7">
        <f>IF(ISBLANK(M714),"Aguardando Previsão/Data",NETWORKDAYS(L714,M714)-1)</f>
        <v>-4</v>
      </c>
      <c r="T714" s="5" t="s">
        <v>942</v>
      </c>
    </row>
    <row r="715" spans="1:20" x14ac:dyDescent="0.35">
      <c r="A715" s="5">
        <v>8100270010</v>
      </c>
      <c r="B715" s="5">
        <v>7027</v>
      </c>
      <c r="C715" s="6">
        <v>45663</v>
      </c>
      <c r="D715" s="5" t="s">
        <v>194</v>
      </c>
      <c r="E715" s="5" t="s">
        <v>195</v>
      </c>
      <c r="F715" s="5" t="s">
        <v>199</v>
      </c>
      <c r="G715" s="5" t="s">
        <v>200</v>
      </c>
      <c r="H715" s="5" t="s">
        <v>108</v>
      </c>
      <c r="I715" s="5" t="s">
        <v>991</v>
      </c>
      <c r="J715" s="5" t="s">
        <v>205</v>
      </c>
      <c r="K715" s="5" t="s">
        <v>198</v>
      </c>
      <c r="L715" s="6">
        <v>45671</v>
      </c>
      <c r="M715" s="6">
        <v>45671</v>
      </c>
      <c r="N715" s="5" t="s">
        <v>811</v>
      </c>
      <c r="O715" s="5" t="str">
        <f ca="1">IF(P715&lt;&gt;"EXPEDIÇÃO","Expedido",IF(NETWORKDAYS(C715,TODAY())&gt;=5,"Risco Alto",IF(NETWORKDAYS(C715,TODAY())&gt;=3,IF(NETWORKDAYS(C715,TODAY())&lt;5,"Risco Médio",""),IF(NETWORKDAYS(C715,TODAY())&lt;=2,"Risco Baixo",""))))</f>
        <v>Expedido</v>
      </c>
      <c r="P715" s="5" t="s">
        <v>25</v>
      </c>
      <c r="Q715" s="5" t="s">
        <v>899</v>
      </c>
      <c r="S715" s="7">
        <f>IF(ISBLANK(M715),"Aguardando Previsão/Data",NETWORKDAYS(L715,M715)-1)</f>
        <v>0</v>
      </c>
      <c r="T715" s="5" t="s">
        <v>942</v>
      </c>
    </row>
    <row r="716" spans="1:20" x14ac:dyDescent="0.35">
      <c r="A716" s="5">
        <v>8100271052</v>
      </c>
      <c r="B716" s="5">
        <v>7028</v>
      </c>
      <c r="C716" s="6">
        <v>45663</v>
      </c>
      <c r="D716" s="5" t="s">
        <v>194</v>
      </c>
      <c r="E716" s="5" t="s">
        <v>195</v>
      </c>
      <c r="F716" s="5" t="s">
        <v>406</v>
      </c>
      <c r="G716" s="5" t="s">
        <v>407</v>
      </c>
      <c r="H716" s="5" t="s">
        <v>108</v>
      </c>
      <c r="I716" s="5" t="s">
        <v>689</v>
      </c>
      <c r="J716" s="5" t="s">
        <v>204</v>
      </c>
      <c r="K716" s="5" t="s">
        <v>198</v>
      </c>
      <c r="L716" s="6">
        <v>45670</v>
      </c>
      <c r="M716" s="6">
        <v>45671</v>
      </c>
      <c r="N716" s="5" t="s">
        <v>812</v>
      </c>
      <c r="O716" s="5" t="str">
        <f ca="1">IF(P716&lt;&gt;"EXPEDIÇÃO","Expedido",IF(NETWORKDAYS(C716,TODAY())&gt;=5,"Risco Alto",IF(NETWORKDAYS(C716,TODAY())&gt;=3,IF(NETWORKDAYS(C716,TODAY())&lt;5,"Risco Médio",""),IF(NETWORKDAYS(C716,TODAY())&lt;=2,"Risco Baixo",""))))</f>
        <v>Expedido</v>
      </c>
      <c r="P716" s="5" t="s">
        <v>25</v>
      </c>
      <c r="S716" s="7">
        <f>IF(ISBLANK(M716),"Aguardando Previsão/Data",NETWORKDAYS(L716,M716)-1)</f>
        <v>1</v>
      </c>
      <c r="T716" s="5" t="s">
        <v>942</v>
      </c>
    </row>
    <row r="717" spans="1:20" x14ac:dyDescent="0.35">
      <c r="A717" s="5">
        <v>8100271151</v>
      </c>
      <c r="B717" s="5">
        <v>7031</v>
      </c>
      <c r="C717" s="6">
        <v>45663</v>
      </c>
      <c r="D717" s="5" t="s">
        <v>194</v>
      </c>
      <c r="E717" s="5" t="s">
        <v>195</v>
      </c>
      <c r="F717" s="5" t="s">
        <v>199</v>
      </c>
      <c r="G717" s="5" t="s">
        <v>200</v>
      </c>
      <c r="H717" s="5" t="s">
        <v>108</v>
      </c>
      <c r="I717" s="5" t="s">
        <v>1173</v>
      </c>
      <c r="J717" s="5" t="s">
        <v>205</v>
      </c>
      <c r="K717" s="5" t="s">
        <v>198</v>
      </c>
      <c r="L717" s="6">
        <v>45671</v>
      </c>
      <c r="M717" s="6">
        <v>45672</v>
      </c>
      <c r="N717" s="5" t="s">
        <v>812</v>
      </c>
      <c r="O717" s="5" t="str">
        <f ca="1">IF(P717&lt;&gt;"EXPEDIÇÃO","Expedido",IF(NETWORKDAYS(C717,TODAY())&gt;=5,"Risco Alto",IF(NETWORKDAYS(C717,TODAY())&gt;=3,IF(NETWORKDAYS(C717,TODAY())&lt;5,"Risco Médio",""),IF(NETWORKDAYS(C717,TODAY())&lt;=2,"Risco Baixo",""))))</f>
        <v>Expedido</v>
      </c>
      <c r="P717" s="5" t="s">
        <v>25</v>
      </c>
      <c r="Q717" s="5" t="s">
        <v>899</v>
      </c>
      <c r="S717" s="7">
        <f>IF(ISBLANK(M717),"Aguardando Previsão/Data",NETWORKDAYS(L717,M717)-1)</f>
        <v>1</v>
      </c>
      <c r="T717" s="5" t="s">
        <v>942</v>
      </c>
    </row>
    <row r="718" spans="1:20" x14ac:dyDescent="0.35">
      <c r="A718" s="5">
        <v>8100271455</v>
      </c>
      <c r="B718" s="5">
        <v>7032</v>
      </c>
      <c r="C718" s="6">
        <v>45663</v>
      </c>
      <c r="D718" s="5" t="s">
        <v>194</v>
      </c>
      <c r="E718" s="5" t="s">
        <v>195</v>
      </c>
      <c r="F718" s="5" t="s">
        <v>199</v>
      </c>
      <c r="G718" s="5" t="s">
        <v>200</v>
      </c>
      <c r="H718" s="5" t="s">
        <v>108</v>
      </c>
      <c r="I718" s="5" t="s">
        <v>544</v>
      </c>
      <c r="J718" s="5" t="s">
        <v>202</v>
      </c>
      <c r="K718" s="5" t="s">
        <v>198</v>
      </c>
      <c r="L718" s="6">
        <v>45670</v>
      </c>
      <c r="M718" s="6">
        <v>45667</v>
      </c>
      <c r="N718" s="5" t="s">
        <v>811</v>
      </c>
      <c r="O718" s="5" t="str">
        <f ca="1">IF(P718&lt;&gt;"EXPEDIÇÃO","Expedido",IF(NETWORKDAYS(C718,TODAY())&gt;=5,"Risco Alto",IF(NETWORKDAYS(C718,TODAY())&gt;=3,IF(NETWORKDAYS(C718,TODAY())&lt;5,"Risco Médio",""),IF(NETWORKDAYS(C718,TODAY())&lt;=2,"Risco Baixo",""))))</f>
        <v>Expedido</v>
      </c>
      <c r="P718" s="5" t="s">
        <v>25</v>
      </c>
      <c r="Q718" s="5" t="s">
        <v>1244</v>
      </c>
      <c r="S718" s="7">
        <f>IF(ISBLANK(M718),"Aguardando Previsão/Data",NETWORKDAYS(L718,M718)-1)</f>
        <v>-3</v>
      </c>
      <c r="T718" s="5" t="s">
        <v>942</v>
      </c>
    </row>
    <row r="719" spans="1:20" x14ac:dyDescent="0.35">
      <c r="A719" s="5">
        <v>8100271686</v>
      </c>
      <c r="B719" s="5">
        <v>7036</v>
      </c>
      <c r="C719" s="6">
        <v>45663</v>
      </c>
      <c r="D719" s="5" t="s">
        <v>723</v>
      </c>
      <c r="E719" s="5" t="s">
        <v>195</v>
      </c>
      <c r="F719" s="5" t="s">
        <v>724</v>
      </c>
      <c r="G719" s="5" t="s">
        <v>725</v>
      </c>
      <c r="H719" s="5" t="s">
        <v>108</v>
      </c>
      <c r="I719" s="5" t="s">
        <v>971</v>
      </c>
      <c r="J719" s="5" t="s">
        <v>616</v>
      </c>
      <c r="K719" s="5" t="s">
        <v>198</v>
      </c>
      <c r="L719" s="6">
        <v>45667</v>
      </c>
      <c r="M719" s="6">
        <v>45663</v>
      </c>
      <c r="N719" s="5" t="s">
        <v>811</v>
      </c>
      <c r="O719" s="5" t="str">
        <f ca="1">IF(P719&lt;&gt;"EXPEDIÇÃO","Expedido",IF(NETWORKDAYS(C719,TODAY())&gt;=5,"Risco Alto",IF(NETWORKDAYS(C719,TODAY())&gt;=3,IF(NETWORKDAYS(C719,TODAY())&lt;5,"Risco Médio",""),IF(NETWORKDAYS(C719,TODAY())&lt;=2,"Risco Baixo",""))))</f>
        <v>Expedido</v>
      </c>
      <c r="P719" s="5" t="s">
        <v>25</v>
      </c>
      <c r="S719" s="7">
        <f>IF(ISBLANK(M719),"Aguardando Previsão/Data",NETWORKDAYS(L719,M719)-1)</f>
        <v>-6</v>
      </c>
      <c r="T719" s="5" t="s">
        <v>942</v>
      </c>
    </row>
    <row r="720" spans="1:20" x14ac:dyDescent="0.35">
      <c r="A720" s="5">
        <v>8100271237</v>
      </c>
      <c r="B720" s="5">
        <v>12149</v>
      </c>
      <c r="C720" s="6">
        <v>45663</v>
      </c>
      <c r="D720" s="5" t="s">
        <v>158</v>
      </c>
      <c r="E720" s="5" t="s">
        <v>159</v>
      </c>
      <c r="F720" s="5" t="s">
        <v>79</v>
      </c>
      <c r="G720" s="5" t="s">
        <v>80</v>
      </c>
      <c r="H720" s="5" t="s">
        <v>108</v>
      </c>
      <c r="I720" s="5" t="s">
        <v>866</v>
      </c>
      <c r="J720" s="5" t="s">
        <v>163</v>
      </c>
      <c r="K720" s="5" t="s">
        <v>80</v>
      </c>
      <c r="L720" s="6">
        <v>45671</v>
      </c>
      <c r="M720" s="6">
        <v>45668</v>
      </c>
      <c r="N720" s="5" t="s">
        <v>811</v>
      </c>
      <c r="O720" s="5" t="str">
        <f ca="1">IF(P720&lt;&gt;"EXPEDIÇÃO","Expedido",IF(NETWORKDAYS(C720,TODAY())&gt;=5,"Risco Alto",IF(NETWORKDAYS(C720,TODAY())&gt;=3,IF(NETWORKDAYS(C720,TODAY())&lt;5,"Risco Médio",""),IF(NETWORKDAYS(C720,TODAY())&lt;=2,"Risco Baixo",""))))</f>
        <v>Expedido</v>
      </c>
      <c r="P720" s="5" t="s">
        <v>25</v>
      </c>
      <c r="S720" s="7">
        <f>IF(ISBLANK(M720),"Aguardando Previsão/Data",NETWORKDAYS(L720,M720)-1)</f>
        <v>-3</v>
      </c>
      <c r="T720" s="5" t="s">
        <v>942</v>
      </c>
    </row>
    <row r="721" spans="1:20" x14ac:dyDescent="0.35">
      <c r="A721" s="5">
        <v>8100271238</v>
      </c>
      <c r="B721" s="5">
        <v>12148</v>
      </c>
      <c r="C721" s="6">
        <v>45663</v>
      </c>
      <c r="D721" s="5" t="s">
        <v>158</v>
      </c>
      <c r="E721" s="5" t="s">
        <v>159</v>
      </c>
      <c r="F721" s="5" t="s">
        <v>79</v>
      </c>
      <c r="G721" s="5" t="s">
        <v>80</v>
      </c>
      <c r="H721" s="5" t="s">
        <v>108</v>
      </c>
      <c r="I721" s="5" t="s">
        <v>180</v>
      </c>
      <c r="J721" s="5" t="s">
        <v>181</v>
      </c>
      <c r="K721" s="5" t="s">
        <v>80</v>
      </c>
      <c r="L721" s="6">
        <v>45671</v>
      </c>
      <c r="M721" s="6">
        <v>45666</v>
      </c>
      <c r="N721" s="5" t="s">
        <v>811</v>
      </c>
      <c r="O721" s="5" t="str">
        <f ca="1">IF(P721&lt;&gt;"EXPEDIÇÃO","Expedido",IF(NETWORKDAYS(C721,TODAY())&gt;=5,"Risco Alto",IF(NETWORKDAYS(C721,TODAY())&gt;=3,IF(NETWORKDAYS(C721,TODAY())&lt;5,"Risco Médio",""),IF(NETWORKDAYS(C721,TODAY())&lt;=2,"Risco Baixo",""))))</f>
        <v>Expedido</v>
      </c>
      <c r="P721" s="5" t="s">
        <v>25</v>
      </c>
      <c r="S721" s="7">
        <f>IF(ISBLANK(M721),"Aguardando Previsão/Data",NETWORKDAYS(L721,M721)-1)</f>
        <v>-5</v>
      </c>
      <c r="T721" s="5" t="s">
        <v>942</v>
      </c>
    </row>
    <row r="722" spans="1:20" x14ac:dyDescent="0.35">
      <c r="A722" s="5">
        <v>8100271239</v>
      </c>
      <c r="B722" s="5">
        <v>12151</v>
      </c>
      <c r="C722" s="6">
        <v>45663</v>
      </c>
      <c r="D722" s="5" t="s">
        <v>158</v>
      </c>
      <c r="E722" s="5" t="s">
        <v>159</v>
      </c>
      <c r="F722" s="5" t="s">
        <v>171</v>
      </c>
      <c r="G722" s="5" t="s">
        <v>172</v>
      </c>
      <c r="H722" s="5" t="s">
        <v>108</v>
      </c>
      <c r="I722" s="5" t="s">
        <v>511</v>
      </c>
      <c r="J722" s="5" t="s">
        <v>512</v>
      </c>
      <c r="K722" s="5" t="s">
        <v>170</v>
      </c>
      <c r="L722" s="6">
        <v>45671</v>
      </c>
      <c r="M722" s="6">
        <v>45673</v>
      </c>
      <c r="N722" s="5" t="s">
        <v>812</v>
      </c>
      <c r="O722" s="5" t="str">
        <f ca="1">IF(P722&lt;&gt;"EXPEDIÇÃO","Expedido",IF(NETWORKDAYS(C722,TODAY())&gt;=5,"Risco Alto",IF(NETWORKDAYS(C722,TODAY())&gt;=3,IF(NETWORKDAYS(C722,TODAY())&lt;5,"Risco Médio",""),IF(NETWORKDAYS(C722,TODAY())&lt;=2,"Risco Baixo",""))))</f>
        <v>Expedido</v>
      </c>
      <c r="P722" s="5" t="s">
        <v>25</v>
      </c>
      <c r="Q722" s="5" t="s">
        <v>899</v>
      </c>
      <c r="S722" s="7">
        <f>IF(ISBLANK(M722),"Aguardando Previsão/Data",NETWORKDAYS(L722,M722)-1)</f>
        <v>2</v>
      </c>
      <c r="T722" s="5" t="s">
        <v>942</v>
      </c>
    </row>
    <row r="723" spans="1:20" x14ac:dyDescent="0.35">
      <c r="A723" s="5">
        <v>8100271240</v>
      </c>
      <c r="B723" s="5">
        <v>12150</v>
      </c>
      <c r="C723" s="6">
        <v>45663</v>
      </c>
      <c r="D723" s="5" t="s">
        <v>158</v>
      </c>
      <c r="E723" s="5" t="s">
        <v>159</v>
      </c>
      <c r="F723" s="5" t="s">
        <v>176</v>
      </c>
      <c r="G723" s="5" t="s">
        <v>177</v>
      </c>
      <c r="H723" s="5" t="s">
        <v>108</v>
      </c>
      <c r="I723" s="5" t="s">
        <v>989</v>
      </c>
      <c r="J723" s="5" t="s">
        <v>309</v>
      </c>
      <c r="K723" s="5" t="s">
        <v>175</v>
      </c>
      <c r="L723" s="6">
        <v>45672</v>
      </c>
      <c r="M723" s="6">
        <v>45672</v>
      </c>
      <c r="N723" s="5" t="s">
        <v>811</v>
      </c>
      <c r="O723" s="5" t="str">
        <f ca="1">IF(P723&lt;&gt;"EXPEDIÇÃO","Expedido",IF(NETWORKDAYS(C723,TODAY())&gt;=5,"Risco Alto",IF(NETWORKDAYS(C723,TODAY())&gt;=3,IF(NETWORKDAYS(C723,TODAY())&lt;5,"Risco Médio",""),IF(NETWORKDAYS(C723,TODAY())&lt;=2,"Risco Baixo",""))))</f>
        <v>Expedido</v>
      </c>
      <c r="P723" s="5" t="s">
        <v>25</v>
      </c>
      <c r="S723" s="7">
        <f>IF(ISBLANK(M723),"Aguardando Previsão/Data",NETWORKDAYS(L723,M723)-1)</f>
        <v>0</v>
      </c>
      <c r="T723" s="5" t="s">
        <v>942</v>
      </c>
    </row>
    <row r="724" spans="1:20" x14ac:dyDescent="0.35">
      <c r="A724" s="5">
        <v>8100271312</v>
      </c>
      <c r="B724" s="5">
        <v>12152</v>
      </c>
      <c r="C724" s="6">
        <v>45663</v>
      </c>
      <c r="D724" s="5" t="s">
        <v>158</v>
      </c>
      <c r="E724" s="5" t="s">
        <v>159</v>
      </c>
      <c r="F724" s="5" t="s">
        <v>160</v>
      </c>
      <c r="G724" s="5" t="s">
        <v>161</v>
      </c>
      <c r="H724" s="5" t="s">
        <v>108</v>
      </c>
      <c r="I724" s="5" t="s">
        <v>162</v>
      </c>
      <c r="J724" s="5" t="s">
        <v>1050</v>
      </c>
      <c r="K724" s="5" t="s">
        <v>175</v>
      </c>
      <c r="L724" s="6">
        <v>45671</v>
      </c>
      <c r="M724" s="6">
        <v>45666</v>
      </c>
      <c r="N724" s="5" t="s">
        <v>811</v>
      </c>
      <c r="O724" s="5" t="str">
        <f ca="1">IF(P724&lt;&gt;"EXPEDIÇÃO","Expedido",IF(NETWORKDAYS(C724,TODAY())&gt;=5,"Risco Alto",IF(NETWORKDAYS(C724,TODAY())&gt;=3,IF(NETWORKDAYS(C724,TODAY())&lt;5,"Risco Médio",""),IF(NETWORKDAYS(C724,TODAY())&lt;=2,"Risco Baixo",""))))</f>
        <v>Expedido</v>
      </c>
      <c r="P724" s="5" t="s">
        <v>25</v>
      </c>
      <c r="S724" s="7">
        <f>IF(ISBLANK(M724),"Aguardando Previsão/Data",NETWORKDAYS(L724,M724)-1)</f>
        <v>-5</v>
      </c>
      <c r="T724" s="5" t="s">
        <v>942</v>
      </c>
    </row>
    <row r="725" spans="1:20" x14ac:dyDescent="0.35">
      <c r="A725" s="5">
        <v>8100271379</v>
      </c>
      <c r="B725" s="5">
        <v>12162</v>
      </c>
      <c r="C725" s="6">
        <v>45663</v>
      </c>
      <c r="D725" s="5" t="s">
        <v>158</v>
      </c>
      <c r="E725" s="5" t="s">
        <v>159</v>
      </c>
      <c r="F725" s="5" t="s">
        <v>160</v>
      </c>
      <c r="G725" s="5" t="s">
        <v>161</v>
      </c>
      <c r="H725" s="5" t="s">
        <v>108</v>
      </c>
      <c r="I725" s="5" t="s">
        <v>1175</v>
      </c>
      <c r="J725" s="5" t="s">
        <v>310</v>
      </c>
      <c r="K725" s="5" t="s">
        <v>175</v>
      </c>
      <c r="L725" s="6">
        <v>45672</v>
      </c>
      <c r="M725" s="6">
        <v>45673</v>
      </c>
      <c r="N725" s="5" t="s">
        <v>812</v>
      </c>
      <c r="O725" s="5" t="str">
        <f ca="1">IF(P725&lt;&gt;"EXPEDIÇÃO","Expedido",IF(NETWORKDAYS(C725,TODAY())&gt;=5,"Risco Alto",IF(NETWORKDAYS(C725,TODAY())&gt;=3,IF(NETWORKDAYS(C725,TODAY())&lt;5,"Risco Médio",""),IF(NETWORKDAYS(C725,TODAY())&lt;=2,"Risco Baixo",""))))</f>
        <v>Expedido</v>
      </c>
      <c r="P725" s="5" t="s">
        <v>25</v>
      </c>
      <c r="Q725" s="5" t="s">
        <v>899</v>
      </c>
      <c r="R725" s="5" t="s">
        <v>1359</v>
      </c>
      <c r="S725" s="7">
        <f>IF(ISBLANK(M725),"Aguardando Previsão/Data",NETWORKDAYS(L725,M725)-1)</f>
        <v>1</v>
      </c>
      <c r="T725" s="5" t="s">
        <v>942</v>
      </c>
    </row>
    <row r="726" spans="1:20" x14ac:dyDescent="0.35">
      <c r="A726" s="5">
        <v>8100271380</v>
      </c>
      <c r="B726" s="5">
        <v>12157</v>
      </c>
      <c r="C726" s="6">
        <v>45663</v>
      </c>
      <c r="D726" s="5" t="s">
        <v>158</v>
      </c>
      <c r="E726" s="5" t="s">
        <v>159</v>
      </c>
      <c r="F726" s="5" t="s">
        <v>160</v>
      </c>
      <c r="G726" s="5" t="s">
        <v>161</v>
      </c>
      <c r="H726" s="5" t="s">
        <v>108</v>
      </c>
      <c r="I726" s="5" t="s">
        <v>162</v>
      </c>
      <c r="J726" s="5" t="s">
        <v>403</v>
      </c>
      <c r="K726" s="5" t="s">
        <v>80</v>
      </c>
      <c r="L726" s="6">
        <v>45671</v>
      </c>
      <c r="M726" s="6">
        <v>45673</v>
      </c>
      <c r="N726" s="5" t="s">
        <v>812</v>
      </c>
      <c r="O726" s="5" t="str">
        <f ca="1">IF(P726&lt;&gt;"EXPEDIÇÃO","Expedido",IF(NETWORKDAYS(C726,TODAY())&gt;=5,"Risco Alto",IF(NETWORKDAYS(C726,TODAY())&gt;=3,IF(NETWORKDAYS(C726,TODAY())&lt;5,"Risco Médio",""),IF(NETWORKDAYS(C726,TODAY())&lt;=2,"Risco Baixo",""))))</f>
        <v>Expedido</v>
      </c>
      <c r="P726" s="5" t="s">
        <v>25</v>
      </c>
      <c r="Q726" s="5" t="s">
        <v>899</v>
      </c>
      <c r="S726" s="7">
        <f>IF(ISBLANK(M726),"Aguardando Previsão/Data",NETWORKDAYS(L726,M726)-1)</f>
        <v>2</v>
      </c>
      <c r="T726" s="5" t="s">
        <v>942</v>
      </c>
    </row>
    <row r="727" spans="1:20" x14ac:dyDescent="0.35">
      <c r="A727" s="5">
        <v>8100271384</v>
      </c>
      <c r="B727" s="5">
        <v>12164</v>
      </c>
      <c r="C727" s="6">
        <v>45663</v>
      </c>
      <c r="D727" s="5" t="s">
        <v>158</v>
      </c>
      <c r="E727" s="5" t="s">
        <v>159</v>
      </c>
      <c r="F727" s="5" t="s">
        <v>160</v>
      </c>
      <c r="G727" s="5" t="s">
        <v>161</v>
      </c>
      <c r="H727" s="5" t="s">
        <v>108</v>
      </c>
      <c r="I727" s="5" t="s">
        <v>1175</v>
      </c>
      <c r="J727" s="5" t="s">
        <v>310</v>
      </c>
      <c r="K727" s="5" t="s">
        <v>175</v>
      </c>
      <c r="L727" s="6">
        <v>45672</v>
      </c>
      <c r="M727" s="6">
        <v>45673</v>
      </c>
      <c r="N727" s="5" t="s">
        <v>812</v>
      </c>
      <c r="O727" s="5" t="str">
        <f ca="1">IF(P727&lt;&gt;"EXPEDIÇÃO","Expedido",IF(NETWORKDAYS(C727,TODAY())&gt;=5,"Risco Alto",IF(NETWORKDAYS(C727,TODAY())&gt;=3,IF(NETWORKDAYS(C727,TODAY())&lt;5,"Risco Médio",""),IF(NETWORKDAYS(C727,TODAY())&lt;=2,"Risco Baixo",""))))</f>
        <v>Expedido</v>
      </c>
      <c r="P727" s="5" t="s">
        <v>25</v>
      </c>
      <c r="Q727" s="5" t="s">
        <v>899</v>
      </c>
      <c r="R727" s="5" t="s">
        <v>1359</v>
      </c>
      <c r="S727" s="7">
        <f>IF(ISBLANK(M727),"Aguardando Previsão/Data",NETWORKDAYS(L727,M727)-1)</f>
        <v>1</v>
      </c>
      <c r="T727" s="5" t="s">
        <v>942</v>
      </c>
    </row>
    <row r="728" spans="1:20" x14ac:dyDescent="0.35">
      <c r="A728" s="5">
        <v>8100271385</v>
      </c>
      <c r="B728" s="5">
        <v>12165</v>
      </c>
      <c r="C728" s="6">
        <v>45663</v>
      </c>
      <c r="D728" s="5" t="s">
        <v>158</v>
      </c>
      <c r="E728" s="5" t="s">
        <v>159</v>
      </c>
      <c r="F728" s="5" t="s">
        <v>160</v>
      </c>
      <c r="G728" s="5" t="s">
        <v>161</v>
      </c>
      <c r="H728" s="5" t="s">
        <v>108</v>
      </c>
      <c r="I728" s="5" t="s">
        <v>1175</v>
      </c>
      <c r="J728" s="5" t="s">
        <v>310</v>
      </c>
      <c r="K728" s="5" t="s">
        <v>175</v>
      </c>
      <c r="L728" s="6">
        <v>45672</v>
      </c>
      <c r="M728" s="6">
        <v>45667</v>
      </c>
      <c r="N728" s="5" t="s">
        <v>811</v>
      </c>
      <c r="O728" s="5" t="str">
        <f ca="1">IF(P728&lt;&gt;"EXPEDIÇÃO","Expedido",IF(NETWORKDAYS(C728,TODAY())&gt;=5,"Risco Alto",IF(NETWORKDAYS(C728,TODAY())&gt;=3,IF(NETWORKDAYS(C728,TODAY())&lt;5,"Risco Médio",""),IF(NETWORKDAYS(C728,TODAY())&lt;=2,"Risco Baixo",""))))</f>
        <v>Expedido</v>
      </c>
      <c r="P728" s="5" t="s">
        <v>25</v>
      </c>
      <c r="S728" s="7">
        <f>IF(ISBLANK(M728),"Aguardando Previsão/Data",NETWORKDAYS(L728,M728)-1)</f>
        <v>-5</v>
      </c>
      <c r="T728" s="5" t="s">
        <v>942</v>
      </c>
    </row>
    <row r="729" spans="1:20" x14ac:dyDescent="0.35">
      <c r="A729" s="5">
        <v>8100271386</v>
      </c>
      <c r="B729" s="5">
        <v>12163</v>
      </c>
      <c r="C729" s="6">
        <v>45663</v>
      </c>
      <c r="D729" s="5" t="s">
        <v>158</v>
      </c>
      <c r="E729" s="5" t="s">
        <v>159</v>
      </c>
      <c r="F729" s="5" t="s">
        <v>160</v>
      </c>
      <c r="G729" s="5" t="s">
        <v>161</v>
      </c>
      <c r="H729" s="5" t="s">
        <v>108</v>
      </c>
      <c r="I729" s="5" t="s">
        <v>1175</v>
      </c>
      <c r="J729" s="5" t="s">
        <v>310</v>
      </c>
      <c r="K729" s="5" t="s">
        <v>175</v>
      </c>
      <c r="L729" s="6">
        <v>45672</v>
      </c>
      <c r="M729" s="6">
        <v>45667</v>
      </c>
      <c r="N729" s="5" t="s">
        <v>811</v>
      </c>
      <c r="O729" s="5" t="str">
        <f ca="1">IF(P729&lt;&gt;"EXPEDIÇÃO","Expedido",IF(NETWORKDAYS(C729,TODAY())&gt;=5,"Risco Alto",IF(NETWORKDAYS(C729,TODAY())&gt;=3,IF(NETWORKDAYS(C729,TODAY())&lt;5,"Risco Médio",""),IF(NETWORKDAYS(C729,TODAY())&lt;=2,"Risco Baixo",""))))</f>
        <v>Expedido</v>
      </c>
      <c r="P729" s="5" t="s">
        <v>25</v>
      </c>
      <c r="S729" s="7">
        <f>IF(ISBLANK(M729),"Aguardando Previsão/Data",NETWORKDAYS(L729,M729)-1)</f>
        <v>-5</v>
      </c>
      <c r="T729" s="5" t="s">
        <v>942</v>
      </c>
    </row>
    <row r="730" spans="1:20" x14ac:dyDescent="0.35">
      <c r="A730" s="5">
        <v>8100271429</v>
      </c>
      <c r="B730" s="5">
        <v>12159</v>
      </c>
      <c r="C730" s="6">
        <v>45663</v>
      </c>
      <c r="D730" s="5" t="s">
        <v>158</v>
      </c>
      <c r="E730" s="5" t="s">
        <v>159</v>
      </c>
      <c r="F730" s="5" t="s">
        <v>79</v>
      </c>
      <c r="G730" s="5" t="s">
        <v>80</v>
      </c>
      <c r="H730" s="5" t="s">
        <v>108</v>
      </c>
      <c r="I730" s="5" t="s">
        <v>452</v>
      </c>
      <c r="J730" s="5" t="s">
        <v>183</v>
      </c>
      <c r="K730" s="5" t="s">
        <v>80</v>
      </c>
      <c r="L730" s="6">
        <v>45671</v>
      </c>
      <c r="M730" s="6">
        <v>45666</v>
      </c>
      <c r="N730" s="5" t="s">
        <v>811</v>
      </c>
      <c r="O730" s="5" t="str">
        <f ca="1">IF(P730&lt;&gt;"EXPEDIÇÃO","Expedido",IF(NETWORKDAYS(C730,TODAY())&gt;=5,"Risco Alto",IF(NETWORKDAYS(C730,TODAY())&gt;=3,IF(NETWORKDAYS(C730,TODAY())&lt;5,"Risco Médio",""),IF(NETWORKDAYS(C730,TODAY())&lt;=2,"Risco Baixo",""))))</f>
        <v>Expedido</v>
      </c>
      <c r="P730" s="5" t="s">
        <v>25</v>
      </c>
      <c r="S730" s="7">
        <f>IF(ISBLANK(M730),"Aguardando Previsão/Data",NETWORKDAYS(L730,M730)-1)</f>
        <v>-5</v>
      </c>
      <c r="T730" s="5" t="s">
        <v>942</v>
      </c>
    </row>
    <row r="731" spans="1:20" x14ac:dyDescent="0.35">
      <c r="A731" s="5">
        <v>8100271430</v>
      </c>
      <c r="B731" s="5">
        <v>12160</v>
      </c>
      <c r="C731" s="6">
        <v>45663</v>
      </c>
      <c r="D731" s="5" t="s">
        <v>158</v>
      </c>
      <c r="E731" s="5" t="s">
        <v>159</v>
      </c>
      <c r="F731" s="5" t="s">
        <v>79</v>
      </c>
      <c r="G731" s="5" t="s">
        <v>80</v>
      </c>
      <c r="H731" s="5" t="s">
        <v>108</v>
      </c>
      <c r="I731" s="5" t="s">
        <v>452</v>
      </c>
      <c r="J731" s="5" t="s">
        <v>183</v>
      </c>
      <c r="K731" s="5" t="s">
        <v>80</v>
      </c>
      <c r="L731" s="6">
        <v>45671</v>
      </c>
      <c r="M731" s="6">
        <v>45666</v>
      </c>
      <c r="N731" s="5" t="s">
        <v>811</v>
      </c>
      <c r="O731" s="5" t="str">
        <f ca="1">IF(P731&lt;&gt;"EXPEDIÇÃO","Expedido",IF(NETWORKDAYS(C731,TODAY())&gt;=5,"Risco Alto",IF(NETWORKDAYS(C731,TODAY())&gt;=3,IF(NETWORKDAYS(C731,TODAY())&lt;5,"Risco Médio",""),IF(NETWORKDAYS(C731,TODAY())&lt;=2,"Risco Baixo",""))))</f>
        <v>Expedido</v>
      </c>
      <c r="P731" s="5" t="s">
        <v>25</v>
      </c>
      <c r="S731" s="7">
        <f>IF(ISBLANK(M731),"Aguardando Previsão/Data",NETWORKDAYS(L731,M731)-1)</f>
        <v>-5</v>
      </c>
      <c r="T731" s="5" t="s">
        <v>942</v>
      </c>
    </row>
    <row r="732" spans="1:20" x14ac:dyDescent="0.35">
      <c r="A732" s="5">
        <v>8100271431</v>
      </c>
      <c r="B732" s="5">
        <v>12155</v>
      </c>
      <c r="C732" s="6">
        <v>45663</v>
      </c>
      <c r="D732" s="5" t="s">
        <v>158</v>
      </c>
      <c r="E732" s="5" t="s">
        <v>159</v>
      </c>
      <c r="F732" s="5" t="s">
        <v>160</v>
      </c>
      <c r="G732" s="5" t="s">
        <v>161</v>
      </c>
      <c r="H732" s="5" t="s">
        <v>108</v>
      </c>
      <c r="I732" s="5" t="s">
        <v>162</v>
      </c>
      <c r="J732" s="5" t="s">
        <v>1146</v>
      </c>
      <c r="K732" s="5" t="s">
        <v>80</v>
      </c>
      <c r="L732" s="6">
        <v>45671</v>
      </c>
      <c r="M732" s="6">
        <v>45667</v>
      </c>
      <c r="N732" s="5" t="s">
        <v>811</v>
      </c>
      <c r="O732" s="5" t="str">
        <f ca="1">IF(P732&lt;&gt;"EXPEDIÇÃO","Expedido",IF(NETWORKDAYS(C732,TODAY())&gt;=5,"Risco Alto",IF(NETWORKDAYS(C732,TODAY())&gt;=3,IF(NETWORKDAYS(C732,TODAY())&lt;5,"Risco Médio",""),IF(NETWORKDAYS(C732,TODAY())&lt;=2,"Risco Baixo",""))))</f>
        <v>Expedido</v>
      </c>
      <c r="P732" s="5" t="s">
        <v>25</v>
      </c>
      <c r="S732" s="7">
        <f>IF(ISBLANK(M732),"Aguardando Previsão/Data",NETWORKDAYS(L732,M732)-1)</f>
        <v>-4</v>
      </c>
      <c r="T732" s="5" t="s">
        <v>942</v>
      </c>
    </row>
    <row r="733" spans="1:20" x14ac:dyDescent="0.35">
      <c r="A733" s="5">
        <v>8100271432</v>
      </c>
      <c r="B733" s="5">
        <v>12156</v>
      </c>
      <c r="C733" s="6">
        <v>45663</v>
      </c>
      <c r="D733" s="5" t="s">
        <v>158</v>
      </c>
      <c r="E733" s="5" t="s">
        <v>159</v>
      </c>
      <c r="F733" s="5" t="s">
        <v>160</v>
      </c>
      <c r="G733" s="5" t="s">
        <v>161</v>
      </c>
      <c r="H733" s="5" t="s">
        <v>108</v>
      </c>
      <c r="I733" s="5" t="s">
        <v>162</v>
      </c>
      <c r="J733" s="5" t="s">
        <v>1146</v>
      </c>
      <c r="K733" s="5" t="s">
        <v>80</v>
      </c>
      <c r="L733" s="6">
        <v>45671</v>
      </c>
      <c r="M733" s="6">
        <v>45667</v>
      </c>
      <c r="N733" s="5" t="s">
        <v>811</v>
      </c>
      <c r="O733" s="5" t="str">
        <f ca="1">IF(P733&lt;&gt;"EXPEDIÇÃO","Expedido",IF(NETWORKDAYS(C733,TODAY())&gt;=5,"Risco Alto",IF(NETWORKDAYS(C733,TODAY())&gt;=3,IF(NETWORKDAYS(C733,TODAY())&lt;5,"Risco Médio",""),IF(NETWORKDAYS(C733,TODAY())&lt;=2,"Risco Baixo",""))))</f>
        <v>Expedido</v>
      </c>
      <c r="P733" s="5" t="s">
        <v>25</v>
      </c>
      <c r="S733" s="7">
        <f>IF(ISBLANK(M733),"Aguardando Previsão/Data",NETWORKDAYS(L733,M733)-1)</f>
        <v>-4</v>
      </c>
      <c r="T733" s="5" t="s">
        <v>942</v>
      </c>
    </row>
    <row r="734" spans="1:20" x14ac:dyDescent="0.35">
      <c r="A734" s="8">
        <v>8100271433</v>
      </c>
      <c r="B734" s="5">
        <v>12153</v>
      </c>
      <c r="C734" s="6">
        <v>45663</v>
      </c>
      <c r="D734" s="5" t="s">
        <v>158</v>
      </c>
      <c r="E734" s="5" t="s">
        <v>159</v>
      </c>
      <c r="F734" s="5" t="s">
        <v>160</v>
      </c>
      <c r="G734" s="5" t="s">
        <v>161</v>
      </c>
      <c r="H734" s="5" t="s">
        <v>108</v>
      </c>
      <c r="I734" s="5" t="s">
        <v>162</v>
      </c>
      <c r="J734" s="5" t="s">
        <v>163</v>
      </c>
      <c r="K734" s="5" t="s">
        <v>80</v>
      </c>
      <c r="L734" s="6">
        <v>45671</v>
      </c>
      <c r="M734" s="6">
        <v>45672</v>
      </c>
      <c r="N734" s="5" t="s">
        <v>812</v>
      </c>
      <c r="O734" s="5" t="str">
        <f ca="1">IF(P734&lt;&gt;"EXPEDIÇÃO","Expedido",IF(NETWORKDAYS(C734,TODAY())&gt;=5,"Risco Alto",IF(NETWORKDAYS(C734,TODAY())&gt;=3,IF(NETWORKDAYS(C734,TODAY())&lt;5,"Risco Médio",""),IF(NETWORKDAYS(C734,TODAY())&lt;=2,"Risco Baixo",""))))</f>
        <v>Expedido</v>
      </c>
      <c r="P734" s="5" t="s">
        <v>25</v>
      </c>
      <c r="Q734" s="5" t="s">
        <v>899</v>
      </c>
      <c r="S734" s="7">
        <f>IF(ISBLANK(M734),"Aguardando Previsão/Data",NETWORKDAYS(L734,M734)-1)</f>
        <v>1</v>
      </c>
      <c r="T734" s="5" t="s">
        <v>942</v>
      </c>
    </row>
    <row r="735" spans="1:20" x14ac:dyDescent="0.35">
      <c r="A735" s="8">
        <v>8100271434</v>
      </c>
      <c r="B735" s="5">
        <v>12154</v>
      </c>
      <c r="C735" s="6">
        <v>45663</v>
      </c>
      <c r="D735" s="5" t="s">
        <v>158</v>
      </c>
      <c r="E735" s="5" t="s">
        <v>159</v>
      </c>
      <c r="F735" s="5" t="s">
        <v>160</v>
      </c>
      <c r="G735" s="5" t="s">
        <v>161</v>
      </c>
      <c r="H735" s="5" t="s">
        <v>108</v>
      </c>
      <c r="I735" s="5" t="s">
        <v>162</v>
      </c>
      <c r="J735" s="5" t="s">
        <v>163</v>
      </c>
      <c r="K735" s="5" t="s">
        <v>80</v>
      </c>
      <c r="L735" s="6">
        <v>45671</v>
      </c>
      <c r="M735" s="6">
        <v>45672</v>
      </c>
      <c r="N735" s="5" t="s">
        <v>812</v>
      </c>
      <c r="O735" s="5" t="str">
        <f ca="1">IF(P735&lt;&gt;"EXPEDIÇÃO","Expedido",IF(NETWORKDAYS(C735,TODAY())&gt;=5,"Risco Alto",IF(NETWORKDAYS(C735,TODAY())&gt;=3,IF(NETWORKDAYS(C735,TODAY())&lt;5,"Risco Médio",""),IF(NETWORKDAYS(C735,TODAY())&lt;=2,"Risco Baixo",""))))</f>
        <v>Expedido</v>
      </c>
      <c r="P735" s="5" t="s">
        <v>25</v>
      </c>
      <c r="Q735" s="5" t="s">
        <v>899</v>
      </c>
      <c r="S735" s="7">
        <f>IF(ISBLANK(M735),"Aguardando Previsão/Data",NETWORKDAYS(L735,M735)-1)</f>
        <v>1</v>
      </c>
      <c r="T735" s="5" t="s">
        <v>942</v>
      </c>
    </row>
    <row r="736" spans="1:20" x14ac:dyDescent="0.35">
      <c r="A736" s="8">
        <v>8100271438</v>
      </c>
      <c r="B736" s="5">
        <v>12161</v>
      </c>
      <c r="C736" s="6">
        <v>45663</v>
      </c>
      <c r="D736" s="5" t="s">
        <v>158</v>
      </c>
      <c r="E736" s="5" t="s">
        <v>159</v>
      </c>
      <c r="F736" s="5" t="s">
        <v>160</v>
      </c>
      <c r="G736" s="5" t="s">
        <v>161</v>
      </c>
      <c r="H736" s="5" t="s">
        <v>108</v>
      </c>
      <c r="I736" s="5" t="s">
        <v>162</v>
      </c>
      <c r="J736" s="5" t="s">
        <v>403</v>
      </c>
      <c r="K736" s="5" t="s">
        <v>80</v>
      </c>
      <c r="L736" s="6">
        <v>45671</v>
      </c>
      <c r="M736" s="6">
        <v>45673</v>
      </c>
      <c r="N736" s="5" t="s">
        <v>812</v>
      </c>
      <c r="O736" s="5" t="str">
        <f ca="1">IF(P736&lt;&gt;"EXPEDIÇÃO","Expedido",IF(NETWORKDAYS(C736,TODAY())&gt;=5,"Risco Alto",IF(NETWORKDAYS(C736,TODAY())&gt;=3,IF(NETWORKDAYS(C736,TODAY())&lt;5,"Risco Médio",""),IF(NETWORKDAYS(C736,TODAY())&lt;=2,"Risco Baixo",""))))</f>
        <v>Expedido</v>
      </c>
      <c r="P736" s="5" t="s">
        <v>25</v>
      </c>
      <c r="Q736" s="5" t="s">
        <v>899</v>
      </c>
      <c r="S736" s="7">
        <f>IF(ISBLANK(M736),"Aguardando Previsão/Data",NETWORKDAYS(L736,M736)-1)</f>
        <v>2</v>
      </c>
      <c r="T736" s="5" t="s">
        <v>942</v>
      </c>
    </row>
    <row r="737" spans="1:20" x14ac:dyDescent="0.35">
      <c r="A737" s="8">
        <v>8100271456</v>
      </c>
      <c r="B737" s="5">
        <v>12158</v>
      </c>
      <c r="C737" s="6">
        <v>45663</v>
      </c>
      <c r="D737" s="5" t="s">
        <v>158</v>
      </c>
      <c r="E737" s="5" t="s">
        <v>159</v>
      </c>
      <c r="F737" s="5" t="s">
        <v>160</v>
      </c>
      <c r="G737" s="5" t="s">
        <v>161</v>
      </c>
      <c r="H737" s="5" t="s">
        <v>108</v>
      </c>
      <c r="I737" s="5" t="s">
        <v>162</v>
      </c>
      <c r="J737" s="5" t="s">
        <v>403</v>
      </c>
      <c r="K737" s="5" t="s">
        <v>80</v>
      </c>
      <c r="L737" s="6">
        <v>45671</v>
      </c>
      <c r="M737" s="6">
        <v>45673</v>
      </c>
      <c r="N737" s="5" t="s">
        <v>812</v>
      </c>
      <c r="O737" s="5" t="str">
        <f ca="1">IF(P737&lt;&gt;"EXPEDIÇÃO","Expedido",IF(NETWORKDAYS(C737,TODAY())&gt;=5,"Risco Alto",IF(NETWORKDAYS(C737,TODAY())&gt;=3,IF(NETWORKDAYS(C737,TODAY())&lt;5,"Risco Médio",""),IF(NETWORKDAYS(C737,TODAY())&lt;=2,"Risco Baixo",""))))</f>
        <v>Expedido</v>
      </c>
      <c r="P737" s="5" t="s">
        <v>25</v>
      </c>
      <c r="Q737" s="5" t="s">
        <v>899</v>
      </c>
      <c r="S737" s="7">
        <f>IF(ISBLANK(M737),"Aguardando Previsão/Data",NETWORKDAYS(L737,M737)-1)</f>
        <v>2</v>
      </c>
      <c r="T737" s="5" t="s">
        <v>942</v>
      </c>
    </row>
    <row r="738" spans="1:20" x14ac:dyDescent="0.35">
      <c r="A738" s="5">
        <v>8100271696</v>
      </c>
      <c r="B738" s="5">
        <v>12166</v>
      </c>
      <c r="C738" s="6">
        <v>45663</v>
      </c>
      <c r="D738" s="5" t="s">
        <v>158</v>
      </c>
      <c r="E738" s="5" t="s">
        <v>159</v>
      </c>
      <c r="F738" s="5" t="s">
        <v>79</v>
      </c>
      <c r="G738" s="5" t="s">
        <v>80</v>
      </c>
      <c r="H738" s="5" t="s">
        <v>108</v>
      </c>
      <c r="I738" s="5" t="s">
        <v>82</v>
      </c>
      <c r="J738" s="5" t="s">
        <v>728</v>
      </c>
      <c r="K738" s="5" t="s">
        <v>80</v>
      </c>
      <c r="L738" s="6">
        <v>45671</v>
      </c>
      <c r="M738" s="6">
        <v>45673</v>
      </c>
      <c r="N738" s="5" t="s">
        <v>812</v>
      </c>
      <c r="O738" s="5" t="str">
        <f ca="1">IF(P738&lt;&gt;"EXPEDIÇÃO","Expedido",IF(NETWORKDAYS(C738,TODAY())&gt;=5,"Risco Alto",IF(NETWORKDAYS(C738,TODAY())&gt;=3,IF(NETWORKDAYS(C738,TODAY())&lt;5,"Risco Médio",""),IF(NETWORKDAYS(C738,TODAY())&lt;=2,"Risco Baixo",""))))</f>
        <v>Expedido</v>
      </c>
      <c r="P738" s="5" t="s">
        <v>25</v>
      </c>
      <c r="Q738" s="5" t="s">
        <v>899</v>
      </c>
      <c r="S738" s="7">
        <f>IF(ISBLANK(M738),"Aguardando Previsão/Data",NETWORKDAYS(L738,M738)-1)</f>
        <v>2</v>
      </c>
      <c r="T738" s="5" t="s">
        <v>942</v>
      </c>
    </row>
    <row r="739" spans="1:20" x14ac:dyDescent="0.35">
      <c r="A739" s="5">
        <v>8100271697</v>
      </c>
      <c r="B739" s="5">
        <v>12167</v>
      </c>
      <c r="C739" s="6">
        <v>45663</v>
      </c>
      <c r="D739" s="5" t="s">
        <v>158</v>
      </c>
      <c r="E739" s="5" t="s">
        <v>159</v>
      </c>
      <c r="F739" s="5" t="s">
        <v>79</v>
      </c>
      <c r="G739" s="5" t="s">
        <v>80</v>
      </c>
      <c r="H739" s="5" t="s">
        <v>108</v>
      </c>
      <c r="I739" s="5" t="s">
        <v>82</v>
      </c>
      <c r="J739" s="5" t="s">
        <v>402</v>
      </c>
      <c r="K739" s="5" t="s">
        <v>80</v>
      </c>
      <c r="L739" s="6">
        <v>45670</v>
      </c>
      <c r="M739" s="6">
        <v>45672</v>
      </c>
      <c r="N739" s="5" t="s">
        <v>812</v>
      </c>
      <c r="O739" s="5" t="str">
        <f ca="1">IF(P739&lt;&gt;"EXPEDIÇÃO","Expedido",IF(NETWORKDAYS(C739,TODAY())&gt;=5,"Risco Alto",IF(NETWORKDAYS(C739,TODAY())&gt;=3,IF(NETWORKDAYS(C739,TODAY())&lt;5,"Risco Médio",""),IF(NETWORKDAYS(C739,TODAY())&lt;=2,"Risco Baixo",""))))</f>
        <v>Expedido</v>
      </c>
      <c r="P739" s="5" t="s">
        <v>25</v>
      </c>
      <c r="Q739" s="5" t="s">
        <v>820</v>
      </c>
      <c r="S739" s="7">
        <f>IF(ISBLANK(M739),"Aguardando Previsão/Data",NETWORKDAYS(L739,M739)-1)</f>
        <v>2</v>
      </c>
      <c r="T739" s="5" t="s">
        <v>942</v>
      </c>
    </row>
    <row r="740" spans="1:20" x14ac:dyDescent="0.35">
      <c r="A740" s="8">
        <v>8100271768</v>
      </c>
      <c r="B740" s="5">
        <v>12168</v>
      </c>
      <c r="C740" s="6">
        <v>45663</v>
      </c>
      <c r="D740" s="5" t="s">
        <v>158</v>
      </c>
      <c r="E740" s="5" t="s">
        <v>159</v>
      </c>
      <c r="F740" s="5" t="s">
        <v>136</v>
      </c>
      <c r="G740" s="5" t="s">
        <v>137</v>
      </c>
      <c r="H740" s="5" t="s">
        <v>108</v>
      </c>
      <c r="I740" s="5" t="s">
        <v>299</v>
      </c>
      <c r="J740" s="5" t="s">
        <v>300</v>
      </c>
      <c r="K740" s="5" t="s">
        <v>175</v>
      </c>
      <c r="L740" s="6">
        <v>45673</v>
      </c>
      <c r="M740" s="6">
        <v>45674</v>
      </c>
      <c r="N740" s="5" t="s">
        <v>811</v>
      </c>
      <c r="O740" s="5" t="str">
        <f ca="1">IF(P740&lt;&gt;"EXPEDIÇÃO","Expedido",IF(NETWORKDAYS(C740,TODAY())&gt;=5,"Risco Alto",IF(NETWORKDAYS(C740,TODAY())&gt;=3,IF(NETWORKDAYS(C740,TODAY())&lt;5,"Risco Médio",""),IF(NETWORKDAYS(C740,TODAY())&lt;=2,"Risco Baixo",""))))</f>
        <v>Expedido</v>
      </c>
      <c r="P740" s="5" t="s">
        <v>25</v>
      </c>
      <c r="Q740" s="5" t="s">
        <v>897</v>
      </c>
      <c r="S740" s="7">
        <f>IF(ISBLANK(M740),"Aguardando Previsão/Data",NETWORKDAYS(L740,M740)-1)</f>
        <v>1</v>
      </c>
      <c r="T740" s="5" t="s">
        <v>942</v>
      </c>
    </row>
    <row r="741" spans="1:20" x14ac:dyDescent="0.35">
      <c r="A741" s="5">
        <v>8100272202</v>
      </c>
      <c r="B741" s="5">
        <v>17236</v>
      </c>
      <c r="C741" s="6">
        <v>45664</v>
      </c>
      <c r="D741" s="5" t="s">
        <v>51</v>
      </c>
      <c r="E741" s="5" t="s">
        <v>52</v>
      </c>
      <c r="F741" s="5" t="s">
        <v>58</v>
      </c>
      <c r="G741" s="5" t="s">
        <v>59</v>
      </c>
      <c r="H741" s="5" t="s">
        <v>21</v>
      </c>
      <c r="I741" s="5" t="s">
        <v>304</v>
      </c>
      <c r="J741" s="5" t="s">
        <v>65</v>
      </c>
      <c r="K741" s="5" t="s">
        <v>57</v>
      </c>
      <c r="L741" s="6">
        <v>45667</v>
      </c>
      <c r="M741" s="6">
        <v>45666</v>
      </c>
      <c r="N741" s="6" t="s">
        <v>811</v>
      </c>
      <c r="O741" s="5" t="str">
        <f ca="1">IF(P741&lt;&gt;"EXPEDIÇÃO","Expedido",IF(NETWORKDAYS(C741,TODAY())&gt;=5,"Risco Alto",IF(NETWORKDAYS(C741,TODAY())&gt;=3,IF(NETWORKDAYS(C741,TODAY())&lt;5,"Risco Médio",""),IF(NETWORKDAYS(C741,TODAY())&lt;=2,"Risco Baixo",""))))</f>
        <v>Expedido</v>
      </c>
      <c r="P741" s="5" t="s">
        <v>25</v>
      </c>
      <c r="S741" s="7">
        <f>IF(ISBLANK(M741),"Aguardando Previsão/Data",NETWORKDAYS(L741,M741)-1)</f>
        <v>-3</v>
      </c>
      <c r="T741" s="5" t="s">
        <v>942</v>
      </c>
    </row>
    <row r="742" spans="1:20" x14ac:dyDescent="0.35">
      <c r="A742" s="5">
        <v>8100272203</v>
      </c>
      <c r="B742" s="5">
        <v>17235</v>
      </c>
      <c r="C742" s="6">
        <v>45664</v>
      </c>
      <c r="D742" s="5" t="s">
        <v>51</v>
      </c>
      <c r="E742" s="5" t="s">
        <v>52</v>
      </c>
      <c r="F742" s="5" t="s">
        <v>66</v>
      </c>
      <c r="G742" s="5" t="s">
        <v>67</v>
      </c>
      <c r="H742" s="5" t="s">
        <v>21</v>
      </c>
      <c r="I742" s="5" t="s">
        <v>266</v>
      </c>
      <c r="J742" s="5" t="s">
        <v>267</v>
      </c>
      <c r="K742" s="5" t="s">
        <v>57</v>
      </c>
      <c r="L742" s="6">
        <v>45667</v>
      </c>
      <c r="M742" s="6">
        <v>45666</v>
      </c>
      <c r="N742" s="6" t="s">
        <v>811</v>
      </c>
      <c r="O742" s="5" t="str">
        <f ca="1">IF(P742&lt;&gt;"EXPEDIÇÃO","Expedido",IF(NETWORKDAYS(C742,TODAY())&gt;=5,"Risco Alto",IF(NETWORKDAYS(C742,TODAY())&gt;=3,IF(NETWORKDAYS(C742,TODAY())&lt;5,"Risco Médio",""),IF(NETWORKDAYS(C742,TODAY())&lt;=2,"Risco Baixo",""))))</f>
        <v>Expedido</v>
      </c>
      <c r="P742" s="5" t="s">
        <v>25</v>
      </c>
      <c r="S742" s="7">
        <f>IF(ISBLANK(M742),"Aguardando Previsão/Data",NETWORKDAYS(L742,M742)-1)</f>
        <v>-3</v>
      </c>
      <c r="T742" s="5" t="s">
        <v>942</v>
      </c>
    </row>
    <row r="743" spans="1:20" x14ac:dyDescent="0.35">
      <c r="A743" s="5">
        <v>8100272204</v>
      </c>
      <c r="B743" s="5">
        <v>17240</v>
      </c>
      <c r="C743" s="6">
        <v>45664</v>
      </c>
      <c r="D743" s="5" t="s">
        <v>51</v>
      </c>
      <c r="E743" s="5" t="s">
        <v>52</v>
      </c>
      <c r="F743" s="5" t="s">
        <v>66</v>
      </c>
      <c r="G743" s="5" t="s">
        <v>67</v>
      </c>
      <c r="H743" s="5" t="s">
        <v>21</v>
      </c>
      <c r="I743" s="5" t="s">
        <v>434</v>
      </c>
      <c r="J743" s="5" t="s">
        <v>435</v>
      </c>
      <c r="K743" s="5" t="s">
        <v>57</v>
      </c>
      <c r="L743" s="6">
        <v>45671</v>
      </c>
      <c r="M743" s="6">
        <v>45670</v>
      </c>
      <c r="N743" s="6" t="s">
        <v>811</v>
      </c>
      <c r="O743" s="5" t="str">
        <f ca="1">IF(P743&lt;&gt;"EXPEDIÇÃO","Expedido",IF(NETWORKDAYS(C743,TODAY())&gt;=5,"Risco Alto",IF(NETWORKDAYS(C743,TODAY())&gt;=3,IF(NETWORKDAYS(C743,TODAY())&lt;5,"Risco Médio",""),IF(NETWORKDAYS(C743,TODAY())&lt;=2,"Risco Baixo",""))))</f>
        <v>Expedido</v>
      </c>
      <c r="P743" s="5" t="s">
        <v>25</v>
      </c>
      <c r="S743" s="7">
        <f>IF(ISBLANK(M743),"Aguardando Previsão/Data",NETWORKDAYS(L743,M743)-1)</f>
        <v>-3</v>
      </c>
      <c r="T743" s="5" t="s">
        <v>942</v>
      </c>
    </row>
    <row r="744" spans="1:20" x14ac:dyDescent="0.35">
      <c r="A744" s="5">
        <v>8100272205</v>
      </c>
      <c r="B744" s="5">
        <v>17237</v>
      </c>
      <c r="C744" s="6">
        <v>45664</v>
      </c>
      <c r="D744" s="5" t="s">
        <v>51</v>
      </c>
      <c r="E744" s="5" t="s">
        <v>52</v>
      </c>
      <c r="F744" s="5" t="s">
        <v>58</v>
      </c>
      <c r="G744" s="5" t="s">
        <v>59</v>
      </c>
      <c r="H744" s="5" t="s">
        <v>21</v>
      </c>
      <c r="I744" s="5" t="s">
        <v>261</v>
      </c>
      <c r="J744" s="5" t="s">
        <v>262</v>
      </c>
      <c r="K744" s="5" t="s">
        <v>57</v>
      </c>
      <c r="L744" s="6">
        <v>45667</v>
      </c>
      <c r="M744" s="6">
        <v>45666</v>
      </c>
      <c r="N744" s="6" t="s">
        <v>811</v>
      </c>
      <c r="O744" s="5" t="str">
        <f ca="1">IF(P744&lt;&gt;"EXPEDIÇÃO","Expedido",IF(NETWORKDAYS(C744,TODAY())&gt;=5,"Risco Alto",IF(NETWORKDAYS(C744,TODAY())&gt;=3,IF(NETWORKDAYS(C744,TODAY())&lt;5,"Risco Médio",""),IF(NETWORKDAYS(C744,TODAY())&lt;=2,"Risco Baixo",""))))</f>
        <v>Expedido</v>
      </c>
      <c r="P744" s="5" t="s">
        <v>25</v>
      </c>
      <c r="S744" s="7">
        <f>IF(ISBLANK(M744),"Aguardando Previsão/Data",NETWORKDAYS(L744,M744)-1)</f>
        <v>-3</v>
      </c>
      <c r="T744" s="5" t="s">
        <v>942</v>
      </c>
    </row>
    <row r="745" spans="1:20" x14ac:dyDescent="0.35">
      <c r="A745" s="5">
        <v>8100272325</v>
      </c>
      <c r="B745" s="5">
        <v>17241</v>
      </c>
      <c r="C745" s="6">
        <v>45664</v>
      </c>
      <c r="D745" s="5" t="s">
        <v>51</v>
      </c>
      <c r="E745" s="5" t="s">
        <v>52</v>
      </c>
      <c r="F745" s="5" t="s">
        <v>66</v>
      </c>
      <c r="G745" s="5" t="s">
        <v>67</v>
      </c>
      <c r="H745" s="5" t="s">
        <v>21</v>
      </c>
      <c r="I745" s="5" t="s">
        <v>434</v>
      </c>
      <c r="J745" s="5" t="s">
        <v>435</v>
      </c>
      <c r="K745" s="5" t="s">
        <v>57</v>
      </c>
      <c r="L745" s="6">
        <v>45671</v>
      </c>
      <c r="M745" s="6">
        <v>45670</v>
      </c>
      <c r="N745" s="6" t="s">
        <v>811</v>
      </c>
      <c r="O745" s="5" t="str">
        <f ca="1">IF(P745&lt;&gt;"EXPEDIÇÃO","Expedido",IF(NETWORKDAYS(C745,TODAY())&gt;=5,"Risco Alto",IF(NETWORKDAYS(C745,TODAY())&gt;=3,IF(NETWORKDAYS(C745,TODAY())&lt;5,"Risco Médio",""),IF(NETWORKDAYS(C745,TODAY())&lt;=2,"Risco Baixo",""))))</f>
        <v>Expedido</v>
      </c>
      <c r="P745" s="5" t="s">
        <v>25</v>
      </c>
      <c r="S745" s="7">
        <f>IF(ISBLANK(M745),"Aguardando Previsão/Data",NETWORKDAYS(L745,M745)-1)</f>
        <v>-3</v>
      </c>
      <c r="T745" s="5" t="s">
        <v>942</v>
      </c>
    </row>
    <row r="746" spans="1:20" x14ac:dyDescent="0.35">
      <c r="A746" s="5">
        <v>8100272326</v>
      </c>
      <c r="B746" s="5">
        <v>17244</v>
      </c>
      <c r="C746" s="6">
        <v>45664</v>
      </c>
      <c r="D746" s="5" t="s">
        <v>51</v>
      </c>
      <c r="E746" s="5" t="s">
        <v>52</v>
      </c>
      <c r="F746" s="5" t="s">
        <v>53</v>
      </c>
      <c r="G746" s="5" t="s">
        <v>54</v>
      </c>
      <c r="H746" s="5" t="s">
        <v>21</v>
      </c>
      <c r="I746" s="5" t="s">
        <v>1213</v>
      </c>
      <c r="J746" s="5" t="s">
        <v>549</v>
      </c>
      <c r="K746" s="5" t="s">
        <v>57</v>
      </c>
      <c r="L746" s="6">
        <v>45671</v>
      </c>
      <c r="M746" s="6">
        <v>45666</v>
      </c>
      <c r="N746" s="6" t="s">
        <v>811</v>
      </c>
      <c r="O746" s="5" t="str">
        <f ca="1">IF(P746&lt;&gt;"EXPEDIÇÃO","Expedido",IF(NETWORKDAYS(C746,TODAY())&gt;=5,"Risco Alto",IF(NETWORKDAYS(C746,TODAY())&gt;=3,IF(NETWORKDAYS(C746,TODAY())&lt;5,"Risco Médio",""),IF(NETWORKDAYS(C746,TODAY())&lt;=2,"Risco Baixo",""))))</f>
        <v>Expedido</v>
      </c>
      <c r="P746" s="5" t="s">
        <v>25</v>
      </c>
      <c r="S746" s="7">
        <f>IF(ISBLANK(M746),"Aguardando Previsão/Data",NETWORKDAYS(L746,M746)-1)</f>
        <v>-5</v>
      </c>
      <c r="T746" s="5" t="s">
        <v>942</v>
      </c>
    </row>
    <row r="747" spans="1:20" x14ac:dyDescent="0.35">
      <c r="A747" s="5">
        <v>8100272327</v>
      </c>
      <c r="B747" s="5">
        <v>17242</v>
      </c>
      <c r="C747" s="6">
        <v>45664</v>
      </c>
      <c r="D747" s="5" t="s">
        <v>51</v>
      </c>
      <c r="E747" s="5" t="s">
        <v>52</v>
      </c>
      <c r="F747" s="5" t="s">
        <v>69</v>
      </c>
      <c r="G747" s="5" t="s">
        <v>70</v>
      </c>
      <c r="H747" s="5" t="s">
        <v>21</v>
      </c>
      <c r="I747" s="5" t="s">
        <v>527</v>
      </c>
      <c r="J747" s="5" t="s">
        <v>65</v>
      </c>
      <c r="K747" s="5" t="s">
        <v>57</v>
      </c>
      <c r="L747" s="6">
        <v>45667</v>
      </c>
      <c r="M747" s="6">
        <v>45664</v>
      </c>
      <c r="N747" s="6" t="s">
        <v>811</v>
      </c>
      <c r="O747" s="5" t="str">
        <f ca="1">IF(P747&lt;&gt;"EXPEDIÇÃO","Expedido",IF(NETWORKDAYS(C747,TODAY())&gt;=5,"Risco Alto",IF(NETWORKDAYS(C747,TODAY())&gt;=3,IF(NETWORKDAYS(C747,TODAY())&lt;5,"Risco Médio",""),IF(NETWORKDAYS(C747,TODAY())&lt;=2,"Risco Baixo",""))))</f>
        <v>Expedido</v>
      </c>
      <c r="P747" s="5" t="s">
        <v>25</v>
      </c>
      <c r="Q747" s="5" t="s">
        <v>900</v>
      </c>
      <c r="S747" s="7">
        <f>IF(ISBLANK(M747),"Aguardando Previsão/Data",NETWORKDAYS(L747,M747)-1)</f>
        <v>-5</v>
      </c>
      <c r="T747" s="5" t="s">
        <v>942</v>
      </c>
    </row>
    <row r="748" spans="1:20" x14ac:dyDescent="0.35">
      <c r="A748" s="5">
        <v>8100272328</v>
      </c>
      <c r="B748" s="5">
        <v>17243</v>
      </c>
      <c r="C748" s="6">
        <v>45664</v>
      </c>
      <c r="D748" s="5" t="s">
        <v>51</v>
      </c>
      <c r="E748" s="5" t="s">
        <v>52</v>
      </c>
      <c r="F748" s="5" t="s">
        <v>69</v>
      </c>
      <c r="G748" s="5" t="s">
        <v>70</v>
      </c>
      <c r="H748" s="5" t="s">
        <v>21</v>
      </c>
      <c r="I748" s="5" t="s">
        <v>527</v>
      </c>
      <c r="J748" s="5" t="s">
        <v>65</v>
      </c>
      <c r="K748" s="5" t="s">
        <v>57</v>
      </c>
      <c r="L748" s="6">
        <v>45667</v>
      </c>
      <c r="M748" s="6">
        <v>45664</v>
      </c>
      <c r="N748" s="6" t="s">
        <v>811</v>
      </c>
      <c r="O748" s="5" t="str">
        <f ca="1">IF(P748&lt;&gt;"EXPEDIÇÃO","Expedido",IF(NETWORKDAYS(C748,TODAY())&gt;=5,"Risco Alto",IF(NETWORKDAYS(C748,TODAY())&gt;=3,IF(NETWORKDAYS(C748,TODAY())&lt;5,"Risco Médio",""),IF(NETWORKDAYS(C748,TODAY())&lt;=2,"Risco Baixo",""))))</f>
        <v>Expedido</v>
      </c>
      <c r="P748" s="5" t="s">
        <v>25</v>
      </c>
      <c r="Q748" s="5" t="s">
        <v>900</v>
      </c>
      <c r="S748" s="7">
        <f>IF(ISBLANK(M748),"Aguardando Previsão/Data",NETWORKDAYS(L748,M748)-1)</f>
        <v>-5</v>
      </c>
      <c r="T748" s="5" t="s">
        <v>942</v>
      </c>
    </row>
    <row r="749" spans="1:20" x14ac:dyDescent="0.35">
      <c r="A749" s="5">
        <v>8100272329</v>
      </c>
      <c r="B749" s="5">
        <v>17239</v>
      </c>
      <c r="C749" s="6">
        <v>45664</v>
      </c>
      <c r="D749" s="5" t="s">
        <v>51</v>
      </c>
      <c r="E749" s="5" t="s">
        <v>52</v>
      </c>
      <c r="F749" s="5" t="s">
        <v>58</v>
      </c>
      <c r="G749" s="5" t="s">
        <v>59</v>
      </c>
      <c r="H749" s="5" t="s">
        <v>21</v>
      </c>
      <c r="I749" s="5" t="s">
        <v>497</v>
      </c>
      <c r="J749" s="5" t="s">
        <v>498</v>
      </c>
      <c r="K749" s="5" t="s">
        <v>57</v>
      </c>
      <c r="L749" s="6">
        <v>45672</v>
      </c>
      <c r="M749" s="6">
        <v>45670</v>
      </c>
      <c r="N749" s="6" t="s">
        <v>811</v>
      </c>
      <c r="O749" s="5" t="str">
        <f ca="1">IF(P749&lt;&gt;"EXPEDIÇÃO","Expedido",IF(NETWORKDAYS(C749,TODAY())&gt;=5,"Risco Alto",IF(NETWORKDAYS(C749,TODAY())&gt;=3,IF(NETWORKDAYS(C749,TODAY())&lt;5,"Risco Médio",""),IF(NETWORKDAYS(C749,TODAY())&lt;=2,"Risco Baixo",""))))</f>
        <v>Expedido</v>
      </c>
      <c r="P749" s="5" t="s">
        <v>25</v>
      </c>
      <c r="S749" s="7">
        <f>IF(ISBLANK(M749),"Aguardando Previsão/Data",NETWORKDAYS(L749,M749)-1)</f>
        <v>-4</v>
      </c>
      <c r="T749" s="5" t="s">
        <v>942</v>
      </c>
    </row>
    <row r="750" spans="1:20" x14ac:dyDescent="0.35">
      <c r="A750" s="5">
        <v>8100272330</v>
      </c>
      <c r="B750" s="5">
        <v>17238</v>
      </c>
      <c r="C750" s="6">
        <v>45664</v>
      </c>
      <c r="D750" s="5" t="s">
        <v>51</v>
      </c>
      <c r="E750" s="5" t="s">
        <v>52</v>
      </c>
      <c r="F750" s="5" t="s">
        <v>58</v>
      </c>
      <c r="G750" s="5" t="s">
        <v>59</v>
      </c>
      <c r="H750" s="5" t="s">
        <v>21</v>
      </c>
      <c r="I750" s="5" t="s">
        <v>261</v>
      </c>
      <c r="J750" s="5" t="s">
        <v>262</v>
      </c>
      <c r="K750" s="5" t="s">
        <v>57</v>
      </c>
      <c r="L750" s="6">
        <v>45667</v>
      </c>
      <c r="M750" s="6">
        <v>45666</v>
      </c>
      <c r="N750" s="6" t="s">
        <v>811</v>
      </c>
      <c r="O750" s="5" t="str">
        <f ca="1">IF(P750&lt;&gt;"EXPEDIÇÃO","Expedido",IF(NETWORKDAYS(C750,TODAY())&gt;=5,"Risco Alto",IF(NETWORKDAYS(C750,TODAY())&gt;=3,IF(NETWORKDAYS(C750,TODAY())&lt;5,"Risco Médio",""),IF(NETWORKDAYS(C750,TODAY())&lt;=2,"Risco Baixo",""))))</f>
        <v>Expedido</v>
      </c>
      <c r="P750" s="5" t="s">
        <v>25</v>
      </c>
      <c r="S750" s="7">
        <f>IF(ISBLANK(M750),"Aguardando Previsão/Data",NETWORKDAYS(L750,M750)-1)</f>
        <v>-3</v>
      </c>
      <c r="T750" s="5" t="s">
        <v>942</v>
      </c>
    </row>
    <row r="751" spans="1:20" x14ac:dyDescent="0.35">
      <c r="A751" s="5">
        <v>8100269246</v>
      </c>
      <c r="B751" s="5">
        <v>21033</v>
      </c>
      <c r="C751" s="6">
        <v>45664</v>
      </c>
      <c r="D751" s="5" t="s">
        <v>17</v>
      </c>
      <c r="E751" s="5" t="s">
        <v>18</v>
      </c>
      <c r="F751" s="5" t="s">
        <v>84</v>
      </c>
      <c r="G751" s="5" t="s">
        <v>85</v>
      </c>
      <c r="H751" s="5" t="s">
        <v>21</v>
      </c>
      <c r="I751" s="5" t="s">
        <v>545</v>
      </c>
      <c r="J751" s="5" t="s">
        <v>41</v>
      </c>
      <c r="K751" s="5" t="s">
        <v>24</v>
      </c>
      <c r="L751" s="6">
        <v>45674</v>
      </c>
      <c r="M751" s="6">
        <v>45667</v>
      </c>
      <c r="N751" s="6" t="s">
        <v>811</v>
      </c>
      <c r="O751" s="5" t="str">
        <f ca="1">IF(P751&lt;&gt;"EXPEDIÇÃO","Expedido",IF(NETWORKDAYS(C751,TODAY())&gt;=5,"Risco Alto",IF(NETWORKDAYS(C751,TODAY())&gt;=3,IF(NETWORKDAYS(C751,TODAY())&lt;5,"Risco Médio",""),IF(NETWORKDAYS(C751,TODAY())&lt;=2,"Risco Baixo",""))))</f>
        <v>Expedido</v>
      </c>
      <c r="P751" s="5" t="s">
        <v>25</v>
      </c>
      <c r="S751" s="7">
        <f>IF(ISBLANK(M751),"Aguardando Previsão/Data",NETWORKDAYS(L751,M751)-1)</f>
        <v>-7</v>
      </c>
      <c r="T751" s="5" t="s">
        <v>942</v>
      </c>
    </row>
    <row r="752" spans="1:20" x14ac:dyDescent="0.35">
      <c r="A752" s="5">
        <v>8100270053</v>
      </c>
      <c r="B752" s="5">
        <v>21015</v>
      </c>
      <c r="C752" s="6">
        <v>45664</v>
      </c>
      <c r="D752" s="5" t="s">
        <v>17</v>
      </c>
      <c r="E752" s="5" t="s">
        <v>18</v>
      </c>
      <c r="F752" s="5" t="s">
        <v>19</v>
      </c>
      <c r="G752" s="5" t="s">
        <v>20</v>
      </c>
      <c r="H752" s="5" t="s">
        <v>21</v>
      </c>
      <c r="I752" s="5" t="s">
        <v>1183</v>
      </c>
      <c r="J752" s="5" t="s">
        <v>1184</v>
      </c>
      <c r="K752" s="5" t="s">
        <v>24</v>
      </c>
      <c r="L752" s="6">
        <v>45671</v>
      </c>
      <c r="M752" s="6">
        <v>45668</v>
      </c>
      <c r="N752" s="6" t="s">
        <v>811</v>
      </c>
      <c r="O752" s="5" t="str">
        <f ca="1">IF(P752&lt;&gt;"EXPEDIÇÃO","Expedido",IF(NETWORKDAYS(C752,TODAY())&gt;=5,"Risco Alto",IF(NETWORKDAYS(C752,TODAY())&gt;=3,IF(NETWORKDAYS(C752,TODAY())&lt;5,"Risco Médio",""),IF(NETWORKDAYS(C752,TODAY())&lt;=2,"Risco Baixo",""))))</f>
        <v>Expedido</v>
      </c>
      <c r="P752" s="5" t="s">
        <v>25</v>
      </c>
      <c r="S752" s="7">
        <f>IF(ISBLANK(M752),"Aguardando Previsão/Data",NETWORKDAYS(L752,M752)-1)</f>
        <v>-3</v>
      </c>
      <c r="T752" s="5" t="s">
        <v>942</v>
      </c>
    </row>
    <row r="753" spans="1:20" x14ac:dyDescent="0.35">
      <c r="A753" s="5">
        <v>8100270054</v>
      </c>
      <c r="B753" s="5">
        <v>21008</v>
      </c>
      <c r="C753" s="6">
        <v>45664</v>
      </c>
      <c r="D753" s="5" t="s">
        <v>17</v>
      </c>
      <c r="E753" s="5" t="s">
        <v>18</v>
      </c>
      <c r="F753" s="5" t="s">
        <v>27</v>
      </c>
      <c r="G753" s="5" t="s">
        <v>28</v>
      </c>
      <c r="H753" s="5" t="s">
        <v>21</v>
      </c>
      <c r="I753" s="5" t="s">
        <v>1185</v>
      </c>
      <c r="J753" s="5" t="s">
        <v>364</v>
      </c>
      <c r="K753" s="5" t="s">
        <v>24</v>
      </c>
      <c r="L753" s="6">
        <v>45671</v>
      </c>
      <c r="M753" s="6">
        <v>45672</v>
      </c>
      <c r="N753" s="6" t="s">
        <v>812</v>
      </c>
      <c r="O753" s="5" t="str">
        <f ca="1">IF(P753&lt;&gt;"EXPEDIÇÃO","Expedido",IF(NETWORKDAYS(C753,TODAY())&gt;=5,"Risco Alto",IF(NETWORKDAYS(C753,TODAY())&gt;=3,IF(NETWORKDAYS(C753,TODAY())&lt;5,"Risco Médio",""),IF(NETWORKDAYS(C753,TODAY())&lt;=2,"Risco Baixo",""))))</f>
        <v>Expedido</v>
      </c>
      <c r="P753" s="5" t="s">
        <v>25</v>
      </c>
      <c r="Q753" s="5" t="s">
        <v>898</v>
      </c>
      <c r="S753" s="7">
        <f>IF(ISBLANK(M753),"Aguardando Previsão/Data",NETWORKDAYS(L753,M753)-1)</f>
        <v>1</v>
      </c>
      <c r="T753" s="5" t="s">
        <v>942</v>
      </c>
    </row>
    <row r="754" spans="1:20" x14ac:dyDescent="0.35">
      <c r="A754" s="5">
        <v>8100270055</v>
      </c>
      <c r="B754" s="5">
        <v>21026</v>
      </c>
      <c r="C754" s="6">
        <v>45664</v>
      </c>
      <c r="D754" s="5" t="s">
        <v>17</v>
      </c>
      <c r="E754" s="5" t="s">
        <v>18</v>
      </c>
      <c r="F754" s="5" t="s">
        <v>39</v>
      </c>
      <c r="G754" s="5" t="s">
        <v>40</v>
      </c>
      <c r="H754" s="5" t="s">
        <v>21</v>
      </c>
      <c r="I754" s="5" t="s">
        <v>741</v>
      </c>
      <c r="J754" s="5" t="s">
        <v>466</v>
      </c>
      <c r="K754" s="5" t="s">
        <v>24</v>
      </c>
      <c r="L754" s="6">
        <v>45674</v>
      </c>
      <c r="M754" s="6">
        <v>45675</v>
      </c>
      <c r="N754" s="6" t="s">
        <v>811</v>
      </c>
      <c r="O754" s="5" t="str">
        <f ca="1">IF(P754&lt;&gt;"EXPEDIÇÃO","Expedido",IF(NETWORKDAYS(C754,TODAY())&gt;=5,"Risco Alto",IF(NETWORKDAYS(C754,TODAY())&gt;=3,IF(NETWORKDAYS(C754,TODAY())&lt;5,"Risco Médio",""),IF(NETWORKDAYS(C754,TODAY())&lt;=2,"Risco Baixo",""))))</f>
        <v>Expedido</v>
      </c>
      <c r="P754" s="5" t="s">
        <v>25</v>
      </c>
      <c r="S754" s="7">
        <f>IF(ISBLANK(M754),"Aguardando Previsão/Data",NETWORKDAYS(L754,M754)-1)</f>
        <v>0</v>
      </c>
      <c r="T754" s="5" t="s">
        <v>942</v>
      </c>
    </row>
    <row r="755" spans="1:20" x14ac:dyDescent="0.35">
      <c r="A755" s="5">
        <v>8100270056</v>
      </c>
      <c r="B755" s="5">
        <v>21027</v>
      </c>
      <c r="C755" s="6">
        <v>45664</v>
      </c>
      <c r="D755" s="5" t="s">
        <v>17</v>
      </c>
      <c r="E755" s="5" t="s">
        <v>18</v>
      </c>
      <c r="F755" s="5" t="s">
        <v>39</v>
      </c>
      <c r="G755" s="5" t="s">
        <v>40</v>
      </c>
      <c r="H755" s="5" t="s">
        <v>21</v>
      </c>
      <c r="I755" s="5" t="s">
        <v>741</v>
      </c>
      <c r="J755" s="5" t="s">
        <v>466</v>
      </c>
      <c r="K755" s="5" t="s">
        <v>24</v>
      </c>
      <c r="L755" s="6">
        <v>45674</v>
      </c>
      <c r="M755" s="6">
        <v>45675</v>
      </c>
      <c r="N755" s="6" t="s">
        <v>811</v>
      </c>
      <c r="O755" s="5" t="str">
        <f ca="1">IF(P755&lt;&gt;"EXPEDIÇÃO","Expedido",IF(NETWORKDAYS(C755,TODAY())&gt;=5,"Risco Alto",IF(NETWORKDAYS(C755,TODAY())&gt;=3,IF(NETWORKDAYS(C755,TODAY())&lt;5,"Risco Médio",""),IF(NETWORKDAYS(C755,TODAY())&lt;=2,"Risco Baixo",""))))</f>
        <v>Expedido</v>
      </c>
      <c r="P755" s="5" t="s">
        <v>25</v>
      </c>
      <c r="S755" s="7">
        <f>IF(ISBLANK(M755),"Aguardando Previsão/Data",NETWORKDAYS(L755,M755)-1)</f>
        <v>0</v>
      </c>
      <c r="T755" s="5" t="s">
        <v>942</v>
      </c>
    </row>
    <row r="756" spans="1:20" x14ac:dyDescent="0.35">
      <c r="A756" s="5">
        <v>8100270057</v>
      </c>
      <c r="B756" s="5">
        <v>21000</v>
      </c>
      <c r="C756" s="6">
        <v>45664</v>
      </c>
      <c r="D756" s="5" t="s">
        <v>17</v>
      </c>
      <c r="E756" s="5" t="s">
        <v>18</v>
      </c>
      <c r="F756" s="5" t="s">
        <v>19</v>
      </c>
      <c r="G756" s="5" t="s">
        <v>20</v>
      </c>
      <c r="H756" s="5" t="s">
        <v>21</v>
      </c>
      <c r="I756" s="5" t="s">
        <v>928</v>
      </c>
      <c r="J756" s="5" t="s">
        <v>364</v>
      </c>
      <c r="K756" s="5" t="s">
        <v>24</v>
      </c>
      <c r="L756" s="6">
        <v>45671</v>
      </c>
      <c r="M756" s="6">
        <v>45671</v>
      </c>
      <c r="N756" s="6" t="s">
        <v>811</v>
      </c>
      <c r="O756" s="5" t="str">
        <f ca="1">IF(P756&lt;&gt;"EXPEDIÇÃO","Expedido",IF(NETWORKDAYS(C756,TODAY())&gt;=5,"Risco Alto",IF(NETWORKDAYS(C756,TODAY())&gt;=3,IF(NETWORKDAYS(C756,TODAY())&lt;5,"Risco Médio",""),IF(NETWORKDAYS(C756,TODAY())&lt;=2,"Risco Baixo",""))))</f>
        <v>Expedido</v>
      </c>
      <c r="P756" s="5" t="s">
        <v>25</v>
      </c>
      <c r="Q756" s="5" t="s">
        <v>897</v>
      </c>
      <c r="S756" s="7">
        <f>IF(ISBLANK(M756),"Aguardando Previsão/Data",NETWORKDAYS(L756,M756)-1)</f>
        <v>0</v>
      </c>
      <c r="T756" s="5" t="s">
        <v>942</v>
      </c>
    </row>
    <row r="757" spans="1:20" x14ac:dyDescent="0.35">
      <c r="A757" s="5">
        <v>8100270058</v>
      </c>
      <c r="B757" s="5">
        <v>20995</v>
      </c>
      <c r="C757" s="6">
        <v>45664</v>
      </c>
      <c r="D757" s="5" t="s">
        <v>17</v>
      </c>
      <c r="E757" s="5" t="s">
        <v>18</v>
      </c>
      <c r="F757" s="5" t="s">
        <v>19</v>
      </c>
      <c r="G757" s="5" t="s">
        <v>20</v>
      </c>
      <c r="H757" s="5" t="s">
        <v>21</v>
      </c>
      <c r="I757" s="5" t="s">
        <v>973</v>
      </c>
      <c r="J757" s="5" t="s">
        <v>598</v>
      </c>
      <c r="K757" s="5" t="s">
        <v>24</v>
      </c>
      <c r="L757" s="6">
        <v>45673</v>
      </c>
      <c r="M757" s="6">
        <v>45671</v>
      </c>
      <c r="N757" s="6" t="s">
        <v>811</v>
      </c>
      <c r="O757" s="5" t="str">
        <f ca="1">IF(P757&lt;&gt;"EXPEDIÇÃO","Expedido",IF(NETWORKDAYS(C757,TODAY())&gt;=5,"Risco Alto",IF(NETWORKDAYS(C757,TODAY())&gt;=3,IF(NETWORKDAYS(C757,TODAY())&lt;5,"Risco Médio",""),IF(NETWORKDAYS(C757,TODAY())&lt;=2,"Risco Baixo",""))))</f>
        <v>Expedido</v>
      </c>
      <c r="P757" s="5" t="s">
        <v>25</v>
      </c>
      <c r="S757" s="7">
        <f>IF(ISBLANK(M757),"Aguardando Previsão/Data",NETWORKDAYS(L757,M757)-1)</f>
        <v>-4</v>
      </c>
      <c r="T757" s="5" t="s">
        <v>942</v>
      </c>
    </row>
    <row r="758" spans="1:20" x14ac:dyDescent="0.35">
      <c r="A758" s="5">
        <v>8100270059</v>
      </c>
      <c r="B758" s="5">
        <v>20999</v>
      </c>
      <c r="C758" s="6">
        <v>45664</v>
      </c>
      <c r="D758" s="5" t="s">
        <v>17</v>
      </c>
      <c r="E758" s="5" t="s">
        <v>18</v>
      </c>
      <c r="F758" s="5" t="s">
        <v>19</v>
      </c>
      <c r="G758" s="5" t="s">
        <v>20</v>
      </c>
      <c r="H758" s="5" t="s">
        <v>21</v>
      </c>
      <c r="I758" s="5" t="s">
        <v>973</v>
      </c>
      <c r="J758" s="5" t="s">
        <v>463</v>
      </c>
      <c r="K758" s="5" t="s">
        <v>24</v>
      </c>
      <c r="L758" s="6">
        <v>45672</v>
      </c>
      <c r="M758" s="6">
        <v>45670</v>
      </c>
      <c r="N758" s="6" t="s">
        <v>811</v>
      </c>
      <c r="O758" s="5" t="str">
        <f ca="1">IF(P758&lt;&gt;"EXPEDIÇÃO","Expedido",IF(NETWORKDAYS(C758,TODAY())&gt;=5,"Risco Alto",IF(NETWORKDAYS(C758,TODAY())&gt;=3,IF(NETWORKDAYS(C758,TODAY())&lt;5,"Risco Médio",""),IF(NETWORKDAYS(C758,TODAY())&lt;=2,"Risco Baixo",""))))</f>
        <v>Expedido</v>
      </c>
      <c r="P758" s="5" t="s">
        <v>25</v>
      </c>
      <c r="S758" s="7">
        <f>IF(ISBLANK(M758),"Aguardando Previsão/Data",NETWORKDAYS(L758,M758)-1)</f>
        <v>-4</v>
      </c>
      <c r="T758" s="5" t="s">
        <v>942</v>
      </c>
    </row>
    <row r="759" spans="1:20" x14ac:dyDescent="0.35">
      <c r="A759" s="5">
        <v>8100270060</v>
      </c>
      <c r="B759" s="5">
        <v>21010</v>
      </c>
      <c r="C759" s="6">
        <v>45664</v>
      </c>
      <c r="D759" s="5" t="s">
        <v>17</v>
      </c>
      <c r="E759" s="5" t="s">
        <v>18</v>
      </c>
      <c r="F759" s="5" t="s">
        <v>27</v>
      </c>
      <c r="G759" s="5" t="s">
        <v>28</v>
      </c>
      <c r="H759" s="5" t="s">
        <v>21</v>
      </c>
      <c r="I759" s="5" t="s">
        <v>272</v>
      </c>
      <c r="J759" s="5" t="s">
        <v>28</v>
      </c>
      <c r="K759" s="5" t="s">
        <v>24</v>
      </c>
      <c r="L759" s="6">
        <v>45671</v>
      </c>
      <c r="M759" s="6">
        <v>45671</v>
      </c>
      <c r="N759" s="6" t="s">
        <v>811</v>
      </c>
      <c r="O759" s="5" t="str">
        <f ca="1">IF(P759&lt;&gt;"EXPEDIÇÃO","Expedido",IF(NETWORKDAYS(C759,TODAY())&gt;=5,"Risco Alto",IF(NETWORKDAYS(C759,TODAY())&gt;=3,IF(NETWORKDAYS(C759,TODAY())&lt;5,"Risco Médio",""),IF(NETWORKDAYS(C759,TODAY())&lt;=2,"Risco Baixo",""))))</f>
        <v>Expedido</v>
      </c>
      <c r="P759" s="5" t="s">
        <v>25</v>
      </c>
      <c r="Q759" s="5" t="s">
        <v>897</v>
      </c>
      <c r="S759" s="7">
        <f>IF(ISBLANK(M759),"Aguardando Previsão/Data",NETWORKDAYS(L759,M759)-1)</f>
        <v>0</v>
      </c>
      <c r="T759" s="5" t="s">
        <v>942</v>
      </c>
    </row>
    <row r="760" spans="1:20" x14ac:dyDescent="0.35">
      <c r="A760" s="5">
        <v>8100270061</v>
      </c>
      <c r="B760" s="5">
        <v>20998</v>
      </c>
      <c r="C760" s="6">
        <v>45664</v>
      </c>
      <c r="D760" s="5" t="s">
        <v>17</v>
      </c>
      <c r="E760" s="5" t="s">
        <v>18</v>
      </c>
      <c r="F760" s="5" t="s">
        <v>19</v>
      </c>
      <c r="G760" s="5" t="s">
        <v>20</v>
      </c>
      <c r="H760" s="5" t="s">
        <v>21</v>
      </c>
      <c r="I760" s="5" t="s">
        <v>973</v>
      </c>
      <c r="J760" s="5" t="s">
        <v>619</v>
      </c>
      <c r="K760" s="5" t="s">
        <v>24</v>
      </c>
      <c r="L760" s="6">
        <v>45672</v>
      </c>
      <c r="M760" s="6">
        <v>45670</v>
      </c>
      <c r="N760" s="6" t="s">
        <v>811</v>
      </c>
      <c r="O760" s="5" t="str">
        <f ca="1">IF(P760&lt;&gt;"EXPEDIÇÃO","Expedido",IF(NETWORKDAYS(C760,TODAY())&gt;=5,"Risco Alto",IF(NETWORKDAYS(C760,TODAY())&gt;=3,IF(NETWORKDAYS(C760,TODAY())&lt;5,"Risco Médio",""),IF(NETWORKDAYS(C760,TODAY())&lt;=2,"Risco Baixo",""))))</f>
        <v>Expedido</v>
      </c>
      <c r="P760" s="5" t="s">
        <v>25</v>
      </c>
      <c r="S760" s="7">
        <f>IF(ISBLANK(M760),"Aguardando Previsão/Data",NETWORKDAYS(L760,M760)-1)</f>
        <v>-4</v>
      </c>
      <c r="T760" s="5" t="s">
        <v>942</v>
      </c>
    </row>
    <row r="761" spans="1:20" x14ac:dyDescent="0.35">
      <c r="A761" s="5">
        <v>8100270062</v>
      </c>
      <c r="B761" s="5">
        <v>21002</v>
      </c>
      <c r="C761" s="6">
        <v>45664</v>
      </c>
      <c r="D761" s="5" t="s">
        <v>17</v>
      </c>
      <c r="E761" s="5" t="s">
        <v>18</v>
      </c>
      <c r="F761" s="5" t="s">
        <v>19</v>
      </c>
      <c r="G761" s="5" t="s">
        <v>20</v>
      </c>
      <c r="H761" s="5" t="s">
        <v>21</v>
      </c>
      <c r="I761" s="5" t="s">
        <v>973</v>
      </c>
      <c r="J761" s="5" t="s">
        <v>365</v>
      </c>
      <c r="K761" s="5" t="s">
        <v>24</v>
      </c>
      <c r="L761" s="6">
        <v>45671</v>
      </c>
      <c r="M761" s="6">
        <v>45667</v>
      </c>
      <c r="N761" s="6" t="s">
        <v>811</v>
      </c>
      <c r="O761" s="5" t="str">
        <f ca="1">IF(P761&lt;&gt;"EXPEDIÇÃO","Expedido",IF(NETWORKDAYS(C761,TODAY())&gt;=5,"Risco Alto",IF(NETWORKDAYS(C761,TODAY())&gt;=3,IF(NETWORKDAYS(C761,TODAY())&lt;5,"Risco Médio",""),IF(NETWORKDAYS(C761,TODAY())&lt;=2,"Risco Baixo",""))))</f>
        <v>Expedido</v>
      </c>
      <c r="P761" s="5" t="s">
        <v>25</v>
      </c>
      <c r="S761" s="7">
        <f>IF(ISBLANK(M761),"Aguardando Previsão/Data",NETWORKDAYS(L761,M761)-1)</f>
        <v>-4</v>
      </c>
      <c r="T761" s="5" t="s">
        <v>942</v>
      </c>
    </row>
    <row r="762" spans="1:20" x14ac:dyDescent="0.35">
      <c r="A762" s="5">
        <v>8100270063</v>
      </c>
      <c r="B762" s="5">
        <v>21011</v>
      </c>
      <c r="C762" s="6">
        <v>45664</v>
      </c>
      <c r="D762" s="5" t="s">
        <v>17</v>
      </c>
      <c r="E762" s="5" t="s">
        <v>18</v>
      </c>
      <c r="F762" s="5" t="s">
        <v>19</v>
      </c>
      <c r="G762" s="5" t="s">
        <v>20</v>
      </c>
      <c r="H762" s="5" t="s">
        <v>21</v>
      </c>
      <c r="I762" s="5" t="s">
        <v>973</v>
      </c>
      <c r="J762" s="5" t="s">
        <v>619</v>
      </c>
      <c r="K762" s="5" t="s">
        <v>24</v>
      </c>
      <c r="L762" s="6">
        <v>45672</v>
      </c>
      <c r="M762" s="6">
        <v>45672</v>
      </c>
      <c r="N762" s="6" t="s">
        <v>811</v>
      </c>
      <c r="O762" s="5" t="str">
        <f ca="1">IF(P762&lt;&gt;"EXPEDIÇÃO","Expedido",IF(NETWORKDAYS(C762,TODAY())&gt;=5,"Risco Alto",IF(NETWORKDAYS(C762,TODAY())&gt;=3,IF(NETWORKDAYS(C762,TODAY())&lt;5,"Risco Médio",""),IF(NETWORKDAYS(C762,TODAY())&lt;=2,"Risco Baixo",""))))</f>
        <v>Expedido</v>
      </c>
      <c r="P762" s="5" t="s">
        <v>25</v>
      </c>
      <c r="S762" s="7">
        <f>IF(ISBLANK(M762),"Aguardando Previsão/Data",NETWORKDAYS(L762,M762)-1)</f>
        <v>0</v>
      </c>
      <c r="T762" s="5" t="s">
        <v>942</v>
      </c>
    </row>
    <row r="763" spans="1:20" x14ac:dyDescent="0.35">
      <c r="A763" s="5">
        <v>8100270064</v>
      </c>
      <c r="B763" s="5">
        <v>21004</v>
      </c>
      <c r="C763" s="6">
        <v>45664</v>
      </c>
      <c r="D763" s="5" t="s">
        <v>17</v>
      </c>
      <c r="E763" s="5" t="s">
        <v>18</v>
      </c>
      <c r="F763" s="5" t="s">
        <v>19</v>
      </c>
      <c r="G763" s="5" t="s">
        <v>20</v>
      </c>
      <c r="H763" s="5" t="s">
        <v>21</v>
      </c>
      <c r="I763" s="5" t="s">
        <v>972</v>
      </c>
      <c r="J763" s="5" t="s">
        <v>38</v>
      </c>
      <c r="K763" s="5" t="s">
        <v>24</v>
      </c>
      <c r="L763" s="6">
        <v>45672</v>
      </c>
      <c r="M763" s="6">
        <v>45670</v>
      </c>
      <c r="N763" s="6" t="s">
        <v>811</v>
      </c>
      <c r="O763" s="5" t="str">
        <f ca="1">IF(P763&lt;&gt;"EXPEDIÇÃO","Expedido",IF(NETWORKDAYS(C763,TODAY())&gt;=5,"Risco Alto",IF(NETWORKDAYS(C763,TODAY())&gt;=3,IF(NETWORKDAYS(C763,TODAY())&lt;5,"Risco Médio",""),IF(NETWORKDAYS(C763,TODAY())&lt;=2,"Risco Baixo",""))))</f>
        <v>Expedido</v>
      </c>
      <c r="P763" s="5" t="s">
        <v>25</v>
      </c>
      <c r="S763" s="7">
        <f>IF(ISBLANK(M763),"Aguardando Previsão/Data",NETWORKDAYS(L763,M763)-1)</f>
        <v>-4</v>
      </c>
      <c r="T763" s="5" t="s">
        <v>942</v>
      </c>
    </row>
    <row r="764" spans="1:20" x14ac:dyDescent="0.35">
      <c r="A764" s="5">
        <v>8100270065</v>
      </c>
      <c r="B764" s="5">
        <v>21012</v>
      </c>
      <c r="C764" s="6">
        <v>45664</v>
      </c>
      <c r="D764" s="5" t="s">
        <v>17</v>
      </c>
      <c r="E764" s="5" t="s">
        <v>18</v>
      </c>
      <c r="F764" s="5" t="s">
        <v>19</v>
      </c>
      <c r="G764" s="5" t="s">
        <v>20</v>
      </c>
      <c r="H764" s="5" t="s">
        <v>21</v>
      </c>
      <c r="I764" s="5" t="s">
        <v>973</v>
      </c>
      <c r="J764" s="5" t="s">
        <v>38</v>
      </c>
      <c r="K764" s="5" t="s">
        <v>24</v>
      </c>
      <c r="L764" s="6">
        <v>45672</v>
      </c>
      <c r="M764" s="6">
        <v>45670</v>
      </c>
      <c r="N764" s="6" t="s">
        <v>811</v>
      </c>
      <c r="O764" s="5" t="str">
        <f ca="1">IF(P764&lt;&gt;"EXPEDIÇÃO","Expedido",IF(NETWORKDAYS(C764,TODAY())&gt;=5,"Risco Alto",IF(NETWORKDAYS(C764,TODAY())&gt;=3,IF(NETWORKDAYS(C764,TODAY())&lt;5,"Risco Médio",""),IF(NETWORKDAYS(C764,TODAY())&lt;=2,"Risco Baixo",""))))</f>
        <v>Expedido</v>
      </c>
      <c r="P764" s="5" t="s">
        <v>25</v>
      </c>
      <c r="S764" s="7">
        <f>IF(ISBLANK(M764),"Aguardando Previsão/Data",NETWORKDAYS(L764,M764)-1)</f>
        <v>-4</v>
      </c>
      <c r="T764" s="5" t="s">
        <v>942</v>
      </c>
    </row>
    <row r="765" spans="1:20" x14ac:dyDescent="0.35">
      <c r="A765" s="5">
        <v>8100270066</v>
      </c>
      <c r="B765" s="5">
        <v>21006</v>
      </c>
      <c r="C765" s="6">
        <v>45664</v>
      </c>
      <c r="D765" s="5" t="s">
        <v>17</v>
      </c>
      <c r="E765" s="5" t="s">
        <v>18</v>
      </c>
      <c r="F765" s="5" t="s">
        <v>19</v>
      </c>
      <c r="G765" s="5" t="s">
        <v>20</v>
      </c>
      <c r="H765" s="5" t="s">
        <v>21</v>
      </c>
      <c r="I765" s="5" t="s">
        <v>596</v>
      </c>
      <c r="J765" s="5" t="s">
        <v>38</v>
      </c>
      <c r="K765" s="5" t="s">
        <v>24</v>
      </c>
      <c r="L765" s="6">
        <v>45672</v>
      </c>
      <c r="M765" s="6">
        <v>45671</v>
      </c>
      <c r="N765" s="6" t="s">
        <v>811</v>
      </c>
      <c r="O765" s="5" t="str">
        <f ca="1">IF(P765&lt;&gt;"EXPEDIÇÃO","Expedido",IF(NETWORKDAYS(C765,TODAY())&gt;=5,"Risco Alto",IF(NETWORKDAYS(C765,TODAY())&gt;=3,IF(NETWORKDAYS(C765,TODAY())&lt;5,"Risco Médio",""),IF(NETWORKDAYS(C765,TODAY())&lt;=2,"Risco Baixo",""))))</f>
        <v>Expedido</v>
      </c>
      <c r="P765" s="5" t="s">
        <v>25</v>
      </c>
      <c r="Q765" s="5" t="s">
        <v>897</v>
      </c>
      <c r="S765" s="7">
        <f>IF(ISBLANK(M765),"Aguardando Previsão/Data",NETWORKDAYS(L765,M765)-1)</f>
        <v>-3</v>
      </c>
      <c r="T765" s="5" t="s">
        <v>942</v>
      </c>
    </row>
    <row r="766" spans="1:20" x14ac:dyDescent="0.35">
      <c r="A766" s="5">
        <v>8100270067</v>
      </c>
      <c r="B766" s="5">
        <v>20997</v>
      </c>
      <c r="C766" s="6">
        <v>45664</v>
      </c>
      <c r="D766" s="5" t="s">
        <v>17</v>
      </c>
      <c r="E766" s="5" t="s">
        <v>18</v>
      </c>
      <c r="F766" s="5" t="s">
        <v>27</v>
      </c>
      <c r="G766" s="5" t="s">
        <v>28</v>
      </c>
      <c r="H766" s="5" t="s">
        <v>21</v>
      </c>
      <c r="I766" s="5" t="s">
        <v>813</v>
      </c>
      <c r="J766" s="5" t="s">
        <v>694</v>
      </c>
      <c r="K766" s="5" t="s">
        <v>24</v>
      </c>
      <c r="L766" s="6">
        <v>45672</v>
      </c>
      <c r="M766" s="6">
        <v>45671</v>
      </c>
      <c r="N766" s="6" t="s">
        <v>811</v>
      </c>
      <c r="O766" s="5" t="str">
        <f ca="1">IF(P766&lt;&gt;"EXPEDIÇÃO","Expedido",IF(NETWORKDAYS(C766,TODAY())&gt;=5,"Risco Alto",IF(NETWORKDAYS(C766,TODAY())&gt;=3,IF(NETWORKDAYS(C766,TODAY())&lt;5,"Risco Médio",""),IF(NETWORKDAYS(C766,TODAY())&lt;=2,"Risco Baixo",""))))</f>
        <v>Expedido</v>
      </c>
      <c r="P766" s="5" t="s">
        <v>25</v>
      </c>
      <c r="S766" s="7">
        <f>IF(ISBLANK(M766),"Aguardando Previsão/Data",NETWORKDAYS(L766,M766)-1)</f>
        <v>-3</v>
      </c>
      <c r="T766" s="5" t="s">
        <v>942</v>
      </c>
    </row>
    <row r="767" spans="1:20" x14ac:dyDescent="0.35">
      <c r="A767" s="5">
        <v>8100270068</v>
      </c>
      <c r="B767" s="5">
        <v>20996</v>
      </c>
      <c r="C767" s="6">
        <v>45664</v>
      </c>
      <c r="D767" s="5" t="s">
        <v>17</v>
      </c>
      <c r="E767" s="5" t="s">
        <v>18</v>
      </c>
      <c r="F767" s="5" t="s">
        <v>44</v>
      </c>
      <c r="G767" s="5" t="s">
        <v>45</v>
      </c>
      <c r="H767" s="5" t="s">
        <v>21</v>
      </c>
      <c r="I767" s="5" t="s">
        <v>860</v>
      </c>
      <c r="J767" s="5" t="s">
        <v>256</v>
      </c>
      <c r="K767" s="5" t="s">
        <v>24</v>
      </c>
      <c r="L767" s="6">
        <v>45671</v>
      </c>
      <c r="M767" s="6">
        <v>45666</v>
      </c>
      <c r="N767" s="6" t="s">
        <v>811</v>
      </c>
      <c r="O767" s="5" t="str">
        <f ca="1">IF(P767&lt;&gt;"EXPEDIÇÃO","Expedido",IF(NETWORKDAYS(C767,TODAY())&gt;=5,"Risco Alto",IF(NETWORKDAYS(C767,TODAY())&gt;=3,IF(NETWORKDAYS(C767,TODAY())&lt;5,"Risco Médio",""),IF(NETWORKDAYS(C767,TODAY())&lt;=2,"Risco Baixo",""))))</f>
        <v>Expedido</v>
      </c>
      <c r="P767" s="5" t="s">
        <v>25</v>
      </c>
      <c r="S767" s="7">
        <f>IF(ISBLANK(M767),"Aguardando Previsão/Data",NETWORKDAYS(L767,M767)-1)</f>
        <v>-5</v>
      </c>
      <c r="T767" s="5" t="s">
        <v>942</v>
      </c>
    </row>
    <row r="768" spans="1:20" x14ac:dyDescent="0.35">
      <c r="A768" s="5">
        <v>8100270069</v>
      </c>
      <c r="B768" s="5">
        <v>20993</v>
      </c>
      <c r="C768" s="6">
        <v>45664</v>
      </c>
      <c r="D768" s="5" t="s">
        <v>17</v>
      </c>
      <c r="E768" s="5" t="s">
        <v>18</v>
      </c>
      <c r="F768" s="5" t="s">
        <v>39</v>
      </c>
      <c r="G768" s="5" t="s">
        <v>40</v>
      </c>
      <c r="H768" s="5" t="s">
        <v>21</v>
      </c>
      <c r="I768" s="5" t="s">
        <v>1186</v>
      </c>
      <c r="J768" s="5" t="s">
        <v>466</v>
      </c>
      <c r="K768" s="5" t="s">
        <v>24</v>
      </c>
      <c r="L768" s="6">
        <v>45674</v>
      </c>
      <c r="M768" s="6">
        <v>45672</v>
      </c>
      <c r="N768" s="6" t="s">
        <v>811</v>
      </c>
      <c r="O768" s="5" t="str">
        <f ca="1">IF(P768&lt;&gt;"EXPEDIÇÃO","Expedido",IF(NETWORKDAYS(C768,TODAY())&gt;=5,"Risco Alto",IF(NETWORKDAYS(C768,TODAY())&gt;=3,IF(NETWORKDAYS(C768,TODAY())&lt;5,"Risco Médio",""),IF(NETWORKDAYS(C768,TODAY())&lt;=2,"Risco Baixo",""))))</f>
        <v>Expedido</v>
      </c>
      <c r="P768" s="5" t="s">
        <v>25</v>
      </c>
      <c r="Q768" s="5" t="s">
        <v>1051</v>
      </c>
      <c r="R768" s="5">
        <v>1677242</v>
      </c>
      <c r="S768" s="7">
        <f>IF(ISBLANK(M768),"Aguardando Previsão/Data",NETWORKDAYS(L768,M768)-1)</f>
        <v>-4</v>
      </c>
      <c r="T768" s="5" t="s">
        <v>942</v>
      </c>
    </row>
    <row r="769" spans="1:20" x14ac:dyDescent="0.35">
      <c r="A769" s="5">
        <v>8100270071</v>
      </c>
      <c r="B769" s="5">
        <v>21022</v>
      </c>
      <c r="C769" s="6">
        <v>45664</v>
      </c>
      <c r="D769" s="5" t="s">
        <v>17</v>
      </c>
      <c r="E769" s="5" t="s">
        <v>18</v>
      </c>
      <c r="F769" s="5" t="s">
        <v>39</v>
      </c>
      <c r="G769" s="5" t="s">
        <v>40</v>
      </c>
      <c r="H769" s="5" t="s">
        <v>21</v>
      </c>
      <c r="I769" s="5" t="s">
        <v>1187</v>
      </c>
      <c r="J769" s="5" t="s">
        <v>466</v>
      </c>
      <c r="K769" s="5" t="s">
        <v>24</v>
      </c>
      <c r="L769" s="6">
        <v>45674</v>
      </c>
      <c r="M769" s="6">
        <v>45676</v>
      </c>
      <c r="N769" s="6" t="s">
        <v>811</v>
      </c>
      <c r="O769" s="5" t="str">
        <f ca="1">IF(P769&lt;&gt;"EXPEDIÇÃO","Expedido",IF(NETWORKDAYS(C769,TODAY())&gt;=5,"Risco Alto",IF(NETWORKDAYS(C769,TODAY())&gt;=3,IF(NETWORKDAYS(C769,TODAY())&lt;5,"Risco Médio",""),IF(NETWORKDAYS(C769,TODAY())&lt;=2,"Risco Baixo",""))))</f>
        <v>Expedido</v>
      </c>
      <c r="P769" s="5" t="s">
        <v>25</v>
      </c>
      <c r="S769" s="7">
        <f>IF(ISBLANK(M769),"Aguardando Previsão/Data",NETWORKDAYS(L769,M769)-1)</f>
        <v>0</v>
      </c>
      <c r="T769" s="5" t="s">
        <v>942</v>
      </c>
    </row>
    <row r="770" spans="1:20" x14ac:dyDescent="0.35">
      <c r="A770" s="5">
        <v>8100270090</v>
      </c>
      <c r="B770" s="5">
        <v>21024</v>
      </c>
      <c r="C770" s="6">
        <v>45664</v>
      </c>
      <c r="D770" s="5" t="s">
        <v>17</v>
      </c>
      <c r="E770" s="5" t="s">
        <v>18</v>
      </c>
      <c r="F770" s="5" t="s">
        <v>19</v>
      </c>
      <c r="G770" s="5" t="s">
        <v>20</v>
      </c>
      <c r="H770" s="5" t="s">
        <v>21</v>
      </c>
      <c r="I770" s="5" t="s">
        <v>928</v>
      </c>
      <c r="J770" s="5" t="s">
        <v>364</v>
      </c>
      <c r="K770" s="5" t="s">
        <v>24</v>
      </c>
      <c r="L770" s="6">
        <v>45671</v>
      </c>
      <c r="M770" s="6">
        <v>45667</v>
      </c>
      <c r="N770" s="6" t="s">
        <v>811</v>
      </c>
      <c r="O770" s="5" t="str">
        <f ca="1">IF(P770&lt;&gt;"EXPEDIÇÃO","Expedido",IF(NETWORKDAYS(C770,TODAY())&gt;=5,"Risco Alto",IF(NETWORKDAYS(C770,TODAY())&gt;=3,IF(NETWORKDAYS(C770,TODAY())&lt;5,"Risco Médio",""),IF(NETWORKDAYS(C770,TODAY())&lt;=2,"Risco Baixo",""))))</f>
        <v>Expedido</v>
      </c>
      <c r="P770" s="5" t="s">
        <v>25</v>
      </c>
      <c r="S770" s="7">
        <f>IF(ISBLANK(M770),"Aguardando Previsão/Data",NETWORKDAYS(L770,M770)-1)</f>
        <v>-4</v>
      </c>
      <c r="T770" s="5" t="s">
        <v>942</v>
      </c>
    </row>
    <row r="771" spans="1:20" x14ac:dyDescent="0.35">
      <c r="A771" s="5">
        <v>8100270106</v>
      </c>
      <c r="B771" s="5">
        <v>21003</v>
      </c>
      <c r="C771" s="6">
        <v>45664</v>
      </c>
      <c r="D771" s="5" t="s">
        <v>17</v>
      </c>
      <c r="E771" s="5" t="s">
        <v>18</v>
      </c>
      <c r="F771" s="5" t="s">
        <v>19</v>
      </c>
      <c r="G771" s="5" t="s">
        <v>20</v>
      </c>
      <c r="H771" s="5" t="s">
        <v>21</v>
      </c>
      <c r="I771" s="5" t="s">
        <v>973</v>
      </c>
      <c r="J771" s="5" t="s">
        <v>365</v>
      </c>
      <c r="K771" s="5" t="s">
        <v>24</v>
      </c>
      <c r="L771" s="6">
        <v>45671</v>
      </c>
      <c r="M771" s="6">
        <v>45667</v>
      </c>
      <c r="N771" s="6" t="s">
        <v>811</v>
      </c>
      <c r="O771" s="5" t="str">
        <f ca="1">IF(P771&lt;&gt;"EXPEDIÇÃO","Expedido",IF(NETWORKDAYS(C771,TODAY())&gt;=5,"Risco Alto",IF(NETWORKDAYS(C771,TODAY())&gt;=3,IF(NETWORKDAYS(C771,TODAY())&lt;5,"Risco Médio",""),IF(NETWORKDAYS(C771,TODAY())&lt;=2,"Risco Baixo",""))))</f>
        <v>Expedido</v>
      </c>
      <c r="P771" s="5" t="s">
        <v>25</v>
      </c>
      <c r="S771" s="7">
        <f>IF(ISBLANK(M771),"Aguardando Previsão/Data",NETWORKDAYS(L771,M771)-1)</f>
        <v>-4</v>
      </c>
      <c r="T771" s="5" t="s">
        <v>942</v>
      </c>
    </row>
    <row r="772" spans="1:20" x14ac:dyDescent="0.35">
      <c r="A772" s="5">
        <v>8100270107</v>
      </c>
      <c r="B772" s="5">
        <v>21001</v>
      </c>
      <c r="C772" s="6">
        <v>45664</v>
      </c>
      <c r="D772" s="5" t="s">
        <v>17</v>
      </c>
      <c r="E772" s="5" t="s">
        <v>18</v>
      </c>
      <c r="F772" s="5" t="s">
        <v>19</v>
      </c>
      <c r="G772" s="5" t="s">
        <v>20</v>
      </c>
      <c r="H772" s="5" t="s">
        <v>21</v>
      </c>
      <c r="I772" s="5" t="s">
        <v>928</v>
      </c>
      <c r="J772" s="5" t="s">
        <v>364</v>
      </c>
      <c r="K772" s="5" t="s">
        <v>24</v>
      </c>
      <c r="L772" s="6">
        <v>45671</v>
      </c>
      <c r="M772" s="6">
        <v>45667</v>
      </c>
      <c r="N772" s="6" t="s">
        <v>811</v>
      </c>
      <c r="O772" s="5" t="str">
        <f ca="1">IF(P772&lt;&gt;"EXPEDIÇÃO","Expedido",IF(NETWORKDAYS(C772,TODAY())&gt;=5,"Risco Alto",IF(NETWORKDAYS(C772,TODAY())&gt;=3,IF(NETWORKDAYS(C772,TODAY())&lt;5,"Risco Médio",""),IF(NETWORKDAYS(C772,TODAY())&lt;=2,"Risco Baixo",""))))</f>
        <v>Expedido</v>
      </c>
      <c r="P772" s="5" t="s">
        <v>25</v>
      </c>
      <c r="S772" s="7">
        <f>IF(ISBLANK(M772),"Aguardando Previsão/Data",NETWORKDAYS(L772,M772)-1)</f>
        <v>-4</v>
      </c>
      <c r="T772" s="5" t="s">
        <v>942</v>
      </c>
    </row>
    <row r="773" spans="1:20" x14ac:dyDescent="0.35">
      <c r="A773" s="5">
        <v>8100270108</v>
      </c>
      <c r="B773" s="5">
        <v>21005</v>
      </c>
      <c r="C773" s="6">
        <v>45664</v>
      </c>
      <c r="D773" s="5" t="s">
        <v>17</v>
      </c>
      <c r="E773" s="5" t="s">
        <v>18</v>
      </c>
      <c r="F773" s="5" t="s">
        <v>19</v>
      </c>
      <c r="G773" s="5" t="s">
        <v>20</v>
      </c>
      <c r="H773" s="5" t="s">
        <v>21</v>
      </c>
      <c r="I773" s="5" t="s">
        <v>972</v>
      </c>
      <c r="J773" s="5" t="s">
        <v>38</v>
      </c>
      <c r="K773" s="5" t="s">
        <v>24</v>
      </c>
      <c r="L773" s="6">
        <v>45672</v>
      </c>
      <c r="M773" s="6">
        <v>45670</v>
      </c>
      <c r="N773" s="6" t="s">
        <v>811</v>
      </c>
      <c r="O773" s="5" t="str">
        <f ca="1">IF(P773&lt;&gt;"EXPEDIÇÃO","Expedido",IF(NETWORKDAYS(C773,TODAY())&gt;=5,"Risco Alto",IF(NETWORKDAYS(C773,TODAY())&gt;=3,IF(NETWORKDAYS(C773,TODAY())&lt;5,"Risco Médio",""),IF(NETWORKDAYS(C773,TODAY())&lt;=2,"Risco Baixo",""))))</f>
        <v>Expedido</v>
      </c>
      <c r="P773" s="5" t="s">
        <v>25</v>
      </c>
      <c r="Q773" s="5" t="s">
        <v>1032</v>
      </c>
      <c r="R773" s="5">
        <v>1676986</v>
      </c>
      <c r="S773" s="7">
        <f>IF(ISBLANK(M773),"Aguardando Previsão/Data",NETWORKDAYS(L773,M773)-1)</f>
        <v>-4</v>
      </c>
      <c r="T773" s="5" t="s">
        <v>942</v>
      </c>
    </row>
    <row r="774" spans="1:20" x14ac:dyDescent="0.35">
      <c r="A774" s="5">
        <v>8100270109</v>
      </c>
      <c r="B774" s="5">
        <v>21009</v>
      </c>
      <c r="C774" s="6">
        <v>45664</v>
      </c>
      <c r="D774" s="5" t="s">
        <v>17</v>
      </c>
      <c r="E774" s="5" t="s">
        <v>18</v>
      </c>
      <c r="F774" s="5" t="s">
        <v>84</v>
      </c>
      <c r="G774" s="5" t="s">
        <v>85</v>
      </c>
      <c r="H774" s="5" t="s">
        <v>21</v>
      </c>
      <c r="I774" s="5" t="s">
        <v>969</v>
      </c>
      <c r="J774" s="5" t="s">
        <v>857</v>
      </c>
      <c r="K774" s="5" t="s">
        <v>24</v>
      </c>
      <c r="L774" s="6">
        <v>45672</v>
      </c>
      <c r="M774" s="6">
        <v>45673</v>
      </c>
      <c r="N774" s="6" t="s">
        <v>812</v>
      </c>
      <c r="O774" s="5" t="str">
        <f ca="1">IF(P774&lt;&gt;"EXPEDIÇÃO","Expedido",IF(NETWORKDAYS(C774,TODAY())&gt;=5,"Risco Alto",IF(NETWORKDAYS(C774,TODAY())&gt;=3,IF(NETWORKDAYS(C774,TODAY())&lt;5,"Risco Médio",""),IF(NETWORKDAYS(C774,TODAY())&lt;=2,"Risco Baixo",""))))</f>
        <v>Expedido</v>
      </c>
      <c r="P774" s="5" t="s">
        <v>25</v>
      </c>
      <c r="Q774" s="5" t="s">
        <v>937</v>
      </c>
      <c r="S774" s="7">
        <f>IF(ISBLANK(M774),"Aguardando Previsão/Data",NETWORKDAYS(L774,M774)-1)</f>
        <v>1</v>
      </c>
      <c r="T774" s="5" t="s">
        <v>942</v>
      </c>
    </row>
    <row r="775" spans="1:20" x14ac:dyDescent="0.35">
      <c r="A775" s="5">
        <v>8100270110</v>
      </c>
      <c r="B775" s="5">
        <v>20994</v>
      </c>
      <c r="C775" s="6">
        <v>45664</v>
      </c>
      <c r="D775" s="5" t="s">
        <v>17</v>
      </c>
      <c r="E775" s="5" t="s">
        <v>18</v>
      </c>
      <c r="F775" s="5" t="s">
        <v>39</v>
      </c>
      <c r="G775" s="5" t="s">
        <v>40</v>
      </c>
      <c r="H775" s="5" t="s">
        <v>21</v>
      </c>
      <c r="I775" s="5" t="s">
        <v>1186</v>
      </c>
      <c r="J775" s="5" t="s">
        <v>466</v>
      </c>
      <c r="K775" s="5" t="s">
        <v>24</v>
      </c>
      <c r="L775" s="6">
        <v>45674</v>
      </c>
      <c r="M775" s="6">
        <v>45672</v>
      </c>
      <c r="N775" s="6" t="s">
        <v>811</v>
      </c>
      <c r="O775" s="5" t="str">
        <f ca="1">IF(P775&lt;&gt;"EXPEDIÇÃO","Expedido",IF(NETWORKDAYS(C775,TODAY())&gt;=5,"Risco Alto",IF(NETWORKDAYS(C775,TODAY())&gt;=3,IF(NETWORKDAYS(C775,TODAY())&lt;5,"Risco Médio",""),IF(NETWORKDAYS(C775,TODAY())&lt;=2,"Risco Baixo",""))))</f>
        <v>Expedido</v>
      </c>
      <c r="P775" s="5" t="s">
        <v>25</v>
      </c>
      <c r="Q775" s="5" t="s">
        <v>1051</v>
      </c>
      <c r="R775" s="5">
        <v>1677242</v>
      </c>
      <c r="S775" s="7">
        <f>IF(ISBLANK(M775),"Aguardando Previsão/Data",NETWORKDAYS(L775,M775)-1)</f>
        <v>-4</v>
      </c>
      <c r="T775" s="5" t="s">
        <v>942</v>
      </c>
    </row>
    <row r="776" spans="1:20" x14ac:dyDescent="0.35">
      <c r="A776" s="5">
        <v>8100270644</v>
      </c>
      <c r="B776" s="5">
        <v>21013</v>
      </c>
      <c r="C776" s="6">
        <v>45664</v>
      </c>
      <c r="D776" s="5" t="s">
        <v>17</v>
      </c>
      <c r="E776" s="5" t="s">
        <v>18</v>
      </c>
      <c r="F776" s="5" t="s">
        <v>19</v>
      </c>
      <c r="G776" s="5" t="s">
        <v>20</v>
      </c>
      <c r="H776" s="5" t="s">
        <v>21</v>
      </c>
      <c r="I776" s="5" t="s">
        <v>1042</v>
      </c>
      <c r="J776" s="5" t="s">
        <v>364</v>
      </c>
      <c r="K776" s="5" t="s">
        <v>24</v>
      </c>
      <c r="L776" s="6">
        <v>45671</v>
      </c>
      <c r="M776" s="6">
        <v>45670</v>
      </c>
      <c r="N776" s="6" t="s">
        <v>811</v>
      </c>
      <c r="O776" s="5" t="str">
        <f ca="1">IF(P776&lt;&gt;"EXPEDIÇÃO","Expedido",IF(NETWORKDAYS(C776,TODAY())&gt;=5,"Risco Alto",IF(NETWORKDAYS(C776,TODAY())&gt;=3,IF(NETWORKDAYS(C776,TODAY())&lt;5,"Risco Médio",""),IF(NETWORKDAYS(C776,TODAY())&lt;=2,"Risco Baixo",""))))</f>
        <v>Expedido</v>
      </c>
      <c r="P776" s="5" t="s">
        <v>25</v>
      </c>
      <c r="S776" s="7">
        <f>IF(ISBLANK(M776),"Aguardando Previsão/Data",NETWORKDAYS(L776,M776)-1)</f>
        <v>-3</v>
      </c>
      <c r="T776" s="5" t="s">
        <v>942</v>
      </c>
    </row>
    <row r="777" spans="1:20" x14ac:dyDescent="0.35">
      <c r="A777" s="5">
        <v>8100270645</v>
      </c>
      <c r="B777" s="5">
        <v>21016</v>
      </c>
      <c r="C777" s="6">
        <v>45664</v>
      </c>
      <c r="D777" s="5" t="s">
        <v>17</v>
      </c>
      <c r="E777" s="5" t="s">
        <v>18</v>
      </c>
      <c r="F777" s="5" t="s">
        <v>19</v>
      </c>
      <c r="G777" s="5" t="s">
        <v>20</v>
      </c>
      <c r="H777" s="5" t="s">
        <v>21</v>
      </c>
      <c r="I777" s="5" t="s">
        <v>1192</v>
      </c>
      <c r="J777" s="5" t="s">
        <v>1184</v>
      </c>
      <c r="K777" s="5" t="s">
        <v>24</v>
      </c>
      <c r="L777" s="6">
        <v>45671</v>
      </c>
      <c r="M777" s="6">
        <v>45668</v>
      </c>
      <c r="N777" s="6" t="s">
        <v>811</v>
      </c>
      <c r="O777" s="5" t="str">
        <f ca="1">IF(P777&lt;&gt;"EXPEDIÇÃO","Expedido",IF(NETWORKDAYS(C777,TODAY())&gt;=5,"Risco Alto",IF(NETWORKDAYS(C777,TODAY())&gt;=3,IF(NETWORKDAYS(C777,TODAY())&lt;5,"Risco Médio",""),IF(NETWORKDAYS(C777,TODAY())&lt;=2,"Risco Baixo",""))))</f>
        <v>Expedido</v>
      </c>
      <c r="P777" s="5" t="s">
        <v>25</v>
      </c>
      <c r="S777" s="7">
        <f>IF(ISBLANK(M777),"Aguardando Previsão/Data",NETWORKDAYS(L777,M777)-1)</f>
        <v>-3</v>
      </c>
      <c r="T777" s="5" t="s">
        <v>942</v>
      </c>
    </row>
    <row r="778" spans="1:20" x14ac:dyDescent="0.35">
      <c r="A778" s="5">
        <v>8100270646</v>
      </c>
      <c r="B778" s="5">
        <v>21007</v>
      </c>
      <c r="C778" s="6">
        <v>45664</v>
      </c>
      <c r="D778" s="5" t="s">
        <v>17</v>
      </c>
      <c r="E778" s="5" t="s">
        <v>18</v>
      </c>
      <c r="F778" s="5" t="s">
        <v>39</v>
      </c>
      <c r="G778" s="5" t="s">
        <v>40</v>
      </c>
      <c r="H778" s="5" t="s">
        <v>21</v>
      </c>
      <c r="I778" s="5" t="s">
        <v>738</v>
      </c>
      <c r="J778" s="5" t="s">
        <v>466</v>
      </c>
      <c r="K778" s="5" t="s">
        <v>24</v>
      </c>
      <c r="L778" s="6">
        <v>45674</v>
      </c>
      <c r="M778" s="6">
        <v>45674</v>
      </c>
      <c r="N778" s="6" t="s">
        <v>811</v>
      </c>
      <c r="O778" s="5" t="str">
        <f ca="1">IF(P778&lt;&gt;"EXPEDIÇÃO","Expedido",IF(NETWORKDAYS(C778,TODAY())&gt;=5,"Risco Alto",IF(NETWORKDAYS(C778,TODAY())&gt;=3,IF(NETWORKDAYS(C778,TODAY())&lt;5,"Risco Médio",""),IF(NETWORKDAYS(C778,TODAY())&lt;=2,"Risco Baixo",""))))</f>
        <v>Expedido</v>
      </c>
      <c r="P778" s="5" t="s">
        <v>25</v>
      </c>
      <c r="S778" s="7">
        <f>IF(ISBLANK(M778),"Aguardando Previsão/Data",NETWORKDAYS(L778,M778)-1)</f>
        <v>0</v>
      </c>
      <c r="T778" s="5" t="s">
        <v>942</v>
      </c>
    </row>
    <row r="779" spans="1:20" x14ac:dyDescent="0.35">
      <c r="A779" s="5">
        <v>8100270655</v>
      </c>
      <c r="B779" s="5">
        <v>21014</v>
      </c>
      <c r="C779" s="6">
        <v>45664</v>
      </c>
      <c r="D779" s="5" t="s">
        <v>17</v>
      </c>
      <c r="E779" s="5" t="s">
        <v>18</v>
      </c>
      <c r="F779" s="5" t="s">
        <v>19</v>
      </c>
      <c r="G779" s="5" t="s">
        <v>20</v>
      </c>
      <c r="H779" s="5" t="s">
        <v>21</v>
      </c>
      <c r="I779" s="5" t="s">
        <v>1042</v>
      </c>
      <c r="J779" s="5" t="s">
        <v>364</v>
      </c>
      <c r="K779" s="5" t="s">
        <v>24</v>
      </c>
      <c r="L779" s="6">
        <v>45671</v>
      </c>
      <c r="M779" s="6">
        <v>45670</v>
      </c>
      <c r="N779" s="6" t="s">
        <v>811</v>
      </c>
      <c r="O779" s="5" t="str">
        <f ca="1">IF(P779&lt;&gt;"EXPEDIÇÃO","Expedido",IF(NETWORKDAYS(C779,TODAY())&gt;=5,"Risco Alto",IF(NETWORKDAYS(C779,TODAY())&gt;=3,IF(NETWORKDAYS(C779,TODAY())&lt;5,"Risco Médio",""),IF(NETWORKDAYS(C779,TODAY())&lt;=2,"Risco Baixo",""))))</f>
        <v>Expedido</v>
      </c>
      <c r="P779" s="5" t="s">
        <v>25</v>
      </c>
      <c r="S779" s="7">
        <f>IF(ISBLANK(M779),"Aguardando Previsão/Data",NETWORKDAYS(L779,M779)-1)</f>
        <v>-3</v>
      </c>
      <c r="T779" s="5" t="s">
        <v>942</v>
      </c>
    </row>
    <row r="780" spans="1:20" x14ac:dyDescent="0.35">
      <c r="A780" s="5">
        <v>8100271448</v>
      </c>
      <c r="B780" s="5">
        <v>21034</v>
      </c>
      <c r="C780" s="6">
        <v>45664</v>
      </c>
      <c r="D780" s="5" t="s">
        <v>17</v>
      </c>
      <c r="E780" s="5" t="s">
        <v>18</v>
      </c>
      <c r="F780" s="5" t="s">
        <v>19</v>
      </c>
      <c r="G780" s="5" t="s">
        <v>20</v>
      </c>
      <c r="H780" s="5" t="s">
        <v>21</v>
      </c>
      <c r="I780" s="5" t="s">
        <v>904</v>
      </c>
      <c r="J780" s="5" t="s">
        <v>368</v>
      </c>
      <c r="K780" s="5" t="s">
        <v>24</v>
      </c>
      <c r="L780" s="6">
        <v>45672</v>
      </c>
      <c r="M780" s="6">
        <v>45670</v>
      </c>
      <c r="N780" s="6" t="s">
        <v>811</v>
      </c>
      <c r="O780" s="5" t="str">
        <f ca="1">IF(P780&lt;&gt;"EXPEDIÇÃO","Expedido",IF(NETWORKDAYS(C780,TODAY())&gt;=5,"Risco Alto",IF(NETWORKDAYS(C780,TODAY())&gt;=3,IF(NETWORKDAYS(C780,TODAY())&lt;5,"Risco Médio",""),IF(NETWORKDAYS(C780,TODAY())&lt;=2,"Risco Baixo",""))))</f>
        <v>Expedido</v>
      </c>
      <c r="P780" s="5" t="s">
        <v>25</v>
      </c>
      <c r="S780" s="7">
        <f>IF(ISBLANK(M780),"Aguardando Previsão/Data",NETWORKDAYS(L780,M780)-1)</f>
        <v>-4</v>
      </c>
      <c r="T780" s="5" t="s">
        <v>942</v>
      </c>
    </row>
    <row r="781" spans="1:20" x14ac:dyDescent="0.35">
      <c r="A781" s="5">
        <v>8100271450</v>
      </c>
      <c r="B781" s="5">
        <v>21032</v>
      </c>
      <c r="C781" s="6">
        <v>45664</v>
      </c>
      <c r="D781" s="5" t="s">
        <v>17</v>
      </c>
      <c r="E781" s="5" t="s">
        <v>18</v>
      </c>
      <c r="F781" s="5" t="s">
        <v>19</v>
      </c>
      <c r="G781" s="5" t="s">
        <v>20</v>
      </c>
      <c r="H781" s="5" t="s">
        <v>21</v>
      </c>
      <c r="I781" s="5" t="s">
        <v>1198</v>
      </c>
      <c r="J781" s="5" t="s">
        <v>491</v>
      </c>
      <c r="K781" s="5" t="s">
        <v>24</v>
      </c>
      <c r="L781" s="6">
        <v>45671</v>
      </c>
      <c r="M781" s="6">
        <v>45668</v>
      </c>
      <c r="N781" s="6" t="s">
        <v>811</v>
      </c>
      <c r="O781" s="5" t="str">
        <f ca="1">IF(P781&lt;&gt;"EXPEDIÇÃO","Expedido",IF(NETWORKDAYS(C781,TODAY())&gt;=5,"Risco Alto",IF(NETWORKDAYS(C781,TODAY())&gt;=3,IF(NETWORKDAYS(C781,TODAY())&lt;5,"Risco Médio",""),IF(NETWORKDAYS(C781,TODAY())&lt;=2,"Risco Baixo",""))))</f>
        <v>Expedido</v>
      </c>
      <c r="P781" s="5" t="s">
        <v>25</v>
      </c>
      <c r="S781" s="7">
        <f>IF(ISBLANK(M781),"Aguardando Previsão/Data",NETWORKDAYS(L781,M781)-1)</f>
        <v>-3</v>
      </c>
      <c r="T781" s="5" t="s">
        <v>942</v>
      </c>
    </row>
    <row r="782" spans="1:20" x14ac:dyDescent="0.35">
      <c r="A782" s="5">
        <v>8100271452</v>
      </c>
      <c r="B782" s="5">
        <v>21030</v>
      </c>
      <c r="C782" s="6">
        <v>45664</v>
      </c>
      <c r="D782" s="5" t="s">
        <v>17</v>
      </c>
      <c r="E782" s="5" t="s">
        <v>18</v>
      </c>
      <c r="F782" s="5" t="s">
        <v>39</v>
      </c>
      <c r="G782" s="5" t="s">
        <v>40</v>
      </c>
      <c r="H782" s="5" t="s">
        <v>21</v>
      </c>
      <c r="I782" s="5" t="s">
        <v>1199</v>
      </c>
      <c r="J782" s="5" t="s">
        <v>420</v>
      </c>
      <c r="K782" s="5" t="s">
        <v>24</v>
      </c>
      <c r="L782" s="6">
        <v>45677</v>
      </c>
      <c r="M782" s="6">
        <v>45675</v>
      </c>
      <c r="N782" s="6" t="s">
        <v>811</v>
      </c>
      <c r="O782" s="5" t="str">
        <f ca="1">IF(P782&lt;&gt;"EXPEDIÇÃO","Expedido",IF(NETWORKDAYS(C782,TODAY())&gt;=5,"Risco Alto",IF(NETWORKDAYS(C782,TODAY())&gt;=3,IF(NETWORKDAYS(C782,TODAY())&lt;5,"Risco Médio",""),IF(NETWORKDAYS(C782,TODAY())&lt;=2,"Risco Baixo",""))))</f>
        <v>Expedido</v>
      </c>
      <c r="P782" s="5" t="s">
        <v>25</v>
      </c>
      <c r="S782" s="7">
        <f>IF(ISBLANK(M782),"Aguardando Previsão/Data",NETWORKDAYS(L782,M782)-1)</f>
        <v>-2</v>
      </c>
      <c r="T782" s="5" t="s">
        <v>942</v>
      </c>
    </row>
    <row r="783" spans="1:20" x14ac:dyDescent="0.35">
      <c r="A783" s="5">
        <v>8100271635</v>
      </c>
      <c r="B783" s="5">
        <v>21041</v>
      </c>
      <c r="C783" s="6">
        <v>45664</v>
      </c>
      <c r="D783" s="5" t="s">
        <v>17</v>
      </c>
      <c r="E783" s="5" t="s">
        <v>18</v>
      </c>
      <c r="F783" s="5" t="s">
        <v>84</v>
      </c>
      <c r="G783" s="5" t="s">
        <v>85</v>
      </c>
      <c r="H783" s="5" t="s">
        <v>21</v>
      </c>
      <c r="I783" s="5" t="s">
        <v>822</v>
      </c>
      <c r="J783" s="5" t="s">
        <v>28</v>
      </c>
      <c r="K783" s="5" t="s">
        <v>24</v>
      </c>
      <c r="L783" s="6">
        <v>45671</v>
      </c>
      <c r="M783" s="6">
        <v>45671</v>
      </c>
      <c r="N783" s="6" t="s">
        <v>811</v>
      </c>
      <c r="O783" s="5" t="str">
        <f ca="1">IF(P783&lt;&gt;"EXPEDIÇÃO","Expedido",IF(NETWORKDAYS(C783,TODAY())&gt;=5,"Risco Alto",IF(NETWORKDAYS(C783,TODAY())&gt;=3,IF(NETWORKDAYS(C783,TODAY())&lt;5,"Risco Médio",""),IF(NETWORKDAYS(C783,TODAY())&lt;=2,"Risco Baixo",""))))</f>
        <v>Expedido</v>
      </c>
      <c r="P783" s="5" t="s">
        <v>25</v>
      </c>
      <c r="Q783" s="5" t="s">
        <v>898</v>
      </c>
      <c r="S783" s="7">
        <f>IF(ISBLANK(M783),"Aguardando Previsão/Data",NETWORKDAYS(L783,M783)-1)</f>
        <v>0</v>
      </c>
      <c r="T783" s="5" t="s">
        <v>942</v>
      </c>
    </row>
    <row r="784" spans="1:20" x14ac:dyDescent="0.35">
      <c r="A784" s="5">
        <v>8100271647</v>
      </c>
      <c r="B784" s="5">
        <v>21040</v>
      </c>
      <c r="C784" s="6">
        <v>45664</v>
      </c>
      <c r="D784" s="5" t="s">
        <v>17</v>
      </c>
      <c r="E784" s="5" t="s">
        <v>18</v>
      </c>
      <c r="F784" s="5" t="s">
        <v>19</v>
      </c>
      <c r="G784" s="5" t="s">
        <v>20</v>
      </c>
      <c r="H784" s="5" t="s">
        <v>21</v>
      </c>
      <c r="I784" s="5" t="s">
        <v>973</v>
      </c>
      <c r="J784" s="5" t="s">
        <v>38</v>
      </c>
      <c r="K784" s="5" t="s">
        <v>24</v>
      </c>
      <c r="L784" s="6">
        <v>45672</v>
      </c>
      <c r="M784" s="6">
        <v>45670</v>
      </c>
      <c r="N784" s="6" t="s">
        <v>811</v>
      </c>
      <c r="O784" s="5" t="str">
        <f ca="1">IF(P784&lt;&gt;"EXPEDIÇÃO","Expedido",IF(NETWORKDAYS(C784,TODAY())&gt;=5,"Risco Alto",IF(NETWORKDAYS(C784,TODAY())&gt;=3,IF(NETWORKDAYS(C784,TODAY())&lt;5,"Risco Médio",""),IF(NETWORKDAYS(C784,TODAY())&lt;=2,"Risco Baixo",""))))</f>
        <v>Expedido</v>
      </c>
      <c r="P784" s="5" t="s">
        <v>25</v>
      </c>
      <c r="S784" s="7">
        <f>IF(ISBLANK(M784),"Aguardando Previsão/Data",NETWORKDAYS(L784,M784)-1)</f>
        <v>-4</v>
      </c>
      <c r="T784" s="5" t="s">
        <v>942</v>
      </c>
    </row>
    <row r="785" spans="1:20" x14ac:dyDescent="0.35">
      <c r="A785" s="5">
        <v>8100272189</v>
      </c>
      <c r="B785" s="5">
        <v>21043</v>
      </c>
      <c r="C785" s="6">
        <v>45664</v>
      </c>
      <c r="D785" s="5" t="s">
        <v>17</v>
      </c>
      <c r="E785" s="5" t="s">
        <v>18</v>
      </c>
      <c r="F785" s="5" t="s">
        <v>84</v>
      </c>
      <c r="G785" s="5" t="s">
        <v>85</v>
      </c>
      <c r="H785" s="5" t="s">
        <v>21</v>
      </c>
      <c r="I785" s="5" t="s">
        <v>890</v>
      </c>
      <c r="J785" s="5" t="s">
        <v>368</v>
      </c>
      <c r="K785" s="5" t="s">
        <v>24</v>
      </c>
      <c r="L785" s="6">
        <v>45672</v>
      </c>
      <c r="M785" s="6">
        <v>45670</v>
      </c>
      <c r="N785" s="6" t="s">
        <v>811</v>
      </c>
      <c r="O785" s="5" t="str">
        <f ca="1">IF(P785&lt;&gt;"EXPEDIÇÃO","Expedido",IF(NETWORKDAYS(C785,TODAY())&gt;=5,"Risco Alto",IF(NETWORKDAYS(C785,TODAY())&gt;=3,IF(NETWORKDAYS(C785,TODAY())&lt;5,"Risco Médio",""),IF(NETWORKDAYS(C785,TODAY())&lt;=2,"Risco Baixo",""))))</f>
        <v>Expedido</v>
      </c>
      <c r="P785" s="5" t="s">
        <v>25</v>
      </c>
      <c r="S785" s="7">
        <f>IF(ISBLANK(M785),"Aguardando Previsão/Data",NETWORKDAYS(L785,M785)-1)</f>
        <v>-4</v>
      </c>
      <c r="T785" s="5" t="s">
        <v>942</v>
      </c>
    </row>
    <row r="786" spans="1:20" x14ac:dyDescent="0.35">
      <c r="A786" s="5">
        <v>8100272190</v>
      </c>
      <c r="B786" s="5">
        <v>21042</v>
      </c>
      <c r="C786" s="6">
        <v>45664</v>
      </c>
      <c r="D786" s="5" t="s">
        <v>17</v>
      </c>
      <c r="E786" s="5" t="s">
        <v>18</v>
      </c>
      <c r="F786" s="5" t="s">
        <v>39</v>
      </c>
      <c r="G786" s="5" t="s">
        <v>40</v>
      </c>
      <c r="H786" s="5" t="s">
        <v>21</v>
      </c>
      <c r="I786" s="5" t="s">
        <v>741</v>
      </c>
      <c r="J786" s="5" t="s">
        <v>466</v>
      </c>
      <c r="K786" s="5" t="s">
        <v>24</v>
      </c>
      <c r="L786" s="6">
        <v>45674</v>
      </c>
      <c r="M786" s="6">
        <v>45675</v>
      </c>
      <c r="N786" s="6" t="s">
        <v>811</v>
      </c>
      <c r="O786" s="5" t="str">
        <f ca="1">IF(P786&lt;&gt;"EXPEDIÇÃO","Expedido",IF(NETWORKDAYS(C786,TODAY())&gt;=5,"Risco Alto",IF(NETWORKDAYS(C786,TODAY())&gt;=3,IF(NETWORKDAYS(C786,TODAY())&lt;5,"Risco Médio",""),IF(NETWORKDAYS(C786,TODAY())&lt;=2,"Risco Baixo",""))))</f>
        <v>Expedido</v>
      </c>
      <c r="P786" s="5" t="s">
        <v>25</v>
      </c>
      <c r="S786" s="7">
        <f>IF(ISBLANK(M786),"Aguardando Previsão/Data",NETWORKDAYS(L786,M786)-1)</f>
        <v>0</v>
      </c>
      <c r="T786" s="5" t="s">
        <v>942</v>
      </c>
    </row>
    <row r="787" spans="1:20" x14ac:dyDescent="0.35">
      <c r="A787" s="5">
        <v>8100272191</v>
      </c>
      <c r="B787" s="5">
        <v>21029</v>
      </c>
      <c r="C787" s="6">
        <v>45664</v>
      </c>
      <c r="D787" s="5" t="s">
        <v>17</v>
      </c>
      <c r="E787" s="5" t="s">
        <v>18</v>
      </c>
      <c r="F787" s="5" t="s">
        <v>44</v>
      </c>
      <c r="G787" s="5" t="s">
        <v>45</v>
      </c>
      <c r="H787" s="5" t="s">
        <v>21</v>
      </c>
      <c r="I787" s="5" t="s">
        <v>327</v>
      </c>
      <c r="J787" s="5" t="s">
        <v>45</v>
      </c>
      <c r="K787" s="5" t="s">
        <v>24</v>
      </c>
      <c r="L787" s="6">
        <v>45671</v>
      </c>
      <c r="M787" s="6">
        <v>45667</v>
      </c>
      <c r="N787" s="6" t="s">
        <v>811</v>
      </c>
      <c r="O787" s="5" t="str">
        <f ca="1">IF(P787&lt;&gt;"EXPEDIÇÃO","Expedido",IF(NETWORKDAYS(C787,TODAY())&gt;=5,"Risco Alto",IF(NETWORKDAYS(C787,TODAY())&gt;=3,IF(NETWORKDAYS(C787,TODAY())&lt;5,"Risco Médio",""),IF(NETWORKDAYS(C787,TODAY())&lt;=2,"Risco Baixo",""))))</f>
        <v>Expedido</v>
      </c>
      <c r="P787" s="5" t="s">
        <v>25</v>
      </c>
      <c r="Q787" s="5" t="s">
        <v>897</v>
      </c>
      <c r="S787" s="7">
        <f>IF(ISBLANK(M787),"Aguardando Previsão/Data",NETWORKDAYS(L787,M787)-1)</f>
        <v>-4</v>
      </c>
      <c r="T787" s="5" t="s">
        <v>942</v>
      </c>
    </row>
    <row r="788" spans="1:20" x14ac:dyDescent="0.35">
      <c r="A788" s="5">
        <v>8100272192</v>
      </c>
      <c r="B788" s="5">
        <v>21025</v>
      </c>
      <c r="C788" s="6">
        <v>45664</v>
      </c>
      <c r="D788" s="5" t="s">
        <v>17</v>
      </c>
      <c r="E788" s="5" t="s">
        <v>18</v>
      </c>
      <c r="F788" s="5" t="s">
        <v>84</v>
      </c>
      <c r="G788" s="5" t="s">
        <v>85</v>
      </c>
      <c r="H788" s="5" t="s">
        <v>21</v>
      </c>
      <c r="I788" s="5" t="s">
        <v>1206</v>
      </c>
      <c r="J788" s="5" t="s">
        <v>1207</v>
      </c>
      <c r="K788" s="5" t="s">
        <v>24</v>
      </c>
      <c r="L788" s="6">
        <v>45672</v>
      </c>
      <c r="M788" s="6">
        <v>45670</v>
      </c>
      <c r="N788" s="6" t="s">
        <v>811</v>
      </c>
      <c r="O788" s="5" t="str">
        <f ca="1">IF(P788&lt;&gt;"EXPEDIÇÃO","Expedido",IF(NETWORKDAYS(C788,TODAY())&gt;=5,"Risco Alto",IF(NETWORKDAYS(C788,TODAY())&gt;=3,IF(NETWORKDAYS(C788,TODAY())&lt;5,"Risco Médio",""),IF(NETWORKDAYS(C788,TODAY())&lt;=2,"Risco Baixo",""))))</f>
        <v>Expedido</v>
      </c>
      <c r="P788" s="5" t="s">
        <v>25</v>
      </c>
      <c r="S788" s="7">
        <f>IF(ISBLANK(M788),"Aguardando Previsão/Data",NETWORKDAYS(L788,M788)-1)</f>
        <v>-4</v>
      </c>
      <c r="T788" s="5" t="s">
        <v>942</v>
      </c>
    </row>
    <row r="789" spans="1:20" x14ac:dyDescent="0.35">
      <c r="A789" s="5">
        <v>8100272194</v>
      </c>
      <c r="B789" s="5">
        <v>21023</v>
      </c>
      <c r="C789" s="6">
        <v>45664</v>
      </c>
      <c r="D789" s="5" t="s">
        <v>17</v>
      </c>
      <c r="E789" s="5" t="s">
        <v>18</v>
      </c>
      <c r="F789" s="5" t="s">
        <v>39</v>
      </c>
      <c r="G789" s="5" t="s">
        <v>40</v>
      </c>
      <c r="H789" s="5" t="s">
        <v>21</v>
      </c>
      <c r="I789" s="5" t="s">
        <v>1208</v>
      </c>
      <c r="J789" s="5" t="s">
        <v>466</v>
      </c>
      <c r="K789" s="5" t="s">
        <v>24</v>
      </c>
      <c r="L789" s="6">
        <v>45674</v>
      </c>
      <c r="M789" s="6">
        <v>45675</v>
      </c>
      <c r="N789" s="6" t="s">
        <v>811</v>
      </c>
      <c r="O789" s="5" t="str">
        <f ca="1">IF(P789&lt;&gt;"EXPEDIÇÃO","Expedido",IF(NETWORKDAYS(C789,TODAY())&gt;=5,"Risco Alto",IF(NETWORKDAYS(C789,TODAY())&gt;=3,IF(NETWORKDAYS(C789,TODAY())&lt;5,"Risco Médio",""),IF(NETWORKDAYS(C789,TODAY())&lt;=2,"Risco Baixo",""))))</f>
        <v>Expedido</v>
      </c>
      <c r="P789" s="5" t="s">
        <v>25</v>
      </c>
      <c r="S789" s="7">
        <f>IF(ISBLANK(M789),"Aguardando Previsão/Data",NETWORKDAYS(L789,M789)-1)</f>
        <v>0</v>
      </c>
      <c r="T789" s="5" t="s">
        <v>942</v>
      </c>
    </row>
    <row r="790" spans="1:20" x14ac:dyDescent="0.35">
      <c r="A790" s="5">
        <v>8100272324</v>
      </c>
      <c r="B790" s="5">
        <v>21031</v>
      </c>
      <c r="C790" s="6">
        <v>45664</v>
      </c>
      <c r="D790" s="5" t="s">
        <v>17</v>
      </c>
      <c r="E790" s="5" t="s">
        <v>18</v>
      </c>
      <c r="F790" s="5" t="s">
        <v>32</v>
      </c>
      <c r="G790" s="5" t="s">
        <v>33</v>
      </c>
      <c r="H790" s="5" t="s">
        <v>21</v>
      </c>
      <c r="I790" s="5" t="s">
        <v>1212</v>
      </c>
      <c r="J790" s="5" t="s">
        <v>38</v>
      </c>
      <c r="K790" s="5" t="s">
        <v>24</v>
      </c>
      <c r="L790" s="6">
        <v>45672</v>
      </c>
      <c r="M790" s="6">
        <v>45671</v>
      </c>
      <c r="N790" s="6" t="s">
        <v>811</v>
      </c>
      <c r="O790" s="5" t="str">
        <f ca="1">IF(P790&lt;&gt;"EXPEDIÇÃO","Expedido",IF(NETWORKDAYS(C790,TODAY())&gt;=5,"Risco Alto",IF(NETWORKDAYS(C790,TODAY())&gt;=3,IF(NETWORKDAYS(C790,TODAY())&lt;5,"Risco Médio",""),IF(NETWORKDAYS(C790,TODAY())&lt;=2,"Risco Baixo",""))))</f>
        <v>Expedido</v>
      </c>
      <c r="P790" s="5" t="s">
        <v>25</v>
      </c>
      <c r="S790" s="7">
        <f>IF(ISBLANK(M790),"Aguardando Previsão/Data",NETWORKDAYS(L790,M790)-1)</f>
        <v>-3</v>
      </c>
      <c r="T790" s="5" t="s">
        <v>942</v>
      </c>
    </row>
    <row r="791" spans="1:20" x14ac:dyDescent="0.35">
      <c r="A791" s="5">
        <v>8100272405</v>
      </c>
      <c r="B791" s="5">
        <v>21036</v>
      </c>
      <c r="C791" s="6">
        <v>45664</v>
      </c>
      <c r="D791" s="5" t="s">
        <v>17</v>
      </c>
      <c r="E791" s="5" t="s">
        <v>18</v>
      </c>
      <c r="F791" s="5" t="s">
        <v>32</v>
      </c>
      <c r="G791" s="5" t="s">
        <v>33</v>
      </c>
      <c r="H791" s="5" t="s">
        <v>21</v>
      </c>
      <c r="I791" s="5" t="s">
        <v>635</v>
      </c>
      <c r="J791" s="5" t="s">
        <v>47</v>
      </c>
      <c r="K791" s="5" t="s">
        <v>24</v>
      </c>
      <c r="L791" s="6">
        <v>45671</v>
      </c>
      <c r="M791" s="6">
        <v>45670</v>
      </c>
      <c r="N791" s="6" t="s">
        <v>811</v>
      </c>
      <c r="O791" s="5" t="str">
        <f ca="1">IF(P791&lt;&gt;"EXPEDIÇÃO","Expedido",IF(NETWORKDAYS(C791,TODAY())&gt;=5,"Risco Alto",IF(NETWORKDAYS(C791,TODAY())&gt;=3,IF(NETWORKDAYS(C791,TODAY())&lt;5,"Risco Médio",""),IF(NETWORKDAYS(C791,TODAY())&lt;=2,"Risco Baixo",""))))</f>
        <v>Expedido</v>
      </c>
      <c r="P791" s="5" t="s">
        <v>25</v>
      </c>
      <c r="S791" s="7">
        <f>IF(ISBLANK(M791),"Aguardando Previsão/Data",NETWORKDAYS(L791,M791)-1)</f>
        <v>-3</v>
      </c>
      <c r="T791" s="5" t="s">
        <v>942</v>
      </c>
    </row>
    <row r="792" spans="1:20" x14ac:dyDescent="0.35">
      <c r="A792" s="5">
        <v>8100272406</v>
      </c>
      <c r="B792" s="5">
        <v>21035</v>
      </c>
      <c r="C792" s="6">
        <v>45664</v>
      </c>
      <c r="D792" s="5" t="s">
        <v>17</v>
      </c>
      <c r="E792" s="5" t="s">
        <v>18</v>
      </c>
      <c r="F792" s="5" t="s">
        <v>44</v>
      </c>
      <c r="G792" s="5" t="s">
        <v>45</v>
      </c>
      <c r="H792" s="5" t="s">
        <v>21</v>
      </c>
      <c r="I792" s="5" t="s">
        <v>644</v>
      </c>
      <c r="J792" s="5" t="s">
        <v>256</v>
      </c>
      <c r="K792" s="5" t="s">
        <v>24</v>
      </c>
      <c r="L792" s="6">
        <v>45671</v>
      </c>
      <c r="M792" s="6">
        <v>45670</v>
      </c>
      <c r="N792" s="6" t="s">
        <v>811</v>
      </c>
      <c r="O792" s="5" t="str">
        <f ca="1">IF(P792&lt;&gt;"EXPEDIÇÃO","Expedido",IF(NETWORKDAYS(C792,TODAY())&gt;=5,"Risco Alto",IF(NETWORKDAYS(C792,TODAY())&gt;=3,IF(NETWORKDAYS(C792,TODAY())&lt;5,"Risco Médio",""),IF(NETWORKDAYS(C792,TODAY())&lt;=2,"Risco Baixo",""))))</f>
        <v>Expedido</v>
      </c>
      <c r="P792" s="5" t="s">
        <v>25</v>
      </c>
      <c r="Q792" s="5" t="s">
        <v>898</v>
      </c>
      <c r="S792" s="7">
        <f>IF(ISBLANK(M792),"Aguardando Previsão/Data",NETWORKDAYS(L792,M792)-1)</f>
        <v>-3</v>
      </c>
      <c r="T792" s="5" t="s">
        <v>942</v>
      </c>
    </row>
    <row r="793" spans="1:20" x14ac:dyDescent="0.35">
      <c r="A793" s="5">
        <v>8100272408</v>
      </c>
      <c r="B793" s="5">
        <v>21037</v>
      </c>
      <c r="C793" s="6">
        <v>45664</v>
      </c>
      <c r="D793" s="5" t="s">
        <v>17</v>
      </c>
      <c r="E793" s="5" t="s">
        <v>18</v>
      </c>
      <c r="F793" s="5" t="s">
        <v>32</v>
      </c>
      <c r="G793" s="5" t="s">
        <v>33</v>
      </c>
      <c r="H793" s="5" t="s">
        <v>21</v>
      </c>
      <c r="I793" s="5" t="s">
        <v>635</v>
      </c>
      <c r="J793" s="5" t="s">
        <v>47</v>
      </c>
      <c r="K793" s="5" t="s">
        <v>24</v>
      </c>
      <c r="L793" s="6">
        <v>45671</v>
      </c>
      <c r="M793" s="6">
        <v>45670</v>
      </c>
      <c r="N793" s="6" t="s">
        <v>811</v>
      </c>
      <c r="O793" s="5" t="str">
        <f ca="1">IF(P793&lt;&gt;"EXPEDIÇÃO","Expedido",IF(NETWORKDAYS(C793,TODAY())&gt;=5,"Risco Alto",IF(NETWORKDAYS(C793,TODAY())&gt;=3,IF(NETWORKDAYS(C793,TODAY())&lt;5,"Risco Médio",""),IF(NETWORKDAYS(C793,TODAY())&lt;=2,"Risco Baixo",""))))</f>
        <v>Expedido</v>
      </c>
      <c r="P793" s="5" t="s">
        <v>25</v>
      </c>
      <c r="S793" s="7">
        <f>IF(ISBLANK(M793),"Aguardando Previsão/Data",NETWORKDAYS(L793,M793)-1)</f>
        <v>-3</v>
      </c>
      <c r="T793" s="5" t="s">
        <v>942</v>
      </c>
    </row>
    <row r="794" spans="1:20" x14ac:dyDescent="0.35">
      <c r="A794" s="5">
        <v>8100272409</v>
      </c>
      <c r="B794" s="5">
        <v>21038</v>
      </c>
      <c r="C794" s="6">
        <v>45664</v>
      </c>
      <c r="D794" s="5" t="s">
        <v>17</v>
      </c>
      <c r="E794" s="5" t="s">
        <v>18</v>
      </c>
      <c r="F794" s="5" t="s">
        <v>32</v>
      </c>
      <c r="G794" s="5" t="s">
        <v>33</v>
      </c>
      <c r="H794" s="5" t="s">
        <v>21</v>
      </c>
      <c r="I794" s="5" t="s">
        <v>635</v>
      </c>
      <c r="J794" s="5" t="s">
        <v>47</v>
      </c>
      <c r="K794" s="5" t="s">
        <v>24</v>
      </c>
      <c r="L794" s="6">
        <v>45671</v>
      </c>
      <c r="M794" s="6">
        <v>45670</v>
      </c>
      <c r="N794" s="6" t="s">
        <v>811</v>
      </c>
      <c r="O794" s="5" t="str">
        <f ca="1">IF(P794&lt;&gt;"EXPEDIÇÃO","Expedido",IF(NETWORKDAYS(C794,TODAY())&gt;=5,"Risco Alto",IF(NETWORKDAYS(C794,TODAY())&gt;=3,IF(NETWORKDAYS(C794,TODAY())&lt;5,"Risco Médio",""),IF(NETWORKDAYS(C794,TODAY())&lt;=2,"Risco Baixo",""))))</f>
        <v>Expedido</v>
      </c>
      <c r="P794" s="5" t="s">
        <v>25</v>
      </c>
      <c r="S794" s="7">
        <f>IF(ISBLANK(M794),"Aguardando Previsão/Data",NETWORKDAYS(L794,M794)-1)</f>
        <v>-3</v>
      </c>
      <c r="T794" s="5" t="s">
        <v>942</v>
      </c>
    </row>
    <row r="795" spans="1:20" x14ac:dyDescent="0.35">
      <c r="A795" s="5">
        <v>8100271139</v>
      </c>
      <c r="B795" s="5">
        <v>13117</v>
      </c>
      <c r="C795" s="6">
        <v>45664</v>
      </c>
      <c r="D795" s="5" t="s">
        <v>91</v>
      </c>
      <c r="E795" s="5" t="s">
        <v>92</v>
      </c>
      <c r="F795" s="5" t="s">
        <v>96</v>
      </c>
      <c r="G795" s="5" t="s">
        <v>97</v>
      </c>
      <c r="H795" s="5" t="s">
        <v>21</v>
      </c>
      <c r="I795" s="5" t="s">
        <v>703</v>
      </c>
      <c r="J795" s="5" t="s">
        <v>632</v>
      </c>
      <c r="K795" s="5" t="s">
        <v>101</v>
      </c>
      <c r="L795" s="6">
        <v>45674</v>
      </c>
      <c r="M795" s="6">
        <v>45673</v>
      </c>
      <c r="N795" s="6" t="s">
        <v>811</v>
      </c>
      <c r="O795" s="5" t="str">
        <f ca="1">IF(P795&lt;&gt;"EXPEDIÇÃO","Expedido",IF(NETWORKDAYS(C795,TODAY())&gt;=5,"Risco Alto",IF(NETWORKDAYS(C795,TODAY())&gt;=3,IF(NETWORKDAYS(C795,TODAY())&lt;5,"Risco Médio",""),IF(NETWORKDAYS(C795,TODAY())&lt;=2,"Risco Baixo",""))))</f>
        <v>Expedido</v>
      </c>
      <c r="P795" s="5" t="s">
        <v>25</v>
      </c>
      <c r="S795" s="7">
        <f>IF(ISBLANK(M795),"Aguardando Previsão/Data",NETWORKDAYS(L795,M795)-1)</f>
        <v>-3</v>
      </c>
      <c r="T795" s="5" t="s">
        <v>942</v>
      </c>
    </row>
    <row r="796" spans="1:20" x14ac:dyDescent="0.35">
      <c r="A796" s="5">
        <v>8100271140</v>
      </c>
      <c r="B796" s="5">
        <v>13118</v>
      </c>
      <c r="C796" s="6">
        <v>45664</v>
      </c>
      <c r="D796" s="5" t="s">
        <v>91</v>
      </c>
      <c r="E796" s="5" t="s">
        <v>92</v>
      </c>
      <c r="F796" s="5" t="s">
        <v>96</v>
      </c>
      <c r="G796" s="5" t="s">
        <v>97</v>
      </c>
      <c r="H796" s="5" t="s">
        <v>21</v>
      </c>
      <c r="I796" s="5" t="s">
        <v>1195</v>
      </c>
      <c r="J796" s="5" t="s">
        <v>636</v>
      </c>
      <c r="K796" s="5" t="s">
        <v>95</v>
      </c>
      <c r="L796" s="6">
        <v>45671</v>
      </c>
      <c r="M796" s="6">
        <v>45666</v>
      </c>
      <c r="N796" s="6" t="s">
        <v>811</v>
      </c>
      <c r="O796" s="5" t="str">
        <f ca="1">IF(P796&lt;&gt;"EXPEDIÇÃO","Expedido",IF(NETWORKDAYS(C796,TODAY())&gt;=5,"Risco Alto",IF(NETWORKDAYS(C796,TODAY())&gt;=3,IF(NETWORKDAYS(C796,TODAY())&lt;5,"Risco Médio",""),IF(NETWORKDAYS(C796,TODAY())&lt;=2,"Risco Baixo",""))))</f>
        <v>Expedido</v>
      </c>
      <c r="P796" s="5" t="s">
        <v>25</v>
      </c>
      <c r="S796" s="7">
        <f>IF(ISBLANK(M796),"Aguardando Previsão/Data",NETWORKDAYS(L796,M796)-1)</f>
        <v>-5</v>
      </c>
      <c r="T796" s="5" t="s">
        <v>942</v>
      </c>
    </row>
    <row r="797" spans="1:20" x14ac:dyDescent="0.35">
      <c r="A797" s="5">
        <v>8100271713</v>
      </c>
      <c r="B797" s="5">
        <v>13112</v>
      </c>
      <c r="C797" s="6">
        <v>45664</v>
      </c>
      <c r="D797" s="5" t="s">
        <v>91</v>
      </c>
      <c r="E797" s="5" t="s">
        <v>92</v>
      </c>
      <c r="F797" s="5" t="s">
        <v>96</v>
      </c>
      <c r="G797" s="5" t="s">
        <v>97</v>
      </c>
      <c r="H797" s="5" t="s">
        <v>21</v>
      </c>
      <c r="I797" s="5" t="s">
        <v>532</v>
      </c>
      <c r="J797" s="5" t="s">
        <v>536</v>
      </c>
      <c r="K797" s="5" t="s">
        <v>101</v>
      </c>
      <c r="L797" s="6">
        <v>45673</v>
      </c>
      <c r="M797" s="6">
        <v>45670</v>
      </c>
      <c r="N797" s="6" t="s">
        <v>811</v>
      </c>
      <c r="O797" s="5" t="str">
        <f ca="1">IF(P797&lt;&gt;"EXPEDIÇÃO","Expedido",IF(NETWORKDAYS(C797,TODAY())&gt;=5,"Risco Alto",IF(NETWORKDAYS(C797,TODAY())&gt;=3,IF(NETWORKDAYS(C797,TODAY())&lt;5,"Risco Médio",""),IF(NETWORKDAYS(C797,TODAY())&lt;=2,"Risco Baixo",""))))</f>
        <v>Expedido</v>
      </c>
      <c r="P797" s="5" t="s">
        <v>25</v>
      </c>
      <c r="S797" s="7">
        <f>IF(ISBLANK(M797),"Aguardando Previsão/Data",NETWORKDAYS(L797,M797)-1)</f>
        <v>-5</v>
      </c>
      <c r="T797" s="5" t="s">
        <v>942</v>
      </c>
    </row>
    <row r="798" spans="1:20" x14ac:dyDescent="0.35">
      <c r="A798" s="5">
        <v>8100272124</v>
      </c>
      <c r="B798" s="5">
        <v>13113</v>
      </c>
      <c r="C798" s="6">
        <v>45664</v>
      </c>
      <c r="D798" s="5" t="s">
        <v>91</v>
      </c>
      <c r="E798" s="5" t="s">
        <v>92</v>
      </c>
      <c r="F798" s="5" t="s">
        <v>96</v>
      </c>
      <c r="G798" s="5" t="s">
        <v>97</v>
      </c>
      <c r="H798" s="5" t="s">
        <v>21</v>
      </c>
      <c r="I798" s="5" t="s">
        <v>692</v>
      </c>
      <c r="J798" s="5" t="s">
        <v>387</v>
      </c>
      <c r="K798" s="5" t="s">
        <v>101</v>
      </c>
      <c r="L798" s="6">
        <v>45673</v>
      </c>
      <c r="M798" s="6">
        <v>45670</v>
      </c>
      <c r="N798" s="6" t="s">
        <v>811</v>
      </c>
      <c r="O798" s="5" t="str">
        <f ca="1">IF(P798&lt;&gt;"EXPEDIÇÃO","Expedido",IF(NETWORKDAYS(C798,TODAY())&gt;=5,"Risco Alto",IF(NETWORKDAYS(C798,TODAY())&gt;=3,IF(NETWORKDAYS(C798,TODAY())&lt;5,"Risco Médio",""),IF(NETWORKDAYS(C798,TODAY())&lt;=2,"Risco Baixo",""))))</f>
        <v>Expedido</v>
      </c>
      <c r="P798" s="5" t="s">
        <v>25</v>
      </c>
      <c r="S798" s="7">
        <f>IF(ISBLANK(M798),"Aguardando Previsão/Data",NETWORKDAYS(L798,M798)-1)</f>
        <v>-5</v>
      </c>
      <c r="T798" s="5" t="s">
        <v>942</v>
      </c>
    </row>
    <row r="799" spans="1:20" x14ac:dyDescent="0.35">
      <c r="A799" s="5">
        <v>8100272125</v>
      </c>
      <c r="B799" s="5">
        <v>13114</v>
      </c>
      <c r="C799" s="6">
        <v>45664</v>
      </c>
      <c r="D799" s="5" t="s">
        <v>91</v>
      </c>
      <c r="E799" s="5" t="s">
        <v>92</v>
      </c>
      <c r="F799" s="5" t="s">
        <v>96</v>
      </c>
      <c r="G799" s="5" t="s">
        <v>97</v>
      </c>
      <c r="H799" s="5" t="s">
        <v>21</v>
      </c>
      <c r="I799" s="5" t="s">
        <v>703</v>
      </c>
      <c r="J799" s="5" t="s">
        <v>632</v>
      </c>
      <c r="K799" s="5" t="s">
        <v>101</v>
      </c>
      <c r="L799" s="6">
        <v>45674</v>
      </c>
      <c r="M799" s="6">
        <v>45673</v>
      </c>
      <c r="N799" s="6" t="s">
        <v>811</v>
      </c>
      <c r="O799" s="5" t="str">
        <f ca="1">IF(P799&lt;&gt;"EXPEDIÇÃO","Expedido",IF(NETWORKDAYS(C799,TODAY())&gt;=5,"Risco Alto",IF(NETWORKDAYS(C799,TODAY())&gt;=3,IF(NETWORKDAYS(C799,TODAY())&lt;5,"Risco Médio",""),IF(NETWORKDAYS(C799,TODAY())&lt;=2,"Risco Baixo",""))))</f>
        <v>Expedido</v>
      </c>
      <c r="P799" s="5" t="s">
        <v>25</v>
      </c>
      <c r="S799" s="7">
        <f>IF(ISBLANK(M799),"Aguardando Previsão/Data",NETWORKDAYS(L799,M799)-1)</f>
        <v>-3</v>
      </c>
      <c r="T799" s="5" t="s">
        <v>942</v>
      </c>
    </row>
    <row r="800" spans="1:20" x14ac:dyDescent="0.35">
      <c r="A800" s="5">
        <v>8100272126</v>
      </c>
      <c r="B800" s="5">
        <v>13115</v>
      </c>
      <c r="C800" s="6">
        <v>45664</v>
      </c>
      <c r="D800" s="5" t="s">
        <v>91</v>
      </c>
      <c r="E800" s="5" t="s">
        <v>92</v>
      </c>
      <c r="F800" s="5" t="s">
        <v>96</v>
      </c>
      <c r="G800" s="5" t="s">
        <v>97</v>
      </c>
      <c r="H800" s="5" t="s">
        <v>21</v>
      </c>
      <c r="I800" s="5" t="s">
        <v>703</v>
      </c>
      <c r="J800" s="5" t="s">
        <v>579</v>
      </c>
      <c r="K800" s="5" t="s">
        <v>101</v>
      </c>
      <c r="L800" s="6">
        <v>45674</v>
      </c>
      <c r="M800" s="6">
        <v>45671</v>
      </c>
      <c r="N800" s="6" t="s">
        <v>811</v>
      </c>
      <c r="O800" s="5" t="str">
        <f ca="1">IF(P800&lt;&gt;"EXPEDIÇÃO","Expedido",IF(NETWORKDAYS(C800,TODAY())&gt;=5,"Risco Alto",IF(NETWORKDAYS(C800,TODAY())&gt;=3,IF(NETWORKDAYS(C800,TODAY())&lt;5,"Risco Médio",""),IF(NETWORKDAYS(C800,TODAY())&lt;=2,"Risco Baixo",""))))</f>
        <v>Expedido</v>
      </c>
      <c r="P800" s="5" t="s">
        <v>25</v>
      </c>
      <c r="S800" s="7">
        <f>IF(ISBLANK(M800),"Aguardando Previsão/Data",NETWORKDAYS(L800,M800)-1)</f>
        <v>-5</v>
      </c>
      <c r="T800" s="5" t="s">
        <v>942</v>
      </c>
    </row>
    <row r="801" spans="1:20" x14ac:dyDescent="0.35">
      <c r="A801" s="5">
        <v>8100272393</v>
      </c>
      <c r="B801" s="5">
        <v>13119</v>
      </c>
      <c r="C801" s="6">
        <v>45664</v>
      </c>
      <c r="D801" s="5" t="s">
        <v>91</v>
      </c>
      <c r="E801" s="5" t="s">
        <v>92</v>
      </c>
      <c r="F801" s="5" t="s">
        <v>58</v>
      </c>
      <c r="G801" s="5" t="s">
        <v>59</v>
      </c>
      <c r="H801" s="5" t="s">
        <v>21</v>
      </c>
      <c r="I801" s="5" t="s">
        <v>534</v>
      </c>
      <c r="J801" s="5" t="s">
        <v>535</v>
      </c>
      <c r="K801" s="5" t="s">
        <v>95</v>
      </c>
      <c r="L801" s="6">
        <v>45677</v>
      </c>
      <c r="M801" s="6">
        <v>45670</v>
      </c>
      <c r="N801" s="6" t="s">
        <v>811</v>
      </c>
      <c r="O801" s="5" t="str">
        <f ca="1">IF(P801&lt;&gt;"EXPEDIÇÃO","Expedido",IF(NETWORKDAYS(C801,TODAY())&gt;=5,"Risco Alto",IF(NETWORKDAYS(C801,TODAY())&gt;=3,IF(NETWORKDAYS(C801,TODAY())&lt;5,"Risco Médio",""),IF(NETWORKDAYS(C801,TODAY())&lt;=2,"Risco Baixo",""))))</f>
        <v>Expedido</v>
      </c>
      <c r="P801" s="5" t="s">
        <v>25</v>
      </c>
      <c r="S801" s="7">
        <f>IF(ISBLANK(M801),"Aguardando Previsão/Data",NETWORKDAYS(L801,M801)-1)</f>
        <v>-7</v>
      </c>
      <c r="T801" s="5" t="s">
        <v>942</v>
      </c>
    </row>
    <row r="802" spans="1:20" x14ac:dyDescent="0.35">
      <c r="A802" s="5">
        <v>8100272394</v>
      </c>
      <c r="B802" s="5">
        <v>13116</v>
      </c>
      <c r="C802" s="6">
        <v>45664</v>
      </c>
      <c r="D802" s="5" t="s">
        <v>91</v>
      </c>
      <c r="E802" s="5" t="s">
        <v>92</v>
      </c>
      <c r="F802" s="5" t="s">
        <v>103</v>
      </c>
      <c r="G802" s="5" t="s">
        <v>104</v>
      </c>
      <c r="H802" s="5" t="s">
        <v>21</v>
      </c>
      <c r="I802" s="5" t="s">
        <v>1040</v>
      </c>
      <c r="J802" s="5" t="s">
        <v>754</v>
      </c>
      <c r="K802" s="5" t="s">
        <v>423</v>
      </c>
      <c r="L802" s="6">
        <v>45674</v>
      </c>
      <c r="M802" s="6">
        <v>45671</v>
      </c>
      <c r="N802" s="6" t="s">
        <v>811</v>
      </c>
      <c r="O802" s="5" t="str">
        <f ca="1">IF(P802&lt;&gt;"EXPEDIÇÃO","Expedido",IF(NETWORKDAYS(C802,TODAY())&gt;=5,"Risco Alto",IF(NETWORKDAYS(C802,TODAY())&gt;=3,IF(NETWORKDAYS(C802,TODAY())&lt;5,"Risco Médio",""),IF(NETWORKDAYS(C802,TODAY())&lt;=2,"Risco Baixo",""))))</f>
        <v>Expedido</v>
      </c>
      <c r="P802" s="5" t="s">
        <v>25</v>
      </c>
      <c r="S802" s="7">
        <f>IF(ISBLANK(M802),"Aguardando Previsão/Data",NETWORKDAYS(L802,M802)-1)</f>
        <v>-5</v>
      </c>
      <c r="T802" s="5" t="s">
        <v>942</v>
      </c>
    </row>
    <row r="803" spans="1:20" x14ac:dyDescent="0.35">
      <c r="A803" s="5">
        <v>8100269524</v>
      </c>
      <c r="B803" s="5">
        <v>21019</v>
      </c>
      <c r="C803" s="6">
        <v>45664</v>
      </c>
      <c r="D803" s="5" t="s">
        <v>836</v>
      </c>
      <c r="E803" s="5" t="s">
        <v>837</v>
      </c>
      <c r="F803" s="5" t="s">
        <v>19</v>
      </c>
      <c r="G803" s="5" t="s">
        <v>20</v>
      </c>
      <c r="H803" s="5" t="s">
        <v>21</v>
      </c>
      <c r="I803" s="5" t="s">
        <v>576</v>
      </c>
      <c r="J803" s="5" t="s">
        <v>260</v>
      </c>
      <c r="K803" s="5" t="s">
        <v>24</v>
      </c>
      <c r="L803" s="6">
        <v>45672</v>
      </c>
      <c r="M803" s="6">
        <v>45672</v>
      </c>
      <c r="N803" s="6" t="s">
        <v>811</v>
      </c>
      <c r="O803" s="5" t="str">
        <f ca="1">IF(P803&lt;&gt;"EXPEDIÇÃO","Expedido",IF(NETWORKDAYS(C803,TODAY())&gt;=5,"Risco Alto",IF(NETWORKDAYS(C803,TODAY())&gt;=3,IF(NETWORKDAYS(C803,TODAY())&lt;5,"Risco Médio",""),IF(NETWORKDAYS(C803,TODAY())&lt;=2,"Risco Baixo",""))))</f>
        <v>Expedido</v>
      </c>
      <c r="P803" s="5" t="s">
        <v>25</v>
      </c>
      <c r="Q803" s="5" t="s">
        <v>897</v>
      </c>
      <c r="R803" s="5">
        <v>1677229</v>
      </c>
      <c r="S803" s="7">
        <f>IF(ISBLANK(M803),"Aguardando Previsão/Data",NETWORKDAYS(L803,M803)-1)</f>
        <v>0</v>
      </c>
      <c r="T803" s="5" t="s">
        <v>942</v>
      </c>
    </row>
    <row r="804" spans="1:20" x14ac:dyDescent="0.35">
      <c r="A804" s="5">
        <v>8100270148</v>
      </c>
      <c r="B804" s="5">
        <v>21020</v>
      </c>
      <c r="C804" s="6">
        <v>45664</v>
      </c>
      <c r="D804" s="5" t="s">
        <v>836</v>
      </c>
      <c r="E804" s="5" t="s">
        <v>837</v>
      </c>
      <c r="F804" s="5" t="s">
        <v>19</v>
      </c>
      <c r="G804" s="5" t="s">
        <v>20</v>
      </c>
      <c r="H804" s="5" t="s">
        <v>21</v>
      </c>
      <c r="I804" s="5" t="s">
        <v>492</v>
      </c>
      <c r="J804" s="5" t="s">
        <v>466</v>
      </c>
      <c r="K804" s="5" t="s">
        <v>24</v>
      </c>
      <c r="L804" s="6">
        <v>45672</v>
      </c>
      <c r="M804" s="6">
        <v>45667</v>
      </c>
      <c r="N804" s="6" t="s">
        <v>811</v>
      </c>
      <c r="O804" s="5" t="str">
        <f ca="1">IF(P804&lt;&gt;"EXPEDIÇÃO","Expedido",IF(NETWORKDAYS(C804,TODAY())&gt;=5,"Risco Alto",IF(NETWORKDAYS(C804,TODAY())&gt;=3,IF(NETWORKDAYS(C804,TODAY())&lt;5,"Risco Médio",""),IF(NETWORKDAYS(C804,TODAY())&lt;=2,"Risco Baixo",""))))</f>
        <v>Expedido</v>
      </c>
      <c r="P804" s="5" t="s">
        <v>25</v>
      </c>
      <c r="S804" s="7">
        <f>IF(ISBLANK(M804),"Aguardando Previsão/Data",NETWORKDAYS(L804,M804)-1)</f>
        <v>-5</v>
      </c>
      <c r="T804" s="5" t="s">
        <v>942</v>
      </c>
    </row>
    <row r="805" spans="1:20" x14ac:dyDescent="0.35">
      <c r="A805" s="5">
        <v>8100270149</v>
      </c>
      <c r="B805" s="5">
        <v>20986</v>
      </c>
      <c r="C805" s="6">
        <v>45664</v>
      </c>
      <c r="D805" s="5" t="s">
        <v>836</v>
      </c>
      <c r="E805" s="5" t="s">
        <v>837</v>
      </c>
      <c r="F805" s="5" t="s">
        <v>19</v>
      </c>
      <c r="G805" s="5" t="s">
        <v>20</v>
      </c>
      <c r="H805" s="5" t="s">
        <v>21</v>
      </c>
      <c r="I805" s="5" t="s">
        <v>975</v>
      </c>
      <c r="J805" s="5" t="s">
        <v>603</v>
      </c>
      <c r="K805" s="5" t="s">
        <v>24</v>
      </c>
      <c r="L805" s="6">
        <v>45672</v>
      </c>
      <c r="M805" s="6">
        <v>45667</v>
      </c>
      <c r="N805" s="6" t="s">
        <v>811</v>
      </c>
      <c r="O805" s="5" t="str">
        <f ca="1">IF(P805&lt;&gt;"EXPEDIÇÃO","Expedido",IF(NETWORKDAYS(C805,TODAY())&gt;=5,"Risco Alto",IF(NETWORKDAYS(C805,TODAY())&gt;=3,IF(NETWORKDAYS(C805,TODAY())&lt;5,"Risco Médio",""),IF(NETWORKDAYS(C805,TODAY())&lt;=2,"Risco Baixo",""))))</f>
        <v>Expedido</v>
      </c>
      <c r="P805" s="5" t="s">
        <v>25</v>
      </c>
      <c r="S805" s="7">
        <f>IF(ISBLANK(M805),"Aguardando Previsão/Data",NETWORKDAYS(L805,M805)-1)</f>
        <v>-5</v>
      </c>
      <c r="T805" s="5" t="s">
        <v>942</v>
      </c>
    </row>
    <row r="806" spans="1:20" x14ac:dyDescent="0.35">
      <c r="A806" s="5">
        <v>8100270150</v>
      </c>
      <c r="B806" s="5">
        <v>20987</v>
      </c>
      <c r="C806" s="6">
        <v>45664</v>
      </c>
      <c r="D806" s="5" t="s">
        <v>836</v>
      </c>
      <c r="E806" s="5" t="s">
        <v>837</v>
      </c>
      <c r="F806" s="5" t="s">
        <v>39</v>
      </c>
      <c r="G806" s="5" t="s">
        <v>40</v>
      </c>
      <c r="H806" s="5" t="s">
        <v>21</v>
      </c>
      <c r="I806" s="5" t="s">
        <v>1188</v>
      </c>
      <c r="J806" s="5" t="s">
        <v>495</v>
      </c>
      <c r="K806" s="5" t="s">
        <v>24</v>
      </c>
      <c r="L806" s="6">
        <v>45673</v>
      </c>
      <c r="M806" s="6">
        <v>45673</v>
      </c>
      <c r="N806" s="6" t="s">
        <v>811</v>
      </c>
      <c r="O806" s="5" t="str">
        <f ca="1">IF(P806&lt;&gt;"EXPEDIÇÃO","Expedido",IF(NETWORKDAYS(C806,TODAY())&gt;=5,"Risco Alto",IF(NETWORKDAYS(C806,TODAY())&gt;=3,IF(NETWORKDAYS(C806,TODAY())&lt;5,"Risco Médio",""),IF(NETWORKDAYS(C806,TODAY())&lt;=2,"Risco Baixo",""))))</f>
        <v>Expedido</v>
      </c>
      <c r="P806" s="5" t="s">
        <v>25</v>
      </c>
      <c r="Q806" s="5" t="s">
        <v>898</v>
      </c>
      <c r="S806" s="7">
        <f>IF(ISBLANK(M806),"Aguardando Previsão/Data",NETWORKDAYS(L806,M806)-1)</f>
        <v>0</v>
      </c>
      <c r="T806" s="5" t="s">
        <v>942</v>
      </c>
    </row>
    <row r="807" spans="1:20" x14ac:dyDescent="0.35">
      <c r="A807" s="5">
        <v>8100270152</v>
      </c>
      <c r="B807" s="5">
        <v>20988</v>
      </c>
      <c r="C807" s="6">
        <v>45664</v>
      </c>
      <c r="D807" s="5" t="s">
        <v>836</v>
      </c>
      <c r="E807" s="5" t="s">
        <v>837</v>
      </c>
      <c r="F807" s="5" t="s">
        <v>39</v>
      </c>
      <c r="G807" s="5" t="s">
        <v>40</v>
      </c>
      <c r="H807" s="5" t="s">
        <v>21</v>
      </c>
      <c r="I807" s="5" t="s">
        <v>1189</v>
      </c>
      <c r="J807" s="5" t="s">
        <v>737</v>
      </c>
      <c r="K807" s="5" t="s">
        <v>24</v>
      </c>
      <c r="L807" s="6">
        <v>45673</v>
      </c>
      <c r="M807" s="6">
        <v>45672</v>
      </c>
      <c r="N807" s="6" t="s">
        <v>811</v>
      </c>
      <c r="O807" s="5" t="str">
        <f ca="1">IF(P807&lt;&gt;"EXPEDIÇÃO","Expedido",IF(NETWORKDAYS(C807,TODAY())&gt;=5,"Risco Alto",IF(NETWORKDAYS(C807,TODAY())&gt;=3,IF(NETWORKDAYS(C807,TODAY())&lt;5,"Risco Médio",""),IF(NETWORKDAYS(C807,TODAY())&lt;=2,"Risco Baixo",""))))</f>
        <v>Expedido</v>
      </c>
      <c r="P807" s="5" t="s">
        <v>25</v>
      </c>
      <c r="Q807" s="5" t="s">
        <v>937</v>
      </c>
      <c r="S807" s="7">
        <f>IF(ISBLANK(M807),"Aguardando Previsão/Data",NETWORKDAYS(L807,M807)-1)</f>
        <v>-3</v>
      </c>
      <c r="T807" s="5" t="s">
        <v>942</v>
      </c>
    </row>
    <row r="808" spans="1:20" x14ac:dyDescent="0.35">
      <c r="A808" s="5">
        <v>8100270153</v>
      </c>
      <c r="B808" s="5">
        <v>20989</v>
      </c>
      <c r="C808" s="6">
        <v>45664</v>
      </c>
      <c r="D808" s="5" t="s">
        <v>836</v>
      </c>
      <c r="E808" s="5" t="s">
        <v>837</v>
      </c>
      <c r="F808" s="5" t="s">
        <v>39</v>
      </c>
      <c r="G808" s="5" t="s">
        <v>40</v>
      </c>
      <c r="H808" s="5" t="s">
        <v>21</v>
      </c>
      <c r="I808" s="5" t="s">
        <v>1190</v>
      </c>
      <c r="J808" s="5" t="s">
        <v>522</v>
      </c>
      <c r="K808" s="5" t="s">
        <v>24</v>
      </c>
      <c r="L808" s="6">
        <v>45672</v>
      </c>
      <c r="M808" s="6">
        <v>45667</v>
      </c>
      <c r="N808" s="6" t="s">
        <v>811</v>
      </c>
      <c r="O808" s="5" t="str">
        <f ca="1">IF(P808&lt;&gt;"EXPEDIÇÃO","Expedido",IF(NETWORKDAYS(C808,TODAY())&gt;=5,"Risco Alto",IF(NETWORKDAYS(C808,TODAY())&gt;=3,IF(NETWORKDAYS(C808,TODAY())&lt;5,"Risco Médio",""),IF(NETWORKDAYS(C808,TODAY())&lt;=2,"Risco Baixo",""))))</f>
        <v>Expedido</v>
      </c>
      <c r="P808" s="5" t="s">
        <v>25</v>
      </c>
      <c r="S808" s="7">
        <f>IF(ISBLANK(M808),"Aguardando Previsão/Data",NETWORKDAYS(L808,M808)-1)</f>
        <v>-5</v>
      </c>
      <c r="T808" s="5" t="s">
        <v>942</v>
      </c>
    </row>
    <row r="809" spans="1:20" x14ac:dyDescent="0.35">
      <c r="A809" s="5">
        <v>8100270154</v>
      </c>
      <c r="B809" s="5">
        <v>20990</v>
      </c>
      <c r="C809" s="6">
        <v>45664</v>
      </c>
      <c r="D809" s="5" t="s">
        <v>836</v>
      </c>
      <c r="E809" s="5" t="s">
        <v>837</v>
      </c>
      <c r="F809" s="5" t="s">
        <v>39</v>
      </c>
      <c r="G809" s="5" t="s">
        <v>40</v>
      </c>
      <c r="H809" s="5" t="s">
        <v>21</v>
      </c>
      <c r="I809" s="5" t="s">
        <v>849</v>
      </c>
      <c r="J809" s="5" t="s">
        <v>603</v>
      </c>
      <c r="K809" s="5" t="s">
        <v>24</v>
      </c>
      <c r="L809" s="6">
        <v>45672</v>
      </c>
      <c r="M809" s="6">
        <v>45665</v>
      </c>
      <c r="N809" s="6" t="s">
        <v>811</v>
      </c>
      <c r="O809" s="5" t="str">
        <f ca="1">IF(P809&lt;&gt;"EXPEDIÇÃO","Expedido",IF(NETWORKDAYS(C809,TODAY())&gt;=5,"Risco Alto",IF(NETWORKDAYS(C809,TODAY())&gt;=3,IF(NETWORKDAYS(C809,TODAY())&lt;5,"Risco Médio",""),IF(NETWORKDAYS(C809,TODAY())&lt;=2,"Risco Baixo",""))))</f>
        <v>Expedido</v>
      </c>
      <c r="P809" s="5" t="s">
        <v>25</v>
      </c>
      <c r="S809" s="7">
        <f>IF(ISBLANK(M809),"Aguardando Previsão/Data",NETWORKDAYS(L809,M809)-1)</f>
        <v>-7</v>
      </c>
      <c r="T809" s="5" t="s">
        <v>942</v>
      </c>
    </row>
    <row r="810" spans="1:20" x14ac:dyDescent="0.35">
      <c r="A810" s="5">
        <v>8100270155</v>
      </c>
      <c r="B810" s="5">
        <v>20991</v>
      </c>
      <c r="C810" s="6">
        <v>45664</v>
      </c>
      <c r="D810" s="5" t="s">
        <v>836</v>
      </c>
      <c r="E810" s="5" t="s">
        <v>837</v>
      </c>
      <c r="F810" s="5" t="s">
        <v>39</v>
      </c>
      <c r="G810" s="5" t="s">
        <v>40</v>
      </c>
      <c r="H810" s="5" t="s">
        <v>21</v>
      </c>
      <c r="I810" s="5" t="s">
        <v>842</v>
      </c>
      <c r="J810" s="5" t="s">
        <v>848</v>
      </c>
      <c r="K810" s="5" t="s">
        <v>24</v>
      </c>
      <c r="L810" s="6">
        <v>45673</v>
      </c>
      <c r="M810" s="6">
        <v>45666</v>
      </c>
      <c r="N810" s="6" t="s">
        <v>811</v>
      </c>
      <c r="O810" s="5" t="str">
        <f ca="1">IF(P810&lt;&gt;"EXPEDIÇÃO","Expedido",IF(NETWORKDAYS(C810,TODAY())&gt;=5,"Risco Alto",IF(NETWORKDAYS(C810,TODAY())&gt;=3,IF(NETWORKDAYS(C810,TODAY())&lt;5,"Risco Médio",""),IF(NETWORKDAYS(C810,TODAY())&lt;=2,"Risco Baixo",""))))</f>
        <v>Expedido</v>
      </c>
      <c r="P810" s="5" t="s">
        <v>25</v>
      </c>
      <c r="S810" s="7">
        <f>IF(ISBLANK(M810),"Aguardando Previsão/Data",NETWORKDAYS(L810,M810)-1)</f>
        <v>-7</v>
      </c>
      <c r="T810" s="5" t="s">
        <v>942</v>
      </c>
    </row>
    <row r="811" spans="1:20" x14ac:dyDescent="0.35">
      <c r="A811" s="5">
        <v>8100270156</v>
      </c>
      <c r="B811" s="5">
        <v>20992</v>
      </c>
      <c r="C811" s="6">
        <v>45664</v>
      </c>
      <c r="D811" s="5" t="s">
        <v>836</v>
      </c>
      <c r="E811" s="5" t="s">
        <v>837</v>
      </c>
      <c r="F811" s="5" t="s">
        <v>39</v>
      </c>
      <c r="G811" s="5" t="s">
        <v>40</v>
      </c>
      <c r="H811" s="5" t="s">
        <v>21</v>
      </c>
      <c r="I811" s="5" t="s">
        <v>842</v>
      </c>
      <c r="J811" s="5" t="s">
        <v>843</v>
      </c>
      <c r="K811" s="5" t="s">
        <v>24</v>
      </c>
      <c r="L811" s="6">
        <v>45673</v>
      </c>
      <c r="M811" s="6">
        <v>45668</v>
      </c>
      <c r="N811" s="6" t="s">
        <v>811</v>
      </c>
      <c r="O811" s="5" t="str">
        <f ca="1">IF(P811&lt;&gt;"EXPEDIÇÃO","Expedido",IF(NETWORKDAYS(C811,TODAY())&gt;=5,"Risco Alto",IF(NETWORKDAYS(C811,TODAY())&gt;=3,IF(NETWORKDAYS(C811,TODAY())&lt;5,"Risco Médio",""),IF(NETWORKDAYS(C811,TODAY())&lt;=2,"Risco Baixo",""))))</f>
        <v>Expedido</v>
      </c>
      <c r="P811" s="5" t="s">
        <v>25</v>
      </c>
      <c r="S811" s="7">
        <f>IF(ISBLANK(M811),"Aguardando Previsão/Data",NETWORKDAYS(L811,M811)-1)</f>
        <v>-5</v>
      </c>
      <c r="T811" s="5" t="s">
        <v>942</v>
      </c>
    </row>
    <row r="812" spans="1:20" x14ac:dyDescent="0.35">
      <c r="A812" s="5">
        <v>8100270159</v>
      </c>
      <c r="B812" s="5">
        <v>21021</v>
      </c>
      <c r="C812" s="6">
        <v>45664</v>
      </c>
      <c r="D812" s="5" t="s">
        <v>836</v>
      </c>
      <c r="E812" s="5" t="s">
        <v>837</v>
      </c>
      <c r="F812" s="5" t="s">
        <v>39</v>
      </c>
      <c r="G812" s="5" t="s">
        <v>40</v>
      </c>
      <c r="H812" s="5" t="s">
        <v>21</v>
      </c>
      <c r="I812" s="5" t="s">
        <v>878</v>
      </c>
      <c r="J812" s="5" t="s">
        <v>601</v>
      </c>
      <c r="K812" s="5" t="s">
        <v>24</v>
      </c>
      <c r="L812" s="6">
        <v>45673</v>
      </c>
      <c r="M812" s="6">
        <v>45670</v>
      </c>
      <c r="N812" s="6" t="s">
        <v>811</v>
      </c>
      <c r="O812" s="5" t="str">
        <f ca="1">IF(P812&lt;&gt;"EXPEDIÇÃO","Expedido",IF(NETWORKDAYS(C812,TODAY())&gt;=5,"Risco Alto",IF(NETWORKDAYS(C812,TODAY())&gt;=3,IF(NETWORKDAYS(C812,TODAY())&lt;5,"Risco Médio",""),IF(NETWORKDAYS(C812,TODAY())&lt;=2,"Risco Baixo",""))))</f>
        <v>Expedido</v>
      </c>
      <c r="P812" s="5" t="s">
        <v>25</v>
      </c>
      <c r="S812" s="7">
        <f>IF(ISBLANK(M812),"Aguardando Previsão/Data",NETWORKDAYS(L812,M812)-1)</f>
        <v>-5</v>
      </c>
      <c r="T812" s="5" t="s">
        <v>942</v>
      </c>
    </row>
    <row r="813" spans="1:20" x14ac:dyDescent="0.35">
      <c r="A813" s="5">
        <v>8100271194</v>
      </c>
      <c r="B813" s="5">
        <v>21044</v>
      </c>
      <c r="C813" s="6">
        <v>45664</v>
      </c>
      <c r="D813" s="5" t="s">
        <v>836</v>
      </c>
      <c r="E813" s="5" t="s">
        <v>837</v>
      </c>
      <c r="F813" s="5" t="s">
        <v>39</v>
      </c>
      <c r="G813" s="5" t="s">
        <v>40</v>
      </c>
      <c r="H813" s="5" t="s">
        <v>21</v>
      </c>
      <c r="I813" s="5" t="s">
        <v>1109</v>
      </c>
      <c r="J813" s="5" t="s">
        <v>600</v>
      </c>
      <c r="K813" s="5" t="s">
        <v>24</v>
      </c>
      <c r="L813" s="6">
        <v>45672</v>
      </c>
      <c r="M813" s="6">
        <v>45673</v>
      </c>
      <c r="N813" s="6" t="s">
        <v>811</v>
      </c>
      <c r="O813" s="5" t="str">
        <f ca="1">IF(P813&lt;&gt;"EXPEDIÇÃO","Expedido",IF(NETWORKDAYS(C813,TODAY())&gt;=5,"Risco Alto",IF(NETWORKDAYS(C813,TODAY())&gt;=3,IF(NETWORKDAYS(C813,TODAY())&lt;5,"Risco Médio",""),IF(NETWORKDAYS(C813,TODAY())&lt;=2,"Risco Baixo",""))))</f>
        <v>Expedido</v>
      </c>
      <c r="P813" s="5" t="s">
        <v>25</v>
      </c>
      <c r="Q813" s="5" t="s">
        <v>897</v>
      </c>
      <c r="R813" s="5">
        <v>1682040</v>
      </c>
      <c r="S813" s="7">
        <f>IF(ISBLANK(M813),"Aguardando Previsão/Data",NETWORKDAYS(L813,M813)-1)</f>
        <v>1</v>
      </c>
      <c r="T813" s="5" t="s">
        <v>942</v>
      </c>
    </row>
    <row r="814" spans="1:20" x14ac:dyDescent="0.35">
      <c r="A814" s="5">
        <v>8100271195</v>
      </c>
      <c r="B814" s="5">
        <v>21045</v>
      </c>
      <c r="C814" s="6">
        <v>45664</v>
      </c>
      <c r="D814" s="5" t="s">
        <v>836</v>
      </c>
      <c r="E814" s="5" t="s">
        <v>837</v>
      </c>
      <c r="F814" s="5" t="s">
        <v>39</v>
      </c>
      <c r="G814" s="5" t="s">
        <v>40</v>
      </c>
      <c r="H814" s="5" t="s">
        <v>21</v>
      </c>
      <c r="I814" s="5" t="s">
        <v>1156</v>
      </c>
      <c r="J814" s="5" t="s">
        <v>602</v>
      </c>
      <c r="K814" s="5" t="s">
        <v>24</v>
      </c>
      <c r="L814" s="6">
        <v>45672</v>
      </c>
      <c r="M814" s="6">
        <v>45674</v>
      </c>
      <c r="N814" s="6" t="s">
        <v>811</v>
      </c>
      <c r="O814" s="5" t="str">
        <f ca="1">IF(P814&lt;&gt;"EXPEDIÇÃO","Expedido",IF(NETWORKDAYS(C814,TODAY())&gt;=5,"Risco Alto",IF(NETWORKDAYS(C814,TODAY())&gt;=3,IF(NETWORKDAYS(C814,TODAY())&lt;5,"Risco Médio",""),IF(NETWORKDAYS(C814,TODAY())&lt;=2,"Risco Baixo",""))))</f>
        <v>Expedido</v>
      </c>
      <c r="P814" s="5" t="s">
        <v>25</v>
      </c>
      <c r="Q814" s="5" t="s">
        <v>897</v>
      </c>
      <c r="R814" s="5">
        <v>1682038</v>
      </c>
      <c r="S814" s="7">
        <f>IF(ISBLANK(M814),"Aguardando Previsão/Data",NETWORKDAYS(L814,M814)-1)</f>
        <v>2</v>
      </c>
      <c r="T814" s="5" t="s">
        <v>942</v>
      </c>
    </row>
    <row r="815" spans="1:20" x14ac:dyDescent="0.35">
      <c r="A815" s="5">
        <v>8100271197</v>
      </c>
      <c r="B815" s="5">
        <v>21046</v>
      </c>
      <c r="C815" s="6">
        <v>45664</v>
      </c>
      <c r="D815" s="5" t="s">
        <v>836</v>
      </c>
      <c r="E815" s="5" t="s">
        <v>837</v>
      </c>
      <c r="F815" s="5" t="s">
        <v>39</v>
      </c>
      <c r="G815" s="5" t="s">
        <v>40</v>
      </c>
      <c r="H815" s="5" t="s">
        <v>21</v>
      </c>
      <c r="I815" s="5" t="s">
        <v>781</v>
      </c>
      <c r="J815" s="5" t="s">
        <v>260</v>
      </c>
      <c r="K815" s="5" t="s">
        <v>24</v>
      </c>
      <c r="L815" s="6">
        <v>45672</v>
      </c>
      <c r="M815" s="6">
        <v>45673</v>
      </c>
      <c r="N815" s="6" t="s">
        <v>811</v>
      </c>
      <c r="O815" s="5" t="str">
        <f ca="1">IF(P815&lt;&gt;"EXPEDIÇÃO","Expedido",IF(NETWORKDAYS(C815,TODAY())&gt;=5,"Risco Alto",IF(NETWORKDAYS(C815,TODAY())&gt;=3,IF(NETWORKDAYS(C815,TODAY())&lt;5,"Risco Médio",""),IF(NETWORKDAYS(C815,TODAY())&lt;=2,"Risco Baixo",""))))</f>
        <v>Expedido</v>
      </c>
      <c r="P815" s="5" t="s">
        <v>25</v>
      </c>
      <c r="Q815" s="5" t="s">
        <v>897</v>
      </c>
      <c r="R815" s="5">
        <v>1677229</v>
      </c>
      <c r="S815" s="7">
        <f>IF(ISBLANK(M815),"Aguardando Previsão/Data",NETWORKDAYS(L815,M815)-1)</f>
        <v>1</v>
      </c>
      <c r="T815" s="5" t="s">
        <v>942</v>
      </c>
    </row>
    <row r="816" spans="1:20" x14ac:dyDescent="0.35">
      <c r="A816" s="5">
        <v>8100271425</v>
      </c>
      <c r="B816" s="5">
        <v>21047</v>
      </c>
      <c r="C816" s="6">
        <v>45664</v>
      </c>
      <c r="D816" s="5" t="s">
        <v>836</v>
      </c>
      <c r="E816" s="5" t="s">
        <v>837</v>
      </c>
      <c r="F816" s="5" t="s">
        <v>39</v>
      </c>
      <c r="G816" s="5" t="s">
        <v>40</v>
      </c>
      <c r="H816" s="5" t="s">
        <v>21</v>
      </c>
      <c r="I816" s="5" t="s">
        <v>609</v>
      </c>
      <c r="J816" s="5" t="s">
        <v>41</v>
      </c>
      <c r="K816" s="5" t="s">
        <v>24</v>
      </c>
      <c r="L816" s="6">
        <v>45670</v>
      </c>
      <c r="M816" s="6">
        <v>45667</v>
      </c>
      <c r="N816" s="6" t="s">
        <v>811</v>
      </c>
      <c r="O816" s="5" t="str">
        <f ca="1">IF(P816&lt;&gt;"EXPEDIÇÃO","Expedido",IF(NETWORKDAYS(C816,TODAY())&gt;=5,"Risco Alto",IF(NETWORKDAYS(C816,TODAY())&gt;=3,IF(NETWORKDAYS(C816,TODAY())&lt;5,"Risco Médio",""),IF(NETWORKDAYS(C816,TODAY())&lt;=2,"Risco Baixo",""))))</f>
        <v>Expedido</v>
      </c>
      <c r="P816" s="5" t="s">
        <v>25</v>
      </c>
      <c r="S816" s="7">
        <f>IF(ISBLANK(M816),"Aguardando Previsão/Data",NETWORKDAYS(L816,M816)-1)</f>
        <v>-3</v>
      </c>
      <c r="T816" s="5" t="s">
        <v>942</v>
      </c>
    </row>
    <row r="817" spans="1:20" x14ac:dyDescent="0.35">
      <c r="A817" s="5">
        <v>8100272254</v>
      </c>
      <c r="B817" s="5">
        <v>21049</v>
      </c>
      <c r="C817" s="6">
        <v>45664</v>
      </c>
      <c r="D817" s="5" t="s">
        <v>836</v>
      </c>
      <c r="E817" s="5" t="s">
        <v>837</v>
      </c>
      <c r="F817" s="5" t="s">
        <v>39</v>
      </c>
      <c r="G817" s="5" t="s">
        <v>40</v>
      </c>
      <c r="H817" s="5" t="s">
        <v>21</v>
      </c>
      <c r="I817" s="5" t="s">
        <v>918</v>
      </c>
      <c r="J817" s="5" t="s">
        <v>495</v>
      </c>
      <c r="K817" s="5" t="s">
        <v>24</v>
      </c>
      <c r="L817" s="6">
        <v>45673</v>
      </c>
      <c r="M817" s="6">
        <v>45674</v>
      </c>
      <c r="N817" s="6" t="s">
        <v>812</v>
      </c>
      <c r="O817" s="5" t="str">
        <f ca="1">IF(P817&lt;&gt;"EXPEDIÇÃO","Expedido",IF(NETWORKDAYS(C817,TODAY())&gt;=5,"Risco Alto",IF(NETWORKDAYS(C817,TODAY())&gt;=3,IF(NETWORKDAYS(C817,TODAY())&lt;5,"Risco Médio",""),IF(NETWORKDAYS(C817,TODAY())&lt;=2,"Risco Baixo",""))))</f>
        <v>Expedido</v>
      </c>
      <c r="P817" s="5" t="s">
        <v>25</v>
      </c>
      <c r="Q817" s="5" t="s">
        <v>898</v>
      </c>
      <c r="S817" s="7">
        <f>IF(ISBLANK(M817),"Aguardando Previsão/Data",NETWORKDAYS(L817,M817)-1)</f>
        <v>1</v>
      </c>
      <c r="T817" s="5" t="s">
        <v>942</v>
      </c>
    </row>
    <row r="818" spans="1:20" x14ac:dyDescent="0.35">
      <c r="A818" s="5">
        <v>8100272255</v>
      </c>
      <c r="B818" s="5">
        <v>21048</v>
      </c>
      <c r="C818" s="6">
        <v>45664</v>
      </c>
      <c r="D818" s="5" t="s">
        <v>836</v>
      </c>
      <c r="E818" s="5" t="s">
        <v>837</v>
      </c>
      <c r="F818" s="5" t="s">
        <v>39</v>
      </c>
      <c r="G818" s="5" t="s">
        <v>40</v>
      </c>
      <c r="H818" s="5" t="s">
        <v>21</v>
      </c>
      <c r="I818" s="5" t="s">
        <v>1211</v>
      </c>
      <c r="J818" s="5" t="s">
        <v>41</v>
      </c>
      <c r="K818" s="5" t="s">
        <v>24</v>
      </c>
      <c r="L818" s="6">
        <v>45670</v>
      </c>
      <c r="M818" s="6">
        <v>45667</v>
      </c>
      <c r="N818" s="6" t="s">
        <v>811</v>
      </c>
      <c r="O818" s="5" t="str">
        <f ca="1">IF(P818&lt;&gt;"EXPEDIÇÃO","Expedido",IF(NETWORKDAYS(C818,TODAY())&gt;=5,"Risco Alto",IF(NETWORKDAYS(C818,TODAY())&gt;=3,IF(NETWORKDAYS(C818,TODAY())&lt;5,"Risco Médio",""),IF(NETWORKDAYS(C818,TODAY())&lt;=2,"Risco Baixo",""))))</f>
        <v>Expedido</v>
      </c>
      <c r="P818" s="5" t="s">
        <v>25</v>
      </c>
      <c r="S818" s="7">
        <f>IF(ISBLANK(M818),"Aguardando Previsão/Data",NETWORKDAYS(L818,M818)-1)</f>
        <v>-3</v>
      </c>
      <c r="T818" s="5" t="s">
        <v>942</v>
      </c>
    </row>
    <row r="819" spans="1:20" x14ac:dyDescent="0.35">
      <c r="A819" s="5">
        <v>8100272139</v>
      </c>
      <c r="B819" s="5">
        <v>10621</v>
      </c>
      <c r="C819" s="6">
        <v>45664</v>
      </c>
      <c r="D819" s="5" t="s">
        <v>239</v>
      </c>
      <c r="E819" s="5" t="s">
        <v>240</v>
      </c>
      <c r="F819" s="5" t="s">
        <v>176</v>
      </c>
      <c r="G819" s="5" t="s">
        <v>177</v>
      </c>
      <c r="H819" s="5" t="s">
        <v>218</v>
      </c>
      <c r="I819" s="5" t="s">
        <v>909</v>
      </c>
      <c r="J819" s="5" t="s">
        <v>1129</v>
      </c>
      <c r="K819" s="5" t="s">
        <v>241</v>
      </c>
      <c r="L819" s="6">
        <v>45671</v>
      </c>
      <c r="M819" s="6">
        <v>45670</v>
      </c>
      <c r="N819" s="6" t="s">
        <v>811</v>
      </c>
      <c r="O819" s="5" t="str">
        <f ca="1">IF(P819&lt;&gt;"EXPEDIÇÃO","Expedido",IF(NETWORKDAYS(C819,TODAY())&gt;=5,"Risco Alto",IF(NETWORKDAYS(C819,TODAY())&gt;=3,IF(NETWORKDAYS(C819,TODAY())&lt;5,"Risco Médio",""),IF(NETWORKDAYS(C819,TODAY())&lt;=2,"Risco Baixo",""))))</f>
        <v>Expedido</v>
      </c>
      <c r="P819" s="5" t="s">
        <v>25</v>
      </c>
      <c r="Q819" s="5" t="s">
        <v>793</v>
      </c>
      <c r="S819" s="7">
        <f>IF(ISBLANK(M819),"Aguardando Previsão/Data",NETWORKDAYS(L819,M819)-1)</f>
        <v>-3</v>
      </c>
      <c r="T819" s="5" t="s">
        <v>942</v>
      </c>
    </row>
    <row r="820" spans="1:20" x14ac:dyDescent="0.35">
      <c r="A820" s="5">
        <v>8100272140</v>
      </c>
      <c r="B820" s="5">
        <v>10619</v>
      </c>
      <c r="C820" s="6">
        <v>45664</v>
      </c>
      <c r="D820" s="5" t="s">
        <v>239</v>
      </c>
      <c r="E820" s="5" t="s">
        <v>240</v>
      </c>
      <c r="F820" s="5" t="s">
        <v>176</v>
      </c>
      <c r="G820" s="5" t="s">
        <v>177</v>
      </c>
      <c r="H820" s="5" t="s">
        <v>218</v>
      </c>
      <c r="I820" s="5" t="s">
        <v>1128</v>
      </c>
      <c r="J820" s="5" t="s">
        <v>797</v>
      </c>
      <c r="K820" s="5" t="s">
        <v>241</v>
      </c>
      <c r="L820" s="6">
        <v>45671</v>
      </c>
      <c r="M820" s="6">
        <v>45672</v>
      </c>
      <c r="N820" s="6" t="s">
        <v>811</v>
      </c>
      <c r="O820" s="5" t="str">
        <f ca="1">IF(P820&lt;&gt;"EXPEDIÇÃO","Expedido",IF(NETWORKDAYS(C820,TODAY())&gt;=5,"Risco Alto",IF(NETWORKDAYS(C820,TODAY())&gt;=3,IF(NETWORKDAYS(C820,TODAY())&lt;5,"Risco Médio",""),IF(NETWORKDAYS(C820,TODAY())&lt;=2,"Risco Baixo",""))))</f>
        <v>Expedido</v>
      </c>
      <c r="P820" s="5" t="s">
        <v>25</v>
      </c>
      <c r="Q820" s="5" t="s">
        <v>897</v>
      </c>
      <c r="S820" s="7">
        <f>IF(ISBLANK(M820),"Aguardando Previsão/Data",NETWORKDAYS(L820,M820)-1)</f>
        <v>1</v>
      </c>
      <c r="T820" s="5" t="s">
        <v>942</v>
      </c>
    </row>
    <row r="821" spans="1:20" x14ac:dyDescent="0.35">
      <c r="A821" s="5">
        <v>8100272164</v>
      </c>
      <c r="B821" s="5">
        <v>10620</v>
      </c>
      <c r="C821" s="6">
        <v>45664</v>
      </c>
      <c r="D821" s="5" t="s">
        <v>239</v>
      </c>
      <c r="E821" s="5" t="s">
        <v>240</v>
      </c>
      <c r="F821" s="5" t="s">
        <v>242</v>
      </c>
      <c r="G821" s="5" t="s">
        <v>243</v>
      </c>
      <c r="H821" s="5" t="s">
        <v>218</v>
      </c>
      <c r="I821" s="5" t="s">
        <v>354</v>
      </c>
      <c r="J821" s="5" t="s">
        <v>641</v>
      </c>
      <c r="K821" s="5" t="s">
        <v>241</v>
      </c>
      <c r="L821" s="6">
        <v>45670</v>
      </c>
      <c r="M821" s="6">
        <v>45670</v>
      </c>
      <c r="N821" s="6" t="s">
        <v>811</v>
      </c>
      <c r="O821" s="5" t="str">
        <f ca="1">IF(P821&lt;&gt;"EXPEDIÇÃO","Expedido",IF(NETWORKDAYS(C821,TODAY())&gt;=5,"Risco Alto",IF(NETWORKDAYS(C821,TODAY())&gt;=3,IF(NETWORKDAYS(C821,TODAY())&lt;5,"Risco Médio",""),IF(NETWORKDAYS(C821,TODAY())&lt;=2,"Risco Baixo",""))))</f>
        <v>Expedido</v>
      </c>
      <c r="P821" s="5" t="s">
        <v>25</v>
      </c>
      <c r="Q821" s="5" t="s">
        <v>793</v>
      </c>
      <c r="S821" s="7">
        <f>IF(ISBLANK(M821),"Aguardando Previsão/Data",NETWORKDAYS(L821,M821)-1)</f>
        <v>0</v>
      </c>
      <c r="T821" s="5" t="s">
        <v>942</v>
      </c>
    </row>
    <row r="822" spans="1:20" x14ac:dyDescent="0.35">
      <c r="A822" s="5">
        <v>8100272165</v>
      </c>
      <c r="B822" s="5">
        <v>10622</v>
      </c>
      <c r="C822" s="6">
        <v>45664</v>
      </c>
      <c r="D822" s="5" t="s">
        <v>239</v>
      </c>
      <c r="E822" s="5" t="s">
        <v>240</v>
      </c>
      <c r="F822" s="5" t="s">
        <v>160</v>
      </c>
      <c r="G822" s="5" t="s">
        <v>161</v>
      </c>
      <c r="H822" s="5" t="s">
        <v>218</v>
      </c>
      <c r="I822" s="5" t="s">
        <v>354</v>
      </c>
      <c r="J822" s="5" t="s">
        <v>355</v>
      </c>
      <c r="K822" s="5" t="s">
        <v>241</v>
      </c>
      <c r="L822" s="6">
        <v>45670</v>
      </c>
      <c r="M822" s="6">
        <v>45671</v>
      </c>
      <c r="N822" s="6" t="s">
        <v>811</v>
      </c>
      <c r="O822" s="5" t="str">
        <f ca="1">IF(P822&lt;&gt;"EXPEDIÇÃO","Expedido",IF(NETWORKDAYS(C822,TODAY())&gt;=5,"Risco Alto",IF(NETWORKDAYS(C822,TODAY())&gt;=3,IF(NETWORKDAYS(C822,TODAY())&lt;5,"Risco Médio",""),IF(NETWORKDAYS(C822,TODAY())&lt;=2,"Risco Baixo",""))))</f>
        <v>Expedido</v>
      </c>
      <c r="P822" s="5" t="s">
        <v>25</v>
      </c>
      <c r="Q822" s="5" t="s">
        <v>897</v>
      </c>
      <c r="S822" s="7">
        <f>IF(ISBLANK(M822),"Aguardando Previsão/Data",NETWORKDAYS(L822,M822)-1)</f>
        <v>1</v>
      </c>
      <c r="T822" s="5" t="s">
        <v>942</v>
      </c>
    </row>
    <row r="823" spans="1:20" x14ac:dyDescent="0.35">
      <c r="A823" s="5">
        <v>8100272453</v>
      </c>
      <c r="B823" s="5">
        <v>10624</v>
      </c>
      <c r="C823" s="6">
        <v>45664</v>
      </c>
      <c r="D823" s="5" t="s">
        <v>239</v>
      </c>
      <c r="E823" s="5" t="s">
        <v>240</v>
      </c>
      <c r="F823" s="5" t="s">
        <v>176</v>
      </c>
      <c r="G823" s="5" t="s">
        <v>177</v>
      </c>
      <c r="H823" s="5" t="s">
        <v>218</v>
      </c>
      <c r="I823" s="5" t="s">
        <v>360</v>
      </c>
      <c r="J823" s="5" t="s">
        <v>361</v>
      </c>
      <c r="K823" s="5" t="s">
        <v>241</v>
      </c>
      <c r="L823" s="6">
        <v>45670</v>
      </c>
      <c r="M823" s="6">
        <v>45670</v>
      </c>
      <c r="N823" s="6" t="s">
        <v>811</v>
      </c>
      <c r="O823" s="5" t="str">
        <f ca="1">IF(P823&lt;&gt;"EXPEDIÇÃO","Expedido",IF(NETWORKDAYS(C823,TODAY())&gt;=5,"Risco Alto",IF(NETWORKDAYS(C823,TODAY())&gt;=3,IF(NETWORKDAYS(C823,TODAY())&lt;5,"Risco Médio",""),IF(NETWORKDAYS(C823,TODAY())&lt;=2,"Risco Baixo",""))))</f>
        <v>Expedido</v>
      </c>
      <c r="P823" s="5" t="s">
        <v>25</v>
      </c>
      <c r="Q823" s="5" t="s">
        <v>793</v>
      </c>
      <c r="S823" s="7">
        <f>IF(ISBLANK(M823),"Aguardando Previsão/Data",NETWORKDAYS(L823,M823)-1)</f>
        <v>0</v>
      </c>
      <c r="T823" s="5" t="s">
        <v>942</v>
      </c>
    </row>
    <row r="824" spans="1:20" x14ac:dyDescent="0.35">
      <c r="A824" s="5">
        <v>8100272454</v>
      </c>
      <c r="B824" s="5">
        <v>10623</v>
      </c>
      <c r="C824" s="6">
        <v>45664</v>
      </c>
      <c r="D824" s="5" t="s">
        <v>239</v>
      </c>
      <c r="E824" s="5" t="s">
        <v>240</v>
      </c>
      <c r="F824" s="5" t="s">
        <v>242</v>
      </c>
      <c r="G824" s="5" t="s">
        <v>243</v>
      </c>
      <c r="H824" s="5" t="s">
        <v>218</v>
      </c>
      <c r="I824" s="5" t="s">
        <v>564</v>
      </c>
      <c r="J824" s="5" t="s">
        <v>565</v>
      </c>
      <c r="K824" s="5" t="s">
        <v>241</v>
      </c>
      <c r="L824" s="6">
        <v>45671</v>
      </c>
      <c r="M824" s="6">
        <v>45670</v>
      </c>
      <c r="N824" s="6" t="s">
        <v>811</v>
      </c>
      <c r="O824" s="5" t="str">
        <f ca="1">IF(P824&lt;&gt;"EXPEDIÇÃO","Expedido",IF(NETWORKDAYS(C824,TODAY())&gt;=5,"Risco Alto",IF(NETWORKDAYS(C824,TODAY())&gt;=3,IF(NETWORKDAYS(C824,TODAY())&lt;5,"Risco Médio",""),IF(NETWORKDAYS(C824,TODAY())&lt;=2,"Risco Baixo",""))))</f>
        <v>Expedido</v>
      </c>
      <c r="P824" s="5" t="s">
        <v>25</v>
      </c>
      <c r="Q824" s="5" t="s">
        <v>793</v>
      </c>
      <c r="S824" s="7">
        <f>IF(ISBLANK(M824),"Aguardando Previsão/Data",NETWORKDAYS(L824,M824)-1)</f>
        <v>-3</v>
      </c>
      <c r="T824" s="5" t="s">
        <v>942</v>
      </c>
    </row>
    <row r="825" spans="1:20" x14ac:dyDescent="0.35">
      <c r="A825" s="5">
        <v>8100272640</v>
      </c>
      <c r="B825" s="5">
        <v>10629</v>
      </c>
      <c r="C825" s="6">
        <v>45664</v>
      </c>
      <c r="D825" s="5" t="s">
        <v>239</v>
      </c>
      <c r="E825" s="5" t="s">
        <v>240</v>
      </c>
      <c r="F825" s="5" t="s">
        <v>160</v>
      </c>
      <c r="G825" s="5" t="s">
        <v>161</v>
      </c>
      <c r="H825" s="5" t="s">
        <v>218</v>
      </c>
      <c r="I825" s="5" t="s">
        <v>356</v>
      </c>
      <c r="J825" s="5" t="s">
        <v>357</v>
      </c>
      <c r="K825" s="5" t="s">
        <v>241</v>
      </c>
      <c r="L825" s="6">
        <v>45670</v>
      </c>
      <c r="M825" s="6">
        <v>45672</v>
      </c>
      <c r="N825" s="5" t="s">
        <v>812</v>
      </c>
      <c r="O825" s="5" t="str">
        <f ca="1">IF(P825&lt;&gt;"EXPEDIÇÃO","Expedido",IF(NETWORKDAYS(C825,TODAY())&gt;=5,"Risco Alto",IF(NETWORKDAYS(C825,TODAY())&gt;=3,IF(NETWORKDAYS(C825,TODAY())&lt;5,"Risco Médio",""),IF(NETWORKDAYS(C825,TODAY())&lt;=2,"Risco Baixo",""))))</f>
        <v>Expedido</v>
      </c>
      <c r="P825" s="5" t="s">
        <v>25</v>
      </c>
      <c r="Q825" s="5" t="s">
        <v>897</v>
      </c>
      <c r="S825" s="7">
        <f>IF(ISBLANK(M825),"Aguardando Previsão/Data",NETWORKDAYS(L825,M825)-1)</f>
        <v>2</v>
      </c>
      <c r="T825" s="5" t="s">
        <v>942</v>
      </c>
    </row>
    <row r="826" spans="1:20" x14ac:dyDescent="0.35">
      <c r="A826" s="5">
        <v>8100272641</v>
      </c>
      <c r="B826" s="5">
        <v>10630</v>
      </c>
      <c r="C826" s="6">
        <v>45664</v>
      </c>
      <c r="D826" s="5" t="s">
        <v>239</v>
      </c>
      <c r="E826" s="5" t="s">
        <v>240</v>
      </c>
      <c r="F826" s="5" t="s">
        <v>176</v>
      </c>
      <c r="G826" s="5" t="s">
        <v>177</v>
      </c>
      <c r="H826" s="5" t="s">
        <v>218</v>
      </c>
      <c r="I826" s="5" t="s">
        <v>360</v>
      </c>
      <c r="J826" s="5" t="s">
        <v>361</v>
      </c>
      <c r="K826" s="5" t="s">
        <v>241</v>
      </c>
      <c r="L826" s="6">
        <v>45670</v>
      </c>
      <c r="M826" s="6">
        <v>45670</v>
      </c>
      <c r="N826" s="6" t="s">
        <v>811</v>
      </c>
      <c r="O826" s="5" t="str">
        <f ca="1">IF(P826&lt;&gt;"EXPEDIÇÃO","Expedido",IF(NETWORKDAYS(C826,TODAY())&gt;=5,"Risco Alto",IF(NETWORKDAYS(C826,TODAY())&gt;=3,IF(NETWORKDAYS(C826,TODAY())&lt;5,"Risco Médio",""),IF(NETWORKDAYS(C826,TODAY())&lt;=2,"Risco Baixo",""))))</f>
        <v>Expedido</v>
      </c>
      <c r="P826" s="5" t="s">
        <v>25</v>
      </c>
      <c r="Q826" s="5" t="s">
        <v>793</v>
      </c>
      <c r="S826" s="7">
        <f>IF(ISBLANK(M826),"Aguardando Previsão/Data",NETWORKDAYS(L826,M826)-1)</f>
        <v>0</v>
      </c>
      <c r="T826" s="5" t="s">
        <v>942</v>
      </c>
    </row>
    <row r="827" spans="1:20" x14ac:dyDescent="0.35">
      <c r="A827" s="5">
        <v>8100272642</v>
      </c>
      <c r="B827" s="5">
        <v>10627</v>
      </c>
      <c r="C827" s="6">
        <v>45664</v>
      </c>
      <c r="D827" s="5" t="s">
        <v>239</v>
      </c>
      <c r="E827" s="5" t="s">
        <v>240</v>
      </c>
      <c r="F827" s="5" t="s">
        <v>160</v>
      </c>
      <c r="G827" s="5" t="s">
        <v>161</v>
      </c>
      <c r="H827" s="5" t="s">
        <v>218</v>
      </c>
      <c r="I827" s="5" t="s">
        <v>354</v>
      </c>
      <c r="J827" s="5" t="s">
        <v>355</v>
      </c>
      <c r="K827" s="5" t="s">
        <v>241</v>
      </c>
      <c r="L827" s="6">
        <v>45670</v>
      </c>
      <c r="M827" s="6">
        <v>45671</v>
      </c>
      <c r="N827" s="6" t="s">
        <v>811</v>
      </c>
      <c r="O827" s="5" t="str">
        <f ca="1">IF(P827&lt;&gt;"EXPEDIÇÃO","Expedido",IF(NETWORKDAYS(C827,TODAY())&gt;=5,"Risco Alto",IF(NETWORKDAYS(C827,TODAY())&gt;=3,IF(NETWORKDAYS(C827,TODAY())&lt;5,"Risco Médio",""),IF(NETWORKDAYS(C827,TODAY())&lt;=2,"Risco Baixo",""))))</f>
        <v>Expedido</v>
      </c>
      <c r="P827" s="5" t="s">
        <v>25</v>
      </c>
      <c r="Q827" s="5" t="s">
        <v>897</v>
      </c>
      <c r="S827" s="7">
        <f>IF(ISBLANK(M827),"Aguardando Previsão/Data",NETWORKDAYS(L827,M827)-1)</f>
        <v>1</v>
      </c>
      <c r="T827" s="5" t="s">
        <v>942</v>
      </c>
    </row>
    <row r="828" spans="1:20" x14ac:dyDescent="0.35">
      <c r="A828" s="5">
        <v>8100272643</v>
      </c>
      <c r="B828" s="5">
        <v>10628</v>
      </c>
      <c r="C828" s="6">
        <v>45664</v>
      </c>
      <c r="D828" s="5" t="s">
        <v>239</v>
      </c>
      <c r="E828" s="5" t="s">
        <v>240</v>
      </c>
      <c r="F828" s="5" t="s">
        <v>242</v>
      </c>
      <c r="G828" s="5" t="s">
        <v>243</v>
      </c>
      <c r="H828" s="5" t="s">
        <v>218</v>
      </c>
      <c r="I828" s="5" t="s">
        <v>354</v>
      </c>
      <c r="J828" s="5" t="s">
        <v>355</v>
      </c>
      <c r="K828" s="5" t="s">
        <v>241</v>
      </c>
      <c r="L828" s="6">
        <v>45670</v>
      </c>
      <c r="M828" s="6">
        <v>45671</v>
      </c>
      <c r="N828" s="6" t="s">
        <v>811</v>
      </c>
      <c r="O828" s="5" t="str">
        <f ca="1">IF(P828&lt;&gt;"EXPEDIÇÃO","Expedido",IF(NETWORKDAYS(C828,TODAY())&gt;=5,"Risco Alto",IF(NETWORKDAYS(C828,TODAY())&gt;=3,IF(NETWORKDAYS(C828,TODAY())&lt;5,"Risco Médio",""),IF(NETWORKDAYS(C828,TODAY())&lt;=2,"Risco Baixo",""))))</f>
        <v>Expedido</v>
      </c>
      <c r="P828" s="5" t="s">
        <v>25</v>
      </c>
      <c r="Q828" s="5" t="s">
        <v>897</v>
      </c>
      <c r="S828" s="7">
        <f>IF(ISBLANK(M828),"Aguardando Previsão/Data",NETWORKDAYS(L828,M828)-1)</f>
        <v>1</v>
      </c>
      <c r="T828" s="5" t="s">
        <v>942</v>
      </c>
    </row>
    <row r="829" spans="1:20" x14ac:dyDescent="0.35">
      <c r="A829" s="5">
        <v>8100271419</v>
      </c>
      <c r="B829" s="5">
        <v>18882</v>
      </c>
      <c r="C829" s="6">
        <v>45664</v>
      </c>
      <c r="D829" s="5" t="s">
        <v>106</v>
      </c>
      <c r="E829" s="5" t="s">
        <v>107</v>
      </c>
      <c r="F829" s="5" t="s">
        <v>69</v>
      </c>
      <c r="G829" s="5" t="s">
        <v>70</v>
      </c>
      <c r="H829" s="5" t="s">
        <v>218</v>
      </c>
      <c r="I829" s="5" t="s">
        <v>235</v>
      </c>
      <c r="J829" s="5" t="s">
        <v>236</v>
      </c>
      <c r="K829" s="5" t="s">
        <v>229</v>
      </c>
      <c r="L829" s="6">
        <v>45681</v>
      </c>
      <c r="M829" s="6">
        <v>45678</v>
      </c>
      <c r="N829" s="5" t="s">
        <v>811</v>
      </c>
      <c r="O829" s="5" t="str">
        <f ca="1">IF(P829&lt;&gt;"EXPEDIÇÃO","Expedido",IF(NETWORKDAYS(C829,TODAY())&gt;=5,"Risco Alto",IF(NETWORKDAYS(C829,TODAY())&gt;=3,IF(NETWORKDAYS(C829,TODAY())&lt;5,"Risco Médio",""),IF(NETWORKDAYS(C829,TODAY())&lt;=2,"Risco Baixo",""))))</f>
        <v>Expedido</v>
      </c>
      <c r="P829" s="5" t="s">
        <v>25</v>
      </c>
      <c r="S829" s="7">
        <f>IF(ISBLANK(M829),"Aguardando Previsão/Data",NETWORKDAYS(L829,M829)-1)</f>
        <v>-5</v>
      </c>
      <c r="T829" s="5" t="s">
        <v>942</v>
      </c>
    </row>
    <row r="830" spans="1:20" x14ac:dyDescent="0.35">
      <c r="A830" s="5">
        <v>8100272381</v>
      </c>
      <c r="B830" s="5">
        <v>18906</v>
      </c>
      <c r="C830" s="6">
        <v>45664</v>
      </c>
      <c r="D830" s="5" t="s">
        <v>106</v>
      </c>
      <c r="E830" s="5" t="s">
        <v>107</v>
      </c>
      <c r="F830" s="5" t="s">
        <v>69</v>
      </c>
      <c r="G830" s="5" t="s">
        <v>70</v>
      </c>
      <c r="H830" s="5" t="s">
        <v>218</v>
      </c>
      <c r="I830" s="5" t="s">
        <v>230</v>
      </c>
      <c r="J830" s="5" t="s">
        <v>231</v>
      </c>
      <c r="K830" s="5" t="s">
        <v>232</v>
      </c>
      <c r="L830" s="6">
        <v>45680</v>
      </c>
      <c r="M830" s="6">
        <v>45677</v>
      </c>
      <c r="N830" s="5" t="s">
        <v>811</v>
      </c>
      <c r="O830" s="5" t="str">
        <f ca="1">IF(P830&lt;&gt;"EXPEDIÇÃO","Expedido",IF(NETWORKDAYS(C830,TODAY())&gt;=5,"Risco Alto",IF(NETWORKDAYS(C830,TODAY())&gt;=3,IF(NETWORKDAYS(C830,TODAY())&lt;5,"Risco Médio",""),IF(NETWORKDAYS(C830,TODAY())&lt;=2,"Risco Baixo",""))))</f>
        <v>Expedido</v>
      </c>
      <c r="P830" s="5" t="s">
        <v>25</v>
      </c>
      <c r="S830" s="7">
        <f>IF(ISBLANK(M830),"Aguardando Previsão/Data",NETWORKDAYS(L830,M830)-1)</f>
        <v>-5</v>
      </c>
      <c r="T830" s="5" t="s">
        <v>942</v>
      </c>
    </row>
    <row r="831" spans="1:20" x14ac:dyDescent="0.35">
      <c r="A831" s="5">
        <v>8100272382</v>
      </c>
      <c r="B831" s="5">
        <v>18907</v>
      </c>
      <c r="C831" s="6">
        <v>45664</v>
      </c>
      <c r="D831" s="5" t="s">
        <v>106</v>
      </c>
      <c r="E831" s="5" t="s">
        <v>107</v>
      </c>
      <c r="F831" s="5" t="s">
        <v>69</v>
      </c>
      <c r="G831" s="5" t="s">
        <v>70</v>
      </c>
      <c r="H831" s="5" t="s">
        <v>218</v>
      </c>
      <c r="I831" s="5" t="s">
        <v>230</v>
      </c>
      <c r="J831" s="5" t="s">
        <v>231</v>
      </c>
      <c r="K831" s="5" t="s">
        <v>232</v>
      </c>
      <c r="L831" s="6">
        <v>45680</v>
      </c>
      <c r="M831" s="6">
        <v>45677</v>
      </c>
      <c r="N831" s="5" t="s">
        <v>811</v>
      </c>
      <c r="O831" s="5" t="str">
        <f ca="1">IF(P831&lt;&gt;"EXPEDIÇÃO","Expedido",IF(NETWORKDAYS(C831,TODAY())&gt;=5,"Risco Alto",IF(NETWORKDAYS(C831,TODAY())&gt;=3,IF(NETWORKDAYS(C831,TODAY())&lt;5,"Risco Médio",""),IF(NETWORKDAYS(C831,TODAY())&lt;=2,"Risco Baixo",""))))</f>
        <v>Expedido</v>
      </c>
      <c r="P831" s="5" t="s">
        <v>25</v>
      </c>
      <c r="S831" s="7">
        <f>IF(ISBLANK(M831),"Aguardando Previsão/Data",NETWORKDAYS(L831,M831)-1)</f>
        <v>-5</v>
      </c>
      <c r="T831" s="5" t="s">
        <v>942</v>
      </c>
    </row>
    <row r="832" spans="1:20" x14ac:dyDescent="0.35">
      <c r="A832" s="5">
        <v>8100271188</v>
      </c>
      <c r="B832" s="5">
        <v>18876</v>
      </c>
      <c r="C832" s="6">
        <v>45664</v>
      </c>
      <c r="D832" s="5" t="s">
        <v>106</v>
      </c>
      <c r="E832" s="5" t="s">
        <v>107</v>
      </c>
      <c r="F832" s="5" t="s">
        <v>58</v>
      </c>
      <c r="G832" s="5" t="s">
        <v>59</v>
      </c>
      <c r="H832" s="5" t="s">
        <v>108</v>
      </c>
      <c r="I832" s="5" t="s">
        <v>140</v>
      </c>
      <c r="J832" s="5" t="s">
        <v>141</v>
      </c>
      <c r="K832" s="5" t="s">
        <v>110</v>
      </c>
      <c r="L832" s="6">
        <v>45666</v>
      </c>
      <c r="M832" s="6">
        <v>45664</v>
      </c>
      <c r="N832" s="6" t="s">
        <v>811</v>
      </c>
      <c r="O832" s="5" t="str">
        <f ca="1">IF(P832&lt;&gt;"EXPEDIÇÃO","Expedido",IF(NETWORKDAYS(C832,TODAY())&gt;=5,"Risco Alto",IF(NETWORKDAYS(C832,TODAY())&gt;=3,IF(NETWORKDAYS(C832,TODAY())&lt;5,"Risco Médio",""),IF(NETWORKDAYS(C832,TODAY())&lt;=2,"Risco Baixo",""))))</f>
        <v>Expedido</v>
      </c>
      <c r="P832" s="5" t="s">
        <v>25</v>
      </c>
      <c r="Q832" s="5" t="s">
        <v>900</v>
      </c>
      <c r="S832" s="7">
        <f>IF(ISBLANK(M832),"Aguardando Previsão/Data",NETWORKDAYS(L832,M832)-1)</f>
        <v>-4</v>
      </c>
      <c r="T832" s="5" t="s">
        <v>942</v>
      </c>
    </row>
    <row r="833" spans="1:20" x14ac:dyDescent="0.35">
      <c r="A833" s="5">
        <v>8100271418</v>
      </c>
      <c r="B833" s="5">
        <v>18881</v>
      </c>
      <c r="C833" s="6">
        <v>45664</v>
      </c>
      <c r="D833" s="5" t="s">
        <v>106</v>
      </c>
      <c r="E833" s="5" t="s">
        <v>107</v>
      </c>
      <c r="F833" s="5" t="s">
        <v>147</v>
      </c>
      <c r="G833" s="5" t="s">
        <v>148</v>
      </c>
      <c r="H833" s="5" t="s">
        <v>108</v>
      </c>
      <c r="I833" s="5" t="s">
        <v>129</v>
      </c>
      <c r="J833" s="5" t="s">
        <v>150</v>
      </c>
      <c r="K833" s="5" t="s">
        <v>110</v>
      </c>
      <c r="L833" s="6">
        <v>45672</v>
      </c>
      <c r="M833" s="6">
        <v>45667</v>
      </c>
      <c r="N833" s="6" t="s">
        <v>811</v>
      </c>
      <c r="O833" s="5" t="str">
        <f ca="1">IF(P833&lt;&gt;"EXPEDIÇÃO","Expedido",IF(NETWORKDAYS(C833,TODAY())&gt;=5,"Risco Alto",IF(NETWORKDAYS(C833,TODAY())&gt;=3,IF(NETWORKDAYS(C833,TODAY())&lt;5,"Risco Médio",""),IF(NETWORKDAYS(C833,TODAY())&lt;=2,"Risco Baixo",""))))</f>
        <v>Expedido</v>
      </c>
      <c r="P833" s="5" t="s">
        <v>25</v>
      </c>
      <c r="S833" s="7">
        <f>IF(ISBLANK(M833),"Aguardando Previsão/Data",NETWORKDAYS(L833,M833)-1)</f>
        <v>-5</v>
      </c>
      <c r="T833" s="5" t="s">
        <v>942</v>
      </c>
    </row>
    <row r="834" spans="1:20" x14ac:dyDescent="0.35">
      <c r="A834" s="5">
        <v>8100271755</v>
      </c>
      <c r="B834" s="5">
        <v>18879</v>
      </c>
      <c r="C834" s="6">
        <v>45664</v>
      </c>
      <c r="D834" s="5" t="s">
        <v>106</v>
      </c>
      <c r="E834" s="5" t="s">
        <v>107</v>
      </c>
      <c r="F834" s="5" t="s">
        <v>53</v>
      </c>
      <c r="G834" s="5" t="s">
        <v>54</v>
      </c>
      <c r="H834" s="5" t="s">
        <v>108</v>
      </c>
      <c r="I834" s="5" t="s">
        <v>1200</v>
      </c>
      <c r="J834" s="5" t="s">
        <v>393</v>
      </c>
      <c r="K834" s="5" t="s">
        <v>110</v>
      </c>
      <c r="L834" s="6">
        <v>45672</v>
      </c>
      <c r="M834" s="6">
        <v>45672</v>
      </c>
      <c r="N834" s="6" t="s">
        <v>811</v>
      </c>
      <c r="O834" s="5" t="str">
        <f ca="1">IF(P834&lt;&gt;"EXPEDIÇÃO","Expedido",IF(NETWORKDAYS(C834,TODAY())&gt;=5,"Risco Alto",IF(NETWORKDAYS(C834,TODAY())&gt;=3,IF(NETWORKDAYS(C834,TODAY())&lt;5,"Risco Médio",""),IF(NETWORKDAYS(C834,TODAY())&lt;=2,"Risco Baixo",""))))</f>
        <v>Expedido</v>
      </c>
      <c r="P834" s="5" t="s">
        <v>25</v>
      </c>
      <c r="S834" s="7">
        <f>IF(ISBLANK(M834),"Aguardando Previsão/Data",NETWORKDAYS(L834,M834)-1)</f>
        <v>0</v>
      </c>
      <c r="T834" s="5" t="s">
        <v>942</v>
      </c>
    </row>
    <row r="835" spans="1:20" x14ac:dyDescent="0.35">
      <c r="A835" s="5">
        <v>8100271759</v>
      </c>
      <c r="B835" s="5">
        <v>18877</v>
      </c>
      <c r="C835" s="6">
        <v>45664</v>
      </c>
      <c r="D835" s="5" t="s">
        <v>106</v>
      </c>
      <c r="E835" s="5" t="s">
        <v>107</v>
      </c>
      <c r="F835" s="5" t="s">
        <v>66</v>
      </c>
      <c r="G835" s="5" t="s">
        <v>67</v>
      </c>
      <c r="H835" s="5" t="s">
        <v>108</v>
      </c>
      <c r="I835" s="5" t="s">
        <v>115</v>
      </c>
      <c r="J835" s="5" t="s">
        <v>477</v>
      </c>
      <c r="K835" s="5" t="s">
        <v>110</v>
      </c>
      <c r="L835" s="6">
        <v>45671</v>
      </c>
      <c r="M835" s="6">
        <v>45666</v>
      </c>
      <c r="N835" s="6" t="s">
        <v>811</v>
      </c>
      <c r="O835" s="5" t="str">
        <f ca="1">IF(P835&lt;&gt;"EXPEDIÇÃO","Expedido",IF(NETWORKDAYS(C835,TODAY())&gt;=5,"Risco Alto",IF(NETWORKDAYS(C835,TODAY())&gt;=3,IF(NETWORKDAYS(C835,TODAY())&lt;5,"Risco Médio",""),IF(NETWORKDAYS(C835,TODAY())&lt;=2,"Risco Baixo",""))))</f>
        <v>Expedido</v>
      </c>
      <c r="P835" s="5" t="s">
        <v>25</v>
      </c>
      <c r="S835" s="7">
        <f>IF(ISBLANK(M835),"Aguardando Previsão/Data",NETWORKDAYS(L835,M835)-1)</f>
        <v>-5</v>
      </c>
      <c r="T835" s="5" t="s">
        <v>942</v>
      </c>
    </row>
    <row r="836" spans="1:20" x14ac:dyDescent="0.35">
      <c r="A836" s="5">
        <v>8100272235</v>
      </c>
      <c r="B836" s="5">
        <v>18883</v>
      </c>
      <c r="C836" s="6">
        <v>45664</v>
      </c>
      <c r="D836" s="5" t="s">
        <v>106</v>
      </c>
      <c r="E836" s="5" t="s">
        <v>107</v>
      </c>
      <c r="F836" s="5" t="s">
        <v>147</v>
      </c>
      <c r="G836" s="5" t="s">
        <v>148</v>
      </c>
      <c r="H836" s="5" t="s">
        <v>108</v>
      </c>
      <c r="I836" s="5" t="s">
        <v>115</v>
      </c>
      <c r="J836" s="5" t="s">
        <v>116</v>
      </c>
      <c r="K836" s="5" t="s">
        <v>110</v>
      </c>
      <c r="L836" s="6">
        <v>45671</v>
      </c>
      <c r="M836" s="6">
        <v>45670</v>
      </c>
      <c r="N836" s="6" t="s">
        <v>811</v>
      </c>
      <c r="O836" s="5" t="str">
        <f ca="1">IF(P836&lt;&gt;"EXPEDIÇÃO","Expedido",IF(NETWORKDAYS(C836,TODAY())&gt;=5,"Risco Alto",IF(NETWORKDAYS(C836,TODAY())&gt;=3,IF(NETWORKDAYS(C836,TODAY())&lt;5,"Risco Médio",""),IF(NETWORKDAYS(C836,TODAY())&lt;=2,"Risco Baixo",""))))</f>
        <v>Expedido</v>
      </c>
      <c r="P836" s="5" t="s">
        <v>25</v>
      </c>
      <c r="R836" s="5" t="s">
        <v>1240</v>
      </c>
      <c r="S836" s="7">
        <f>IF(ISBLANK(M836),"Aguardando Previsão/Data",NETWORKDAYS(L836,M836)-1)</f>
        <v>-3</v>
      </c>
      <c r="T836" s="5" t="s">
        <v>942</v>
      </c>
    </row>
    <row r="837" spans="1:20" x14ac:dyDescent="0.35">
      <c r="A837" s="5">
        <v>8100272236</v>
      </c>
      <c r="B837" s="5">
        <v>18880</v>
      </c>
      <c r="C837" s="6">
        <v>45664</v>
      </c>
      <c r="D837" s="5" t="s">
        <v>106</v>
      </c>
      <c r="E837" s="5" t="s">
        <v>107</v>
      </c>
      <c r="F837" s="5" t="s">
        <v>69</v>
      </c>
      <c r="G837" s="5" t="s">
        <v>70</v>
      </c>
      <c r="H837" s="5" t="s">
        <v>108</v>
      </c>
      <c r="I837" s="5" t="s">
        <v>64</v>
      </c>
      <c r="J837" s="5" t="s">
        <v>537</v>
      </c>
      <c r="K837" s="5" t="s">
        <v>110</v>
      </c>
      <c r="L837" s="6">
        <v>45672</v>
      </c>
      <c r="M837" s="6">
        <v>45666</v>
      </c>
      <c r="N837" s="6" t="s">
        <v>811</v>
      </c>
      <c r="O837" s="5" t="str">
        <f ca="1">IF(P837&lt;&gt;"EXPEDIÇÃO","Expedido",IF(NETWORKDAYS(C837,TODAY())&gt;=5,"Risco Alto",IF(NETWORKDAYS(C837,TODAY())&gt;=3,IF(NETWORKDAYS(C837,TODAY())&lt;5,"Risco Médio",""),IF(NETWORKDAYS(C837,TODAY())&lt;=2,"Risco Baixo",""))))</f>
        <v>Expedido</v>
      </c>
      <c r="P837" s="5" t="s">
        <v>25</v>
      </c>
      <c r="R837" s="5" t="s">
        <v>1241</v>
      </c>
      <c r="S837" s="7">
        <f>IF(ISBLANK(M837),"Aguardando Previsão/Data",NETWORKDAYS(L837,M837)-1)</f>
        <v>-6</v>
      </c>
      <c r="T837" s="5" t="s">
        <v>942</v>
      </c>
    </row>
    <row r="838" spans="1:20" x14ac:dyDescent="0.35">
      <c r="A838" s="5">
        <v>8100272237</v>
      </c>
      <c r="B838" s="5">
        <v>18875</v>
      </c>
      <c r="C838" s="6">
        <v>45664</v>
      </c>
      <c r="D838" s="5" t="s">
        <v>106</v>
      </c>
      <c r="E838" s="5" t="s">
        <v>107</v>
      </c>
      <c r="F838" s="5" t="s">
        <v>58</v>
      </c>
      <c r="G838" s="5" t="s">
        <v>59</v>
      </c>
      <c r="H838" s="5" t="s">
        <v>108</v>
      </c>
      <c r="I838" s="5" t="s">
        <v>1209</v>
      </c>
      <c r="J838" s="5" t="s">
        <v>1210</v>
      </c>
      <c r="K838" s="5" t="s">
        <v>110</v>
      </c>
      <c r="L838" s="6">
        <v>45671</v>
      </c>
      <c r="M838" s="6">
        <v>45667</v>
      </c>
      <c r="N838" s="6" t="s">
        <v>811</v>
      </c>
      <c r="O838" s="5" t="str">
        <f ca="1">IF(P838&lt;&gt;"EXPEDIÇÃO","Expedido",IF(NETWORKDAYS(C838,TODAY())&gt;=5,"Risco Alto",IF(NETWORKDAYS(C838,TODAY())&gt;=3,IF(NETWORKDAYS(C838,TODAY())&lt;5,"Risco Médio",""),IF(NETWORKDAYS(C838,TODAY())&lt;=2,"Risco Baixo",""))))</f>
        <v>Expedido</v>
      </c>
      <c r="P838" s="5" t="s">
        <v>25</v>
      </c>
      <c r="S838" s="7">
        <f>IF(ISBLANK(M838),"Aguardando Previsão/Data",NETWORKDAYS(L838,M838)-1)</f>
        <v>-4</v>
      </c>
      <c r="T838" s="5" t="s">
        <v>942</v>
      </c>
    </row>
    <row r="839" spans="1:20" x14ac:dyDescent="0.35">
      <c r="A839" s="5">
        <v>8100272238</v>
      </c>
      <c r="B839" s="5">
        <v>18878</v>
      </c>
      <c r="C839" s="6">
        <v>45664</v>
      </c>
      <c r="D839" s="5" t="s">
        <v>106</v>
      </c>
      <c r="E839" s="5" t="s">
        <v>107</v>
      </c>
      <c r="F839" s="5" t="s">
        <v>66</v>
      </c>
      <c r="G839" s="5" t="s">
        <v>67</v>
      </c>
      <c r="H839" s="5" t="s">
        <v>108</v>
      </c>
      <c r="I839" s="5" t="s">
        <v>701</v>
      </c>
      <c r="J839" s="5" t="s">
        <v>124</v>
      </c>
      <c r="K839" s="5" t="s">
        <v>110</v>
      </c>
      <c r="L839" s="6">
        <v>45672</v>
      </c>
      <c r="M839" s="6">
        <v>45671</v>
      </c>
      <c r="N839" s="6" t="s">
        <v>811</v>
      </c>
      <c r="O839" s="5" t="str">
        <f ca="1">IF(P839&lt;&gt;"EXPEDIÇÃO","Expedido",IF(NETWORKDAYS(C839,TODAY())&gt;=5,"Risco Alto",IF(NETWORKDAYS(C839,TODAY())&gt;=3,IF(NETWORKDAYS(C839,TODAY())&lt;5,"Risco Médio",""),IF(NETWORKDAYS(C839,TODAY())&lt;=2,"Risco Baixo",""))))</f>
        <v>Expedido</v>
      </c>
      <c r="P839" s="5" t="s">
        <v>25</v>
      </c>
      <c r="S839" s="7">
        <f>IF(ISBLANK(M839),"Aguardando Previsão/Data",NETWORKDAYS(L839,M839)-1)</f>
        <v>-3</v>
      </c>
      <c r="T839" s="5" t="s">
        <v>942</v>
      </c>
    </row>
    <row r="840" spans="1:20" x14ac:dyDescent="0.35">
      <c r="A840" s="5">
        <v>8100272370</v>
      </c>
      <c r="B840" s="5">
        <v>18899</v>
      </c>
      <c r="C840" s="6">
        <v>45664</v>
      </c>
      <c r="D840" s="5" t="s">
        <v>106</v>
      </c>
      <c r="E840" s="5" t="s">
        <v>107</v>
      </c>
      <c r="F840" s="5" t="s">
        <v>111</v>
      </c>
      <c r="G840" s="5" t="s">
        <v>112</v>
      </c>
      <c r="H840" s="5" t="s">
        <v>108</v>
      </c>
      <c r="I840" s="5" t="s">
        <v>115</v>
      </c>
      <c r="J840" s="5" t="s">
        <v>391</v>
      </c>
      <c r="K840" s="5" t="s">
        <v>110</v>
      </c>
      <c r="L840" s="6">
        <v>45672</v>
      </c>
      <c r="M840" s="6">
        <v>45667</v>
      </c>
      <c r="N840" s="6" t="s">
        <v>811</v>
      </c>
      <c r="O840" s="5" t="str">
        <f ca="1">IF(P840&lt;&gt;"EXPEDIÇÃO","Expedido",IF(NETWORKDAYS(C840,TODAY())&gt;=5,"Risco Alto",IF(NETWORKDAYS(C840,TODAY())&gt;=3,IF(NETWORKDAYS(C840,TODAY())&lt;5,"Risco Médio",""),IF(NETWORKDAYS(C840,TODAY())&lt;=2,"Risco Baixo",""))))</f>
        <v>Expedido</v>
      </c>
      <c r="P840" s="5" t="s">
        <v>25</v>
      </c>
      <c r="S840" s="7">
        <f>IF(ISBLANK(M840),"Aguardando Previsão/Data",NETWORKDAYS(L840,M840)-1)</f>
        <v>-5</v>
      </c>
      <c r="T840" s="5" t="s">
        <v>942</v>
      </c>
    </row>
    <row r="841" spans="1:20" x14ac:dyDescent="0.35">
      <c r="A841" s="5">
        <v>8100272371</v>
      </c>
      <c r="B841" s="5">
        <v>18888</v>
      </c>
      <c r="C841" s="6">
        <v>45664</v>
      </c>
      <c r="D841" s="5" t="s">
        <v>106</v>
      </c>
      <c r="E841" s="5" t="s">
        <v>107</v>
      </c>
      <c r="F841" s="5" t="s">
        <v>111</v>
      </c>
      <c r="G841" s="5" t="s">
        <v>112</v>
      </c>
      <c r="H841" s="5" t="s">
        <v>108</v>
      </c>
      <c r="I841" s="5" t="s">
        <v>115</v>
      </c>
      <c r="J841" s="5" t="s">
        <v>125</v>
      </c>
      <c r="K841" s="5" t="s">
        <v>110</v>
      </c>
      <c r="L841" s="6">
        <v>45670</v>
      </c>
      <c r="M841" s="6">
        <v>45666</v>
      </c>
      <c r="N841" s="6" t="s">
        <v>811</v>
      </c>
      <c r="O841" s="5" t="str">
        <f ca="1">IF(P841&lt;&gt;"EXPEDIÇÃO","Expedido",IF(NETWORKDAYS(C841,TODAY())&gt;=5,"Risco Alto",IF(NETWORKDAYS(C841,TODAY())&gt;=3,IF(NETWORKDAYS(C841,TODAY())&lt;5,"Risco Médio",""),IF(NETWORKDAYS(C841,TODAY())&lt;=2,"Risco Baixo",""))))</f>
        <v>Expedido</v>
      </c>
      <c r="P841" s="5" t="s">
        <v>25</v>
      </c>
      <c r="S841" s="7">
        <f>IF(ISBLANK(M841),"Aguardando Previsão/Data",NETWORKDAYS(L841,M841)-1)</f>
        <v>-4</v>
      </c>
      <c r="T841" s="5" t="s">
        <v>942</v>
      </c>
    </row>
    <row r="842" spans="1:20" x14ac:dyDescent="0.35">
      <c r="A842" s="5">
        <v>8100272372</v>
      </c>
      <c r="B842" s="5">
        <v>18902</v>
      </c>
      <c r="C842" s="6">
        <v>45664</v>
      </c>
      <c r="D842" s="5" t="s">
        <v>106</v>
      </c>
      <c r="E842" s="5" t="s">
        <v>107</v>
      </c>
      <c r="F842" s="5" t="s">
        <v>111</v>
      </c>
      <c r="G842" s="5" t="s">
        <v>112</v>
      </c>
      <c r="H842" s="5" t="s">
        <v>108</v>
      </c>
      <c r="I842" s="5" t="s">
        <v>115</v>
      </c>
      <c r="J842" s="5" t="s">
        <v>143</v>
      </c>
      <c r="K842" s="5" t="s">
        <v>110</v>
      </c>
      <c r="L842" s="6">
        <v>45671</v>
      </c>
      <c r="M842" s="6">
        <v>45667</v>
      </c>
      <c r="N842" s="6" t="s">
        <v>811</v>
      </c>
      <c r="O842" s="5" t="str">
        <f ca="1">IF(P842&lt;&gt;"EXPEDIÇÃO","Expedido",IF(NETWORKDAYS(C842,TODAY())&gt;=5,"Risco Alto",IF(NETWORKDAYS(C842,TODAY())&gt;=3,IF(NETWORKDAYS(C842,TODAY())&lt;5,"Risco Médio",""),IF(NETWORKDAYS(C842,TODAY())&lt;=2,"Risco Baixo",""))))</f>
        <v>Expedido</v>
      </c>
      <c r="P842" s="5" t="s">
        <v>25</v>
      </c>
      <c r="Q842" s="5" t="s">
        <v>914</v>
      </c>
      <c r="S842" s="7">
        <f>IF(ISBLANK(M842),"Aguardando Previsão/Data",NETWORKDAYS(L842,M842)-1)</f>
        <v>-4</v>
      </c>
      <c r="T842" s="5" t="s">
        <v>942</v>
      </c>
    </row>
    <row r="843" spans="1:20" x14ac:dyDescent="0.35">
      <c r="A843" s="5">
        <v>8100272374</v>
      </c>
      <c r="B843" s="5">
        <v>18905</v>
      </c>
      <c r="C843" s="6">
        <v>45664</v>
      </c>
      <c r="D843" s="5" t="s">
        <v>106</v>
      </c>
      <c r="E843" s="5" t="s">
        <v>107</v>
      </c>
      <c r="F843" s="5" t="s">
        <v>147</v>
      </c>
      <c r="G843" s="5" t="s">
        <v>148</v>
      </c>
      <c r="H843" s="5" t="s">
        <v>108</v>
      </c>
      <c r="I843" s="5" t="s">
        <v>115</v>
      </c>
      <c r="J843" s="5" t="s">
        <v>116</v>
      </c>
      <c r="K843" s="5" t="s">
        <v>110</v>
      </c>
      <c r="L843" s="6">
        <v>45671</v>
      </c>
      <c r="M843" s="6">
        <v>45670</v>
      </c>
      <c r="N843" s="6" t="s">
        <v>811</v>
      </c>
      <c r="O843" s="5" t="str">
        <f ca="1">IF(P843&lt;&gt;"EXPEDIÇÃO","Expedido",IF(NETWORKDAYS(C843,TODAY())&gt;=5,"Risco Alto",IF(NETWORKDAYS(C843,TODAY())&gt;=3,IF(NETWORKDAYS(C843,TODAY())&lt;5,"Risco Médio",""),IF(NETWORKDAYS(C843,TODAY())&lt;=2,"Risco Baixo",""))))</f>
        <v>Expedido</v>
      </c>
      <c r="P843" s="5" t="s">
        <v>25</v>
      </c>
      <c r="R843" s="5" t="s">
        <v>1241</v>
      </c>
      <c r="S843" s="7">
        <f>IF(ISBLANK(M843),"Aguardando Previsão/Data",NETWORKDAYS(L843,M843)-1)</f>
        <v>-3</v>
      </c>
      <c r="T843" s="5" t="s">
        <v>942</v>
      </c>
    </row>
    <row r="844" spans="1:20" x14ac:dyDescent="0.35">
      <c r="A844" s="5">
        <v>8100272375</v>
      </c>
      <c r="B844" s="5">
        <v>18894</v>
      </c>
      <c r="C844" s="6">
        <v>45664</v>
      </c>
      <c r="D844" s="5" t="s">
        <v>106</v>
      </c>
      <c r="E844" s="5" t="s">
        <v>107</v>
      </c>
      <c r="F844" s="5" t="s">
        <v>147</v>
      </c>
      <c r="G844" s="5" t="s">
        <v>148</v>
      </c>
      <c r="H844" s="5" t="s">
        <v>108</v>
      </c>
      <c r="I844" s="5" t="s">
        <v>129</v>
      </c>
      <c r="J844" s="5" t="s">
        <v>150</v>
      </c>
      <c r="K844" s="5" t="s">
        <v>110</v>
      </c>
      <c r="L844" s="6">
        <v>45672</v>
      </c>
      <c r="M844" s="6">
        <v>45667</v>
      </c>
      <c r="N844" s="6" t="s">
        <v>811</v>
      </c>
      <c r="O844" s="5" t="str">
        <f ca="1">IF(P844&lt;&gt;"EXPEDIÇÃO","Expedido",IF(NETWORKDAYS(C844,TODAY())&gt;=5,"Risco Alto",IF(NETWORKDAYS(C844,TODAY())&gt;=3,IF(NETWORKDAYS(C844,TODAY())&lt;5,"Risco Médio",""),IF(NETWORKDAYS(C844,TODAY())&lt;=2,"Risco Baixo",""))))</f>
        <v>Expedido</v>
      </c>
      <c r="P844" s="5" t="s">
        <v>25</v>
      </c>
      <c r="S844" s="7">
        <f>IF(ISBLANK(M844),"Aguardando Previsão/Data",NETWORKDAYS(L844,M844)-1)</f>
        <v>-5</v>
      </c>
      <c r="T844" s="5" t="s">
        <v>942</v>
      </c>
    </row>
    <row r="845" spans="1:20" x14ac:dyDescent="0.35">
      <c r="A845" s="5">
        <v>8100272376</v>
      </c>
      <c r="B845" s="5">
        <v>18898</v>
      </c>
      <c r="C845" s="6">
        <v>45664</v>
      </c>
      <c r="D845" s="5" t="s">
        <v>106</v>
      </c>
      <c r="E845" s="5" t="s">
        <v>107</v>
      </c>
      <c r="F845" s="5" t="s">
        <v>69</v>
      </c>
      <c r="G845" s="5" t="s">
        <v>70</v>
      </c>
      <c r="H845" s="5" t="s">
        <v>108</v>
      </c>
      <c r="I845" s="5" t="s">
        <v>64</v>
      </c>
      <c r="J845" s="5" t="s">
        <v>114</v>
      </c>
      <c r="K845" s="5" t="s">
        <v>110</v>
      </c>
      <c r="L845" s="6">
        <v>45672</v>
      </c>
      <c r="M845" s="6">
        <v>45672</v>
      </c>
      <c r="N845" s="6" t="s">
        <v>811</v>
      </c>
      <c r="O845" s="5" t="str">
        <f ca="1">IF(P845&lt;&gt;"EXPEDIÇÃO","Expedido",IF(NETWORKDAYS(C845,TODAY())&gt;=5,"Risco Alto",IF(NETWORKDAYS(C845,TODAY())&gt;=3,IF(NETWORKDAYS(C845,TODAY())&lt;5,"Risco Médio",""),IF(NETWORKDAYS(C845,TODAY())&lt;=2,"Risco Baixo",""))))</f>
        <v>Expedido</v>
      </c>
      <c r="P845" s="5" t="s">
        <v>25</v>
      </c>
      <c r="Q845" s="5" t="s">
        <v>897</v>
      </c>
      <c r="S845" s="7">
        <f>IF(ISBLANK(M845),"Aguardando Previsão/Data",NETWORKDAYS(L845,M845)-1)</f>
        <v>0</v>
      </c>
      <c r="T845" s="5" t="s">
        <v>942</v>
      </c>
    </row>
    <row r="846" spans="1:20" x14ac:dyDescent="0.35">
      <c r="A846" s="5">
        <v>8100272377</v>
      </c>
      <c r="B846" s="5">
        <v>18903</v>
      </c>
      <c r="C846" s="6">
        <v>45664</v>
      </c>
      <c r="D846" s="5" t="s">
        <v>106</v>
      </c>
      <c r="E846" s="5" t="s">
        <v>107</v>
      </c>
      <c r="F846" s="5" t="s">
        <v>58</v>
      </c>
      <c r="G846" s="5" t="s">
        <v>59</v>
      </c>
      <c r="H846" s="5" t="s">
        <v>108</v>
      </c>
      <c r="I846" s="5" t="s">
        <v>130</v>
      </c>
      <c r="J846" s="5" t="s">
        <v>131</v>
      </c>
      <c r="K846" s="5" t="s">
        <v>110</v>
      </c>
      <c r="L846" s="6">
        <v>45670</v>
      </c>
      <c r="M846" s="6">
        <v>45666</v>
      </c>
      <c r="N846" s="6" t="s">
        <v>811</v>
      </c>
      <c r="O846" s="5" t="str">
        <f ca="1">IF(P846&lt;&gt;"EXPEDIÇÃO","Expedido",IF(NETWORKDAYS(C846,TODAY())&gt;=5,"Risco Alto",IF(NETWORKDAYS(C846,TODAY())&gt;=3,IF(NETWORKDAYS(C846,TODAY())&lt;5,"Risco Médio",""),IF(NETWORKDAYS(C846,TODAY())&lt;=2,"Risco Baixo",""))))</f>
        <v>Expedido</v>
      </c>
      <c r="P846" s="5" t="s">
        <v>25</v>
      </c>
      <c r="S846" s="7">
        <f>IF(ISBLANK(M846),"Aguardando Previsão/Data",NETWORKDAYS(L846,M846)-1)</f>
        <v>-4</v>
      </c>
      <c r="T846" s="5" t="s">
        <v>942</v>
      </c>
    </row>
    <row r="847" spans="1:20" x14ac:dyDescent="0.35">
      <c r="A847" s="5">
        <v>8100272378</v>
      </c>
      <c r="B847" s="5">
        <v>18887</v>
      </c>
      <c r="C847" s="6">
        <v>45664</v>
      </c>
      <c r="D847" s="5" t="s">
        <v>106</v>
      </c>
      <c r="E847" s="5" t="s">
        <v>107</v>
      </c>
      <c r="F847" s="5" t="s">
        <v>58</v>
      </c>
      <c r="G847" s="5" t="s">
        <v>59</v>
      </c>
      <c r="H847" s="5" t="s">
        <v>108</v>
      </c>
      <c r="I847" s="5" t="s">
        <v>1209</v>
      </c>
      <c r="J847" s="5" t="s">
        <v>1210</v>
      </c>
      <c r="K847" s="5" t="s">
        <v>110</v>
      </c>
      <c r="L847" s="6">
        <v>45671</v>
      </c>
      <c r="M847" s="6">
        <v>45667</v>
      </c>
      <c r="N847" s="6" t="s">
        <v>811</v>
      </c>
      <c r="O847" s="5" t="str">
        <f ca="1">IF(P847&lt;&gt;"EXPEDIÇÃO","Expedido",IF(NETWORKDAYS(C847,TODAY())&gt;=5,"Risco Alto",IF(NETWORKDAYS(C847,TODAY())&gt;=3,IF(NETWORKDAYS(C847,TODAY())&lt;5,"Risco Médio",""),IF(NETWORKDAYS(C847,TODAY())&lt;=2,"Risco Baixo",""))))</f>
        <v>Expedido</v>
      </c>
      <c r="P847" s="5" t="s">
        <v>25</v>
      </c>
      <c r="S847" s="7">
        <f>IF(ISBLANK(M847),"Aguardando Previsão/Data",NETWORKDAYS(L847,M847)-1)</f>
        <v>-4</v>
      </c>
      <c r="T847" s="5" t="s">
        <v>942</v>
      </c>
    </row>
    <row r="848" spans="1:20" x14ac:dyDescent="0.35">
      <c r="A848" s="5">
        <v>8100272379</v>
      </c>
      <c r="B848" s="5">
        <v>18897</v>
      </c>
      <c r="C848" s="6">
        <v>45664</v>
      </c>
      <c r="D848" s="5" t="s">
        <v>106</v>
      </c>
      <c r="E848" s="5" t="s">
        <v>107</v>
      </c>
      <c r="F848" s="5" t="s">
        <v>69</v>
      </c>
      <c r="G848" s="5" t="s">
        <v>70</v>
      </c>
      <c r="H848" s="5" t="s">
        <v>108</v>
      </c>
      <c r="I848" s="5" t="s">
        <v>77</v>
      </c>
      <c r="J848" s="5" t="s">
        <v>825</v>
      </c>
      <c r="K848" s="5" t="s">
        <v>110</v>
      </c>
      <c r="L848" s="6">
        <v>45671</v>
      </c>
      <c r="M848" s="6">
        <v>45667</v>
      </c>
      <c r="N848" s="6" t="s">
        <v>811</v>
      </c>
      <c r="O848" s="5" t="str">
        <f ca="1">IF(P848&lt;&gt;"EXPEDIÇÃO","Expedido",IF(NETWORKDAYS(C848,TODAY())&gt;=5,"Risco Alto",IF(NETWORKDAYS(C848,TODAY())&gt;=3,IF(NETWORKDAYS(C848,TODAY())&lt;5,"Risco Médio",""),IF(NETWORKDAYS(C848,TODAY())&lt;=2,"Risco Baixo",""))))</f>
        <v>Expedido</v>
      </c>
      <c r="P848" s="5" t="s">
        <v>25</v>
      </c>
      <c r="Q848" s="5" t="s">
        <v>897</v>
      </c>
      <c r="S848" s="7">
        <f>IF(ISBLANK(M848),"Aguardando Previsão/Data",NETWORKDAYS(L848,M848)-1)</f>
        <v>-4</v>
      </c>
      <c r="T848" s="5" t="s">
        <v>942</v>
      </c>
    </row>
    <row r="849" spans="1:20" x14ac:dyDescent="0.35">
      <c r="A849" s="5">
        <v>8100272380</v>
      </c>
      <c r="B849" s="5">
        <v>18896</v>
      </c>
      <c r="C849" s="6">
        <v>45664</v>
      </c>
      <c r="D849" s="5" t="s">
        <v>106</v>
      </c>
      <c r="E849" s="5" t="s">
        <v>107</v>
      </c>
      <c r="F849" s="5" t="s">
        <v>53</v>
      </c>
      <c r="G849" s="5" t="s">
        <v>54</v>
      </c>
      <c r="H849" s="5" t="s">
        <v>108</v>
      </c>
      <c r="I849" s="5" t="s">
        <v>561</v>
      </c>
      <c r="J849" s="5" t="s">
        <v>121</v>
      </c>
      <c r="K849" s="5" t="s">
        <v>110</v>
      </c>
      <c r="L849" s="6">
        <v>45671</v>
      </c>
      <c r="M849" s="6">
        <v>45666</v>
      </c>
      <c r="N849" s="6" t="s">
        <v>811</v>
      </c>
      <c r="O849" s="5" t="str">
        <f ca="1">IF(P849&lt;&gt;"EXPEDIÇÃO","Expedido",IF(NETWORKDAYS(C849,TODAY())&gt;=5,"Risco Alto",IF(NETWORKDAYS(C849,TODAY())&gt;=3,IF(NETWORKDAYS(C849,TODAY())&lt;5,"Risco Médio",""),IF(NETWORKDAYS(C849,TODAY())&lt;=2,"Risco Baixo",""))))</f>
        <v>Expedido</v>
      </c>
      <c r="P849" s="5" t="s">
        <v>25</v>
      </c>
      <c r="S849" s="7">
        <f>IF(ISBLANK(M849),"Aguardando Previsão/Data",NETWORKDAYS(L849,M849)-1)</f>
        <v>-5</v>
      </c>
      <c r="T849" s="5" t="s">
        <v>942</v>
      </c>
    </row>
    <row r="850" spans="1:20" x14ac:dyDescent="0.35">
      <c r="A850" s="5">
        <v>8100272383</v>
      </c>
      <c r="B850" s="5">
        <v>18891</v>
      </c>
      <c r="C850" s="6">
        <v>45664</v>
      </c>
      <c r="D850" s="5" t="s">
        <v>106</v>
      </c>
      <c r="E850" s="5" t="s">
        <v>107</v>
      </c>
      <c r="F850" s="5" t="s">
        <v>66</v>
      </c>
      <c r="G850" s="5" t="s">
        <v>67</v>
      </c>
      <c r="H850" s="5" t="s">
        <v>108</v>
      </c>
      <c r="I850" s="5" t="s">
        <v>701</v>
      </c>
      <c r="J850" s="5" t="s">
        <v>124</v>
      </c>
      <c r="K850" s="5" t="s">
        <v>110</v>
      </c>
      <c r="L850" s="6">
        <v>45672</v>
      </c>
      <c r="M850" s="6">
        <v>45671</v>
      </c>
      <c r="N850" s="6" t="s">
        <v>811</v>
      </c>
      <c r="O850" s="5" t="str">
        <f ca="1">IF(P850&lt;&gt;"EXPEDIÇÃO","Expedido",IF(NETWORKDAYS(C850,TODAY())&gt;=5,"Risco Alto",IF(NETWORKDAYS(C850,TODAY())&gt;=3,IF(NETWORKDAYS(C850,TODAY())&lt;5,"Risco Médio",""),IF(NETWORKDAYS(C850,TODAY())&lt;=2,"Risco Baixo",""))))</f>
        <v>Expedido</v>
      </c>
      <c r="P850" s="5" t="s">
        <v>25</v>
      </c>
      <c r="S850" s="7">
        <f>IF(ISBLANK(M850),"Aguardando Previsão/Data",NETWORKDAYS(L850,M850)-1)</f>
        <v>-3</v>
      </c>
      <c r="T850" s="5" t="s">
        <v>942</v>
      </c>
    </row>
    <row r="851" spans="1:20" x14ac:dyDescent="0.35">
      <c r="A851" s="5">
        <v>8100272384</v>
      </c>
      <c r="B851" s="5">
        <v>18893</v>
      </c>
      <c r="C851" s="6">
        <v>45664</v>
      </c>
      <c r="D851" s="5" t="s">
        <v>106</v>
      </c>
      <c r="E851" s="5" t="s">
        <v>107</v>
      </c>
      <c r="F851" s="5" t="s">
        <v>69</v>
      </c>
      <c r="G851" s="5" t="s">
        <v>70</v>
      </c>
      <c r="H851" s="5" t="s">
        <v>108</v>
      </c>
      <c r="I851" s="5" t="s">
        <v>115</v>
      </c>
      <c r="J851" s="5" t="s">
        <v>346</v>
      </c>
      <c r="K851" s="5" t="s">
        <v>110</v>
      </c>
      <c r="L851" s="6">
        <v>45671</v>
      </c>
      <c r="M851" s="6">
        <v>45666</v>
      </c>
      <c r="N851" s="6" t="s">
        <v>811</v>
      </c>
      <c r="O851" s="5" t="str">
        <f ca="1">IF(P851&lt;&gt;"EXPEDIÇÃO","Expedido",IF(NETWORKDAYS(C851,TODAY())&gt;=5,"Risco Alto",IF(NETWORKDAYS(C851,TODAY())&gt;=3,IF(NETWORKDAYS(C851,TODAY())&lt;5,"Risco Médio",""),IF(NETWORKDAYS(C851,TODAY())&lt;=2,"Risco Baixo",""))))</f>
        <v>Expedido</v>
      </c>
      <c r="P851" s="5" t="s">
        <v>25</v>
      </c>
      <c r="S851" s="7">
        <f>IF(ISBLANK(M851),"Aguardando Previsão/Data",NETWORKDAYS(L851,M851)-1)</f>
        <v>-5</v>
      </c>
      <c r="T851" s="5" t="s">
        <v>942</v>
      </c>
    </row>
    <row r="852" spans="1:20" x14ac:dyDescent="0.35">
      <c r="A852" s="5">
        <v>8100272385</v>
      </c>
      <c r="B852" s="5">
        <v>18904</v>
      </c>
      <c r="C852" s="6">
        <v>45664</v>
      </c>
      <c r="D852" s="5" t="s">
        <v>106</v>
      </c>
      <c r="E852" s="5" t="s">
        <v>107</v>
      </c>
      <c r="F852" s="5" t="s">
        <v>66</v>
      </c>
      <c r="G852" s="5" t="s">
        <v>67</v>
      </c>
      <c r="H852" s="5" t="s">
        <v>108</v>
      </c>
      <c r="I852" s="5" t="s">
        <v>337</v>
      </c>
      <c r="J852" s="5" t="s">
        <v>338</v>
      </c>
      <c r="K852" s="5" t="s">
        <v>110</v>
      </c>
      <c r="L852" s="6">
        <v>45672</v>
      </c>
      <c r="M852" s="6">
        <v>45672</v>
      </c>
      <c r="N852" s="6" t="s">
        <v>811</v>
      </c>
      <c r="O852" s="5" t="str">
        <f ca="1">IF(P852&lt;&gt;"EXPEDIÇÃO","Expedido",IF(NETWORKDAYS(C852,TODAY())&gt;=5,"Risco Alto",IF(NETWORKDAYS(C852,TODAY())&gt;=3,IF(NETWORKDAYS(C852,TODAY())&lt;5,"Risco Médio",""),IF(NETWORKDAYS(C852,TODAY())&lt;=2,"Risco Baixo",""))))</f>
        <v>Expedido</v>
      </c>
      <c r="P852" s="5" t="s">
        <v>25</v>
      </c>
      <c r="R852" s="5" t="s">
        <v>1241</v>
      </c>
      <c r="S852" s="7">
        <f>IF(ISBLANK(M852),"Aguardando Previsão/Data",NETWORKDAYS(L852,M852)-1)</f>
        <v>0</v>
      </c>
      <c r="T852" s="5" t="s">
        <v>942</v>
      </c>
    </row>
    <row r="853" spans="1:20" x14ac:dyDescent="0.35">
      <c r="A853" s="5">
        <v>8100272387</v>
      </c>
      <c r="B853" s="5">
        <v>18900</v>
      </c>
      <c r="C853" s="6">
        <v>45664</v>
      </c>
      <c r="D853" s="5" t="s">
        <v>106</v>
      </c>
      <c r="E853" s="5" t="s">
        <v>107</v>
      </c>
      <c r="F853" s="5" t="s">
        <v>147</v>
      </c>
      <c r="G853" s="5" t="s">
        <v>148</v>
      </c>
      <c r="H853" s="5" t="s">
        <v>108</v>
      </c>
      <c r="I853" s="5" t="s">
        <v>82</v>
      </c>
      <c r="J853" s="5" t="s">
        <v>150</v>
      </c>
      <c r="K853" s="5" t="s">
        <v>110</v>
      </c>
      <c r="L853" s="6">
        <v>45672</v>
      </c>
      <c r="M853" s="6">
        <v>45667</v>
      </c>
      <c r="N853" s="6" t="s">
        <v>811</v>
      </c>
      <c r="O853" s="5" t="str">
        <f ca="1">IF(P853&lt;&gt;"EXPEDIÇÃO","Expedido",IF(NETWORKDAYS(C853,TODAY())&gt;=5,"Risco Alto",IF(NETWORKDAYS(C853,TODAY())&gt;=3,IF(NETWORKDAYS(C853,TODAY())&lt;5,"Risco Médio",""),IF(NETWORKDAYS(C853,TODAY())&lt;=2,"Risco Baixo",""))))</f>
        <v>Expedido</v>
      </c>
      <c r="P853" s="5" t="s">
        <v>25</v>
      </c>
      <c r="S853" s="7">
        <f>IF(ISBLANK(M853),"Aguardando Previsão/Data",NETWORKDAYS(L853,M853)-1)</f>
        <v>-5</v>
      </c>
      <c r="T853" s="5" t="s">
        <v>942</v>
      </c>
    </row>
    <row r="854" spans="1:20" x14ac:dyDescent="0.35">
      <c r="A854" s="5">
        <v>8100272460</v>
      </c>
      <c r="B854" s="5">
        <v>18892</v>
      </c>
      <c r="C854" s="6">
        <v>45664</v>
      </c>
      <c r="D854" s="5" t="s">
        <v>106</v>
      </c>
      <c r="E854" s="5" t="s">
        <v>107</v>
      </c>
      <c r="F854" s="5" t="s">
        <v>111</v>
      </c>
      <c r="G854" s="5" t="s">
        <v>112</v>
      </c>
      <c r="H854" s="5" t="s">
        <v>108</v>
      </c>
      <c r="I854" s="5" t="s">
        <v>115</v>
      </c>
      <c r="J854" s="5" t="s">
        <v>122</v>
      </c>
      <c r="K854" s="5" t="s">
        <v>110</v>
      </c>
      <c r="L854" s="6">
        <v>45671</v>
      </c>
      <c r="M854" s="6">
        <v>45666</v>
      </c>
      <c r="N854" s="6" t="s">
        <v>811</v>
      </c>
      <c r="O854" s="5" t="str">
        <f ca="1">IF(P854&lt;&gt;"EXPEDIÇÃO","Expedido",IF(NETWORKDAYS(C854,TODAY())&gt;=5,"Risco Alto",IF(NETWORKDAYS(C854,TODAY())&gt;=3,IF(NETWORKDAYS(C854,TODAY())&lt;5,"Risco Médio",""),IF(NETWORKDAYS(C854,TODAY())&lt;=2,"Risco Baixo",""))))</f>
        <v>Expedido</v>
      </c>
      <c r="P854" s="5" t="s">
        <v>25</v>
      </c>
      <c r="S854" s="7">
        <f>IF(ISBLANK(M854),"Aguardando Previsão/Data",NETWORKDAYS(L854,M854)-1)</f>
        <v>-5</v>
      </c>
      <c r="T854" s="5" t="s">
        <v>942</v>
      </c>
    </row>
    <row r="855" spans="1:20" x14ac:dyDescent="0.35">
      <c r="A855" s="5">
        <v>8100272461</v>
      </c>
      <c r="B855" s="5">
        <v>18901</v>
      </c>
      <c r="C855" s="6">
        <v>45664</v>
      </c>
      <c r="D855" s="5" t="s">
        <v>106</v>
      </c>
      <c r="E855" s="5" t="s">
        <v>107</v>
      </c>
      <c r="F855" s="5" t="s">
        <v>69</v>
      </c>
      <c r="G855" s="5" t="s">
        <v>70</v>
      </c>
      <c r="H855" s="5" t="s">
        <v>108</v>
      </c>
      <c r="I855" s="5" t="s">
        <v>154</v>
      </c>
      <c r="J855" s="5" t="s">
        <v>155</v>
      </c>
      <c r="K855" s="5" t="s">
        <v>156</v>
      </c>
      <c r="L855" s="6">
        <v>45674</v>
      </c>
      <c r="M855" s="6">
        <v>45672</v>
      </c>
      <c r="N855" s="6" t="s">
        <v>811</v>
      </c>
      <c r="O855" s="5" t="str">
        <f ca="1">IF(P855&lt;&gt;"EXPEDIÇÃO","Expedido",IF(NETWORKDAYS(C855,TODAY())&gt;=5,"Risco Alto",IF(NETWORKDAYS(C855,TODAY())&gt;=3,IF(NETWORKDAYS(C855,TODAY())&lt;5,"Risco Médio",""),IF(NETWORKDAYS(C855,TODAY())&lt;=2,"Risco Baixo",""))))</f>
        <v>Expedido</v>
      </c>
      <c r="P855" s="5" t="s">
        <v>25</v>
      </c>
      <c r="Q855" s="5" t="s">
        <v>897</v>
      </c>
      <c r="S855" s="7">
        <f>IF(ISBLANK(M855),"Aguardando Previsão/Data",NETWORKDAYS(L855,M855)-1)</f>
        <v>-4</v>
      </c>
      <c r="T855" s="5" t="s">
        <v>942</v>
      </c>
    </row>
    <row r="856" spans="1:20" x14ac:dyDescent="0.35">
      <c r="A856" s="5">
        <v>8100272462</v>
      </c>
      <c r="B856" s="5">
        <v>18890</v>
      </c>
      <c r="C856" s="6">
        <v>45664</v>
      </c>
      <c r="D856" s="5" t="s">
        <v>106</v>
      </c>
      <c r="E856" s="5" t="s">
        <v>107</v>
      </c>
      <c r="F856" s="5" t="s">
        <v>66</v>
      </c>
      <c r="G856" s="5" t="s">
        <v>67</v>
      </c>
      <c r="H856" s="5" t="s">
        <v>108</v>
      </c>
      <c r="I856" s="5" t="s">
        <v>115</v>
      </c>
      <c r="J856" s="5" t="s">
        <v>477</v>
      </c>
      <c r="K856" s="5" t="s">
        <v>110</v>
      </c>
      <c r="L856" s="6">
        <v>45671</v>
      </c>
      <c r="M856" s="6">
        <v>45666</v>
      </c>
      <c r="N856" s="6" t="s">
        <v>811</v>
      </c>
      <c r="O856" s="5" t="str">
        <f ca="1">IF(P856&lt;&gt;"EXPEDIÇÃO","Expedido",IF(NETWORKDAYS(C856,TODAY())&gt;=5,"Risco Alto",IF(NETWORKDAYS(C856,TODAY())&gt;=3,IF(NETWORKDAYS(C856,TODAY())&lt;5,"Risco Médio",""),IF(NETWORKDAYS(C856,TODAY())&lt;=2,"Risco Baixo",""))))</f>
        <v>Expedido</v>
      </c>
      <c r="P856" s="5" t="s">
        <v>25</v>
      </c>
      <c r="S856" s="7">
        <f>IF(ISBLANK(M856),"Aguardando Previsão/Data",NETWORKDAYS(L856,M856)-1)</f>
        <v>-5</v>
      </c>
      <c r="T856" s="5" t="s">
        <v>942</v>
      </c>
    </row>
    <row r="857" spans="1:20" x14ac:dyDescent="0.35">
      <c r="A857" s="5">
        <v>8100272463</v>
      </c>
      <c r="B857" s="5">
        <v>18889</v>
      </c>
      <c r="C857" s="6">
        <v>45664</v>
      </c>
      <c r="D857" s="5" t="s">
        <v>106</v>
      </c>
      <c r="E857" s="5" t="s">
        <v>107</v>
      </c>
      <c r="F857" s="5" t="s">
        <v>66</v>
      </c>
      <c r="G857" s="5" t="s">
        <v>67</v>
      </c>
      <c r="H857" s="5" t="s">
        <v>108</v>
      </c>
      <c r="I857" s="5" t="s">
        <v>394</v>
      </c>
      <c r="J857" s="5" t="s">
        <v>395</v>
      </c>
      <c r="K857" s="5" t="s">
        <v>110</v>
      </c>
      <c r="L857" s="6">
        <v>45671</v>
      </c>
      <c r="M857" s="6">
        <v>45667</v>
      </c>
      <c r="N857" s="6" t="s">
        <v>811</v>
      </c>
      <c r="O857" s="5" t="str">
        <f ca="1">IF(P857&lt;&gt;"EXPEDIÇÃO","Expedido",IF(NETWORKDAYS(C857,TODAY())&gt;=5,"Risco Alto",IF(NETWORKDAYS(C857,TODAY())&gt;=3,IF(NETWORKDAYS(C857,TODAY())&lt;5,"Risco Médio",""),IF(NETWORKDAYS(C857,TODAY())&lt;=2,"Risco Baixo",""))))</f>
        <v>Expedido</v>
      </c>
      <c r="P857" s="5" t="s">
        <v>25</v>
      </c>
      <c r="S857" s="7">
        <f>IF(ISBLANK(M857),"Aguardando Previsão/Data",NETWORKDAYS(L857,M857)-1)</f>
        <v>-4</v>
      </c>
      <c r="T857" s="5" t="s">
        <v>942</v>
      </c>
    </row>
    <row r="858" spans="1:20" x14ac:dyDescent="0.35">
      <c r="A858" s="5">
        <v>8100270143</v>
      </c>
      <c r="B858" s="5">
        <v>7051</v>
      </c>
      <c r="C858" s="6">
        <v>45664</v>
      </c>
      <c r="D858" s="5" t="s">
        <v>194</v>
      </c>
      <c r="E858" s="5" t="s">
        <v>195</v>
      </c>
      <c r="F858" s="5" t="s">
        <v>69</v>
      </c>
      <c r="G858" s="5" t="s">
        <v>70</v>
      </c>
      <c r="H858" s="5" t="s">
        <v>108</v>
      </c>
      <c r="I858" s="5" t="s">
        <v>128</v>
      </c>
      <c r="J858" s="5" t="s">
        <v>291</v>
      </c>
      <c r="K858" s="5" t="s">
        <v>198</v>
      </c>
      <c r="L858" s="6">
        <v>45671</v>
      </c>
      <c r="M858" s="6">
        <v>45673</v>
      </c>
      <c r="N858" s="6" t="s">
        <v>812</v>
      </c>
      <c r="O858" s="5" t="str">
        <f ca="1">IF(P858&lt;&gt;"EXPEDIÇÃO","Expedido",IF(NETWORKDAYS(C858,TODAY())&gt;=5,"Risco Alto",IF(NETWORKDAYS(C858,TODAY())&gt;=3,IF(NETWORKDAYS(C858,TODAY())&lt;5,"Risco Médio",""),IF(NETWORKDAYS(C858,TODAY())&lt;=2,"Risco Baixo",""))))</f>
        <v>Expedido</v>
      </c>
      <c r="P858" s="5" t="s">
        <v>25</v>
      </c>
      <c r="Q858" s="5" t="s">
        <v>1361</v>
      </c>
      <c r="S858" s="7">
        <f>IF(ISBLANK(M858),"Aguardando Previsão/Data",NETWORKDAYS(L858,M858)-1)</f>
        <v>2</v>
      </c>
      <c r="T858" s="5" t="s">
        <v>942</v>
      </c>
    </row>
    <row r="859" spans="1:20" x14ac:dyDescent="0.35">
      <c r="A859" s="5">
        <v>8100270526</v>
      </c>
      <c r="B859" s="5">
        <v>7049</v>
      </c>
      <c r="C859" s="6">
        <v>45664</v>
      </c>
      <c r="D859" s="5" t="s">
        <v>194</v>
      </c>
      <c r="E859" s="5" t="s">
        <v>195</v>
      </c>
      <c r="F859" s="5" t="s">
        <v>199</v>
      </c>
      <c r="G859" s="5" t="s">
        <v>200</v>
      </c>
      <c r="H859" s="5" t="s">
        <v>108</v>
      </c>
      <c r="I859" s="5" t="s">
        <v>1191</v>
      </c>
      <c r="J859" s="5" t="s">
        <v>590</v>
      </c>
      <c r="K859" s="5" t="s">
        <v>198</v>
      </c>
      <c r="L859" s="6">
        <v>45671</v>
      </c>
      <c r="M859" s="6">
        <v>45671</v>
      </c>
      <c r="N859" s="6" t="s">
        <v>811</v>
      </c>
      <c r="O859" s="5" t="str">
        <f ca="1">IF(P859&lt;&gt;"EXPEDIÇÃO","Expedido",IF(NETWORKDAYS(C859,TODAY())&gt;=5,"Risco Alto",IF(NETWORKDAYS(C859,TODAY())&gt;=3,IF(NETWORKDAYS(C859,TODAY())&lt;5,"Risco Médio",""),IF(NETWORKDAYS(C859,TODAY())&lt;=2,"Risco Baixo",""))))</f>
        <v>Expedido</v>
      </c>
      <c r="P859" s="5" t="s">
        <v>25</v>
      </c>
      <c r="Q859" s="5" t="s">
        <v>899</v>
      </c>
      <c r="S859" s="7">
        <f>IF(ISBLANK(M859),"Aguardando Previsão/Data",NETWORKDAYS(L859,M859)-1)</f>
        <v>0</v>
      </c>
      <c r="T859" s="5" t="s">
        <v>942</v>
      </c>
    </row>
    <row r="860" spans="1:20" x14ac:dyDescent="0.35">
      <c r="A860" s="5">
        <v>8100270751</v>
      </c>
      <c r="B860" s="5">
        <v>7050</v>
      </c>
      <c r="C860" s="6">
        <v>45664</v>
      </c>
      <c r="D860" s="5" t="s">
        <v>194</v>
      </c>
      <c r="E860" s="5" t="s">
        <v>195</v>
      </c>
      <c r="F860" s="5" t="s">
        <v>406</v>
      </c>
      <c r="G860" s="5" t="s">
        <v>407</v>
      </c>
      <c r="H860" s="5" t="s">
        <v>108</v>
      </c>
      <c r="I860" s="5" t="s">
        <v>1193</v>
      </c>
      <c r="J860" s="5" t="s">
        <v>616</v>
      </c>
      <c r="K860" s="5" t="s">
        <v>198</v>
      </c>
      <c r="L860" s="6">
        <v>45670</v>
      </c>
      <c r="M860" s="6">
        <v>45667</v>
      </c>
      <c r="N860" s="6" t="s">
        <v>811</v>
      </c>
      <c r="O860" s="5" t="str">
        <f ca="1">IF(P860&lt;&gt;"EXPEDIÇÃO","Expedido",IF(NETWORKDAYS(C860,TODAY())&gt;=5,"Risco Alto",IF(NETWORKDAYS(C860,TODAY())&gt;=3,IF(NETWORKDAYS(C860,TODAY())&lt;5,"Risco Médio",""),IF(NETWORKDAYS(C860,TODAY())&lt;=2,"Risco Baixo",""))))</f>
        <v>Expedido</v>
      </c>
      <c r="P860" s="5" t="s">
        <v>25</v>
      </c>
      <c r="S860" s="7">
        <f>IF(ISBLANK(M860),"Aguardando Previsão/Data",NETWORKDAYS(L860,M860)-1)</f>
        <v>-3</v>
      </c>
      <c r="T860" s="5" t="s">
        <v>942</v>
      </c>
    </row>
    <row r="861" spans="1:20" x14ac:dyDescent="0.35">
      <c r="A861" s="5">
        <v>8100270944</v>
      </c>
      <c r="B861" s="5">
        <v>7047</v>
      </c>
      <c r="C861" s="6">
        <v>45664</v>
      </c>
      <c r="D861" s="5" t="s">
        <v>194</v>
      </c>
      <c r="E861" s="5" t="s">
        <v>195</v>
      </c>
      <c r="F861" s="5" t="s">
        <v>406</v>
      </c>
      <c r="G861" s="5" t="s">
        <v>407</v>
      </c>
      <c r="H861" s="5" t="s">
        <v>108</v>
      </c>
      <c r="I861" s="5" t="s">
        <v>788</v>
      </c>
      <c r="J861" s="5" t="s">
        <v>407</v>
      </c>
      <c r="K861" s="5" t="s">
        <v>198</v>
      </c>
      <c r="L861" s="6">
        <v>45670</v>
      </c>
      <c r="M861" s="6">
        <v>45666</v>
      </c>
      <c r="N861" s="6" t="s">
        <v>811</v>
      </c>
      <c r="O861" s="5" t="str">
        <f ca="1">IF(P861&lt;&gt;"EXPEDIÇÃO","Expedido",IF(NETWORKDAYS(C861,TODAY())&gt;=5,"Risco Alto",IF(NETWORKDAYS(C861,TODAY())&gt;=3,IF(NETWORKDAYS(C861,TODAY())&lt;5,"Risco Médio",""),IF(NETWORKDAYS(C861,TODAY())&lt;=2,"Risco Baixo",""))))</f>
        <v>Expedido</v>
      </c>
      <c r="P861" s="5" t="s">
        <v>25</v>
      </c>
      <c r="S861" s="7">
        <f>IF(ISBLANK(M861),"Aguardando Previsão/Data",NETWORKDAYS(L861,M861)-1)</f>
        <v>-4</v>
      </c>
      <c r="T861" s="5" t="s">
        <v>942</v>
      </c>
    </row>
    <row r="862" spans="1:20" x14ac:dyDescent="0.35">
      <c r="A862" s="5">
        <v>8100271051</v>
      </c>
      <c r="B862" s="5">
        <v>7046</v>
      </c>
      <c r="C862" s="6">
        <v>45664</v>
      </c>
      <c r="D862" s="5" t="s">
        <v>194</v>
      </c>
      <c r="E862" s="5" t="s">
        <v>195</v>
      </c>
      <c r="F862" s="5" t="s">
        <v>406</v>
      </c>
      <c r="G862" s="5" t="s">
        <v>407</v>
      </c>
      <c r="H862" s="5" t="s">
        <v>108</v>
      </c>
      <c r="I862" s="5" t="s">
        <v>1194</v>
      </c>
      <c r="J862" s="5" t="s">
        <v>588</v>
      </c>
      <c r="K862" s="5" t="s">
        <v>198</v>
      </c>
      <c r="L862" s="6">
        <v>45671</v>
      </c>
      <c r="M862" s="6">
        <v>45672</v>
      </c>
      <c r="N862" s="6" t="s">
        <v>812</v>
      </c>
      <c r="O862" s="5" t="str">
        <f ca="1">IF(P862&lt;&gt;"EXPEDIÇÃO","Expedido",IF(NETWORKDAYS(C862,TODAY())&gt;=5,"Risco Alto",IF(NETWORKDAYS(C862,TODAY())&gt;=3,IF(NETWORKDAYS(C862,TODAY())&lt;5,"Risco Médio",""),IF(NETWORKDAYS(C862,TODAY())&lt;=2,"Risco Baixo",""))))</f>
        <v>Expedido</v>
      </c>
      <c r="P862" s="5" t="s">
        <v>25</v>
      </c>
      <c r="Q862" s="5" t="s">
        <v>899</v>
      </c>
      <c r="S862" s="7">
        <f>IF(ISBLANK(M862),"Aguardando Previsão/Data",NETWORKDAYS(L862,M862)-1)</f>
        <v>1</v>
      </c>
      <c r="T862" s="5" t="s">
        <v>942</v>
      </c>
    </row>
    <row r="863" spans="1:20" x14ac:dyDescent="0.35">
      <c r="A863" s="5">
        <v>8100271150</v>
      </c>
      <c r="B863" s="5">
        <v>7054</v>
      </c>
      <c r="C863" s="6">
        <v>45664</v>
      </c>
      <c r="D863" s="5" t="s">
        <v>194</v>
      </c>
      <c r="E863" s="5" t="s">
        <v>195</v>
      </c>
      <c r="F863" s="5" t="s">
        <v>406</v>
      </c>
      <c r="G863" s="5" t="s">
        <v>407</v>
      </c>
      <c r="H863" s="5" t="s">
        <v>108</v>
      </c>
      <c r="I863" s="5" t="s">
        <v>1196</v>
      </c>
      <c r="J863" s="5" t="s">
        <v>616</v>
      </c>
      <c r="K863" s="5" t="s">
        <v>198</v>
      </c>
      <c r="L863" s="6">
        <v>45670</v>
      </c>
      <c r="M863" s="6">
        <v>45667</v>
      </c>
      <c r="N863" s="6" t="s">
        <v>811</v>
      </c>
      <c r="O863" s="5" t="str">
        <f ca="1">IF(P863&lt;&gt;"EXPEDIÇÃO","Expedido",IF(NETWORKDAYS(C863,TODAY())&gt;=5,"Risco Alto",IF(NETWORKDAYS(C863,TODAY())&gt;=3,IF(NETWORKDAYS(C863,TODAY())&lt;5,"Risco Médio",""),IF(NETWORKDAYS(C863,TODAY())&lt;=2,"Risco Baixo",""))))</f>
        <v>Expedido</v>
      </c>
      <c r="P863" s="5" t="s">
        <v>25</v>
      </c>
      <c r="Q863" s="5" t="s">
        <v>899</v>
      </c>
      <c r="S863" s="7">
        <f>IF(ISBLANK(M863),"Aguardando Previsão/Data",NETWORKDAYS(L863,M863)-1)</f>
        <v>-3</v>
      </c>
      <c r="T863" s="5" t="s">
        <v>942</v>
      </c>
    </row>
    <row r="864" spans="1:20" x14ac:dyDescent="0.35">
      <c r="A864" s="5">
        <v>8100271687</v>
      </c>
      <c r="B864" s="5">
        <v>7039</v>
      </c>
      <c r="C864" s="6">
        <v>45664</v>
      </c>
      <c r="D864" s="5" t="s">
        <v>194</v>
      </c>
      <c r="E864" s="5" t="s">
        <v>195</v>
      </c>
      <c r="F864" s="5" t="s">
        <v>199</v>
      </c>
      <c r="G864" s="5" t="s">
        <v>200</v>
      </c>
      <c r="H864" s="5" t="s">
        <v>108</v>
      </c>
      <c r="I864" s="5" t="s">
        <v>731</v>
      </c>
      <c r="J864" s="5" t="s">
        <v>200</v>
      </c>
      <c r="K864" s="5" t="s">
        <v>198</v>
      </c>
      <c r="L864" s="6">
        <v>45671</v>
      </c>
      <c r="M864" s="6">
        <v>45667</v>
      </c>
      <c r="N864" s="6" t="s">
        <v>811</v>
      </c>
      <c r="O864" s="5" t="str">
        <f ca="1">IF(P864&lt;&gt;"EXPEDIÇÃO","Expedido",IF(NETWORKDAYS(C864,TODAY())&gt;=5,"Risco Alto",IF(NETWORKDAYS(C864,TODAY())&gt;=3,IF(NETWORKDAYS(C864,TODAY())&lt;5,"Risco Médio",""),IF(NETWORKDAYS(C864,TODAY())&lt;=2,"Risco Baixo",""))))</f>
        <v>Expedido</v>
      </c>
      <c r="P864" s="5" t="s">
        <v>25</v>
      </c>
      <c r="Q864" s="5" t="s">
        <v>899</v>
      </c>
      <c r="S864" s="7">
        <f>IF(ISBLANK(M864),"Aguardando Previsão/Data",NETWORKDAYS(L864,M864)-1)</f>
        <v>-4</v>
      </c>
      <c r="T864" s="5" t="s">
        <v>942</v>
      </c>
    </row>
    <row r="865" spans="1:20" x14ac:dyDescent="0.35">
      <c r="A865" s="5">
        <v>8100271700</v>
      </c>
      <c r="B865" s="5">
        <v>7053</v>
      </c>
      <c r="C865" s="6">
        <v>45664</v>
      </c>
      <c r="D865" s="5" t="s">
        <v>194</v>
      </c>
      <c r="E865" s="5" t="s">
        <v>195</v>
      </c>
      <c r="F865" s="5" t="s">
        <v>199</v>
      </c>
      <c r="G865" s="5" t="s">
        <v>200</v>
      </c>
      <c r="H865" s="5" t="s">
        <v>108</v>
      </c>
      <c r="I865" s="5" t="s">
        <v>201</v>
      </c>
      <c r="J865" s="5" t="s">
        <v>202</v>
      </c>
      <c r="K865" s="5" t="s">
        <v>198</v>
      </c>
      <c r="L865" s="6">
        <v>45671</v>
      </c>
      <c r="M865" s="6">
        <v>45671</v>
      </c>
      <c r="N865" s="6" t="s">
        <v>811</v>
      </c>
      <c r="O865" s="5" t="str">
        <f ca="1">IF(P865&lt;&gt;"EXPEDIÇÃO","Expedido",IF(NETWORKDAYS(C865,TODAY())&gt;=5,"Risco Alto",IF(NETWORKDAYS(C865,TODAY())&gt;=3,IF(NETWORKDAYS(C865,TODAY())&lt;5,"Risco Médio",""),IF(NETWORKDAYS(C865,TODAY())&lt;=2,"Risco Baixo",""))))</f>
        <v>Expedido</v>
      </c>
      <c r="P865" s="5" t="s">
        <v>25</v>
      </c>
      <c r="Q865" s="5" t="s">
        <v>1245</v>
      </c>
      <c r="S865" s="7">
        <f>IF(ISBLANK(M865),"Aguardando Previsão/Data",NETWORKDAYS(L865,M865)-1)</f>
        <v>0</v>
      </c>
      <c r="T865" s="5" t="s">
        <v>942</v>
      </c>
    </row>
    <row r="866" spans="1:20" x14ac:dyDescent="0.35">
      <c r="A866" s="5">
        <v>8100271702</v>
      </c>
      <c r="B866" s="5">
        <v>7052</v>
      </c>
      <c r="C866" s="6">
        <v>45664</v>
      </c>
      <c r="D866" s="5" t="s">
        <v>194</v>
      </c>
      <c r="E866" s="5" t="s">
        <v>195</v>
      </c>
      <c r="F866" s="5" t="s">
        <v>406</v>
      </c>
      <c r="G866" s="5" t="s">
        <v>407</v>
      </c>
      <c r="H866" s="5" t="s">
        <v>108</v>
      </c>
      <c r="I866" s="5" t="s">
        <v>201</v>
      </c>
      <c r="J866" s="5" t="s">
        <v>202</v>
      </c>
      <c r="K866" s="5" t="s">
        <v>198</v>
      </c>
      <c r="L866" s="6">
        <v>45671</v>
      </c>
      <c r="M866" s="6">
        <v>45671</v>
      </c>
      <c r="N866" s="6" t="s">
        <v>811</v>
      </c>
      <c r="O866" s="5" t="str">
        <f ca="1">IF(P866&lt;&gt;"EXPEDIÇÃO","Expedido",IF(NETWORKDAYS(C866,TODAY())&gt;=5,"Risco Alto",IF(NETWORKDAYS(C866,TODAY())&gt;=3,IF(NETWORKDAYS(C866,TODAY())&lt;5,"Risco Médio",""),IF(NETWORKDAYS(C866,TODAY())&lt;=2,"Risco Baixo",""))))</f>
        <v>Expedido</v>
      </c>
      <c r="P866" s="5" t="s">
        <v>25</v>
      </c>
      <c r="Q866" s="5" t="s">
        <v>1245</v>
      </c>
      <c r="S866" s="7">
        <f>IF(ISBLANK(M866),"Aguardando Previsão/Data",NETWORKDAYS(L866,M866)-1)</f>
        <v>0</v>
      </c>
      <c r="T866" s="5" t="s">
        <v>942</v>
      </c>
    </row>
    <row r="867" spans="1:20" x14ac:dyDescent="0.35">
      <c r="A867" s="5">
        <v>8100271766</v>
      </c>
      <c r="B867" s="5">
        <v>7040</v>
      </c>
      <c r="C867" s="6">
        <v>45664</v>
      </c>
      <c r="D867" s="5" t="s">
        <v>723</v>
      </c>
      <c r="E867" s="5" t="s">
        <v>195</v>
      </c>
      <c r="F867" s="5" t="s">
        <v>724</v>
      </c>
      <c r="G867" s="5" t="s">
        <v>725</v>
      </c>
      <c r="H867" s="5" t="s">
        <v>108</v>
      </c>
      <c r="I867" s="5" t="s">
        <v>1201</v>
      </c>
      <c r="J867" s="5" t="s">
        <v>1202</v>
      </c>
      <c r="K867" s="5" t="s">
        <v>198</v>
      </c>
      <c r="L867" s="6">
        <v>45671</v>
      </c>
      <c r="M867" s="6">
        <v>45664</v>
      </c>
      <c r="N867" s="6" t="s">
        <v>811</v>
      </c>
      <c r="O867" s="5" t="str">
        <f ca="1">IF(P867&lt;&gt;"EXPEDIÇÃO","Expedido",IF(NETWORKDAYS(C867,TODAY())&gt;=5,"Risco Alto",IF(NETWORKDAYS(C867,TODAY())&gt;=3,IF(NETWORKDAYS(C867,TODAY())&lt;5,"Risco Médio",""),IF(NETWORKDAYS(C867,TODAY())&lt;=2,"Risco Baixo",""))))</f>
        <v>Expedido</v>
      </c>
      <c r="P867" s="5" t="s">
        <v>25</v>
      </c>
      <c r="S867" s="7">
        <f>IF(ISBLANK(M867),"Aguardando Previsão/Data",NETWORKDAYS(L867,M867)-1)</f>
        <v>-7</v>
      </c>
      <c r="T867" s="5" t="s">
        <v>942</v>
      </c>
    </row>
    <row r="868" spans="1:20" x14ac:dyDescent="0.35">
      <c r="A868" s="5">
        <v>8100272131</v>
      </c>
      <c r="B868" s="5">
        <v>7058</v>
      </c>
      <c r="C868" s="6">
        <v>45664</v>
      </c>
      <c r="D868" s="5" t="s">
        <v>194</v>
      </c>
      <c r="E868" s="5" t="s">
        <v>195</v>
      </c>
      <c r="F868" s="5" t="s">
        <v>406</v>
      </c>
      <c r="G868" s="5" t="s">
        <v>407</v>
      </c>
      <c r="H868" s="5" t="s">
        <v>108</v>
      </c>
      <c r="I868" s="5" t="s">
        <v>708</v>
      </c>
      <c r="J868" s="5" t="s">
        <v>616</v>
      </c>
      <c r="K868" s="5" t="s">
        <v>198</v>
      </c>
      <c r="L868" s="6">
        <v>45670</v>
      </c>
      <c r="M868" s="6">
        <v>45666</v>
      </c>
      <c r="N868" s="6" t="s">
        <v>811</v>
      </c>
      <c r="O868" s="5" t="str">
        <f ca="1">IF(P868&lt;&gt;"EXPEDIÇÃO","Expedido",IF(NETWORKDAYS(C868,TODAY())&gt;=5,"Risco Alto",IF(NETWORKDAYS(C868,TODAY())&gt;=3,IF(NETWORKDAYS(C868,TODAY())&lt;5,"Risco Médio",""),IF(NETWORKDAYS(C868,TODAY())&lt;=2,"Risco Baixo",""))))</f>
        <v>Expedido</v>
      </c>
      <c r="P868" s="5" t="s">
        <v>25</v>
      </c>
      <c r="Q868" s="5" t="s">
        <v>899</v>
      </c>
      <c r="S868" s="7">
        <f>IF(ISBLANK(M868),"Aguardando Previsão/Data",NETWORKDAYS(L868,M868)-1)</f>
        <v>-4</v>
      </c>
      <c r="T868" s="5" t="s">
        <v>942</v>
      </c>
    </row>
    <row r="869" spans="1:20" x14ac:dyDescent="0.35">
      <c r="A869" s="5">
        <v>8100272132</v>
      </c>
      <c r="B869" s="5">
        <v>7048</v>
      </c>
      <c r="C869" s="6">
        <v>45664</v>
      </c>
      <c r="D869" s="5" t="s">
        <v>194</v>
      </c>
      <c r="E869" s="5" t="s">
        <v>195</v>
      </c>
      <c r="F869" s="5" t="s">
        <v>406</v>
      </c>
      <c r="G869" s="5" t="s">
        <v>407</v>
      </c>
      <c r="H869" s="5" t="s">
        <v>108</v>
      </c>
      <c r="I869" s="5" t="s">
        <v>544</v>
      </c>
      <c r="J869" s="5" t="s">
        <v>202</v>
      </c>
      <c r="K869" s="5" t="s">
        <v>198</v>
      </c>
      <c r="L869" s="6">
        <v>45671</v>
      </c>
      <c r="M869" s="6">
        <v>45667</v>
      </c>
      <c r="N869" s="6" t="s">
        <v>811</v>
      </c>
      <c r="O869" s="5" t="str">
        <f ca="1">IF(P869&lt;&gt;"EXPEDIÇÃO","Expedido",IF(NETWORKDAYS(C869,TODAY())&gt;=5,"Risco Alto",IF(NETWORKDAYS(C869,TODAY())&gt;=3,IF(NETWORKDAYS(C869,TODAY())&lt;5,"Risco Médio",""),IF(NETWORKDAYS(C869,TODAY())&lt;=2,"Risco Baixo",""))))</f>
        <v>Expedido</v>
      </c>
      <c r="P869" s="5" t="s">
        <v>25</v>
      </c>
      <c r="Q869" s="5" t="s">
        <v>1244</v>
      </c>
      <c r="S869" s="7">
        <f>IF(ISBLANK(M869),"Aguardando Previsão/Data",NETWORKDAYS(L869,M869)-1)</f>
        <v>-4</v>
      </c>
      <c r="T869" s="5" t="s">
        <v>942</v>
      </c>
    </row>
    <row r="870" spans="1:20" x14ac:dyDescent="0.35">
      <c r="A870" s="5">
        <v>8100272133</v>
      </c>
      <c r="B870" s="5">
        <v>7059</v>
      </c>
      <c r="C870" s="6">
        <v>45664</v>
      </c>
      <c r="D870" s="5" t="s">
        <v>194</v>
      </c>
      <c r="E870" s="5" t="s">
        <v>195</v>
      </c>
      <c r="F870" s="5" t="s">
        <v>406</v>
      </c>
      <c r="G870" s="5" t="s">
        <v>407</v>
      </c>
      <c r="H870" s="5" t="s">
        <v>108</v>
      </c>
      <c r="I870" s="5" t="s">
        <v>1203</v>
      </c>
      <c r="J870" s="5" t="s">
        <v>407</v>
      </c>
      <c r="K870" s="5" t="s">
        <v>198</v>
      </c>
      <c r="L870" s="6">
        <v>45670</v>
      </c>
      <c r="M870" s="6">
        <v>45666</v>
      </c>
      <c r="N870" s="6" t="s">
        <v>811</v>
      </c>
      <c r="O870" s="5" t="str">
        <f ca="1">IF(P870&lt;&gt;"EXPEDIÇÃO","Expedido",IF(NETWORKDAYS(C870,TODAY())&gt;=5,"Risco Alto",IF(NETWORKDAYS(C870,TODAY())&gt;=3,IF(NETWORKDAYS(C870,TODAY())&lt;5,"Risco Médio",""),IF(NETWORKDAYS(C870,TODAY())&lt;=2,"Risco Baixo",""))))</f>
        <v>Expedido</v>
      </c>
      <c r="P870" s="5" t="s">
        <v>25</v>
      </c>
      <c r="Q870" s="5" t="s">
        <v>899</v>
      </c>
      <c r="S870" s="7">
        <f>IF(ISBLANK(M870),"Aguardando Previsão/Data",NETWORKDAYS(L870,M870)-1)</f>
        <v>-4</v>
      </c>
      <c r="T870" s="5" t="s">
        <v>942</v>
      </c>
    </row>
    <row r="871" spans="1:20" x14ac:dyDescent="0.35">
      <c r="A871" s="5">
        <v>8100272134</v>
      </c>
      <c r="B871" s="5">
        <v>7057</v>
      </c>
      <c r="C871" s="6">
        <v>45664</v>
      </c>
      <c r="D871" s="5" t="s">
        <v>194</v>
      </c>
      <c r="E871" s="5" t="s">
        <v>195</v>
      </c>
      <c r="F871" s="5" t="s">
        <v>406</v>
      </c>
      <c r="G871" s="5" t="s">
        <v>407</v>
      </c>
      <c r="H871" s="5" t="s">
        <v>108</v>
      </c>
      <c r="I871" s="5" t="s">
        <v>788</v>
      </c>
      <c r="J871" s="5" t="s">
        <v>407</v>
      </c>
      <c r="K871" s="5" t="s">
        <v>198</v>
      </c>
      <c r="L871" s="6">
        <v>45670</v>
      </c>
      <c r="M871" s="6">
        <v>45666</v>
      </c>
      <c r="N871" s="6" t="s">
        <v>811</v>
      </c>
      <c r="O871" s="5" t="str">
        <f ca="1">IF(P871&lt;&gt;"EXPEDIÇÃO","Expedido",IF(NETWORKDAYS(C871,TODAY())&gt;=5,"Risco Alto",IF(NETWORKDAYS(C871,TODAY())&gt;=3,IF(NETWORKDAYS(C871,TODAY())&lt;5,"Risco Médio",""),IF(NETWORKDAYS(C871,TODAY())&lt;=2,"Risco Baixo",""))))</f>
        <v>Expedido</v>
      </c>
      <c r="P871" s="5" t="s">
        <v>25</v>
      </c>
      <c r="S871" s="7">
        <f>IF(ISBLANK(M871),"Aguardando Previsão/Data",NETWORKDAYS(L871,M871)-1)</f>
        <v>-4</v>
      </c>
      <c r="T871" s="5" t="s">
        <v>942</v>
      </c>
    </row>
    <row r="872" spans="1:20" x14ac:dyDescent="0.35">
      <c r="A872" s="5">
        <v>8100272135</v>
      </c>
      <c r="B872" s="5">
        <v>7055</v>
      </c>
      <c r="C872" s="6">
        <v>45664</v>
      </c>
      <c r="D872" s="5" t="s">
        <v>194</v>
      </c>
      <c r="E872" s="5" t="s">
        <v>195</v>
      </c>
      <c r="F872" s="5" t="s">
        <v>406</v>
      </c>
      <c r="G872" s="5" t="s">
        <v>407</v>
      </c>
      <c r="H872" s="5" t="s">
        <v>108</v>
      </c>
      <c r="I872" s="5" t="s">
        <v>788</v>
      </c>
      <c r="J872" s="5" t="s">
        <v>407</v>
      </c>
      <c r="K872" s="5" t="s">
        <v>198</v>
      </c>
      <c r="L872" s="6">
        <v>45670</v>
      </c>
      <c r="M872" s="6">
        <v>45666</v>
      </c>
      <c r="N872" s="6" t="s">
        <v>811</v>
      </c>
      <c r="O872" s="5" t="str">
        <f ca="1">IF(P872&lt;&gt;"EXPEDIÇÃO","Expedido",IF(NETWORKDAYS(C872,TODAY())&gt;=5,"Risco Alto",IF(NETWORKDAYS(C872,TODAY())&gt;=3,IF(NETWORKDAYS(C872,TODAY())&lt;5,"Risco Médio",""),IF(NETWORKDAYS(C872,TODAY())&lt;=2,"Risco Baixo",""))))</f>
        <v>Expedido</v>
      </c>
      <c r="P872" s="5" t="s">
        <v>25</v>
      </c>
      <c r="S872" s="7">
        <f>IF(ISBLANK(M872),"Aguardando Previsão/Data",NETWORKDAYS(L872,M872)-1)</f>
        <v>-4</v>
      </c>
      <c r="T872" s="5" t="s">
        <v>942</v>
      </c>
    </row>
    <row r="873" spans="1:20" x14ac:dyDescent="0.35">
      <c r="A873" s="5">
        <v>8100272161</v>
      </c>
      <c r="B873" s="5">
        <v>7042</v>
      </c>
      <c r="C873" s="6">
        <v>45664</v>
      </c>
      <c r="D873" s="5" t="s">
        <v>723</v>
      </c>
      <c r="E873" s="5" t="s">
        <v>195</v>
      </c>
      <c r="F873" s="5" t="s">
        <v>724</v>
      </c>
      <c r="G873" s="5" t="s">
        <v>725</v>
      </c>
      <c r="H873" s="5" t="s">
        <v>108</v>
      </c>
      <c r="I873" s="5" t="s">
        <v>1204</v>
      </c>
      <c r="J873" s="5" t="s">
        <v>407</v>
      </c>
      <c r="K873" s="5" t="s">
        <v>198</v>
      </c>
      <c r="L873" s="6">
        <v>45670</v>
      </c>
      <c r="M873" s="6">
        <v>45664</v>
      </c>
      <c r="N873" s="6" t="s">
        <v>811</v>
      </c>
      <c r="O873" s="5" t="str">
        <f ca="1">IF(P873&lt;&gt;"EXPEDIÇÃO","Expedido",IF(NETWORKDAYS(C873,TODAY())&gt;=5,"Risco Alto",IF(NETWORKDAYS(C873,TODAY())&gt;=3,IF(NETWORKDAYS(C873,TODAY())&lt;5,"Risco Médio",""),IF(NETWORKDAYS(C873,TODAY())&lt;=2,"Risco Baixo",""))))</f>
        <v>Expedido</v>
      </c>
      <c r="P873" s="5" t="s">
        <v>25</v>
      </c>
      <c r="S873" s="7">
        <f>IF(ISBLANK(M873),"Aguardando Previsão/Data",NETWORKDAYS(L873,M873)-1)</f>
        <v>-6</v>
      </c>
      <c r="T873" s="5" t="s">
        <v>942</v>
      </c>
    </row>
    <row r="874" spans="1:20" x14ac:dyDescent="0.35">
      <c r="A874" s="5">
        <v>8100272162</v>
      </c>
      <c r="B874" s="5">
        <v>7043</v>
      </c>
      <c r="C874" s="6">
        <v>45664</v>
      </c>
      <c r="D874" s="5" t="s">
        <v>723</v>
      </c>
      <c r="E874" s="5" t="s">
        <v>195</v>
      </c>
      <c r="F874" s="5" t="s">
        <v>724</v>
      </c>
      <c r="G874" s="5" t="s">
        <v>725</v>
      </c>
      <c r="H874" s="5" t="s">
        <v>108</v>
      </c>
      <c r="I874" s="5" t="s">
        <v>1205</v>
      </c>
      <c r="J874" s="5" t="s">
        <v>993</v>
      </c>
      <c r="K874" s="5" t="s">
        <v>198</v>
      </c>
      <c r="L874" s="6">
        <v>45671</v>
      </c>
      <c r="M874" s="6">
        <v>45664</v>
      </c>
      <c r="N874" s="6" t="s">
        <v>811</v>
      </c>
      <c r="O874" s="5" t="str">
        <f ca="1">IF(P874&lt;&gt;"EXPEDIÇÃO","Expedido",IF(NETWORKDAYS(C874,TODAY())&gt;=5,"Risco Alto",IF(NETWORKDAYS(C874,TODAY())&gt;=3,IF(NETWORKDAYS(C874,TODAY())&lt;5,"Risco Médio",""),IF(NETWORKDAYS(C874,TODAY())&lt;=2,"Risco Baixo",""))))</f>
        <v>Expedido</v>
      </c>
      <c r="P874" s="5" t="s">
        <v>25</v>
      </c>
      <c r="S874" s="7">
        <f>IF(ISBLANK(M874),"Aguardando Previsão/Data",NETWORKDAYS(L874,M874)-1)</f>
        <v>-7</v>
      </c>
      <c r="T874" s="5" t="s">
        <v>942</v>
      </c>
    </row>
    <row r="875" spans="1:20" x14ac:dyDescent="0.35">
      <c r="A875" s="5">
        <v>8100272163</v>
      </c>
      <c r="B875" s="5">
        <v>7041</v>
      </c>
      <c r="C875" s="6">
        <v>45664</v>
      </c>
      <c r="D875" s="5" t="s">
        <v>723</v>
      </c>
      <c r="E875" s="5" t="s">
        <v>195</v>
      </c>
      <c r="F875" s="5" t="s">
        <v>724</v>
      </c>
      <c r="G875" s="5" t="s">
        <v>725</v>
      </c>
      <c r="H875" s="5" t="s">
        <v>108</v>
      </c>
      <c r="I875" s="5" t="s">
        <v>1019</v>
      </c>
      <c r="J875" s="5" t="s">
        <v>671</v>
      </c>
      <c r="K875" s="5" t="s">
        <v>198</v>
      </c>
      <c r="L875" s="6">
        <v>45671</v>
      </c>
      <c r="M875" s="6">
        <v>45664</v>
      </c>
      <c r="N875" s="6" t="s">
        <v>811</v>
      </c>
      <c r="O875" s="5" t="str">
        <f ca="1">IF(P875&lt;&gt;"EXPEDIÇÃO","Expedido",IF(NETWORKDAYS(C875,TODAY())&gt;=5,"Risco Alto",IF(NETWORKDAYS(C875,TODAY())&gt;=3,IF(NETWORKDAYS(C875,TODAY())&lt;5,"Risco Médio",""),IF(NETWORKDAYS(C875,TODAY())&lt;=2,"Risco Baixo",""))))</f>
        <v>Expedido</v>
      </c>
      <c r="P875" s="5" t="s">
        <v>25</v>
      </c>
      <c r="S875" s="7">
        <f>IF(ISBLANK(M875),"Aguardando Previsão/Data",NETWORKDAYS(L875,M875)-1)</f>
        <v>-7</v>
      </c>
      <c r="T875" s="5" t="s">
        <v>942</v>
      </c>
    </row>
    <row r="876" spans="1:20" x14ac:dyDescent="0.35">
      <c r="A876" s="5">
        <v>8100272167</v>
      </c>
      <c r="B876" s="5">
        <v>7044</v>
      </c>
      <c r="C876" s="6">
        <v>45664</v>
      </c>
      <c r="D876" s="5" t="s">
        <v>723</v>
      </c>
      <c r="E876" s="5" t="s">
        <v>195</v>
      </c>
      <c r="F876" s="5" t="s">
        <v>724</v>
      </c>
      <c r="G876" s="5" t="s">
        <v>725</v>
      </c>
      <c r="H876" s="5" t="s">
        <v>108</v>
      </c>
      <c r="I876" s="5" t="s">
        <v>839</v>
      </c>
      <c r="J876" s="5" t="s">
        <v>407</v>
      </c>
      <c r="K876" s="5" t="s">
        <v>198</v>
      </c>
      <c r="L876" s="6">
        <v>45670</v>
      </c>
      <c r="M876" s="6">
        <v>45664</v>
      </c>
      <c r="N876" s="6" t="s">
        <v>811</v>
      </c>
      <c r="O876" s="5" t="str">
        <f ca="1">IF(P876&lt;&gt;"EXPEDIÇÃO","Expedido",IF(NETWORKDAYS(C876,TODAY())&gt;=5,"Risco Alto",IF(NETWORKDAYS(C876,TODAY())&gt;=3,IF(NETWORKDAYS(C876,TODAY())&lt;5,"Risco Médio",""),IF(NETWORKDAYS(C876,TODAY())&lt;=2,"Risco Baixo",""))))</f>
        <v>Expedido</v>
      </c>
      <c r="P876" s="5" t="s">
        <v>25</v>
      </c>
      <c r="S876" s="7">
        <f>IF(ISBLANK(M876),"Aguardando Previsão/Data",NETWORKDAYS(L876,M876)-1)</f>
        <v>-6</v>
      </c>
      <c r="T876" s="5" t="s">
        <v>942</v>
      </c>
    </row>
    <row r="877" spans="1:20" x14ac:dyDescent="0.35">
      <c r="A877" s="5">
        <v>8100272346</v>
      </c>
      <c r="B877" s="5">
        <v>7056</v>
      </c>
      <c r="C877" s="6">
        <v>45664</v>
      </c>
      <c r="D877" s="5" t="s">
        <v>194</v>
      </c>
      <c r="E877" s="5" t="s">
        <v>195</v>
      </c>
      <c r="F877" s="5" t="s">
        <v>199</v>
      </c>
      <c r="G877" s="5" t="s">
        <v>200</v>
      </c>
      <c r="H877" s="5" t="s">
        <v>108</v>
      </c>
      <c r="I877" s="5" t="s">
        <v>1214</v>
      </c>
      <c r="J877" s="5" t="s">
        <v>205</v>
      </c>
      <c r="K877" s="5" t="s">
        <v>198</v>
      </c>
      <c r="L877" s="6">
        <v>45672</v>
      </c>
      <c r="M877" s="6">
        <v>45671</v>
      </c>
      <c r="N877" s="6" t="s">
        <v>811</v>
      </c>
      <c r="O877" s="5" t="str">
        <f ca="1">IF(P877&lt;&gt;"EXPEDIÇÃO","Expedido",IF(NETWORKDAYS(C877,TODAY())&gt;=5,"Risco Alto",IF(NETWORKDAYS(C877,TODAY())&gt;=3,IF(NETWORKDAYS(C877,TODAY())&lt;5,"Risco Médio",""),IF(NETWORKDAYS(C877,TODAY())&lt;=2,"Risco Baixo",""))))</f>
        <v>Expedido</v>
      </c>
      <c r="P877" s="5" t="s">
        <v>25</v>
      </c>
      <c r="Q877" s="5" t="s">
        <v>899</v>
      </c>
      <c r="S877" s="7">
        <f>IF(ISBLANK(M877),"Aguardando Previsão/Data",NETWORKDAYS(L877,M877)-1)</f>
        <v>-3</v>
      </c>
      <c r="T877" s="5" t="s">
        <v>942</v>
      </c>
    </row>
    <row r="878" spans="1:20" x14ac:dyDescent="0.35">
      <c r="A878" s="5">
        <v>8100272395</v>
      </c>
      <c r="B878" s="5">
        <v>7045</v>
      </c>
      <c r="C878" s="6">
        <v>45664</v>
      </c>
      <c r="D878" s="5" t="s">
        <v>723</v>
      </c>
      <c r="E878" s="5" t="s">
        <v>195</v>
      </c>
      <c r="F878" s="5" t="s">
        <v>724</v>
      </c>
      <c r="G878" s="5" t="s">
        <v>725</v>
      </c>
      <c r="H878" s="5" t="s">
        <v>108</v>
      </c>
      <c r="I878" s="5" t="s">
        <v>1201</v>
      </c>
      <c r="J878" s="5" t="s">
        <v>1202</v>
      </c>
      <c r="K878" s="5" t="s">
        <v>198</v>
      </c>
      <c r="L878" s="6">
        <v>45671</v>
      </c>
      <c r="M878" s="6">
        <v>45664</v>
      </c>
      <c r="N878" s="6" t="s">
        <v>811</v>
      </c>
      <c r="O878" s="5" t="str">
        <f ca="1">IF(P878&lt;&gt;"EXPEDIÇÃO","Expedido",IF(NETWORKDAYS(C878,TODAY())&gt;=5,"Risco Alto",IF(NETWORKDAYS(C878,TODAY())&gt;=3,IF(NETWORKDAYS(C878,TODAY())&lt;5,"Risco Médio",""),IF(NETWORKDAYS(C878,TODAY())&lt;=2,"Risco Baixo",""))))</f>
        <v>Expedido</v>
      </c>
      <c r="P878" s="5" t="s">
        <v>25</v>
      </c>
      <c r="S878" s="7">
        <f>IF(ISBLANK(M878),"Aguardando Previsão/Data",NETWORKDAYS(L878,M878)-1)</f>
        <v>-7</v>
      </c>
      <c r="T878" s="5" t="s">
        <v>942</v>
      </c>
    </row>
    <row r="879" spans="1:20" x14ac:dyDescent="0.35">
      <c r="A879" s="5">
        <v>8100271155</v>
      </c>
      <c r="B879" s="5">
        <v>14242</v>
      </c>
      <c r="C879" s="6">
        <v>45664</v>
      </c>
      <c r="D879" s="5" t="s">
        <v>211</v>
      </c>
      <c r="E879" s="5" t="s">
        <v>212</v>
      </c>
      <c r="F879" s="5" t="s">
        <v>58</v>
      </c>
      <c r="G879" s="5" t="s">
        <v>59</v>
      </c>
      <c r="H879" s="5" t="s">
        <v>108</v>
      </c>
      <c r="I879" s="5" t="s">
        <v>312</v>
      </c>
      <c r="J879" s="5" t="s">
        <v>313</v>
      </c>
      <c r="K879" s="5" t="s">
        <v>119</v>
      </c>
      <c r="L879" s="6">
        <v>45671</v>
      </c>
      <c r="M879" s="6">
        <v>45666</v>
      </c>
      <c r="N879" s="6" t="s">
        <v>811</v>
      </c>
      <c r="O879" s="5" t="str">
        <f ca="1">IF(P879&lt;&gt;"EXPEDIÇÃO","Expedido",IF(NETWORKDAYS(C879,TODAY())&gt;=5,"Risco Alto",IF(NETWORKDAYS(C879,TODAY())&gt;=3,IF(NETWORKDAYS(C879,TODAY())&lt;5,"Risco Médio",""),IF(NETWORKDAYS(C879,TODAY())&lt;=2,"Risco Baixo",""))))</f>
        <v>Expedido</v>
      </c>
      <c r="P879" s="5" t="s">
        <v>25</v>
      </c>
      <c r="S879" s="7">
        <f>IF(ISBLANK(M879),"Aguardando Previsão/Data",NETWORKDAYS(L879,M879)-1)</f>
        <v>-5</v>
      </c>
      <c r="T879" s="5" t="s">
        <v>942</v>
      </c>
    </row>
    <row r="880" spans="1:20" x14ac:dyDescent="0.35">
      <c r="A880" s="5">
        <v>8100271156</v>
      </c>
      <c r="B880" s="5">
        <v>14243</v>
      </c>
      <c r="C880" s="6">
        <v>45664</v>
      </c>
      <c r="D880" s="5" t="s">
        <v>211</v>
      </c>
      <c r="E880" s="5" t="s">
        <v>212</v>
      </c>
      <c r="F880" s="5" t="s">
        <v>58</v>
      </c>
      <c r="G880" s="5" t="s">
        <v>59</v>
      </c>
      <c r="H880" s="5" t="s">
        <v>108</v>
      </c>
      <c r="I880" s="5" t="s">
        <v>1141</v>
      </c>
      <c r="J880" s="5" t="s">
        <v>1197</v>
      </c>
      <c r="K880" s="5" t="s">
        <v>119</v>
      </c>
      <c r="L880" s="6">
        <v>45671</v>
      </c>
      <c r="M880" s="6">
        <v>45667</v>
      </c>
      <c r="N880" s="6" t="s">
        <v>811</v>
      </c>
      <c r="O880" s="5" t="str">
        <f ca="1">IF(P880&lt;&gt;"EXPEDIÇÃO","Expedido",IF(NETWORKDAYS(C880,TODAY())&gt;=5,"Risco Alto",IF(NETWORKDAYS(C880,TODAY())&gt;=3,IF(NETWORKDAYS(C880,TODAY())&lt;5,"Risco Médio",""),IF(NETWORKDAYS(C880,TODAY())&lt;=2,"Risco Baixo",""))))</f>
        <v>Expedido</v>
      </c>
      <c r="P880" s="5" t="s">
        <v>25</v>
      </c>
      <c r="S880" s="7">
        <f>IF(ISBLANK(M880),"Aguardando Previsão/Data",NETWORKDAYS(L880,M880)-1)</f>
        <v>-4</v>
      </c>
      <c r="T880" s="5" t="s">
        <v>942</v>
      </c>
    </row>
    <row r="881" spans="1:20" x14ac:dyDescent="0.35">
      <c r="A881" s="5">
        <v>8100271157</v>
      </c>
      <c r="B881" s="5">
        <v>14244</v>
      </c>
      <c r="C881" s="6">
        <v>45664</v>
      </c>
      <c r="D881" s="5" t="s">
        <v>211</v>
      </c>
      <c r="E881" s="5" t="s">
        <v>212</v>
      </c>
      <c r="F881" s="5" t="s">
        <v>171</v>
      </c>
      <c r="G881" s="5" t="s">
        <v>172</v>
      </c>
      <c r="H881" s="5" t="s">
        <v>108</v>
      </c>
      <c r="I881" s="5" t="s">
        <v>478</v>
      </c>
      <c r="J881" s="5" t="s">
        <v>479</v>
      </c>
      <c r="K881" s="5" t="s">
        <v>170</v>
      </c>
      <c r="L881" s="6">
        <v>45674</v>
      </c>
      <c r="M881" s="6">
        <v>45671</v>
      </c>
      <c r="N881" s="6" t="s">
        <v>811</v>
      </c>
      <c r="O881" s="5" t="str">
        <f ca="1">IF(P881&lt;&gt;"EXPEDIÇÃO","Expedido",IF(NETWORKDAYS(C881,TODAY())&gt;=5,"Risco Alto",IF(NETWORKDAYS(C881,TODAY())&gt;=3,IF(NETWORKDAYS(C881,TODAY())&lt;5,"Risco Médio",""),IF(NETWORKDAYS(C881,TODAY())&lt;=2,"Risco Baixo",""))))</f>
        <v>Expedido</v>
      </c>
      <c r="P881" s="5" t="s">
        <v>25</v>
      </c>
      <c r="S881" s="7">
        <f>IF(ISBLANK(M881),"Aguardando Previsão/Data",NETWORKDAYS(L881,M881)-1)</f>
        <v>-5</v>
      </c>
      <c r="T881" s="5" t="s">
        <v>942</v>
      </c>
    </row>
    <row r="882" spans="1:20" x14ac:dyDescent="0.35">
      <c r="A882" s="5">
        <v>8100272419</v>
      </c>
      <c r="B882" s="5">
        <v>14267</v>
      </c>
      <c r="C882" s="6">
        <v>45664</v>
      </c>
      <c r="D882" s="5" t="s">
        <v>211</v>
      </c>
      <c r="E882" s="5" t="s">
        <v>212</v>
      </c>
      <c r="F882" s="5" t="s">
        <v>58</v>
      </c>
      <c r="G882" s="5" t="s">
        <v>59</v>
      </c>
      <c r="H882" s="5" t="s">
        <v>108</v>
      </c>
      <c r="I882" s="5" t="s">
        <v>1139</v>
      </c>
      <c r="J882" s="5" t="s">
        <v>1140</v>
      </c>
      <c r="K882" s="5" t="s">
        <v>119</v>
      </c>
      <c r="L882" s="6">
        <v>45671</v>
      </c>
      <c r="M882" s="6">
        <v>45670</v>
      </c>
      <c r="N882" s="6" t="s">
        <v>811</v>
      </c>
      <c r="O882" s="5" t="str">
        <f ca="1">IF(P882&lt;&gt;"EXPEDIÇÃO","Expedido",IF(NETWORKDAYS(C882,TODAY())&gt;=5,"Risco Alto",IF(NETWORKDAYS(C882,TODAY())&gt;=3,IF(NETWORKDAYS(C882,TODAY())&lt;5,"Risco Médio",""),IF(NETWORKDAYS(C882,TODAY())&lt;=2,"Risco Baixo",""))))</f>
        <v>Expedido</v>
      </c>
      <c r="P882" s="5" t="s">
        <v>25</v>
      </c>
      <c r="S882" s="7">
        <f>IF(ISBLANK(M882),"Aguardando Previsão/Data",NETWORKDAYS(L882,M882)-1)</f>
        <v>-3</v>
      </c>
      <c r="T882" s="5" t="s">
        <v>942</v>
      </c>
    </row>
    <row r="883" spans="1:20" x14ac:dyDescent="0.35">
      <c r="A883" s="5">
        <v>8100272420</v>
      </c>
      <c r="B883" s="5">
        <v>14266</v>
      </c>
      <c r="C883" s="6">
        <v>45664</v>
      </c>
      <c r="D883" s="5" t="s">
        <v>211</v>
      </c>
      <c r="E883" s="5" t="s">
        <v>212</v>
      </c>
      <c r="F883" s="5" t="s">
        <v>58</v>
      </c>
      <c r="G883" s="5" t="s">
        <v>59</v>
      </c>
      <c r="H883" s="5" t="s">
        <v>108</v>
      </c>
      <c r="I883" s="5" t="s">
        <v>1141</v>
      </c>
      <c r="J883" s="5" t="s">
        <v>1142</v>
      </c>
      <c r="K883" s="5" t="s">
        <v>119</v>
      </c>
      <c r="L883" s="6">
        <v>45671</v>
      </c>
      <c r="M883" s="6">
        <v>45671</v>
      </c>
      <c r="N883" s="6" t="s">
        <v>811</v>
      </c>
      <c r="O883" s="5" t="str">
        <f ca="1">IF(P883&lt;&gt;"EXPEDIÇÃO","Expedido",IF(NETWORKDAYS(C883,TODAY())&gt;=5,"Risco Alto",IF(NETWORKDAYS(C883,TODAY())&gt;=3,IF(NETWORKDAYS(C883,TODAY())&lt;5,"Risco Médio",""),IF(NETWORKDAYS(C883,TODAY())&lt;=2,"Risco Baixo",""))))</f>
        <v>Expedido</v>
      </c>
      <c r="P883" s="5" t="s">
        <v>25</v>
      </c>
      <c r="S883" s="7">
        <f>IF(ISBLANK(M883),"Aguardando Previsão/Data",NETWORKDAYS(L883,M883)-1)</f>
        <v>0</v>
      </c>
      <c r="T883" s="5" t="s">
        <v>942</v>
      </c>
    </row>
    <row r="884" spans="1:20" x14ac:dyDescent="0.35">
      <c r="A884" s="5">
        <v>8100272142</v>
      </c>
      <c r="B884" s="5">
        <v>12175</v>
      </c>
      <c r="C884" s="6">
        <v>45664</v>
      </c>
      <c r="D884" s="5" t="s">
        <v>158</v>
      </c>
      <c r="E884" s="5" t="s">
        <v>159</v>
      </c>
      <c r="F884" s="5" t="s">
        <v>176</v>
      </c>
      <c r="G884" s="5" t="s">
        <v>177</v>
      </c>
      <c r="H884" s="5" t="s">
        <v>108</v>
      </c>
      <c r="I884" s="5" t="s">
        <v>299</v>
      </c>
      <c r="J884" s="5" t="s">
        <v>300</v>
      </c>
      <c r="K884" s="5" t="s">
        <v>175</v>
      </c>
      <c r="L884" s="6">
        <v>45674</v>
      </c>
      <c r="M884" s="6">
        <v>45674</v>
      </c>
      <c r="N884" s="6" t="s">
        <v>811</v>
      </c>
      <c r="O884" s="5" t="str">
        <f ca="1">IF(P884&lt;&gt;"EXPEDIÇÃO","Expedido",IF(NETWORKDAYS(C884,TODAY())&gt;=5,"Risco Alto",IF(NETWORKDAYS(C884,TODAY())&gt;=3,IF(NETWORKDAYS(C884,TODAY())&lt;5,"Risco Médio",""),IF(NETWORKDAYS(C884,TODAY())&lt;=2,"Risco Baixo",""))))</f>
        <v>Expedido</v>
      </c>
      <c r="P884" s="5" t="s">
        <v>25</v>
      </c>
      <c r="Q884" s="5" t="s">
        <v>897</v>
      </c>
      <c r="S884" s="7">
        <f>IF(ISBLANK(M884),"Aguardando Previsão/Data",NETWORKDAYS(L884,M884)-1)</f>
        <v>0</v>
      </c>
      <c r="T884" s="5" t="s">
        <v>942</v>
      </c>
    </row>
    <row r="885" spans="1:20" x14ac:dyDescent="0.35">
      <c r="A885" s="5">
        <v>8100272143</v>
      </c>
      <c r="B885" s="5">
        <v>12174</v>
      </c>
      <c r="C885" s="6">
        <v>45664</v>
      </c>
      <c r="D885" s="5" t="s">
        <v>158</v>
      </c>
      <c r="E885" s="5" t="s">
        <v>159</v>
      </c>
      <c r="F885" s="5" t="s">
        <v>167</v>
      </c>
      <c r="G885" s="5" t="s">
        <v>168</v>
      </c>
      <c r="H885" s="5" t="s">
        <v>108</v>
      </c>
      <c r="I885" s="5" t="s">
        <v>184</v>
      </c>
      <c r="J885" s="5" t="s">
        <v>185</v>
      </c>
      <c r="K885" s="5" t="s">
        <v>170</v>
      </c>
      <c r="L885" s="6">
        <v>45670</v>
      </c>
      <c r="M885" s="6">
        <v>45665</v>
      </c>
      <c r="N885" s="6" t="s">
        <v>811</v>
      </c>
      <c r="O885" s="5" t="str">
        <f ca="1">IF(P885&lt;&gt;"EXPEDIÇÃO","Expedido",IF(NETWORKDAYS(C885,TODAY())&gt;=5,"Risco Alto",IF(NETWORKDAYS(C885,TODAY())&gt;=3,IF(NETWORKDAYS(C885,TODAY())&lt;5,"Risco Médio",""),IF(NETWORKDAYS(C885,TODAY())&lt;=2,"Risco Baixo",""))))</f>
        <v>Expedido</v>
      </c>
      <c r="P885" s="5" t="s">
        <v>25</v>
      </c>
      <c r="S885" s="7">
        <f>IF(ISBLANK(M885),"Aguardando Previsão/Data",NETWORKDAYS(L885,M885)-1)</f>
        <v>-5</v>
      </c>
      <c r="T885" s="5" t="s">
        <v>942</v>
      </c>
    </row>
    <row r="886" spans="1:20" x14ac:dyDescent="0.35">
      <c r="A886" s="5">
        <v>8100272144</v>
      </c>
      <c r="B886" s="5">
        <v>12169</v>
      </c>
      <c r="C886" s="6">
        <v>45664</v>
      </c>
      <c r="D886" s="5" t="s">
        <v>158</v>
      </c>
      <c r="E886" s="5" t="s">
        <v>159</v>
      </c>
      <c r="F886" s="5" t="s">
        <v>176</v>
      </c>
      <c r="G886" s="5" t="s">
        <v>177</v>
      </c>
      <c r="H886" s="5" t="s">
        <v>108</v>
      </c>
      <c r="I886" s="5" t="s">
        <v>654</v>
      </c>
      <c r="J886" s="5" t="s">
        <v>627</v>
      </c>
      <c r="K886" s="5" t="s">
        <v>175</v>
      </c>
      <c r="L886" s="6">
        <v>45673</v>
      </c>
      <c r="M886" s="6">
        <v>45672</v>
      </c>
      <c r="N886" s="6" t="s">
        <v>811</v>
      </c>
      <c r="O886" s="5" t="str">
        <f ca="1">IF(P886&lt;&gt;"EXPEDIÇÃO","Expedido",IF(NETWORKDAYS(C886,TODAY())&gt;=5,"Risco Alto",IF(NETWORKDAYS(C886,TODAY())&gt;=3,IF(NETWORKDAYS(C886,TODAY())&lt;5,"Risco Médio",""),IF(NETWORKDAYS(C886,TODAY())&lt;=2,"Risco Baixo",""))))</f>
        <v>Expedido</v>
      </c>
      <c r="P886" s="5" t="s">
        <v>25</v>
      </c>
      <c r="S886" s="7">
        <f>IF(ISBLANK(M886),"Aguardando Previsão/Data",NETWORKDAYS(L886,M886)-1)</f>
        <v>-3</v>
      </c>
      <c r="T886" s="5" t="s">
        <v>942</v>
      </c>
    </row>
    <row r="887" spans="1:20" x14ac:dyDescent="0.35">
      <c r="A887" s="5">
        <v>8100272145</v>
      </c>
      <c r="B887" s="5">
        <v>12170</v>
      </c>
      <c r="C887" s="6">
        <v>45664</v>
      </c>
      <c r="D887" s="5" t="s">
        <v>158</v>
      </c>
      <c r="E887" s="5" t="s">
        <v>159</v>
      </c>
      <c r="F887" s="5" t="s">
        <v>136</v>
      </c>
      <c r="G887" s="5" t="s">
        <v>137</v>
      </c>
      <c r="H887" s="5" t="s">
        <v>108</v>
      </c>
      <c r="I887" s="5" t="s">
        <v>404</v>
      </c>
      <c r="J887" s="5" t="s">
        <v>405</v>
      </c>
      <c r="K887" s="5" t="s">
        <v>170</v>
      </c>
      <c r="L887" s="6">
        <v>45671</v>
      </c>
      <c r="M887" s="6">
        <v>45667</v>
      </c>
      <c r="N887" s="6" t="s">
        <v>811</v>
      </c>
      <c r="O887" s="5" t="str">
        <f ca="1">IF(P887&lt;&gt;"EXPEDIÇÃO","Expedido",IF(NETWORKDAYS(C887,TODAY())&gt;=5,"Risco Alto",IF(NETWORKDAYS(C887,TODAY())&gt;=3,IF(NETWORKDAYS(C887,TODAY())&lt;5,"Risco Médio",""),IF(NETWORKDAYS(C887,TODAY())&lt;=2,"Risco Baixo",""))))</f>
        <v>Expedido</v>
      </c>
      <c r="P887" s="5" t="s">
        <v>25</v>
      </c>
      <c r="S887" s="7">
        <f>IF(ISBLANK(M887),"Aguardando Previsão/Data",NETWORKDAYS(L887,M887)-1)</f>
        <v>-4</v>
      </c>
      <c r="T887" s="5" t="s">
        <v>942</v>
      </c>
    </row>
    <row r="888" spans="1:20" x14ac:dyDescent="0.35">
      <c r="A888" s="5">
        <v>8100272146</v>
      </c>
      <c r="B888" s="5">
        <v>12171</v>
      </c>
      <c r="C888" s="6">
        <v>45664</v>
      </c>
      <c r="D888" s="5" t="s">
        <v>158</v>
      </c>
      <c r="E888" s="5" t="s">
        <v>159</v>
      </c>
      <c r="F888" s="5" t="s">
        <v>136</v>
      </c>
      <c r="G888" s="5" t="s">
        <v>137</v>
      </c>
      <c r="H888" s="5" t="s">
        <v>108</v>
      </c>
      <c r="I888" s="5" t="s">
        <v>404</v>
      </c>
      <c r="J888" s="5" t="s">
        <v>405</v>
      </c>
      <c r="K888" s="5" t="s">
        <v>170</v>
      </c>
      <c r="L888" s="6">
        <v>45671</v>
      </c>
      <c r="M888" s="6">
        <v>45667</v>
      </c>
      <c r="N888" s="6" t="s">
        <v>811</v>
      </c>
      <c r="O888" s="5" t="str">
        <f ca="1">IF(P888&lt;&gt;"EXPEDIÇÃO","Expedido",IF(NETWORKDAYS(C888,TODAY())&gt;=5,"Risco Alto",IF(NETWORKDAYS(C888,TODAY())&gt;=3,IF(NETWORKDAYS(C888,TODAY())&lt;5,"Risco Médio",""),IF(NETWORKDAYS(C888,TODAY())&lt;=2,"Risco Baixo",""))))</f>
        <v>Expedido</v>
      </c>
      <c r="P888" s="5" t="s">
        <v>25</v>
      </c>
      <c r="S888" s="7">
        <f>IF(ISBLANK(M888),"Aguardando Previsão/Data",NETWORKDAYS(L888,M888)-1)</f>
        <v>-4</v>
      </c>
      <c r="T888" s="5" t="s">
        <v>942</v>
      </c>
    </row>
    <row r="889" spans="1:20" x14ac:dyDescent="0.35">
      <c r="A889" s="5">
        <v>8100272147</v>
      </c>
      <c r="B889" s="5">
        <v>12172</v>
      </c>
      <c r="C889" s="6">
        <v>45664</v>
      </c>
      <c r="D889" s="5" t="s">
        <v>158</v>
      </c>
      <c r="E889" s="5" t="s">
        <v>159</v>
      </c>
      <c r="F889" s="5" t="s">
        <v>136</v>
      </c>
      <c r="G889" s="5" t="s">
        <v>137</v>
      </c>
      <c r="H889" s="5" t="s">
        <v>108</v>
      </c>
      <c r="I889" s="5" t="s">
        <v>404</v>
      </c>
      <c r="J889" s="5" t="s">
        <v>405</v>
      </c>
      <c r="K889" s="5" t="s">
        <v>170</v>
      </c>
      <c r="L889" s="6">
        <v>45671</v>
      </c>
      <c r="M889" s="6">
        <v>45667</v>
      </c>
      <c r="N889" s="6" t="s">
        <v>811</v>
      </c>
      <c r="O889" s="5" t="str">
        <f ca="1">IF(P889&lt;&gt;"EXPEDIÇÃO","Expedido",IF(NETWORKDAYS(C889,TODAY())&gt;=5,"Risco Alto",IF(NETWORKDAYS(C889,TODAY())&gt;=3,IF(NETWORKDAYS(C889,TODAY())&lt;5,"Risco Médio",""),IF(NETWORKDAYS(C889,TODAY())&lt;=2,"Risco Baixo",""))))</f>
        <v>Expedido</v>
      </c>
      <c r="P889" s="5" t="s">
        <v>25</v>
      </c>
      <c r="S889" s="7">
        <f>IF(ISBLANK(M889),"Aguardando Previsão/Data",NETWORKDAYS(L889,M889)-1)</f>
        <v>-4</v>
      </c>
      <c r="T889" s="5" t="s">
        <v>942</v>
      </c>
    </row>
    <row r="890" spans="1:20" x14ac:dyDescent="0.35">
      <c r="A890" s="5">
        <v>8100272148</v>
      </c>
      <c r="B890" s="5">
        <v>12173</v>
      </c>
      <c r="C890" s="6">
        <v>45664</v>
      </c>
      <c r="D890" s="5" t="s">
        <v>158</v>
      </c>
      <c r="E890" s="5" t="s">
        <v>159</v>
      </c>
      <c r="F890" s="5" t="s">
        <v>136</v>
      </c>
      <c r="G890" s="5" t="s">
        <v>137</v>
      </c>
      <c r="H890" s="5" t="s">
        <v>108</v>
      </c>
      <c r="I890" s="5" t="s">
        <v>404</v>
      </c>
      <c r="J890" s="5" t="s">
        <v>405</v>
      </c>
      <c r="K890" s="5" t="s">
        <v>170</v>
      </c>
      <c r="L890" s="6">
        <v>45671</v>
      </c>
      <c r="M890" s="6">
        <v>45667</v>
      </c>
      <c r="N890" s="6" t="s">
        <v>811</v>
      </c>
      <c r="O890" s="5" t="str">
        <f ca="1">IF(P890&lt;&gt;"EXPEDIÇÃO","Expedido",IF(NETWORKDAYS(C890,TODAY())&gt;=5,"Risco Alto",IF(NETWORKDAYS(C890,TODAY())&gt;=3,IF(NETWORKDAYS(C890,TODAY())&lt;5,"Risco Médio",""),IF(NETWORKDAYS(C890,TODAY())&lt;=2,"Risco Baixo",""))))</f>
        <v>Expedido</v>
      </c>
      <c r="P890" s="5" t="s">
        <v>25</v>
      </c>
      <c r="S890" s="7">
        <f>IF(ISBLANK(M890),"Aguardando Previsão/Data",NETWORKDAYS(L890,M890)-1)</f>
        <v>-4</v>
      </c>
      <c r="T890" s="5" t="s">
        <v>942</v>
      </c>
    </row>
    <row r="891" spans="1:20" x14ac:dyDescent="0.35">
      <c r="A891" s="5">
        <v>8100272410</v>
      </c>
      <c r="B891" s="5">
        <v>12178</v>
      </c>
      <c r="C891" s="6">
        <v>45664</v>
      </c>
      <c r="D891" s="5" t="s">
        <v>158</v>
      </c>
      <c r="E891" s="5" t="s">
        <v>159</v>
      </c>
      <c r="F891" s="5" t="s">
        <v>176</v>
      </c>
      <c r="G891" s="5" t="s">
        <v>177</v>
      </c>
      <c r="H891" s="5" t="s">
        <v>108</v>
      </c>
      <c r="I891" s="5" t="s">
        <v>1215</v>
      </c>
      <c r="J891" s="5" t="s">
        <v>1162</v>
      </c>
      <c r="K891" s="5" t="s">
        <v>175</v>
      </c>
      <c r="L891" s="6">
        <v>45673</v>
      </c>
      <c r="M891" s="6">
        <v>45672</v>
      </c>
      <c r="N891" s="6" t="s">
        <v>811</v>
      </c>
      <c r="O891" s="5" t="str">
        <f ca="1">IF(P891&lt;&gt;"EXPEDIÇÃO","Expedido",IF(NETWORKDAYS(C891,TODAY())&gt;=5,"Risco Alto",IF(NETWORKDAYS(C891,TODAY())&gt;=3,IF(NETWORKDAYS(C891,TODAY())&lt;5,"Risco Médio",""),IF(NETWORKDAYS(C891,TODAY())&lt;=2,"Risco Baixo",""))))</f>
        <v>Expedido</v>
      </c>
      <c r="P891" s="5" t="s">
        <v>25</v>
      </c>
      <c r="S891" s="7">
        <f>IF(ISBLANK(M891),"Aguardando Previsão/Data",NETWORKDAYS(L891,M891)-1)</f>
        <v>-3</v>
      </c>
      <c r="T891" s="5" t="s">
        <v>942</v>
      </c>
    </row>
    <row r="892" spans="1:20" x14ac:dyDescent="0.35">
      <c r="A892" s="5">
        <v>8100272411</v>
      </c>
      <c r="B892" s="5">
        <v>12176</v>
      </c>
      <c r="C892" s="6">
        <v>45664</v>
      </c>
      <c r="D892" s="5" t="s">
        <v>158</v>
      </c>
      <c r="E892" s="5" t="s">
        <v>159</v>
      </c>
      <c r="F892" s="5" t="s">
        <v>176</v>
      </c>
      <c r="G892" s="5" t="s">
        <v>177</v>
      </c>
      <c r="H892" s="5" t="s">
        <v>108</v>
      </c>
      <c r="I892" s="5" t="s">
        <v>1215</v>
      </c>
      <c r="J892" s="5" t="s">
        <v>1216</v>
      </c>
      <c r="K892" s="5" t="s">
        <v>170</v>
      </c>
      <c r="L892" s="6">
        <v>45671</v>
      </c>
      <c r="M892" s="6">
        <v>45671</v>
      </c>
      <c r="N892" s="6" t="s">
        <v>811</v>
      </c>
      <c r="O892" s="5" t="str">
        <f ca="1">IF(P892&lt;&gt;"EXPEDIÇÃO","Expedido",IF(NETWORKDAYS(C892,TODAY())&gt;=5,"Risco Alto",IF(NETWORKDAYS(C892,TODAY())&gt;=3,IF(NETWORKDAYS(C892,TODAY())&lt;5,"Risco Médio",""),IF(NETWORKDAYS(C892,TODAY())&lt;=2,"Risco Baixo",""))))</f>
        <v>Expedido</v>
      </c>
      <c r="P892" s="5" t="s">
        <v>25</v>
      </c>
      <c r="S892" s="7">
        <f>IF(ISBLANK(M892),"Aguardando Previsão/Data",NETWORKDAYS(L892,M892)-1)</f>
        <v>0</v>
      </c>
      <c r="T892" s="5" t="s">
        <v>942</v>
      </c>
    </row>
    <row r="893" spans="1:20" x14ac:dyDescent="0.35">
      <c r="A893" s="5">
        <v>8100272412</v>
      </c>
      <c r="B893" s="5">
        <v>12177</v>
      </c>
      <c r="C893" s="6">
        <v>45664</v>
      </c>
      <c r="D893" s="5" t="s">
        <v>158</v>
      </c>
      <c r="E893" s="5" t="s">
        <v>159</v>
      </c>
      <c r="F893" s="5" t="s">
        <v>176</v>
      </c>
      <c r="G893" s="5" t="s">
        <v>177</v>
      </c>
      <c r="H893" s="5" t="s">
        <v>108</v>
      </c>
      <c r="I893" s="5" t="s">
        <v>187</v>
      </c>
      <c r="J893" s="5" t="s">
        <v>308</v>
      </c>
      <c r="K893" s="5" t="s">
        <v>175</v>
      </c>
      <c r="L893" s="6">
        <v>45673</v>
      </c>
      <c r="M893" s="6">
        <v>45672</v>
      </c>
      <c r="N893" s="6" t="s">
        <v>811</v>
      </c>
      <c r="O893" s="5" t="str">
        <f ca="1">IF(P893&lt;&gt;"EXPEDIÇÃO","Expedido",IF(NETWORKDAYS(C893,TODAY())&gt;=5,"Risco Alto",IF(NETWORKDAYS(C893,TODAY())&gt;=3,IF(NETWORKDAYS(C893,TODAY())&lt;5,"Risco Médio",""),IF(NETWORKDAYS(C893,TODAY())&lt;=2,"Risco Baixo",""))))</f>
        <v>Expedido</v>
      </c>
      <c r="P893" s="5" t="s">
        <v>25</v>
      </c>
      <c r="S893" s="7">
        <f>IF(ISBLANK(M893),"Aguardando Previsão/Data",NETWORKDAYS(L893,M893)-1)</f>
        <v>-3</v>
      </c>
      <c r="T893" s="5" t="s">
        <v>942</v>
      </c>
    </row>
    <row r="894" spans="1:20" x14ac:dyDescent="0.35">
      <c r="A894" s="5">
        <v>8100272413</v>
      </c>
      <c r="B894" s="5">
        <v>12179</v>
      </c>
      <c r="C894" s="6">
        <v>45664</v>
      </c>
      <c r="D894" s="5" t="s">
        <v>158</v>
      </c>
      <c r="E894" s="5" t="s">
        <v>159</v>
      </c>
      <c r="F894" s="5" t="s">
        <v>176</v>
      </c>
      <c r="G894" s="5" t="s">
        <v>177</v>
      </c>
      <c r="H894" s="5" t="s">
        <v>108</v>
      </c>
      <c r="I894" s="5" t="s">
        <v>187</v>
      </c>
      <c r="J894" s="5" t="s">
        <v>301</v>
      </c>
      <c r="K894" s="5" t="s">
        <v>175</v>
      </c>
      <c r="L894" s="6">
        <v>45672</v>
      </c>
      <c r="M894" s="6">
        <v>45667</v>
      </c>
      <c r="N894" s="6" t="s">
        <v>811</v>
      </c>
      <c r="O894" s="5" t="str">
        <f ca="1">IF(P894&lt;&gt;"EXPEDIÇÃO","Expedido",IF(NETWORKDAYS(C894,TODAY())&gt;=5,"Risco Alto",IF(NETWORKDAYS(C894,TODAY())&gt;=3,IF(NETWORKDAYS(C894,TODAY())&lt;5,"Risco Médio",""),IF(NETWORKDAYS(C894,TODAY())&lt;=2,"Risco Baixo",""))))</f>
        <v>Expedido</v>
      </c>
      <c r="P894" s="5" t="s">
        <v>25</v>
      </c>
      <c r="S894" s="7">
        <f>IF(ISBLANK(M894),"Aguardando Previsão/Data",NETWORKDAYS(L894,M894)-1)</f>
        <v>-5</v>
      </c>
      <c r="T894" s="5" t="s">
        <v>942</v>
      </c>
    </row>
    <row r="895" spans="1:20" x14ac:dyDescent="0.35">
      <c r="A895" s="5">
        <v>8100272414</v>
      </c>
      <c r="B895" s="5">
        <v>12180</v>
      </c>
      <c r="C895" s="6">
        <v>45664</v>
      </c>
      <c r="D895" s="5" t="s">
        <v>158</v>
      </c>
      <c r="E895" s="5" t="s">
        <v>159</v>
      </c>
      <c r="F895" s="5" t="s">
        <v>176</v>
      </c>
      <c r="G895" s="5" t="s">
        <v>177</v>
      </c>
      <c r="H895" s="5" t="s">
        <v>108</v>
      </c>
      <c r="I895" s="5" t="s">
        <v>187</v>
      </c>
      <c r="J895" s="5" t="s">
        <v>301</v>
      </c>
      <c r="K895" s="5" t="s">
        <v>175</v>
      </c>
      <c r="L895" s="6">
        <v>45672</v>
      </c>
      <c r="M895" s="6">
        <v>45667</v>
      </c>
      <c r="N895" s="6" t="s">
        <v>811</v>
      </c>
      <c r="O895" s="5" t="str">
        <f ca="1">IF(P895&lt;&gt;"EXPEDIÇÃO","Expedido",IF(NETWORKDAYS(C895,TODAY())&gt;=5,"Risco Alto",IF(NETWORKDAYS(C895,TODAY())&gt;=3,IF(NETWORKDAYS(C895,TODAY())&lt;5,"Risco Médio",""),IF(NETWORKDAYS(C895,TODAY())&lt;=2,"Risco Baixo",""))))</f>
        <v>Expedido</v>
      </c>
      <c r="P895" s="5" t="s">
        <v>25</v>
      </c>
      <c r="S895" s="7">
        <f>IF(ISBLANK(M895),"Aguardando Previsão/Data",NETWORKDAYS(L895,M895)-1)</f>
        <v>-5</v>
      </c>
      <c r="T895" s="5" t="s">
        <v>942</v>
      </c>
    </row>
    <row r="896" spans="1:20" x14ac:dyDescent="0.35">
      <c r="A896" s="5">
        <v>8100272714</v>
      </c>
      <c r="B896" s="5">
        <v>12181</v>
      </c>
      <c r="C896" s="6">
        <v>45664</v>
      </c>
      <c r="D896" s="5" t="s">
        <v>158</v>
      </c>
      <c r="E896" s="5" t="s">
        <v>159</v>
      </c>
      <c r="F896" s="5" t="s">
        <v>147</v>
      </c>
      <c r="G896" s="5" t="s">
        <v>148</v>
      </c>
      <c r="H896" s="5" t="s">
        <v>108</v>
      </c>
      <c r="I896" s="5" t="s">
        <v>82</v>
      </c>
      <c r="J896" s="5" t="s">
        <v>296</v>
      </c>
      <c r="K896" s="5" t="s">
        <v>80</v>
      </c>
      <c r="L896" s="6">
        <v>45672</v>
      </c>
      <c r="M896" s="6">
        <v>45667</v>
      </c>
      <c r="N896" s="6" t="s">
        <v>811</v>
      </c>
      <c r="O896" s="5" t="str">
        <f ca="1">IF(P896&lt;&gt;"EXPEDIÇÃO","Expedido",IF(NETWORKDAYS(C896,TODAY())&gt;=5,"Risco Alto",IF(NETWORKDAYS(C896,TODAY())&gt;=3,IF(NETWORKDAYS(C896,TODAY())&lt;5,"Risco Médio",""),IF(NETWORKDAYS(C896,TODAY())&lt;=2,"Risco Baixo",""))))</f>
        <v>Expedido</v>
      </c>
      <c r="P896" s="5" t="s">
        <v>25</v>
      </c>
      <c r="S896" s="7">
        <f>IF(ISBLANK(M896),"Aguardando Previsão/Data",NETWORKDAYS(L896,M896)-1)</f>
        <v>-5</v>
      </c>
      <c r="T896" s="5" t="s">
        <v>942</v>
      </c>
    </row>
    <row r="897" spans="1:20" x14ac:dyDescent="0.35">
      <c r="A897" s="5">
        <v>8100272577</v>
      </c>
      <c r="B897" s="5">
        <v>17247</v>
      </c>
      <c r="C897" s="6">
        <v>45665</v>
      </c>
      <c r="D897" s="5" t="s">
        <v>51</v>
      </c>
      <c r="E897" s="5" t="s">
        <v>52</v>
      </c>
      <c r="F897" s="5" t="s">
        <v>66</v>
      </c>
      <c r="G897" s="5" t="s">
        <v>67</v>
      </c>
      <c r="H897" s="5" t="s">
        <v>21</v>
      </c>
      <c r="I897" s="5" t="s">
        <v>421</v>
      </c>
      <c r="J897" s="5" t="s">
        <v>78</v>
      </c>
      <c r="K897" s="5" t="s">
        <v>57</v>
      </c>
      <c r="L897" s="6">
        <v>45672</v>
      </c>
      <c r="M897" s="6">
        <v>45667</v>
      </c>
      <c r="N897" s="5" t="s">
        <v>811</v>
      </c>
      <c r="O897" s="5" t="str">
        <f ca="1">IF(P897&lt;&gt;"EXPEDIÇÃO","Expedido",IF(NETWORKDAYS(C897,TODAY())&gt;=5,"Risco Alto",IF(NETWORKDAYS(C897,TODAY())&gt;=3,IF(NETWORKDAYS(C897,TODAY())&lt;5,"Risco Médio",""),IF(NETWORKDAYS(C897,TODAY())&lt;=2,"Risco Baixo",""))))</f>
        <v>Expedido</v>
      </c>
      <c r="P897" s="5" t="s">
        <v>25</v>
      </c>
      <c r="S897" s="7">
        <f>IF(ISBLANK(M897),"Aguardando Previsão/Data",NETWORKDAYS(L897,M897)-1)</f>
        <v>-5</v>
      </c>
      <c r="T897" s="5" t="s">
        <v>942</v>
      </c>
    </row>
    <row r="898" spans="1:20" x14ac:dyDescent="0.35">
      <c r="A898" s="5">
        <v>8100272578</v>
      </c>
      <c r="B898" s="5">
        <v>17252</v>
      </c>
      <c r="C898" s="6">
        <v>45665</v>
      </c>
      <c r="D898" s="5" t="s">
        <v>51</v>
      </c>
      <c r="E898" s="5" t="s">
        <v>52</v>
      </c>
      <c r="F898" s="5" t="s">
        <v>329</v>
      </c>
      <c r="G898" s="5" t="s">
        <v>330</v>
      </c>
      <c r="H898" s="5" t="s">
        <v>21</v>
      </c>
      <c r="I898" s="5" t="s">
        <v>884</v>
      </c>
      <c r="J898" s="5" t="s">
        <v>676</v>
      </c>
      <c r="K898" s="5" t="s">
        <v>57</v>
      </c>
      <c r="L898" s="6">
        <v>45670</v>
      </c>
      <c r="M898" s="6">
        <v>45666</v>
      </c>
      <c r="N898" s="5" t="s">
        <v>811</v>
      </c>
      <c r="O898" s="5" t="str">
        <f ca="1">IF(P898&lt;&gt;"EXPEDIÇÃO","Expedido",IF(NETWORKDAYS(C898,TODAY())&gt;=5,"Risco Alto",IF(NETWORKDAYS(C898,TODAY())&gt;=3,IF(NETWORKDAYS(C898,TODAY())&lt;5,"Risco Médio",""),IF(NETWORKDAYS(C898,TODAY())&lt;=2,"Risco Baixo",""))))</f>
        <v>Expedido</v>
      </c>
      <c r="P898" s="5" t="s">
        <v>25</v>
      </c>
      <c r="S898" s="7">
        <f>IF(ISBLANK(M898),"Aguardando Previsão/Data",NETWORKDAYS(L898,M898)-1)</f>
        <v>-4</v>
      </c>
      <c r="T898" s="5" t="s">
        <v>942</v>
      </c>
    </row>
    <row r="899" spans="1:20" x14ac:dyDescent="0.35">
      <c r="A899" s="5">
        <v>8100272579</v>
      </c>
      <c r="B899" s="5">
        <v>17250</v>
      </c>
      <c r="C899" s="6">
        <v>45665</v>
      </c>
      <c r="D899" s="5" t="s">
        <v>51</v>
      </c>
      <c r="E899" s="5" t="s">
        <v>52</v>
      </c>
      <c r="F899" s="5" t="s">
        <v>66</v>
      </c>
      <c r="G899" s="5" t="s">
        <v>67</v>
      </c>
      <c r="H899" s="5" t="s">
        <v>21</v>
      </c>
      <c r="I899" s="5" t="s">
        <v>796</v>
      </c>
      <c r="J899" s="5" t="s">
        <v>468</v>
      </c>
      <c r="K899" s="5" t="s">
        <v>57</v>
      </c>
      <c r="L899" s="6">
        <v>45672</v>
      </c>
      <c r="M899" s="6">
        <v>45672</v>
      </c>
      <c r="N899" s="5" t="s">
        <v>811</v>
      </c>
      <c r="O899" s="5" t="str">
        <f ca="1">IF(P899&lt;&gt;"EXPEDIÇÃO","Expedido",IF(NETWORKDAYS(C899,TODAY())&gt;=5,"Risco Alto",IF(NETWORKDAYS(C899,TODAY())&gt;=3,IF(NETWORKDAYS(C899,TODAY())&lt;5,"Risco Médio",""),IF(NETWORKDAYS(C899,TODAY())&lt;=2,"Risco Baixo",""))))</f>
        <v>Expedido</v>
      </c>
      <c r="P899" s="5" t="s">
        <v>25</v>
      </c>
      <c r="S899" s="7">
        <f>IF(ISBLANK(M899),"Aguardando Previsão/Data",NETWORKDAYS(L899,M899)-1)</f>
        <v>0</v>
      </c>
      <c r="T899" s="5" t="s">
        <v>942</v>
      </c>
    </row>
    <row r="900" spans="1:20" ht="16" x14ac:dyDescent="0.4">
      <c r="A900" s="5">
        <v>8100272580</v>
      </c>
      <c r="B900" s="5">
        <v>17251</v>
      </c>
      <c r="C900" s="6">
        <v>45665</v>
      </c>
      <c r="D900" s="5" t="s">
        <v>51</v>
      </c>
      <c r="E900" s="5" t="s">
        <v>52</v>
      </c>
      <c r="F900" s="5" t="s">
        <v>69</v>
      </c>
      <c r="G900" s="5" t="s">
        <v>70</v>
      </c>
      <c r="H900" s="5" t="s">
        <v>21</v>
      </c>
      <c r="I900" s="5" t="s">
        <v>1226</v>
      </c>
      <c r="J900" s="5" t="s">
        <v>437</v>
      </c>
      <c r="K900" s="5" t="s">
        <v>57</v>
      </c>
      <c r="L900" s="6">
        <v>45671</v>
      </c>
      <c r="N900" s="5"/>
      <c r="O900" s="5" t="str">
        <f ca="1">IF(P900&lt;&gt;"EXPEDIÇÃO","Expedido",IF(NETWORKDAYS(C900,TODAY())&gt;=5,"Risco Alto",IF(NETWORKDAYS(C900,TODAY())&gt;=3,IF(NETWORKDAYS(C900,TODAY())&lt;5,"Risco Médio",""),IF(NETWORKDAYS(C900,TODAY())&lt;=2,"Risco Baixo",""))))</f>
        <v>Expedido</v>
      </c>
      <c r="P900" s="5" t="s">
        <v>145</v>
      </c>
      <c r="Q900" s="5" t="s">
        <v>363</v>
      </c>
      <c r="R900" s="9">
        <v>3075685</v>
      </c>
      <c r="S900" s="7" t="str">
        <f>IF(ISBLANK(M900),"Aguardando Previsão/Data",NETWORKDAYS(L900,M900)-1)</f>
        <v>Aguardando Previsão/Data</v>
      </c>
      <c r="T900" s="5" t="s">
        <v>942</v>
      </c>
    </row>
    <row r="901" spans="1:20" x14ac:dyDescent="0.35">
      <c r="A901" s="5">
        <v>8100272581</v>
      </c>
      <c r="B901" s="5">
        <v>17248</v>
      </c>
      <c r="C901" s="6">
        <v>45665</v>
      </c>
      <c r="D901" s="5" t="s">
        <v>51</v>
      </c>
      <c r="E901" s="5" t="s">
        <v>52</v>
      </c>
      <c r="F901" s="5" t="s">
        <v>58</v>
      </c>
      <c r="G901" s="5" t="s">
        <v>59</v>
      </c>
      <c r="H901" s="5" t="s">
        <v>21</v>
      </c>
      <c r="I901" s="5" t="s">
        <v>269</v>
      </c>
      <c r="J901" s="5" t="s">
        <v>270</v>
      </c>
      <c r="K901" s="5" t="s">
        <v>57</v>
      </c>
      <c r="L901" s="6">
        <v>45673</v>
      </c>
      <c r="M901" s="6">
        <v>45671</v>
      </c>
      <c r="N901" s="5" t="s">
        <v>811</v>
      </c>
      <c r="O901" s="5" t="str">
        <f ca="1">IF(P901&lt;&gt;"EXPEDIÇÃO","Expedido",IF(NETWORKDAYS(C901,TODAY())&gt;=5,"Risco Alto",IF(NETWORKDAYS(C901,TODAY())&gt;=3,IF(NETWORKDAYS(C901,TODAY())&lt;5,"Risco Médio",""),IF(NETWORKDAYS(C901,TODAY())&lt;=2,"Risco Baixo",""))))</f>
        <v>Expedido</v>
      </c>
      <c r="P901" s="5" t="s">
        <v>25</v>
      </c>
      <c r="S901" s="7">
        <f>IF(ISBLANK(M901),"Aguardando Previsão/Data",NETWORKDAYS(L901,M901)-1)</f>
        <v>-4</v>
      </c>
      <c r="T901" s="5" t="s">
        <v>942</v>
      </c>
    </row>
    <row r="902" spans="1:20" x14ac:dyDescent="0.35">
      <c r="A902" s="5">
        <v>8100272582</v>
      </c>
      <c r="B902" s="5">
        <v>17249</v>
      </c>
      <c r="C902" s="6">
        <v>45665</v>
      </c>
      <c r="D902" s="5" t="s">
        <v>51</v>
      </c>
      <c r="E902" s="5" t="s">
        <v>52</v>
      </c>
      <c r="F902" s="5" t="s">
        <v>58</v>
      </c>
      <c r="G902" s="5" t="s">
        <v>59</v>
      </c>
      <c r="H902" s="5" t="s">
        <v>21</v>
      </c>
      <c r="I902" s="5" t="s">
        <v>269</v>
      </c>
      <c r="J902" s="5" t="s">
        <v>270</v>
      </c>
      <c r="K902" s="5" t="s">
        <v>57</v>
      </c>
      <c r="L902" s="6">
        <v>45673</v>
      </c>
      <c r="M902" s="6">
        <v>45671</v>
      </c>
      <c r="N902" s="5" t="s">
        <v>811</v>
      </c>
      <c r="O902" s="5" t="str">
        <f ca="1">IF(P902&lt;&gt;"EXPEDIÇÃO","Expedido",IF(NETWORKDAYS(C902,TODAY())&gt;=5,"Risco Alto",IF(NETWORKDAYS(C902,TODAY())&gt;=3,IF(NETWORKDAYS(C902,TODAY())&lt;5,"Risco Médio",""),IF(NETWORKDAYS(C902,TODAY())&lt;=2,"Risco Baixo",""))))</f>
        <v>Expedido</v>
      </c>
      <c r="P902" s="5" t="s">
        <v>25</v>
      </c>
      <c r="S902" s="7">
        <f>IF(ISBLANK(M902),"Aguardando Previsão/Data",NETWORKDAYS(L902,M902)-1)</f>
        <v>-4</v>
      </c>
      <c r="T902" s="5" t="s">
        <v>942</v>
      </c>
    </row>
    <row r="903" spans="1:20" x14ac:dyDescent="0.35">
      <c r="A903" s="5">
        <v>8100272591</v>
      </c>
      <c r="B903" s="5">
        <v>17253</v>
      </c>
      <c r="C903" s="6">
        <v>45665</v>
      </c>
      <c r="D903" s="5" t="s">
        <v>51</v>
      </c>
      <c r="E903" s="5" t="s">
        <v>52</v>
      </c>
      <c r="F903" s="5" t="s">
        <v>329</v>
      </c>
      <c r="G903" s="5" t="s">
        <v>330</v>
      </c>
      <c r="H903" s="5" t="s">
        <v>21</v>
      </c>
      <c r="I903" s="5" t="s">
        <v>884</v>
      </c>
      <c r="J903" s="5" t="s">
        <v>676</v>
      </c>
      <c r="K903" s="5" t="s">
        <v>57</v>
      </c>
      <c r="L903" s="6">
        <v>45670</v>
      </c>
      <c r="M903" s="6">
        <v>45666</v>
      </c>
      <c r="N903" s="5" t="s">
        <v>811</v>
      </c>
      <c r="O903" s="5" t="str">
        <f ca="1">IF(P903&lt;&gt;"EXPEDIÇÃO","Expedido",IF(NETWORKDAYS(C903,TODAY())&gt;=5,"Risco Alto",IF(NETWORKDAYS(C903,TODAY())&gt;=3,IF(NETWORKDAYS(C903,TODAY())&lt;5,"Risco Médio",""),IF(NETWORKDAYS(C903,TODAY())&lt;=2,"Risco Baixo",""))))</f>
        <v>Expedido</v>
      </c>
      <c r="P903" s="5" t="s">
        <v>25</v>
      </c>
      <c r="S903" s="7">
        <f>IF(ISBLANK(M903),"Aguardando Previsão/Data",NETWORKDAYS(L903,M903)-1)</f>
        <v>-4</v>
      </c>
      <c r="T903" s="5" t="s">
        <v>942</v>
      </c>
    </row>
    <row r="904" spans="1:20" x14ac:dyDescent="0.35">
      <c r="A904" s="5">
        <v>8100272592</v>
      </c>
      <c r="B904" s="5">
        <v>17254</v>
      </c>
      <c r="C904" s="6">
        <v>45665</v>
      </c>
      <c r="D904" s="5" t="s">
        <v>51</v>
      </c>
      <c r="E904" s="5" t="s">
        <v>52</v>
      </c>
      <c r="F904" s="5" t="s">
        <v>58</v>
      </c>
      <c r="G904" s="5" t="s">
        <v>59</v>
      </c>
      <c r="H904" s="5" t="s">
        <v>21</v>
      </c>
      <c r="I904" s="5" t="s">
        <v>269</v>
      </c>
      <c r="J904" s="5" t="s">
        <v>270</v>
      </c>
      <c r="K904" s="5" t="s">
        <v>57</v>
      </c>
      <c r="L904" s="6">
        <v>45673</v>
      </c>
      <c r="M904" s="6">
        <v>45671</v>
      </c>
      <c r="N904" s="5" t="s">
        <v>811</v>
      </c>
      <c r="O904" s="5" t="str">
        <f ca="1">IF(P904&lt;&gt;"EXPEDIÇÃO","Expedido",IF(NETWORKDAYS(C904,TODAY())&gt;=5,"Risco Alto",IF(NETWORKDAYS(C904,TODAY())&gt;=3,IF(NETWORKDAYS(C904,TODAY())&lt;5,"Risco Médio",""),IF(NETWORKDAYS(C904,TODAY())&lt;=2,"Risco Baixo",""))))</f>
        <v>Expedido</v>
      </c>
      <c r="P904" s="5" t="s">
        <v>25</v>
      </c>
      <c r="S904" s="7">
        <f>IF(ISBLANK(M904),"Aguardando Previsão/Data",NETWORKDAYS(L904,M904)-1)</f>
        <v>-4</v>
      </c>
      <c r="T904" s="5" t="s">
        <v>942</v>
      </c>
    </row>
    <row r="905" spans="1:20" x14ac:dyDescent="0.35">
      <c r="A905" s="5">
        <v>8100272609</v>
      </c>
      <c r="B905" s="5">
        <v>17256</v>
      </c>
      <c r="C905" s="6">
        <v>45665</v>
      </c>
      <c r="D905" s="5" t="s">
        <v>51</v>
      </c>
      <c r="E905" s="5" t="s">
        <v>52</v>
      </c>
      <c r="F905" s="5" t="s">
        <v>329</v>
      </c>
      <c r="G905" s="5" t="s">
        <v>330</v>
      </c>
      <c r="H905" s="5" t="s">
        <v>21</v>
      </c>
      <c r="I905" s="5" t="s">
        <v>884</v>
      </c>
      <c r="J905" s="5" t="s">
        <v>676</v>
      </c>
      <c r="K905" s="5" t="s">
        <v>57</v>
      </c>
      <c r="L905" s="6">
        <v>45670</v>
      </c>
      <c r="M905" s="6">
        <v>45666</v>
      </c>
      <c r="N905" s="5" t="s">
        <v>811</v>
      </c>
      <c r="O905" s="5" t="str">
        <f ca="1">IF(P905&lt;&gt;"EXPEDIÇÃO","Expedido",IF(NETWORKDAYS(C905,TODAY())&gt;=5,"Risco Alto",IF(NETWORKDAYS(C905,TODAY())&gt;=3,IF(NETWORKDAYS(C905,TODAY())&lt;5,"Risco Médio",""),IF(NETWORKDAYS(C905,TODAY())&lt;=2,"Risco Baixo",""))))</f>
        <v>Expedido</v>
      </c>
      <c r="P905" s="5" t="s">
        <v>25</v>
      </c>
      <c r="S905" s="7">
        <f>IF(ISBLANK(M905),"Aguardando Previsão/Data",NETWORKDAYS(L905,M905)-1)</f>
        <v>-4</v>
      </c>
      <c r="T905" s="5" t="s">
        <v>942</v>
      </c>
    </row>
    <row r="906" spans="1:20" x14ac:dyDescent="0.35">
      <c r="A906" s="5">
        <v>8100272610</v>
      </c>
      <c r="B906" s="5">
        <v>17255</v>
      </c>
      <c r="C906" s="6">
        <v>45665</v>
      </c>
      <c r="D906" s="5" t="s">
        <v>51</v>
      </c>
      <c r="E906" s="5" t="s">
        <v>52</v>
      </c>
      <c r="F906" s="5" t="s">
        <v>147</v>
      </c>
      <c r="G906" s="5" t="s">
        <v>148</v>
      </c>
      <c r="H906" s="5" t="s">
        <v>21</v>
      </c>
      <c r="I906" s="5" t="s">
        <v>1227</v>
      </c>
      <c r="J906" s="5" t="s">
        <v>265</v>
      </c>
      <c r="K906" s="5" t="s">
        <v>80</v>
      </c>
      <c r="L906" s="6">
        <v>45672</v>
      </c>
      <c r="M906" s="6">
        <v>45671</v>
      </c>
      <c r="N906" s="5" t="s">
        <v>811</v>
      </c>
      <c r="O906" s="5" t="str">
        <f ca="1">IF(P906&lt;&gt;"EXPEDIÇÃO","Expedido",IF(NETWORKDAYS(C906,TODAY())&gt;=5,"Risco Alto",IF(NETWORKDAYS(C906,TODAY())&gt;=3,IF(NETWORKDAYS(C906,TODAY())&lt;5,"Risco Médio",""),IF(NETWORKDAYS(C906,TODAY())&lt;=2,"Risco Baixo",""))))</f>
        <v>Expedido</v>
      </c>
      <c r="P906" s="5" t="s">
        <v>25</v>
      </c>
      <c r="S906" s="7">
        <f>IF(ISBLANK(M906),"Aguardando Previsão/Data",NETWORKDAYS(L906,M906)-1)</f>
        <v>-3</v>
      </c>
      <c r="T906" s="5" t="s">
        <v>942</v>
      </c>
    </row>
    <row r="907" spans="1:20" x14ac:dyDescent="0.35">
      <c r="A907" s="5">
        <v>8100272611</v>
      </c>
      <c r="B907" s="5">
        <v>17257</v>
      </c>
      <c r="C907" s="6">
        <v>45665</v>
      </c>
      <c r="D907" s="5" t="s">
        <v>51</v>
      </c>
      <c r="E907" s="5" t="s">
        <v>52</v>
      </c>
      <c r="F907" s="5" t="s">
        <v>58</v>
      </c>
      <c r="G907" s="5" t="s">
        <v>59</v>
      </c>
      <c r="H907" s="5" t="s">
        <v>21</v>
      </c>
      <c r="I907" s="5" t="s">
        <v>269</v>
      </c>
      <c r="J907" s="5" t="s">
        <v>270</v>
      </c>
      <c r="K907" s="5" t="s">
        <v>57</v>
      </c>
      <c r="L907" s="6">
        <v>45673</v>
      </c>
      <c r="M907" s="6">
        <v>45671</v>
      </c>
      <c r="N907" s="5" t="s">
        <v>811</v>
      </c>
      <c r="O907" s="5" t="str">
        <f ca="1">IF(P907&lt;&gt;"EXPEDIÇÃO","Expedido",IF(NETWORKDAYS(C907,TODAY())&gt;=5,"Risco Alto",IF(NETWORKDAYS(C907,TODAY())&gt;=3,IF(NETWORKDAYS(C907,TODAY())&lt;5,"Risco Médio",""),IF(NETWORKDAYS(C907,TODAY())&lt;=2,"Risco Baixo",""))))</f>
        <v>Expedido</v>
      </c>
      <c r="P907" s="5" t="s">
        <v>25</v>
      </c>
      <c r="S907" s="7">
        <f>IF(ISBLANK(M907),"Aguardando Previsão/Data",NETWORKDAYS(L907,M907)-1)</f>
        <v>-4</v>
      </c>
      <c r="T907" s="5" t="s">
        <v>942</v>
      </c>
    </row>
    <row r="908" spans="1:20" x14ac:dyDescent="0.35">
      <c r="A908" s="5">
        <v>8100272769</v>
      </c>
      <c r="B908" s="5">
        <v>17258</v>
      </c>
      <c r="C908" s="6">
        <v>45665</v>
      </c>
      <c r="D908" s="5" t="s">
        <v>51</v>
      </c>
      <c r="E908" s="5" t="s">
        <v>52</v>
      </c>
      <c r="F908" s="5" t="s">
        <v>53</v>
      </c>
      <c r="G908" s="5" t="s">
        <v>54</v>
      </c>
      <c r="H908" s="5" t="s">
        <v>21</v>
      </c>
      <c r="I908" s="5" t="s">
        <v>64</v>
      </c>
      <c r="J908" s="5" t="s">
        <v>65</v>
      </c>
      <c r="K908" s="5" t="s">
        <v>57</v>
      </c>
      <c r="L908" s="6">
        <v>45670</v>
      </c>
      <c r="M908" s="6">
        <v>45665</v>
      </c>
      <c r="N908" s="5" t="s">
        <v>811</v>
      </c>
      <c r="O908" s="5" t="str">
        <f ca="1">IF(P908&lt;&gt;"EXPEDIÇÃO","Expedido",IF(NETWORKDAYS(C908,TODAY())&gt;=5,"Risco Alto",IF(NETWORKDAYS(C908,TODAY())&gt;=3,IF(NETWORKDAYS(C908,TODAY())&lt;5,"Risco Médio",""),IF(NETWORKDAYS(C908,TODAY())&lt;=2,"Risco Baixo",""))))</f>
        <v>Expedido</v>
      </c>
      <c r="P908" s="5" t="s">
        <v>25</v>
      </c>
      <c r="Q908" s="5" t="s">
        <v>900</v>
      </c>
      <c r="S908" s="7">
        <f>IF(ISBLANK(M908),"Aguardando Previsão/Data",NETWORKDAYS(L908,M908)-1)</f>
        <v>-5</v>
      </c>
      <c r="T908" s="5" t="s">
        <v>942</v>
      </c>
    </row>
    <row r="909" spans="1:20" x14ac:dyDescent="0.35">
      <c r="A909" s="5">
        <v>8100272955</v>
      </c>
      <c r="B909" s="5">
        <v>17263</v>
      </c>
      <c r="C909" s="6">
        <v>45665</v>
      </c>
      <c r="D909" s="5" t="s">
        <v>51</v>
      </c>
      <c r="E909" s="5" t="s">
        <v>52</v>
      </c>
      <c r="F909" s="5" t="s">
        <v>66</v>
      </c>
      <c r="G909" s="5" t="s">
        <v>67</v>
      </c>
      <c r="H909" s="5" t="s">
        <v>21</v>
      </c>
      <c r="I909" s="5" t="s">
        <v>1232</v>
      </c>
      <c r="J909" s="5" t="s">
        <v>1233</v>
      </c>
      <c r="K909" s="5" t="s">
        <v>57</v>
      </c>
      <c r="L909" s="6">
        <v>45671</v>
      </c>
      <c r="M909" s="6">
        <v>45671</v>
      </c>
      <c r="N909" s="5" t="s">
        <v>811</v>
      </c>
      <c r="O909" s="5" t="str">
        <f ca="1">IF(P909&lt;&gt;"EXPEDIÇÃO","Expedido",IF(NETWORKDAYS(C909,TODAY())&gt;=5,"Risco Alto",IF(NETWORKDAYS(C909,TODAY())&gt;=3,IF(NETWORKDAYS(C909,TODAY())&lt;5,"Risco Médio",""),IF(NETWORKDAYS(C909,TODAY())&lt;=2,"Risco Baixo",""))))</f>
        <v>Expedido</v>
      </c>
      <c r="P909" s="5" t="s">
        <v>25</v>
      </c>
      <c r="Q909" s="5" t="s">
        <v>898</v>
      </c>
      <c r="S909" s="7">
        <f>IF(ISBLANK(M909),"Aguardando Previsão/Data",NETWORKDAYS(L909,M909)-1)</f>
        <v>0</v>
      </c>
      <c r="T909" s="5" t="s">
        <v>942</v>
      </c>
    </row>
    <row r="910" spans="1:20" x14ac:dyDescent="0.35">
      <c r="A910" s="5">
        <v>8100272956</v>
      </c>
      <c r="B910" s="5">
        <v>17260</v>
      </c>
      <c r="C910" s="6">
        <v>45665</v>
      </c>
      <c r="D910" s="5" t="s">
        <v>51</v>
      </c>
      <c r="E910" s="5" t="s">
        <v>52</v>
      </c>
      <c r="F910" s="5" t="s">
        <v>329</v>
      </c>
      <c r="G910" s="5" t="s">
        <v>330</v>
      </c>
      <c r="H910" s="5" t="s">
        <v>21</v>
      </c>
      <c r="I910" s="5" t="s">
        <v>261</v>
      </c>
      <c r="J910" s="5" t="s">
        <v>262</v>
      </c>
      <c r="K910" s="5" t="s">
        <v>57</v>
      </c>
      <c r="L910" s="6">
        <v>45670</v>
      </c>
      <c r="M910" s="6">
        <v>45666</v>
      </c>
      <c r="N910" s="5" t="s">
        <v>811</v>
      </c>
      <c r="O910" s="5" t="str">
        <f ca="1">IF(P910&lt;&gt;"EXPEDIÇÃO","Expedido",IF(NETWORKDAYS(C910,TODAY())&gt;=5,"Risco Alto",IF(NETWORKDAYS(C910,TODAY())&gt;=3,IF(NETWORKDAYS(C910,TODAY())&lt;5,"Risco Médio",""),IF(NETWORKDAYS(C910,TODAY())&lt;=2,"Risco Baixo",""))))</f>
        <v>Expedido</v>
      </c>
      <c r="P910" s="5" t="s">
        <v>25</v>
      </c>
      <c r="S910" s="7">
        <f>IF(ISBLANK(M910),"Aguardando Previsão/Data",NETWORKDAYS(L910,M910)-1)</f>
        <v>-4</v>
      </c>
      <c r="T910" s="5" t="s">
        <v>942</v>
      </c>
    </row>
    <row r="911" spans="1:20" x14ac:dyDescent="0.35">
      <c r="A911" s="5">
        <v>8100272957</v>
      </c>
      <c r="B911" s="5">
        <v>17261</v>
      </c>
      <c r="C911" s="6">
        <v>45665</v>
      </c>
      <c r="D911" s="5" t="s">
        <v>51</v>
      </c>
      <c r="E911" s="5" t="s">
        <v>52</v>
      </c>
      <c r="F911" s="5" t="s">
        <v>329</v>
      </c>
      <c r="G911" s="5" t="s">
        <v>330</v>
      </c>
      <c r="H911" s="5" t="s">
        <v>21</v>
      </c>
      <c r="I911" s="5" t="s">
        <v>261</v>
      </c>
      <c r="J911" s="5" t="s">
        <v>550</v>
      </c>
      <c r="K911" s="5" t="s">
        <v>57</v>
      </c>
      <c r="L911" s="6">
        <v>45671</v>
      </c>
      <c r="M911" s="6">
        <v>45666</v>
      </c>
      <c r="N911" s="5" t="s">
        <v>811</v>
      </c>
      <c r="O911" s="5" t="str">
        <f ca="1">IF(P911&lt;&gt;"EXPEDIÇÃO","Expedido",IF(NETWORKDAYS(C911,TODAY())&gt;=5,"Risco Alto",IF(NETWORKDAYS(C911,TODAY())&gt;=3,IF(NETWORKDAYS(C911,TODAY())&lt;5,"Risco Médio",""),IF(NETWORKDAYS(C911,TODAY())&lt;=2,"Risco Baixo",""))))</f>
        <v>Expedido</v>
      </c>
      <c r="P911" s="5" t="s">
        <v>25</v>
      </c>
      <c r="S911" s="7">
        <f>IF(ISBLANK(M911),"Aguardando Previsão/Data",NETWORKDAYS(L911,M911)-1)</f>
        <v>-5</v>
      </c>
      <c r="T911" s="5" t="s">
        <v>942</v>
      </c>
    </row>
    <row r="912" spans="1:20" x14ac:dyDescent="0.35">
      <c r="A912" s="5">
        <v>8100272958</v>
      </c>
      <c r="B912" s="5">
        <v>17259</v>
      </c>
      <c r="C912" s="6">
        <v>45665</v>
      </c>
      <c r="D912" s="5" t="s">
        <v>51</v>
      </c>
      <c r="E912" s="5" t="s">
        <v>52</v>
      </c>
      <c r="F912" s="5" t="s">
        <v>53</v>
      </c>
      <c r="G912" s="5" t="s">
        <v>54</v>
      </c>
      <c r="H912" s="5" t="s">
        <v>21</v>
      </c>
      <c r="I912" s="5" t="s">
        <v>856</v>
      </c>
      <c r="J912" s="5" t="s">
        <v>549</v>
      </c>
      <c r="K912" s="5" t="s">
        <v>57</v>
      </c>
      <c r="L912" s="6">
        <v>45672</v>
      </c>
      <c r="M912" s="6">
        <v>45671</v>
      </c>
      <c r="N912" s="5" t="s">
        <v>811</v>
      </c>
      <c r="O912" s="5" t="str">
        <f ca="1">IF(P912&lt;&gt;"EXPEDIÇÃO","Expedido",IF(NETWORKDAYS(C912,TODAY())&gt;=5,"Risco Alto",IF(NETWORKDAYS(C912,TODAY())&gt;=3,IF(NETWORKDAYS(C912,TODAY())&lt;5,"Risco Médio",""),IF(NETWORKDAYS(C912,TODAY())&lt;=2,"Risco Baixo",""))))</f>
        <v>Expedido</v>
      </c>
      <c r="P912" s="5" t="s">
        <v>25</v>
      </c>
      <c r="S912" s="7">
        <f>IF(ISBLANK(M912),"Aguardando Previsão/Data",NETWORKDAYS(L912,M912)-1)</f>
        <v>-3</v>
      </c>
      <c r="T912" s="5" t="s">
        <v>942</v>
      </c>
    </row>
    <row r="913" spans="1:20" x14ac:dyDescent="0.35">
      <c r="A913" s="5">
        <v>8100272959</v>
      </c>
      <c r="B913" s="5">
        <v>17262</v>
      </c>
      <c r="C913" s="6">
        <v>45665</v>
      </c>
      <c r="D913" s="5" t="s">
        <v>51</v>
      </c>
      <c r="E913" s="5" t="s">
        <v>52</v>
      </c>
      <c r="F913" s="5" t="s">
        <v>69</v>
      </c>
      <c r="G913" s="5" t="s">
        <v>70</v>
      </c>
      <c r="H913" s="5" t="s">
        <v>21</v>
      </c>
      <c r="I913" s="5" t="s">
        <v>82</v>
      </c>
      <c r="J913" s="5" t="s">
        <v>83</v>
      </c>
      <c r="K913" s="5" t="s">
        <v>57</v>
      </c>
      <c r="L913" s="6">
        <v>45671</v>
      </c>
      <c r="M913" s="6">
        <v>45666</v>
      </c>
      <c r="N913" s="5" t="s">
        <v>811</v>
      </c>
      <c r="O913" s="5" t="str">
        <f ca="1">IF(P913&lt;&gt;"EXPEDIÇÃO","Expedido",IF(NETWORKDAYS(C913,TODAY())&gt;=5,"Risco Alto",IF(NETWORKDAYS(C913,TODAY())&gt;=3,IF(NETWORKDAYS(C913,TODAY())&lt;5,"Risco Médio",""),IF(NETWORKDAYS(C913,TODAY())&lt;=2,"Risco Baixo",""))))</f>
        <v>Expedido</v>
      </c>
      <c r="P913" s="5" t="s">
        <v>25</v>
      </c>
      <c r="S913" s="7">
        <f>IF(ISBLANK(M913),"Aguardando Previsão/Data",NETWORKDAYS(L913,M913)-1)</f>
        <v>-5</v>
      </c>
      <c r="T913" s="5" t="s">
        <v>942</v>
      </c>
    </row>
    <row r="914" spans="1:20" x14ac:dyDescent="0.35">
      <c r="A914" s="5">
        <v>8100273078</v>
      </c>
      <c r="B914" s="5">
        <v>17266</v>
      </c>
      <c r="C914" s="6">
        <v>45665</v>
      </c>
      <c r="D914" s="5" t="s">
        <v>51</v>
      </c>
      <c r="E914" s="5" t="s">
        <v>52</v>
      </c>
      <c r="F914" s="5" t="s">
        <v>69</v>
      </c>
      <c r="G914" s="5" t="s">
        <v>70</v>
      </c>
      <c r="H914" s="5" t="s">
        <v>21</v>
      </c>
      <c r="I914" s="5" t="s">
        <v>266</v>
      </c>
      <c r="J914" s="5" t="s">
        <v>267</v>
      </c>
      <c r="K914" s="5" t="s">
        <v>57</v>
      </c>
      <c r="L914" s="6">
        <v>45670</v>
      </c>
      <c r="M914" s="6">
        <v>45671</v>
      </c>
      <c r="N914" s="5" t="s">
        <v>811</v>
      </c>
      <c r="O914" s="5" t="str">
        <f ca="1">IF(P914&lt;&gt;"EXPEDIÇÃO","Expedido",IF(NETWORKDAYS(C914,TODAY())&gt;=5,"Risco Alto",IF(NETWORKDAYS(C914,TODAY())&gt;=3,IF(NETWORKDAYS(C914,TODAY())&lt;5,"Risco Médio",""),IF(NETWORKDAYS(C914,TODAY())&lt;=2,"Risco Baixo",""))))</f>
        <v>Expedido</v>
      </c>
      <c r="P914" s="5" t="s">
        <v>25</v>
      </c>
      <c r="Q914" s="5" t="s">
        <v>897</v>
      </c>
      <c r="R914" s="5">
        <v>1678056</v>
      </c>
      <c r="S914" s="7">
        <f>IF(ISBLANK(M914),"Aguardando Previsão/Data",NETWORKDAYS(L914,M914)-1)</f>
        <v>1</v>
      </c>
      <c r="T914" s="5" t="s">
        <v>942</v>
      </c>
    </row>
    <row r="915" spans="1:20" x14ac:dyDescent="0.35">
      <c r="A915" s="5">
        <v>8100273079</v>
      </c>
      <c r="B915" s="5">
        <v>17270</v>
      </c>
      <c r="C915" s="6">
        <v>45665</v>
      </c>
      <c r="D915" s="5" t="s">
        <v>51</v>
      </c>
      <c r="E915" s="5" t="s">
        <v>52</v>
      </c>
      <c r="F915" s="5" t="s">
        <v>329</v>
      </c>
      <c r="G915" s="5" t="s">
        <v>330</v>
      </c>
      <c r="H915" s="5" t="s">
        <v>21</v>
      </c>
      <c r="I915" s="5" t="s">
        <v>1235</v>
      </c>
      <c r="J915" s="5" t="s">
        <v>529</v>
      </c>
      <c r="K915" s="5" t="s">
        <v>57</v>
      </c>
      <c r="L915" s="6">
        <v>45672</v>
      </c>
      <c r="M915" s="6">
        <v>45670</v>
      </c>
      <c r="N915" s="5" t="s">
        <v>811</v>
      </c>
      <c r="O915" s="5" t="str">
        <f ca="1">IF(P915&lt;&gt;"EXPEDIÇÃO","Expedido",IF(NETWORKDAYS(C915,TODAY())&gt;=5,"Risco Alto",IF(NETWORKDAYS(C915,TODAY())&gt;=3,IF(NETWORKDAYS(C915,TODAY())&lt;5,"Risco Médio",""),IF(NETWORKDAYS(C915,TODAY())&lt;=2,"Risco Baixo",""))))</f>
        <v>Expedido</v>
      </c>
      <c r="P915" s="5" t="s">
        <v>25</v>
      </c>
      <c r="Q915" s="5" t="s">
        <v>1246</v>
      </c>
      <c r="S915" s="7">
        <f>IF(ISBLANK(M915),"Aguardando Previsão/Data",NETWORKDAYS(L915,M915)-1)</f>
        <v>-4</v>
      </c>
      <c r="T915" s="5" t="s">
        <v>942</v>
      </c>
    </row>
    <row r="916" spans="1:20" x14ac:dyDescent="0.35">
      <c r="A916" s="5">
        <v>8100273080</v>
      </c>
      <c r="B916" s="5">
        <v>17267</v>
      </c>
      <c r="C916" s="6">
        <v>45665</v>
      </c>
      <c r="D916" s="5" t="s">
        <v>51</v>
      </c>
      <c r="E916" s="5" t="s">
        <v>52</v>
      </c>
      <c r="F916" s="5" t="s">
        <v>53</v>
      </c>
      <c r="G916" s="5" t="s">
        <v>54</v>
      </c>
      <c r="H916" s="5" t="s">
        <v>21</v>
      </c>
      <c r="I916" s="5" t="s">
        <v>649</v>
      </c>
      <c r="J916" s="5" t="s">
        <v>650</v>
      </c>
      <c r="K916" s="5" t="s">
        <v>57</v>
      </c>
      <c r="L916" s="6">
        <v>45673</v>
      </c>
      <c r="M916" s="6">
        <v>45670</v>
      </c>
      <c r="N916" s="5" t="s">
        <v>811</v>
      </c>
      <c r="O916" s="5" t="str">
        <f ca="1">IF(P916&lt;&gt;"EXPEDIÇÃO","Expedido",IF(NETWORKDAYS(C916,TODAY())&gt;=5,"Risco Alto",IF(NETWORKDAYS(C916,TODAY())&gt;=3,IF(NETWORKDAYS(C916,TODAY())&lt;5,"Risco Médio",""),IF(NETWORKDAYS(C916,TODAY())&lt;=2,"Risco Baixo",""))))</f>
        <v>Expedido</v>
      </c>
      <c r="P916" s="5" t="s">
        <v>25</v>
      </c>
      <c r="S916" s="7">
        <f>IF(ISBLANK(M916),"Aguardando Previsão/Data",NETWORKDAYS(L916,M916)-1)</f>
        <v>-5</v>
      </c>
      <c r="T916" s="5" t="s">
        <v>942</v>
      </c>
    </row>
    <row r="917" spans="1:20" x14ac:dyDescent="0.35">
      <c r="A917" s="5">
        <v>8100273081</v>
      </c>
      <c r="B917" s="5">
        <v>17268</v>
      </c>
      <c r="C917" s="6">
        <v>45665</v>
      </c>
      <c r="D917" s="5" t="s">
        <v>51</v>
      </c>
      <c r="E917" s="5" t="s">
        <v>52</v>
      </c>
      <c r="F917" s="5" t="s">
        <v>53</v>
      </c>
      <c r="G917" s="5" t="s">
        <v>54</v>
      </c>
      <c r="H917" s="5" t="s">
        <v>21</v>
      </c>
      <c r="I917" s="5" t="s">
        <v>649</v>
      </c>
      <c r="J917" s="5" t="s">
        <v>650</v>
      </c>
      <c r="K917" s="5" t="s">
        <v>57</v>
      </c>
      <c r="L917" s="6">
        <v>45673</v>
      </c>
      <c r="M917" s="6">
        <v>45670</v>
      </c>
      <c r="N917" s="5" t="s">
        <v>811</v>
      </c>
      <c r="O917" s="5" t="str">
        <f ca="1">IF(P917&lt;&gt;"EXPEDIÇÃO","Expedido",IF(NETWORKDAYS(C917,TODAY())&gt;=5,"Risco Alto",IF(NETWORKDAYS(C917,TODAY())&gt;=3,IF(NETWORKDAYS(C917,TODAY())&lt;5,"Risco Médio",""),IF(NETWORKDAYS(C917,TODAY())&lt;=2,"Risco Baixo",""))))</f>
        <v>Expedido</v>
      </c>
      <c r="P917" s="5" t="s">
        <v>25</v>
      </c>
      <c r="S917" s="7">
        <f>IF(ISBLANK(M917),"Aguardando Previsão/Data",NETWORKDAYS(L917,M917)-1)</f>
        <v>-5</v>
      </c>
      <c r="T917" s="5" t="s">
        <v>942</v>
      </c>
    </row>
    <row r="918" spans="1:20" x14ac:dyDescent="0.35">
      <c r="A918" s="5">
        <v>8100273282</v>
      </c>
      <c r="B918" s="5">
        <v>17265</v>
      </c>
      <c r="C918" s="6">
        <v>45665</v>
      </c>
      <c r="D918" s="5" t="s">
        <v>51</v>
      </c>
      <c r="E918" s="5" t="s">
        <v>52</v>
      </c>
      <c r="F918" s="5" t="s">
        <v>69</v>
      </c>
      <c r="G918" s="5" t="s">
        <v>70</v>
      </c>
      <c r="H918" s="5" t="s">
        <v>21</v>
      </c>
      <c r="I918" s="5" t="s">
        <v>527</v>
      </c>
      <c r="J918" s="5" t="s">
        <v>65</v>
      </c>
      <c r="K918" s="5" t="s">
        <v>57</v>
      </c>
      <c r="L918" s="6">
        <v>45670</v>
      </c>
      <c r="M918" s="6">
        <v>45665</v>
      </c>
      <c r="N918" s="5" t="s">
        <v>811</v>
      </c>
      <c r="O918" s="5" t="str">
        <f ca="1">IF(P918&lt;&gt;"EXPEDIÇÃO","Expedido",IF(NETWORKDAYS(C918,TODAY())&gt;=5,"Risco Alto",IF(NETWORKDAYS(C918,TODAY())&gt;=3,IF(NETWORKDAYS(C918,TODAY())&lt;5,"Risco Médio",""),IF(NETWORKDAYS(C918,TODAY())&lt;=2,"Risco Baixo",""))))</f>
        <v>Expedido</v>
      </c>
      <c r="P918" s="5" t="s">
        <v>25</v>
      </c>
      <c r="Q918" s="5" t="s">
        <v>900</v>
      </c>
      <c r="S918" s="7">
        <f>IF(ISBLANK(M918),"Aguardando Previsão/Data",NETWORKDAYS(L918,M918)-1)</f>
        <v>-5</v>
      </c>
      <c r="T918" s="5" t="s">
        <v>942</v>
      </c>
    </row>
    <row r="919" spans="1:20" x14ac:dyDescent="0.35">
      <c r="A919" s="5">
        <v>8100273283</v>
      </c>
      <c r="B919" s="5">
        <v>17264</v>
      </c>
      <c r="C919" s="6">
        <v>45665</v>
      </c>
      <c r="D919" s="5" t="s">
        <v>51</v>
      </c>
      <c r="E919" s="5" t="s">
        <v>52</v>
      </c>
      <c r="F919" s="5" t="s">
        <v>53</v>
      </c>
      <c r="G919" s="5" t="s">
        <v>54</v>
      </c>
      <c r="H919" s="5" t="s">
        <v>21</v>
      </c>
      <c r="I919" s="5" t="s">
        <v>649</v>
      </c>
      <c r="J919" s="5" t="s">
        <v>650</v>
      </c>
      <c r="K919" s="5" t="s">
        <v>57</v>
      </c>
      <c r="L919" s="6">
        <v>45673</v>
      </c>
      <c r="M919" s="6">
        <v>45670</v>
      </c>
      <c r="N919" s="5" t="s">
        <v>811</v>
      </c>
      <c r="O919" s="5" t="str">
        <f ca="1">IF(P919&lt;&gt;"EXPEDIÇÃO","Expedido",IF(NETWORKDAYS(C919,TODAY())&gt;=5,"Risco Alto",IF(NETWORKDAYS(C919,TODAY())&gt;=3,IF(NETWORKDAYS(C919,TODAY())&lt;5,"Risco Médio",""),IF(NETWORKDAYS(C919,TODAY())&lt;=2,"Risco Baixo",""))))</f>
        <v>Expedido</v>
      </c>
      <c r="P919" s="5" t="s">
        <v>25</v>
      </c>
      <c r="S919" s="7">
        <f>IF(ISBLANK(M919),"Aguardando Previsão/Data",NETWORKDAYS(L919,M919)-1)</f>
        <v>-5</v>
      </c>
      <c r="T919" s="5" t="s">
        <v>942</v>
      </c>
    </row>
    <row r="920" spans="1:20" x14ac:dyDescent="0.35">
      <c r="A920" s="5">
        <v>8100273361</v>
      </c>
      <c r="B920" s="5">
        <v>17269</v>
      </c>
      <c r="C920" s="6">
        <v>45665</v>
      </c>
      <c r="D920" s="5" t="s">
        <v>51</v>
      </c>
      <c r="E920" s="5" t="s">
        <v>52</v>
      </c>
      <c r="F920" s="5" t="s">
        <v>53</v>
      </c>
      <c r="G920" s="5" t="s">
        <v>54</v>
      </c>
      <c r="H920" s="5" t="s">
        <v>21</v>
      </c>
      <c r="I920" s="5" t="s">
        <v>649</v>
      </c>
      <c r="J920" s="5" t="s">
        <v>650</v>
      </c>
      <c r="K920" s="5" t="s">
        <v>57</v>
      </c>
      <c r="L920" s="6">
        <v>45673</v>
      </c>
      <c r="M920" s="6">
        <v>45670</v>
      </c>
      <c r="N920" s="5" t="s">
        <v>811</v>
      </c>
      <c r="O920" s="5" t="str">
        <f ca="1">IF(P920&lt;&gt;"EXPEDIÇÃO","Expedido",IF(NETWORKDAYS(C920,TODAY())&gt;=5,"Risco Alto",IF(NETWORKDAYS(C920,TODAY())&gt;=3,IF(NETWORKDAYS(C920,TODAY())&lt;5,"Risco Médio",""),IF(NETWORKDAYS(C920,TODAY())&lt;=2,"Risco Baixo",""))))</f>
        <v>Expedido</v>
      </c>
      <c r="P920" s="5" t="s">
        <v>25</v>
      </c>
      <c r="S920" s="7">
        <f>IF(ISBLANK(M920),"Aguardando Previsão/Data",NETWORKDAYS(L920,M920)-1)</f>
        <v>-5</v>
      </c>
      <c r="T920" s="5" t="s">
        <v>942</v>
      </c>
    </row>
    <row r="921" spans="1:20" x14ac:dyDescent="0.35">
      <c r="A921" s="5">
        <v>8100265402</v>
      </c>
      <c r="B921" s="5">
        <v>21100</v>
      </c>
      <c r="C921" s="6">
        <v>45665</v>
      </c>
      <c r="D921" s="5" t="s">
        <v>17</v>
      </c>
      <c r="E921" s="5" t="s">
        <v>18</v>
      </c>
      <c r="F921" s="5" t="s">
        <v>32</v>
      </c>
      <c r="G921" s="5" t="s">
        <v>33</v>
      </c>
      <c r="H921" s="5" t="s">
        <v>21</v>
      </c>
      <c r="I921" s="5" t="s">
        <v>1217</v>
      </c>
      <c r="J921" s="5" t="s">
        <v>1218</v>
      </c>
      <c r="K921" s="5" t="s">
        <v>36</v>
      </c>
      <c r="L921" s="6">
        <v>45678</v>
      </c>
      <c r="M921" s="6">
        <v>45673</v>
      </c>
      <c r="N921" s="5" t="s">
        <v>811</v>
      </c>
      <c r="O921" s="5" t="str">
        <f ca="1">IF(P921&lt;&gt;"EXPEDIÇÃO","Expedido",IF(NETWORKDAYS(C921,TODAY())&gt;=5,"Risco Alto",IF(NETWORKDAYS(C921,TODAY())&gt;=3,IF(NETWORKDAYS(C921,TODAY())&lt;5,"Risco Médio",""),IF(NETWORKDAYS(C921,TODAY())&lt;=2,"Risco Baixo",""))))</f>
        <v>Expedido</v>
      </c>
      <c r="P921" s="5" t="s">
        <v>25</v>
      </c>
      <c r="S921" s="7">
        <f>IF(ISBLANK(M921),"Aguardando Previsão/Data",NETWORKDAYS(L921,M921)-1)</f>
        <v>-5</v>
      </c>
      <c r="T921" s="5" t="s">
        <v>942</v>
      </c>
    </row>
    <row r="922" spans="1:20" x14ac:dyDescent="0.35">
      <c r="A922" s="5">
        <v>8100271154</v>
      </c>
      <c r="B922" s="5">
        <v>21111</v>
      </c>
      <c r="C922" s="6">
        <v>45665</v>
      </c>
      <c r="D922" s="5" t="s">
        <v>17</v>
      </c>
      <c r="E922" s="5" t="s">
        <v>18</v>
      </c>
      <c r="F922" s="5" t="s">
        <v>39</v>
      </c>
      <c r="G922" s="5" t="s">
        <v>40</v>
      </c>
      <c r="H922" s="5" t="s">
        <v>21</v>
      </c>
      <c r="I922" s="5" t="s">
        <v>1219</v>
      </c>
      <c r="J922" s="5" t="s">
        <v>466</v>
      </c>
      <c r="K922" s="5" t="s">
        <v>24</v>
      </c>
      <c r="L922" s="6">
        <v>45677</v>
      </c>
      <c r="M922" s="6">
        <v>45675</v>
      </c>
      <c r="N922" s="5" t="s">
        <v>811</v>
      </c>
      <c r="O922" s="5" t="str">
        <f ca="1">IF(P922&lt;&gt;"EXPEDIÇÃO","Expedido",IF(NETWORKDAYS(C922,TODAY())&gt;=5,"Risco Alto",IF(NETWORKDAYS(C922,TODAY())&gt;=3,IF(NETWORKDAYS(C922,TODAY())&lt;5,"Risco Médio",""),IF(NETWORKDAYS(C922,TODAY())&lt;=2,"Risco Baixo",""))))</f>
        <v>Expedido</v>
      </c>
      <c r="P922" s="5" t="s">
        <v>25</v>
      </c>
      <c r="S922" s="7">
        <f>IF(ISBLANK(M922),"Aguardando Previsão/Data",NETWORKDAYS(L922,M922)-1)</f>
        <v>-2</v>
      </c>
      <c r="T922" s="5" t="s">
        <v>942</v>
      </c>
    </row>
    <row r="923" spans="1:20" x14ac:dyDescent="0.35">
      <c r="A923" s="5">
        <v>8100271447</v>
      </c>
      <c r="B923" s="5">
        <v>21103</v>
      </c>
      <c r="C923" s="6">
        <v>45665</v>
      </c>
      <c r="D923" s="5" t="s">
        <v>17</v>
      </c>
      <c r="E923" s="5" t="s">
        <v>18</v>
      </c>
      <c r="F923" s="5" t="s">
        <v>19</v>
      </c>
      <c r="G923" s="5" t="s">
        <v>20</v>
      </c>
      <c r="H923" s="5" t="s">
        <v>21</v>
      </c>
      <c r="I923" s="5" t="s">
        <v>1034</v>
      </c>
      <c r="J923" s="5" t="s">
        <v>365</v>
      </c>
      <c r="K923" s="5" t="s">
        <v>24</v>
      </c>
      <c r="L923" s="6">
        <v>45672</v>
      </c>
      <c r="M923" s="6">
        <v>45670</v>
      </c>
      <c r="N923" s="5" t="s">
        <v>811</v>
      </c>
      <c r="O923" s="5" t="str">
        <f ca="1">IF(P923&lt;&gt;"EXPEDIÇÃO","Expedido",IF(NETWORKDAYS(C923,TODAY())&gt;=5,"Risco Alto",IF(NETWORKDAYS(C923,TODAY())&gt;=3,IF(NETWORKDAYS(C923,TODAY())&lt;5,"Risco Médio",""),IF(NETWORKDAYS(C923,TODAY())&lt;=2,"Risco Baixo",""))))</f>
        <v>Expedido</v>
      </c>
      <c r="P923" s="5" t="s">
        <v>25</v>
      </c>
      <c r="S923" s="7">
        <f>IF(ISBLANK(M923),"Aguardando Previsão/Data",NETWORKDAYS(L923,M923)-1)</f>
        <v>-4</v>
      </c>
      <c r="T923" s="5" t="s">
        <v>942</v>
      </c>
    </row>
    <row r="924" spans="1:20" x14ac:dyDescent="0.35">
      <c r="A924" s="5">
        <v>8100271449</v>
      </c>
      <c r="B924" s="5">
        <v>21102</v>
      </c>
      <c r="C924" s="6">
        <v>45665</v>
      </c>
      <c r="D924" s="5" t="s">
        <v>17</v>
      </c>
      <c r="E924" s="5" t="s">
        <v>18</v>
      </c>
      <c r="F924" s="5" t="s">
        <v>19</v>
      </c>
      <c r="G924" s="5" t="s">
        <v>20</v>
      </c>
      <c r="H924" s="5" t="s">
        <v>21</v>
      </c>
      <c r="I924" s="5" t="s">
        <v>1198</v>
      </c>
      <c r="J924" s="5" t="s">
        <v>491</v>
      </c>
      <c r="K924" s="5" t="s">
        <v>24</v>
      </c>
      <c r="L924" s="6">
        <v>45672</v>
      </c>
      <c r="M924" s="6">
        <v>45670</v>
      </c>
      <c r="N924" s="5" t="s">
        <v>811</v>
      </c>
      <c r="O924" s="5" t="str">
        <f ca="1">IF(P924&lt;&gt;"EXPEDIÇÃO","Expedido",IF(NETWORKDAYS(C924,TODAY())&gt;=5,"Risco Alto",IF(NETWORKDAYS(C924,TODAY())&gt;=3,IF(NETWORKDAYS(C924,TODAY())&lt;5,"Risco Médio",""),IF(NETWORKDAYS(C924,TODAY())&lt;=2,"Risco Baixo",""))))</f>
        <v>Expedido</v>
      </c>
      <c r="P924" s="5" t="s">
        <v>25</v>
      </c>
      <c r="S924" s="7">
        <f>IF(ISBLANK(M924),"Aguardando Previsão/Data",NETWORKDAYS(L924,M924)-1)</f>
        <v>-4</v>
      </c>
      <c r="T924" s="5" t="s">
        <v>942</v>
      </c>
    </row>
    <row r="925" spans="1:20" x14ac:dyDescent="0.35">
      <c r="A925" s="5">
        <v>8100271649</v>
      </c>
      <c r="B925" s="5">
        <v>21101</v>
      </c>
      <c r="C925" s="6">
        <v>45665</v>
      </c>
      <c r="D925" s="5" t="s">
        <v>17</v>
      </c>
      <c r="E925" s="5" t="s">
        <v>18</v>
      </c>
      <c r="F925" s="5" t="s">
        <v>19</v>
      </c>
      <c r="G925" s="5" t="s">
        <v>20</v>
      </c>
      <c r="H925" s="5" t="s">
        <v>21</v>
      </c>
      <c r="I925" s="5" t="s">
        <v>973</v>
      </c>
      <c r="J925" s="5" t="s">
        <v>364</v>
      </c>
      <c r="K925" s="5" t="s">
        <v>24</v>
      </c>
      <c r="L925" s="6">
        <v>45672</v>
      </c>
      <c r="M925" s="6">
        <v>45671</v>
      </c>
      <c r="N925" s="5" t="s">
        <v>811</v>
      </c>
      <c r="O925" s="5" t="str">
        <f ca="1">IF(P925&lt;&gt;"EXPEDIÇÃO","Expedido",IF(NETWORKDAYS(C925,TODAY())&gt;=5,"Risco Alto",IF(NETWORKDAYS(C925,TODAY())&gt;=3,IF(NETWORKDAYS(C925,TODAY())&lt;5,"Risco Médio",""),IF(NETWORKDAYS(C925,TODAY())&lt;=2,"Risco Baixo",""))))</f>
        <v>Expedido</v>
      </c>
      <c r="P925" s="5" t="s">
        <v>25</v>
      </c>
      <c r="S925" s="7">
        <f>IF(ISBLANK(M925),"Aguardando Previsão/Data",NETWORKDAYS(L925,M925)-1)</f>
        <v>-3</v>
      </c>
      <c r="T925" s="5" t="s">
        <v>942</v>
      </c>
    </row>
    <row r="926" spans="1:20" x14ac:dyDescent="0.35">
      <c r="A926" s="5">
        <v>8100272193</v>
      </c>
      <c r="B926" s="5">
        <v>21104</v>
      </c>
      <c r="C926" s="6">
        <v>45665</v>
      </c>
      <c r="D926" s="5" t="s">
        <v>17</v>
      </c>
      <c r="E926" s="5" t="s">
        <v>18</v>
      </c>
      <c r="F926" s="5" t="s">
        <v>84</v>
      </c>
      <c r="G926" s="5" t="s">
        <v>85</v>
      </c>
      <c r="H926" s="5" t="s">
        <v>21</v>
      </c>
      <c r="I926" s="5" t="s">
        <v>432</v>
      </c>
      <c r="J926" s="5" t="s">
        <v>259</v>
      </c>
      <c r="K926" s="5" t="s">
        <v>24</v>
      </c>
      <c r="L926" s="6">
        <v>45673</v>
      </c>
      <c r="M926" s="6">
        <v>45674</v>
      </c>
      <c r="N926" s="5" t="s">
        <v>812</v>
      </c>
      <c r="O926" s="5" t="str">
        <f ca="1">IF(P926&lt;&gt;"EXPEDIÇÃO","Expedido",IF(NETWORKDAYS(C926,TODAY())&gt;=5,"Risco Alto",IF(NETWORKDAYS(C926,TODAY())&gt;=3,IF(NETWORKDAYS(C926,TODAY())&lt;5,"Risco Médio",""),IF(NETWORKDAYS(C926,TODAY())&lt;=2,"Risco Baixo",""))))</f>
        <v>Expedido</v>
      </c>
      <c r="P926" s="5" t="s">
        <v>25</v>
      </c>
      <c r="Q926" s="5" t="s">
        <v>898</v>
      </c>
      <c r="S926" s="7">
        <f>IF(ISBLANK(M926),"Aguardando Previsão/Data",NETWORKDAYS(L926,M926)-1)</f>
        <v>1</v>
      </c>
      <c r="T926" s="5" t="s">
        <v>942</v>
      </c>
    </row>
    <row r="927" spans="1:20" x14ac:dyDescent="0.35">
      <c r="A927" s="5">
        <v>8100272323</v>
      </c>
      <c r="B927" s="5">
        <v>21114</v>
      </c>
      <c r="C927" s="6">
        <v>45665</v>
      </c>
      <c r="D927" s="5" t="s">
        <v>17</v>
      </c>
      <c r="E927" s="5" t="s">
        <v>18</v>
      </c>
      <c r="F927" s="5" t="s">
        <v>44</v>
      </c>
      <c r="G927" s="5" t="s">
        <v>45</v>
      </c>
      <c r="H927" s="5" t="s">
        <v>21</v>
      </c>
      <c r="I927" s="5" t="s">
        <v>1076</v>
      </c>
      <c r="J927" s="5" t="s">
        <v>779</v>
      </c>
      <c r="K927" s="5" t="s">
        <v>24</v>
      </c>
      <c r="L927" s="6">
        <v>45678</v>
      </c>
      <c r="M927" s="6">
        <v>45677</v>
      </c>
      <c r="N927" s="5" t="s">
        <v>811</v>
      </c>
      <c r="O927" s="5" t="str">
        <f ca="1">IF(P927&lt;&gt;"EXPEDIÇÃO","Expedido",IF(NETWORKDAYS(C927,TODAY())&gt;=5,"Risco Alto",IF(NETWORKDAYS(C927,TODAY())&gt;=3,IF(NETWORKDAYS(C927,TODAY())&lt;5,"Risco Médio",""),IF(NETWORKDAYS(C927,TODAY())&lt;=2,"Risco Baixo",""))))</f>
        <v>Expedido</v>
      </c>
      <c r="P927" s="5" t="s">
        <v>25</v>
      </c>
      <c r="S927" s="7">
        <f>IF(ISBLANK(M927),"Aguardando Previsão/Data",NETWORKDAYS(L927,M927)-1)</f>
        <v>-3</v>
      </c>
      <c r="T927" s="5" t="s">
        <v>942</v>
      </c>
    </row>
    <row r="928" spans="1:20" x14ac:dyDescent="0.35">
      <c r="A928" s="5">
        <v>8100272575</v>
      </c>
      <c r="B928" s="5">
        <v>21105</v>
      </c>
      <c r="C928" s="6">
        <v>45665</v>
      </c>
      <c r="D928" s="5" t="s">
        <v>17</v>
      </c>
      <c r="E928" s="5" t="s">
        <v>18</v>
      </c>
      <c r="F928" s="5" t="s">
        <v>44</v>
      </c>
      <c r="G928" s="5" t="s">
        <v>45</v>
      </c>
      <c r="H928" s="5" t="s">
        <v>21</v>
      </c>
      <c r="I928" s="5" t="s">
        <v>1225</v>
      </c>
      <c r="J928" s="5" t="s">
        <v>256</v>
      </c>
      <c r="K928" s="5" t="s">
        <v>24</v>
      </c>
      <c r="L928" s="6">
        <v>45672</v>
      </c>
      <c r="M928" s="6">
        <v>45670</v>
      </c>
      <c r="N928" s="5" t="s">
        <v>811</v>
      </c>
      <c r="O928" s="5" t="str">
        <f ca="1">IF(P928&lt;&gt;"EXPEDIÇÃO","Expedido",IF(NETWORKDAYS(C928,TODAY())&gt;=5,"Risco Alto",IF(NETWORKDAYS(C928,TODAY())&gt;=3,IF(NETWORKDAYS(C928,TODAY())&lt;5,"Risco Médio",""),IF(NETWORKDAYS(C928,TODAY())&lt;=2,"Risco Baixo",""))))</f>
        <v>Expedido</v>
      </c>
      <c r="P928" s="5" t="s">
        <v>25</v>
      </c>
      <c r="S928" s="7">
        <f>IF(ISBLANK(M928),"Aguardando Previsão/Data",NETWORKDAYS(L928,M928)-1)</f>
        <v>-4</v>
      </c>
      <c r="T928" s="5" t="s">
        <v>942</v>
      </c>
    </row>
    <row r="929" spans="1:20" x14ac:dyDescent="0.35">
      <c r="A929" s="5">
        <v>8100272876</v>
      </c>
      <c r="B929" s="5">
        <v>21117</v>
      </c>
      <c r="C929" s="6">
        <v>45665</v>
      </c>
      <c r="D929" s="5" t="s">
        <v>17</v>
      </c>
      <c r="E929" s="5" t="s">
        <v>18</v>
      </c>
      <c r="F929" s="5" t="s">
        <v>27</v>
      </c>
      <c r="G929" s="5" t="s">
        <v>28</v>
      </c>
      <c r="H929" s="5" t="s">
        <v>21</v>
      </c>
      <c r="I929" s="5" t="s">
        <v>1230</v>
      </c>
      <c r="J929" s="5" t="s">
        <v>566</v>
      </c>
      <c r="K929" s="5" t="s">
        <v>24</v>
      </c>
      <c r="L929" s="6">
        <v>45673</v>
      </c>
      <c r="M929" s="6">
        <v>45671</v>
      </c>
      <c r="N929" s="5" t="s">
        <v>811</v>
      </c>
      <c r="O929" s="5" t="str">
        <f ca="1">IF(P929&lt;&gt;"EXPEDIÇÃO","Expedido",IF(NETWORKDAYS(C929,TODAY())&gt;=5,"Risco Alto",IF(NETWORKDAYS(C929,TODAY())&gt;=3,IF(NETWORKDAYS(C929,TODAY())&lt;5,"Risco Médio",""),IF(NETWORKDAYS(C929,TODAY())&lt;=2,"Risco Baixo",""))))</f>
        <v>Expedido</v>
      </c>
      <c r="P929" s="5" t="s">
        <v>25</v>
      </c>
      <c r="S929" s="7">
        <f>IF(ISBLANK(M929),"Aguardando Previsão/Data",NETWORKDAYS(L929,M929)-1)</f>
        <v>-4</v>
      </c>
      <c r="T929" s="5" t="s">
        <v>942</v>
      </c>
    </row>
    <row r="930" spans="1:20" x14ac:dyDescent="0.35">
      <c r="A930" s="5">
        <v>8100272877</v>
      </c>
      <c r="B930" s="5">
        <v>21123</v>
      </c>
      <c r="C930" s="6">
        <v>45665</v>
      </c>
      <c r="D930" s="5" t="s">
        <v>17</v>
      </c>
      <c r="E930" s="5" t="s">
        <v>18</v>
      </c>
      <c r="F930" s="5" t="s">
        <v>44</v>
      </c>
      <c r="G930" s="5" t="s">
        <v>45</v>
      </c>
      <c r="H930" s="5" t="s">
        <v>21</v>
      </c>
      <c r="I930" s="5" t="s">
        <v>1231</v>
      </c>
      <c r="J930" s="5" t="s">
        <v>463</v>
      </c>
      <c r="K930" s="5" t="s">
        <v>24</v>
      </c>
      <c r="L930" s="6">
        <v>45673</v>
      </c>
      <c r="M930" s="6">
        <v>45670</v>
      </c>
      <c r="N930" s="5" t="s">
        <v>811</v>
      </c>
      <c r="O930" s="5" t="str">
        <f ca="1">IF(P930&lt;&gt;"EXPEDIÇÃO","Expedido",IF(NETWORKDAYS(C930,TODAY())&gt;=5,"Risco Alto",IF(NETWORKDAYS(C930,TODAY())&gt;=3,IF(NETWORKDAYS(C930,TODAY())&lt;5,"Risco Médio",""),IF(NETWORKDAYS(C930,TODAY())&lt;=2,"Risco Baixo",""))))</f>
        <v>Expedido</v>
      </c>
      <c r="P930" s="5" t="s">
        <v>25</v>
      </c>
      <c r="S930" s="7">
        <f>IF(ISBLANK(M930),"Aguardando Previsão/Data",NETWORKDAYS(L930,M930)-1)</f>
        <v>-5</v>
      </c>
      <c r="T930" s="5" t="s">
        <v>942</v>
      </c>
    </row>
    <row r="931" spans="1:20" x14ac:dyDescent="0.35">
      <c r="A931" s="5">
        <v>8100272878</v>
      </c>
      <c r="B931" s="5">
        <v>21110</v>
      </c>
      <c r="C931" s="6">
        <v>45665</v>
      </c>
      <c r="D931" s="5" t="s">
        <v>17</v>
      </c>
      <c r="E931" s="5" t="s">
        <v>18</v>
      </c>
      <c r="F931" s="5" t="s">
        <v>39</v>
      </c>
      <c r="G931" s="5" t="s">
        <v>40</v>
      </c>
      <c r="H931" s="5" t="s">
        <v>21</v>
      </c>
      <c r="I931" s="5" t="s">
        <v>782</v>
      </c>
      <c r="J931" s="5" t="s">
        <v>420</v>
      </c>
      <c r="K931" s="5" t="s">
        <v>24</v>
      </c>
      <c r="L931" s="6">
        <v>45678</v>
      </c>
      <c r="M931" s="6">
        <v>45673</v>
      </c>
      <c r="N931" s="5" t="s">
        <v>811</v>
      </c>
      <c r="O931" s="5" t="str">
        <f ca="1">IF(P931&lt;&gt;"EXPEDIÇÃO","Expedido",IF(NETWORKDAYS(C931,TODAY())&gt;=5,"Risco Alto",IF(NETWORKDAYS(C931,TODAY())&gt;=3,IF(NETWORKDAYS(C931,TODAY())&lt;5,"Risco Médio",""),IF(NETWORKDAYS(C931,TODAY())&lt;=2,"Risco Baixo",""))))</f>
        <v>Expedido</v>
      </c>
      <c r="P931" s="5" t="s">
        <v>25</v>
      </c>
      <c r="Q931" s="5" t="s">
        <v>897</v>
      </c>
      <c r="S931" s="7">
        <f>IF(ISBLANK(M931),"Aguardando Previsão/Data",NETWORKDAYS(L931,M931)-1)</f>
        <v>-5</v>
      </c>
      <c r="T931" s="5" t="s">
        <v>942</v>
      </c>
    </row>
    <row r="932" spans="1:20" x14ac:dyDescent="0.35">
      <c r="A932" s="5">
        <v>8100273073</v>
      </c>
      <c r="B932" s="5">
        <v>21120</v>
      </c>
      <c r="C932" s="6">
        <v>45665</v>
      </c>
      <c r="D932" s="5" t="s">
        <v>17</v>
      </c>
      <c r="E932" s="5" t="s">
        <v>18</v>
      </c>
      <c r="F932" s="5" t="s">
        <v>19</v>
      </c>
      <c r="G932" s="5" t="s">
        <v>20</v>
      </c>
      <c r="H932" s="5" t="s">
        <v>21</v>
      </c>
      <c r="I932" s="5" t="s">
        <v>1034</v>
      </c>
      <c r="J932" s="5" t="s">
        <v>365</v>
      </c>
      <c r="K932" s="5" t="s">
        <v>24</v>
      </c>
      <c r="L932" s="6">
        <v>45672</v>
      </c>
      <c r="M932" s="6">
        <v>45670</v>
      </c>
      <c r="N932" s="5" t="s">
        <v>811</v>
      </c>
      <c r="O932" s="5" t="str">
        <f ca="1">IF(P932&lt;&gt;"EXPEDIÇÃO","Expedido",IF(NETWORKDAYS(C932,TODAY())&gt;=5,"Risco Alto",IF(NETWORKDAYS(C932,TODAY())&gt;=3,IF(NETWORKDAYS(C932,TODAY())&lt;5,"Risco Médio",""),IF(NETWORKDAYS(C932,TODAY())&lt;=2,"Risco Baixo",""))))</f>
        <v>Expedido</v>
      </c>
      <c r="P932" s="5" t="s">
        <v>25</v>
      </c>
      <c r="S932" s="7">
        <f>IF(ISBLANK(M932),"Aguardando Previsão/Data",NETWORKDAYS(L932,M932)-1)</f>
        <v>-4</v>
      </c>
      <c r="T932" s="5" t="s">
        <v>942</v>
      </c>
    </row>
    <row r="933" spans="1:20" x14ac:dyDescent="0.35">
      <c r="A933" s="5">
        <v>8100273074</v>
      </c>
      <c r="B933" s="5">
        <v>21122</v>
      </c>
      <c r="C933" s="6">
        <v>45665</v>
      </c>
      <c r="D933" s="5" t="s">
        <v>17</v>
      </c>
      <c r="E933" s="5" t="s">
        <v>18</v>
      </c>
      <c r="F933" s="5" t="s">
        <v>19</v>
      </c>
      <c r="G933" s="5" t="s">
        <v>20</v>
      </c>
      <c r="H933" s="5" t="s">
        <v>21</v>
      </c>
      <c r="I933" s="5" t="s">
        <v>1042</v>
      </c>
      <c r="J933" s="5" t="s">
        <v>364</v>
      </c>
      <c r="K933" s="5" t="s">
        <v>24</v>
      </c>
      <c r="L933" s="6">
        <v>45672</v>
      </c>
      <c r="M933" s="6">
        <v>45670</v>
      </c>
      <c r="N933" s="5" t="s">
        <v>811</v>
      </c>
      <c r="O933" s="5" t="str">
        <f ca="1">IF(P933&lt;&gt;"EXPEDIÇÃO","Expedido",IF(NETWORKDAYS(C933,TODAY())&gt;=5,"Risco Alto",IF(NETWORKDAYS(C933,TODAY())&gt;=3,IF(NETWORKDAYS(C933,TODAY())&lt;5,"Risco Médio",""),IF(NETWORKDAYS(C933,TODAY())&lt;=2,"Risco Baixo",""))))</f>
        <v>Expedido</v>
      </c>
      <c r="P933" s="5" t="s">
        <v>25</v>
      </c>
      <c r="S933" s="7">
        <f>IF(ISBLANK(M933),"Aguardando Previsão/Data",NETWORKDAYS(L933,M933)-1)</f>
        <v>-4</v>
      </c>
      <c r="T933" s="5" t="s">
        <v>942</v>
      </c>
    </row>
    <row r="934" spans="1:20" x14ac:dyDescent="0.35">
      <c r="A934" s="5">
        <v>8100273075</v>
      </c>
      <c r="B934" s="5">
        <v>21121</v>
      </c>
      <c r="C934" s="6">
        <v>45665</v>
      </c>
      <c r="D934" s="5" t="s">
        <v>17</v>
      </c>
      <c r="E934" s="5" t="s">
        <v>18</v>
      </c>
      <c r="F934" s="5" t="s">
        <v>19</v>
      </c>
      <c r="G934" s="5" t="s">
        <v>20</v>
      </c>
      <c r="H934" s="5" t="s">
        <v>21</v>
      </c>
      <c r="I934" s="5" t="s">
        <v>1034</v>
      </c>
      <c r="J934" s="5" t="s">
        <v>365</v>
      </c>
      <c r="K934" s="5" t="s">
        <v>24</v>
      </c>
      <c r="L934" s="6">
        <v>45672</v>
      </c>
      <c r="M934" s="6">
        <v>45670</v>
      </c>
      <c r="N934" s="5" t="s">
        <v>811</v>
      </c>
      <c r="O934" s="5" t="str">
        <f ca="1">IF(P934&lt;&gt;"EXPEDIÇÃO","Expedido",IF(NETWORKDAYS(C934,TODAY())&gt;=5,"Risco Alto",IF(NETWORKDAYS(C934,TODAY())&gt;=3,IF(NETWORKDAYS(C934,TODAY())&lt;5,"Risco Médio",""),IF(NETWORKDAYS(C934,TODAY())&lt;=2,"Risco Baixo",""))))</f>
        <v>Expedido</v>
      </c>
      <c r="P934" s="5" t="s">
        <v>25</v>
      </c>
      <c r="S934" s="7">
        <f>IF(ISBLANK(M934),"Aguardando Previsão/Data",NETWORKDAYS(L934,M934)-1)</f>
        <v>-4</v>
      </c>
      <c r="T934" s="5" t="s">
        <v>942</v>
      </c>
    </row>
    <row r="935" spans="1:20" x14ac:dyDescent="0.35">
      <c r="A935" s="5">
        <v>8100273143</v>
      </c>
      <c r="B935" s="5">
        <v>21119</v>
      </c>
      <c r="C935" s="6">
        <v>45665</v>
      </c>
      <c r="D935" s="5" t="s">
        <v>17</v>
      </c>
      <c r="E935" s="5" t="s">
        <v>18</v>
      </c>
      <c r="F935" s="5" t="s">
        <v>84</v>
      </c>
      <c r="G935" s="5" t="s">
        <v>85</v>
      </c>
      <c r="H935" s="5" t="s">
        <v>21</v>
      </c>
      <c r="I935" s="5" t="s">
        <v>887</v>
      </c>
      <c r="J935" s="5" t="s">
        <v>372</v>
      </c>
      <c r="K935" s="5" t="s">
        <v>24</v>
      </c>
      <c r="L935" s="6">
        <v>45673</v>
      </c>
      <c r="M935" s="6">
        <v>45673</v>
      </c>
      <c r="N935" s="5" t="s">
        <v>811</v>
      </c>
      <c r="O935" s="5" t="str">
        <f ca="1">IF(P935&lt;&gt;"EXPEDIÇÃO","Expedido",IF(NETWORKDAYS(C935,TODAY())&gt;=5,"Risco Alto",IF(NETWORKDAYS(C935,TODAY())&gt;=3,IF(NETWORKDAYS(C935,TODAY())&lt;5,"Risco Médio",""),IF(NETWORKDAYS(C935,TODAY())&lt;=2,"Risco Baixo",""))))</f>
        <v>Expedido</v>
      </c>
      <c r="P935" s="5" t="s">
        <v>25</v>
      </c>
      <c r="Q935" s="5" t="s">
        <v>898</v>
      </c>
      <c r="S935" s="7">
        <f>IF(ISBLANK(M935),"Aguardando Previsão/Data",NETWORKDAYS(L935,M935)-1)</f>
        <v>0</v>
      </c>
      <c r="T935" s="5" t="s">
        <v>942</v>
      </c>
    </row>
    <row r="936" spans="1:20" x14ac:dyDescent="0.35">
      <c r="A936" s="5">
        <v>8100273144</v>
      </c>
      <c r="B936" s="5">
        <v>21118</v>
      </c>
      <c r="C936" s="6">
        <v>45665</v>
      </c>
      <c r="D936" s="5" t="s">
        <v>17</v>
      </c>
      <c r="E936" s="5" t="s">
        <v>18</v>
      </c>
      <c r="F936" s="5" t="s">
        <v>27</v>
      </c>
      <c r="G936" s="5" t="s">
        <v>28</v>
      </c>
      <c r="H936" s="5" t="s">
        <v>21</v>
      </c>
      <c r="I936" s="5" t="s">
        <v>415</v>
      </c>
      <c r="J936" s="5" t="s">
        <v>364</v>
      </c>
      <c r="K936" s="5" t="s">
        <v>24</v>
      </c>
      <c r="L936" s="6">
        <v>45672</v>
      </c>
      <c r="M936" s="6">
        <v>45673</v>
      </c>
      <c r="N936" s="5" t="s">
        <v>811</v>
      </c>
      <c r="O936" s="5" t="str">
        <f ca="1">IF(P936&lt;&gt;"EXPEDIÇÃO","Expedido",IF(NETWORKDAYS(C936,TODAY())&gt;=5,"Risco Alto",IF(NETWORKDAYS(C936,TODAY())&gt;=3,IF(NETWORKDAYS(C936,TODAY())&lt;5,"Risco Médio",""),IF(NETWORKDAYS(C936,TODAY())&lt;=2,"Risco Baixo",""))))</f>
        <v>Expedido</v>
      </c>
      <c r="P936" s="5" t="s">
        <v>25</v>
      </c>
      <c r="Q936" s="5" t="s">
        <v>897</v>
      </c>
      <c r="S936" s="7">
        <f>IF(ISBLANK(M936),"Aguardando Previsão/Data",NETWORKDAYS(L936,M936)-1)</f>
        <v>1</v>
      </c>
      <c r="T936" s="5" t="s">
        <v>942</v>
      </c>
    </row>
    <row r="937" spans="1:20" x14ac:dyDescent="0.35">
      <c r="A937" s="5">
        <v>8100273145</v>
      </c>
      <c r="B937" s="5">
        <v>21126</v>
      </c>
      <c r="C937" s="6">
        <v>45665</v>
      </c>
      <c r="D937" s="5" t="s">
        <v>17</v>
      </c>
      <c r="E937" s="5" t="s">
        <v>18</v>
      </c>
      <c r="F937" s="5" t="s">
        <v>27</v>
      </c>
      <c r="G937" s="5" t="s">
        <v>28</v>
      </c>
      <c r="H937" s="5" t="s">
        <v>21</v>
      </c>
      <c r="I937" s="5" t="s">
        <v>593</v>
      </c>
      <c r="J937" s="5" t="s">
        <v>28</v>
      </c>
      <c r="K937" s="5" t="s">
        <v>24</v>
      </c>
      <c r="L937" s="6">
        <v>45672</v>
      </c>
      <c r="M937" s="6">
        <v>45672</v>
      </c>
      <c r="N937" s="5" t="s">
        <v>811</v>
      </c>
      <c r="O937" s="5" t="str">
        <f ca="1">IF(P937&lt;&gt;"EXPEDIÇÃO","Expedido",IF(NETWORKDAYS(C937,TODAY())&gt;=5,"Risco Alto",IF(NETWORKDAYS(C937,TODAY())&gt;=3,IF(NETWORKDAYS(C937,TODAY())&lt;5,"Risco Médio",""),IF(NETWORKDAYS(C937,TODAY())&lt;=2,"Risco Baixo",""))))</f>
        <v>Expedido</v>
      </c>
      <c r="P937" s="5" t="s">
        <v>25</v>
      </c>
      <c r="Q937" s="5" t="s">
        <v>897</v>
      </c>
      <c r="S937" s="7">
        <f>IF(ISBLANK(M937),"Aguardando Previsão/Data",NETWORKDAYS(L937,M937)-1)</f>
        <v>0</v>
      </c>
      <c r="T937" s="5" t="s">
        <v>942</v>
      </c>
    </row>
    <row r="938" spans="1:20" x14ac:dyDescent="0.35">
      <c r="A938" s="5">
        <v>8100273262</v>
      </c>
      <c r="B938" s="5">
        <v>21115</v>
      </c>
      <c r="C938" s="6">
        <v>45665</v>
      </c>
      <c r="D938" s="5" t="s">
        <v>17</v>
      </c>
      <c r="E938" s="5" t="s">
        <v>18</v>
      </c>
      <c r="F938" s="5" t="s">
        <v>44</v>
      </c>
      <c r="G938" s="5" t="s">
        <v>45</v>
      </c>
      <c r="H938" s="5" t="s">
        <v>21</v>
      </c>
      <c r="I938" s="5" t="s">
        <v>1076</v>
      </c>
      <c r="J938" s="5" t="s">
        <v>779</v>
      </c>
      <c r="K938" s="5" t="s">
        <v>24</v>
      </c>
      <c r="L938" s="6">
        <v>45678</v>
      </c>
      <c r="M938" s="6">
        <v>45677</v>
      </c>
      <c r="N938" s="5" t="s">
        <v>811</v>
      </c>
      <c r="O938" s="5" t="str">
        <f ca="1">IF(P938&lt;&gt;"EXPEDIÇÃO","Expedido",IF(NETWORKDAYS(C938,TODAY())&gt;=5,"Risco Alto",IF(NETWORKDAYS(C938,TODAY())&gt;=3,IF(NETWORKDAYS(C938,TODAY())&lt;5,"Risco Médio",""),IF(NETWORKDAYS(C938,TODAY())&lt;=2,"Risco Baixo",""))))</f>
        <v>Expedido</v>
      </c>
      <c r="P938" s="5" t="s">
        <v>25</v>
      </c>
      <c r="S938" s="7">
        <f>IF(ISBLANK(M938),"Aguardando Previsão/Data",NETWORKDAYS(L938,M938)-1)</f>
        <v>-3</v>
      </c>
      <c r="T938" s="5" t="s">
        <v>942</v>
      </c>
    </row>
    <row r="939" spans="1:20" x14ac:dyDescent="0.35">
      <c r="A939" s="5">
        <v>8100273263</v>
      </c>
      <c r="B939" s="5">
        <v>21116</v>
      </c>
      <c r="C939" s="6">
        <v>45665</v>
      </c>
      <c r="D939" s="5" t="s">
        <v>17</v>
      </c>
      <c r="E939" s="5" t="s">
        <v>18</v>
      </c>
      <c r="F939" s="5" t="s">
        <v>44</v>
      </c>
      <c r="G939" s="5" t="s">
        <v>45</v>
      </c>
      <c r="H939" s="5" t="s">
        <v>21</v>
      </c>
      <c r="I939" s="5" t="s">
        <v>1076</v>
      </c>
      <c r="J939" s="5" t="s">
        <v>779</v>
      </c>
      <c r="K939" s="5" t="s">
        <v>24</v>
      </c>
      <c r="L939" s="6">
        <v>45678</v>
      </c>
      <c r="M939" s="6">
        <v>45677</v>
      </c>
      <c r="N939" s="5" t="s">
        <v>811</v>
      </c>
      <c r="O939" s="5" t="str">
        <f ca="1">IF(P939&lt;&gt;"EXPEDIÇÃO","Expedido",IF(NETWORKDAYS(C939,TODAY())&gt;=5,"Risco Alto",IF(NETWORKDAYS(C939,TODAY())&gt;=3,IF(NETWORKDAYS(C939,TODAY())&lt;5,"Risco Médio",""),IF(NETWORKDAYS(C939,TODAY())&lt;=2,"Risco Baixo",""))))</f>
        <v>Expedido</v>
      </c>
      <c r="P939" s="5" t="s">
        <v>25</v>
      </c>
      <c r="S939" s="7">
        <f>IF(ISBLANK(M939),"Aguardando Previsão/Data",NETWORKDAYS(L939,M939)-1)</f>
        <v>-3</v>
      </c>
      <c r="T939" s="5" t="s">
        <v>942</v>
      </c>
    </row>
    <row r="940" spans="1:20" x14ac:dyDescent="0.35">
      <c r="A940" s="5">
        <v>8100273281</v>
      </c>
      <c r="B940" s="5">
        <v>21125</v>
      </c>
      <c r="C940" s="6">
        <v>45665</v>
      </c>
      <c r="D940" s="5" t="s">
        <v>17</v>
      </c>
      <c r="E940" s="5" t="s">
        <v>18</v>
      </c>
      <c r="F940" s="5" t="s">
        <v>32</v>
      </c>
      <c r="G940" s="5" t="s">
        <v>33</v>
      </c>
      <c r="H940" s="5" t="s">
        <v>21</v>
      </c>
      <c r="I940" s="5" t="s">
        <v>1236</v>
      </c>
      <c r="J940" s="5" t="s">
        <v>1237</v>
      </c>
      <c r="K940" s="5" t="s">
        <v>24</v>
      </c>
      <c r="L940" s="6">
        <v>45674</v>
      </c>
      <c r="M940" s="6">
        <v>45673</v>
      </c>
      <c r="N940" s="5" t="s">
        <v>811</v>
      </c>
      <c r="O940" s="5" t="str">
        <f ca="1">IF(P940&lt;&gt;"EXPEDIÇÃO","Expedido",IF(NETWORKDAYS(C940,TODAY())&gt;=5,"Risco Alto",IF(NETWORKDAYS(C940,TODAY())&gt;=3,IF(NETWORKDAYS(C940,TODAY())&lt;5,"Risco Médio",""),IF(NETWORKDAYS(C940,TODAY())&lt;=2,"Risco Baixo",""))))</f>
        <v>Expedido</v>
      </c>
      <c r="P940" s="5" t="s">
        <v>25</v>
      </c>
      <c r="S940" s="7">
        <f>IF(ISBLANK(M940),"Aguardando Previsão/Data",NETWORKDAYS(L940,M940)-1)</f>
        <v>-3</v>
      </c>
      <c r="T940" s="5" t="s">
        <v>942</v>
      </c>
    </row>
    <row r="941" spans="1:20" x14ac:dyDescent="0.35">
      <c r="A941" s="5">
        <v>8100273353</v>
      </c>
      <c r="B941" s="5">
        <v>21124</v>
      </c>
      <c r="C941" s="6">
        <v>45665</v>
      </c>
      <c r="D941" s="5" t="s">
        <v>17</v>
      </c>
      <c r="E941" s="5" t="s">
        <v>18</v>
      </c>
      <c r="F941" s="5" t="s">
        <v>27</v>
      </c>
      <c r="G941" s="5" t="s">
        <v>28</v>
      </c>
      <c r="H941" s="5" t="s">
        <v>21</v>
      </c>
      <c r="I941" s="5" t="s">
        <v>64</v>
      </c>
      <c r="J941" s="5" t="s">
        <v>28</v>
      </c>
      <c r="K941" s="5" t="s">
        <v>24</v>
      </c>
      <c r="L941" s="6">
        <v>45672</v>
      </c>
      <c r="M941" s="6">
        <v>45671</v>
      </c>
      <c r="N941" s="5" t="s">
        <v>811</v>
      </c>
      <c r="O941" s="5" t="str">
        <f ca="1">IF(P941&lt;&gt;"EXPEDIÇÃO","Expedido",IF(NETWORKDAYS(C941,TODAY())&gt;=5,"Risco Alto",IF(NETWORKDAYS(C941,TODAY())&gt;=3,IF(NETWORKDAYS(C941,TODAY())&lt;5,"Risco Médio",""),IF(NETWORKDAYS(C941,TODAY())&lt;=2,"Risco Baixo",""))))</f>
        <v>Expedido</v>
      </c>
      <c r="P941" s="5" t="s">
        <v>25</v>
      </c>
      <c r="Q941" s="5" t="s">
        <v>897</v>
      </c>
      <c r="S941" s="7">
        <f>IF(ISBLANK(M941),"Aguardando Previsão/Data",NETWORKDAYS(L941,M941)-1)</f>
        <v>-3</v>
      </c>
      <c r="T941" s="5" t="s">
        <v>942</v>
      </c>
    </row>
    <row r="942" spans="1:20" x14ac:dyDescent="0.35">
      <c r="A942" s="5">
        <v>8100271141</v>
      </c>
      <c r="B942" s="5">
        <v>13132</v>
      </c>
      <c r="C942" s="6">
        <v>45665</v>
      </c>
      <c r="D942" s="5" t="s">
        <v>91</v>
      </c>
      <c r="E942" s="5" t="s">
        <v>92</v>
      </c>
      <c r="F942" s="5" t="s">
        <v>96</v>
      </c>
      <c r="G942" s="5" t="s">
        <v>97</v>
      </c>
      <c r="H942" s="5" t="s">
        <v>21</v>
      </c>
      <c r="I942" s="5" t="s">
        <v>939</v>
      </c>
      <c r="J942" s="5" t="s">
        <v>472</v>
      </c>
      <c r="K942" s="5" t="s">
        <v>95</v>
      </c>
      <c r="L942" s="6">
        <v>45672</v>
      </c>
      <c r="M942" s="6">
        <v>45667</v>
      </c>
      <c r="N942" s="5" t="s">
        <v>811</v>
      </c>
      <c r="O942" s="5" t="str">
        <f ca="1">IF(P942&lt;&gt;"EXPEDIÇÃO","Expedido",IF(NETWORKDAYS(C942,TODAY())&gt;=5,"Risco Alto",IF(NETWORKDAYS(C942,TODAY())&gt;=3,IF(NETWORKDAYS(C942,TODAY())&lt;5,"Risco Médio",""),IF(NETWORKDAYS(C942,TODAY())&lt;=2,"Risco Baixo",""))))</f>
        <v>Expedido</v>
      </c>
      <c r="P942" s="5" t="s">
        <v>25</v>
      </c>
      <c r="S942" s="7">
        <f>IF(ISBLANK(M942),"Aguardando Previsão/Data",NETWORKDAYS(L942,M942)-1)</f>
        <v>-5</v>
      </c>
      <c r="T942" s="5" t="s">
        <v>942</v>
      </c>
    </row>
    <row r="943" spans="1:20" x14ac:dyDescent="0.35">
      <c r="A943" s="5">
        <v>8100272669</v>
      </c>
      <c r="B943" s="5">
        <v>13131</v>
      </c>
      <c r="C943" s="6">
        <v>45665</v>
      </c>
      <c r="D943" s="5" t="s">
        <v>91</v>
      </c>
      <c r="E943" s="5" t="s">
        <v>92</v>
      </c>
      <c r="F943" s="5" t="s">
        <v>103</v>
      </c>
      <c r="G943" s="5" t="s">
        <v>104</v>
      </c>
      <c r="H943" s="5" t="s">
        <v>21</v>
      </c>
      <c r="I943" s="5" t="s">
        <v>1170</v>
      </c>
      <c r="J943" s="5" t="s">
        <v>273</v>
      </c>
      <c r="K943" s="5" t="s">
        <v>274</v>
      </c>
      <c r="L943" s="6">
        <v>45674</v>
      </c>
      <c r="M943" s="6">
        <v>45678</v>
      </c>
      <c r="N943" s="5" t="s">
        <v>811</v>
      </c>
      <c r="O943" s="5" t="str">
        <f ca="1">IF(P943&lt;&gt;"EXPEDIÇÃO","Expedido",IF(NETWORKDAYS(C943,TODAY())&gt;=5,"Risco Alto",IF(NETWORKDAYS(C943,TODAY())&gt;=3,IF(NETWORKDAYS(C943,TODAY())&lt;5,"Risco Médio",""),IF(NETWORKDAYS(C943,TODAY())&lt;=2,"Risco Baixo",""))))</f>
        <v>Expedido</v>
      </c>
      <c r="P943" s="5" t="s">
        <v>25</v>
      </c>
      <c r="Q943" s="5" t="s">
        <v>897</v>
      </c>
      <c r="R943" s="5">
        <v>1686849</v>
      </c>
      <c r="S943" s="7">
        <f>IF(ISBLANK(M943),"Aguardando Previsão/Data",NETWORKDAYS(L943,M943)-1)</f>
        <v>2</v>
      </c>
      <c r="T943" s="5" t="s">
        <v>942</v>
      </c>
    </row>
    <row r="944" spans="1:20" x14ac:dyDescent="0.35">
      <c r="A944" s="5">
        <v>8100272749</v>
      </c>
      <c r="B944" s="5">
        <v>13130</v>
      </c>
      <c r="C944" s="6">
        <v>45665</v>
      </c>
      <c r="D944" s="5" t="s">
        <v>91</v>
      </c>
      <c r="E944" s="5" t="s">
        <v>92</v>
      </c>
      <c r="F944" s="5" t="s">
        <v>66</v>
      </c>
      <c r="G944" s="5" t="s">
        <v>67</v>
      </c>
      <c r="H944" s="5" t="s">
        <v>21</v>
      </c>
      <c r="I944" s="5" t="s">
        <v>559</v>
      </c>
      <c r="J944" s="5" t="s">
        <v>389</v>
      </c>
      <c r="K944" s="5" t="s">
        <v>95</v>
      </c>
      <c r="L944" s="6">
        <v>45678</v>
      </c>
      <c r="M944" s="6">
        <v>45673</v>
      </c>
      <c r="N944" s="5" t="s">
        <v>811</v>
      </c>
      <c r="O944" s="5" t="str">
        <f ca="1">IF(P944&lt;&gt;"EXPEDIÇÃO","Expedido",IF(NETWORKDAYS(C944,TODAY())&gt;=5,"Risco Alto",IF(NETWORKDAYS(C944,TODAY())&gt;=3,IF(NETWORKDAYS(C944,TODAY())&lt;5,"Risco Médio",""),IF(NETWORKDAYS(C944,TODAY())&lt;=2,"Risco Baixo",""))))</f>
        <v>Expedido</v>
      </c>
      <c r="P944" s="5" t="s">
        <v>25</v>
      </c>
      <c r="S944" s="7">
        <f>IF(ISBLANK(M944),"Aguardando Previsão/Data",NETWORKDAYS(L944,M944)-1)</f>
        <v>-5</v>
      </c>
      <c r="T944" s="5" t="s">
        <v>942</v>
      </c>
    </row>
    <row r="945" spans="1:20" x14ac:dyDescent="0.35">
      <c r="A945" s="5">
        <v>8100272844</v>
      </c>
      <c r="B945" s="5">
        <v>13133</v>
      </c>
      <c r="C945" s="6">
        <v>45665</v>
      </c>
      <c r="D945" s="5" t="s">
        <v>91</v>
      </c>
      <c r="E945" s="5" t="s">
        <v>92</v>
      </c>
      <c r="F945" s="5" t="s">
        <v>176</v>
      </c>
      <c r="G945" s="5" t="s">
        <v>177</v>
      </c>
      <c r="H945" s="5" t="s">
        <v>21</v>
      </c>
      <c r="I945" s="5" t="s">
        <v>499</v>
      </c>
      <c r="J945" s="5" t="s">
        <v>500</v>
      </c>
      <c r="K945" s="5" t="s">
        <v>95</v>
      </c>
      <c r="L945" s="6">
        <v>45673</v>
      </c>
      <c r="M945" s="6">
        <v>45671</v>
      </c>
      <c r="N945" s="5" t="s">
        <v>811</v>
      </c>
      <c r="O945" s="5" t="str">
        <f ca="1">IF(P945&lt;&gt;"EXPEDIÇÃO","Expedido",IF(NETWORKDAYS(C945,TODAY())&gt;=5,"Risco Alto",IF(NETWORKDAYS(C945,TODAY())&gt;=3,IF(NETWORKDAYS(C945,TODAY())&lt;5,"Risco Médio",""),IF(NETWORKDAYS(C945,TODAY())&lt;=2,"Risco Baixo",""))))</f>
        <v>Expedido</v>
      </c>
      <c r="P945" s="5" t="s">
        <v>25</v>
      </c>
      <c r="S945" s="7">
        <f>IF(ISBLANK(M945),"Aguardando Previsão/Data",NETWORKDAYS(L945,M945)-1)</f>
        <v>-4</v>
      </c>
      <c r="T945" s="5" t="s">
        <v>942</v>
      </c>
    </row>
    <row r="946" spans="1:20" x14ac:dyDescent="0.35">
      <c r="A946" s="5">
        <v>8100272845</v>
      </c>
      <c r="B946" s="5">
        <v>13134</v>
      </c>
      <c r="C946" s="6">
        <v>45665</v>
      </c>
      <c r="D946" s="5" t="s">
        <v>91</v>
      </c>
      <c r="E946" s="5" t="s">
        <v>92</v>
      </c>
      <c r="F946" s="5" t="s">
        <v>96</v>
      </c>
      <c r="G946" s="5" t="s">
        <v>97</v>
      </c>
      <c r="H946" s="5" t="s">
        <v>21</v>
      </c>
      <c r="I946" s="5" t="s">
        <v>1028</v>
      </c>
      <c r="J946" s="5" t="s">
        <v>470</v>
      </c>
      <c r="K946" s="5" t="s">
        <v>101</v>
      </c>
      <c r="L946" s="6">
        <v>45674</v>
      </c>
      <c r="M946" s="6">
        <v>45671</v>
      </c>
      <c r="N946" s="5" t="s">
        <v>811</v>
      </c>
      <c r="O946" s="5" t="str">
        <f ca="1">IF(P946&lt;&gt;"EXPEDIÇÃO","Expedido",IF(NETWORKDAYS(C946,TODAY())&gt;=5,"Risco Alto",IF(NETWORKDAYS(C946,TODAY())&gt;=3,IF(NETWORKDAYS(C946,TODAY())&lt;5,"Risco Médio",""),IF(NETWORKDAYS(C946,TODAY())&lt;=2,"Risco Baixo",""))))</f>
        <v>Expedido</v>
      </c>
      <c r="P946" s="5" t="s">
        <v>25</v>
      </c>
      <c r="S946" s="7">
        <f>IF(ISBLANK(M946),"Aguardando Previsão/Data",NETWORKDAYS(L946,M946)-1)</f>
        <v>-5</v>
      </c>
      <c r="T946" s="5" t="s">
        <v>942</v>
      </c>
    </row>
    <row r="947" spans="1:20" x14ac:dyDescent="0.35">
      <c r="A947" s="5">
        <v>8100273057</v>
      </c>
      <c r="B947" s="5">
        <v>13135</v>
      </c>
      <c r="C947" s="6">
        <v>45665</v>
      </c>
      <c r="D947" s="5" t="s">
        <v>91</v>
      </c>
      <c r="E947" s="5" t="s">
        <v>92</v>
      </c>
      <c r="F947" s="5" t="s">
        <v>103</v>
      </c>
      <c r="G947" s="5" t="s">
        <v>104</v>
      </c>
      <c r="H947" s="5" t="s">
        <v>21</v>
      </c>
      <c r="I947" s="5" t="s">
        <v>1069</v>
      </c>
      <c r="J947" s="5" t="s">
        <v>1234</v>
      </c>
      <c r="K947" s="5" t="s">
        <v>274</v>
      </c>
      <c r="L947" s="6">
        <v>45677</v>
      </c>
      <c r="M947" s="6">
        <v>45674</v>
      </c>
      <c r="N947" s="5" t="s">
        <v>811</v>
      </c>
      <c r="O947" s="5" t="str">
        <f ca="1">IF(P947&lt;&gt;"EXPEDIÇÃO","Expedido",IF(NETWORKDAYS(C947,TODAY())&gt;=5,"Risco Alto",IF(NETWORKDAYS(C947,TODAY())&gt;=3,IF(NETWORKDAYS(C947,TODAY())&lt;5,"Risco Médio",""),IF(NETWORKDAYS(C947,TODAY())&lt;=2,"Risco Baixo",""))))</f>
        <v>Expedido</v>
      </c>
      <c r="P947" s="5" t="s">
        <v>25</v>
      </c>
      <c r="S947" s="7">
        <f>IF(ISBLANK(M947),"Aguardando Previsão/Data",NETWORKDAYS(L947,M947)-1)</f>
        <v>-3</v>
      </c>
      <c r="T947" s="5" t="s">
        <v>942</v>
      </c>
    </row>
    <row r="948" spans="1:20" x14ac:dyDescent="0.35">
      <c r="A948" s="5">
        <v>8100273326</v>
      </c>
      <c r="B948" s="5">
        <v>13136</v>
      </c>
      <c r="C948" s="6">
        <v>45665</v>
      </c>
      <c r="D948" s="5" t="s">
        <v>91</v>
      </c>
      <c r="E948" s="5" t="s">
        <v>92</v>
      </c>
      <c r="F948" s="5" t="s">
        <v>96</v>
      </c>
      <c r="G948" s="5" t="s">
        <v>97</v>
      </c>
      <c r="H948" s="5" t="s">
        <v>21</v>
      </c>
      <c r="I948" s="5" t="s">
        <v>1012</v>
      </c>
      <c r="J948" s="5" t="s">
        <v>424</v>
      </c>
      <c r="K948" s="5" t="s">
        <v>95</v>
      </c>
      <c r="L948" s="6">
        <v>45672</v>
      </c>
      <c r="M948" s="6">
        <v>45666</v>
      </c>
      <c r="N948" s="5" t="s">
        <v>811</v>
      </c>
      <c r="O948" s="5" t="str">
        <f ca="1">IF(P948&lt;&gt;"EXPEDIÇÃO","Expedido",IF(NETWORKDAYS(C948,TODAY())&gt;=5,"Risco Alto",IF(NETWORKDAYS(C948,TODAY())&gt;=3,IF(NETWORKDAYS(C948,TODAY())&lt;5,"Risco Médio",""),IF(NETWORKDAYS(C948,TODAY())&lt;=2,"Risco Baixo",""))))</f>
        <v>Expedido</v>
      </c>
      <c r="P948" s="5" t="s">
        <v>25</v>
      </c>
      <c r="Q948" s="5" t="s">
        <v>824</v>
      </c>
      <c r="S948" s="7">
        <f>IF(ISBLANK(M948),"Aguardando Previsão/Data",NETWORKDAYS(L948,M948)-1)</f>
        <v>-6</v>
      </c>
      <c r="T948" s="5" t="s">
        <v>942</v>
      </c>
    </row>
    <row r="949" spans="1:20" x14ac:dyDescent="0.35">
      <c r="A949" s="5">
        <v>8100272648</v>
      </c>
      <c r="B949" s="5">
        <v>21106</v>
      </c>
      <c r="C949" s="6">
        <v>45665</v>
      </c>
      <c r="D949" s="5" t="s">
        <v>836</v>
      </c>
      <c r="E949" s="5" t="s">
        <v>837</v>
      </c>
      <c r="F949" s="5" t="s">
        <v>84</v>
      </c>
      <c r="G949" s="5" t="s">
        <v>85</v>
      </c>
      <c r="H949" s="5" t="s">
        <v>21</v>
      </c>
      <c r="I949" s="5" t="s">
        <v>545</v>
      </c>
      <c r="J949" s="5" t="s">
        <v>41</v>
      </c>
      <c r="K949" s="5" t="s">
        <v>24</v>
      </c>
      <c r="L949" s="6">
        <v>45671</v>
      </c>
      <c r="M949" s="6">
        <v>45667</v>
      </c>
      <c r="N949" s="5" t="s">
        <v>811</v>
      </c>
      <c r="O949" s="5" t="str">
        <f ca="1">IF(P949&lt;&gt;"EXPEDIÇÃO","Expedido",IF(NETWORKDAYS(C949,TODAY())&gt;=5,"Risco Alto",IF(NETWORKDAYS(C949,TODAY())&gt;=3,IF(NETWORKDAYS(C949,TODAY())&lt;5,"Risco Médio",""),IF(NETWORKDAYS(C949,TODAY())&lt;=2,"Risco Baixo",""))))</f>
        <v>Expedido</v>
      </c>
      <c r="P949" s="5" t="s">
        <v>25</v>
      </c>
      <c r="S949" s="7">
        <f>IF(ISBLANK(M949),"Aguardando Previsão/Data",NETWORKDAYS(L949,M949)-1)</f>
        <v>-4</v>
      </c>
      <c r="T949" s="5" t="s">
        <v>942</v>
      </c>
    </row>
    <row r="950" spans="1:20" x14ac:dyDescent="0.35">
      <c r="A950" s="5">
        <v>8100272649</v>
      </c>
      <c r="B950" s="5">
        <v>21107</v>
      </c>
      <c r="C950" s="6">
        <v>45665</v>
      </c>
      <c r="D950" s="5" t="s">
        <v>836</v>
      </c>
      <c r="E950" s="5" t="s">
        <v>837</v>
      </c>
      <c r="F950" s="5" t="s">
        <v>84</v>
      </c>
      <c r="G950" s="5" t="s">
        <v>85</v>
      </c>
      <c r="H950" s="5" t="s">
        <v>21</v>
      </c>
      <c r="I950" s="5" t="s">
        <v>545</v>
      </c>
      <c r="J950" s="5" t="s">
        <v>41</v>
      </c>
      <c r="K950" s="5" t="s">
        <v>24</v>
      </c>
      <c r="L950" s="6">
        <v>45671</v>
      </c>
      <c r="M950" s="6">
        <v>45667</v>
      </c>
      <c r="N950" s="5" t="s">
        <v>811</v>
      </c>
      <c r="O950" s="5" t="str">
        <f ca="1">IF(P950&lt;&gt;"EXPEDIÇÃO","Expedido",IF(NETWORKDAYS(C950,TODAY())&gt;=5,"Risco Alto",IF(NETWORKDAYS(C950,TODAY())&gt;=3,IF(NETWORKDAYS(C950,TODAY())&lt;5,"Risco Médio",""),IF(NETWORKDAYS(C950,TODAY())&lt;=2,"Risco Baixo",""))))</f>
        <v>Expedido</v>
      </c>
      <c r="P950" s="5" t="s">
        <v>25</v>
      </c>
      <c r="S950" s="7">
        <f>IF(ISBLANK(M950),"Aguardando Previsão/Data",NETWORKDAYS(L950,M950)-1)</f>
        <v>-4</v>
      </c>
      <c r="T950" s="5" t="s">
        <v>942</v>
      </c>
    </row>
    <row r="951" spans="1:20" x14ac:dyDescent="0.35">
      <c r="A951" s="5">
        <v>8100272650</v>
      </c>
      <c r="B951" s="5">
        <v>21108</v>
      </c>
      <c r="C951" s="6">
        <v>45665</v>
      </c>
      <c r="D951" s="5" t="s">
        <v>836</v>
      </c>
      <c r="E951" s="5" t="s">
        <v>837</v>
      </c>
      <c r="F951" s="5" t="s">
        <v>84</v>
      </c>
      <c r="G951" s="5" t="s">
        <v>85</v>
      </c>
      <c r="H951" s="5" t="s">
        <v>21</v>
      </c>
      <c r="I951" s="5" t="s">
        <v>545</v>
      </c>
      <c r="J951" s="5" t="s">
        <v>41</v>
      </c>
      <c r="K951" s="5" t="s">
        <v>24</v>
      </c>
      <c r="L951" s="6">
        <v>45671</v>
      </c>
      <c r="M951" s="6">
        <v>45667</v>
      </c>
      <c r="N951" s="5" t="s">
        <v>811</v>
      </c>
      <c r="O951" s="5" t="str">
        <f ca="1">IF(P951&lt;&gt;"EXPEDIÇÃO","Expedido",IF(NETWORKDAYS(C951,TODAY())&gt;=5,"Risco Alto",IF(NETWORKDAYS(C951,TODAY())&gt;=3,IF(NETWORKDAYS(C951,TODAY())&lt;5,"Risco Médio",""),IF(NETWORKDAYS(C951,TODAY())&lt;=2,"Risco Baixo",""))))</f>
        <v>Expedido</v>
      </c>
      <c r="P951" s="5" t="s">
        <v>25</v>
      </c>
      <c r="S951" s="7">
        <f>IF(ISBLANK(M951),"Aguardando Previsão/Data",NETWORKDAYS(L951,M951)-1)</f>
        <v>-4</v>
      </c>
      <c r="T951" s="5" t="s">
        <v>942</v>
      </c>
    </row>
    <row r="952" spans="1:20" x14ac:dyDescent="0.35">
      <c r="A952" s="5">
        <v>8100272651</v>
      </c>
      <c r="B952" s="5">
        <v>21109</v>
      </c>
      <c r="C952" s="6">
        <v>45665</v>
      </c>
      <c r="D952" s="5" t="s">
        <v>836</v>
      </c>
      <c r="E952" s="5" t="s">
        <v>837</v>
      </c>
      <c r="F952" s="5" t="s">
        <v>39</v>
      </c>
      <c r="G952" s="5" t="s">
        <v>40</v>
      </c>
      <c r="H952" s="5" t="s">
        <v>21</v>
      </c>
      <c r="I952" s="5" t="s">
        <v>918</v>
      </c>
      <c r="J952" s="5" t="s">
        <v>495</v>
      </c>
      <c r="K952" s="5" t="s">
        <v>24</v>
      </c>
      <c r="L952" s="6">
        <v>45674</v>
      </c>
      <c r="M952" s="6">
        <v>45672</v>
      </c>
      <c r="N952" s="5" t="s">
        <v>811</v>
      </c>
      <c r="O952" s="5" t="str">
        <f ca="1">IF(P952&lt;&gt;"EXPEDIÇÃO","Expedido",IF(NETWORKDAYS(C952,TODAY())&gt;=5,"Risco Alto",IF(NETWORKDAYS(C952,TODAY())&gt;=3,IF(NETWORKDAYS(C952,TODAY())&lt;5,"Risco Médio",""),IF(NETWORKDAYS(C952,TODAY())&lt;=2,"Risco Baixo",""))))</f>
        <v>Expedido</v>
      </c>
      <c r="P952" s="5" t="s">
        <v>25</v>
      </c>
      <c r="S952" s="7">
        <f>IF(ISBLANK(M952),"Aguardando Previsão/Data",NETWORKDAYS(L952,M952)-1)</f>
        <v>-4</v>
      </c>
      <c r="T952" s="5" t="s">
        <v>942</v>
      </c>
    </row>
    <row r="953" spans="1:20" x14ac:dyDescent="0.35">
      <c r="A953" s="5">
        <v>8100272858</v>
      </c>
      <c r="B953" s="5">
        <v>10633</v>
      </c>
      <c r="C953" s="6">
        <v>45665</v>
      </c>
      <c r="D953" s="5" t="s">
        <v>239</v>
      </c>
      <c r="E953" s="5" t="s">
        <v>240</v>
      </c>
      <c r="F953" s="5" t="s">
        <v>160</v>
      </c>
      <c r="G953" s="5" t="s">
        <v>161</v>
      </c>
      <c r="H953" s="5" t="s">
        <v>218</v>
      </c>
      <c r="I953" s="5" t="s">
        <v>354</v>
      </c>
      <c r="J953" s="5" t="s">
        <v>355</v>
      </c>
      <c r="K953" s="5" t="s">
        <v>241</v>
      </c>
      <c r="L953" s="6">
        <v>45671</v>
      </c>
      <c r="M953" s="6">
        <v>45671</v>
      </c>
      <c r="N953" s="5" t="s">
        <v>811</v>
      </c>
      <c r="O953" s="5" t="str">
        <f ca="1">IF(P953&lt;&gt;"EXPEDIÇÃO","Expedido",IF(NETWORKDAYS(C953,TODAY())&gt;=5,"Risco Alto",IF(NETWORKDAYS(C953,TODAY())&gt;=3,IF(NETWORKDAYS(C953,TODAY())&lt;5,"Risco Médio",""),IF(NETWORKDAYS(C953,TODAY())&lt;=2,"Risco Baixo",""))))</f>
        <v>Expedido</v>
      </c>
      <c r="P953" s="5" t="s">
        <v>25</v>
      </c>
      <c r="Q953" s="5" t="s">
        <v>793</v>
      </c>
      <c r="S953" s="7">
        <f>IF(ISBLANK(M953),"Aguardando Previsão/Data",NETWORKDAYS(L953,M953)-1)</f>
        <v>0</v>
      </c>
      <c r="T953" s="5" t="s">
        <v>942</v>
      </c>
    </row>
    <row r="954" spans="1:20" x14ac:dyDescent="0.35">
      <c r="A954" s="5">
        <v>8100272860</v>
      </c>
      <c r="B954" s="5">
        <v>10634</v>
      </c>
      <c r="C954" s="6">
        <v>45665</v>
      </c>
      <c r="D954" s="5" t="s">
        <v>239</v>
      </c>
      <c r="E954" s="5" t="s">
        <v>240</v>
      </c>
      <c r="F954" s="5" t="s">
        <v>160</v>
      </c>
      <c r="G954" s="5" t="s">
        <v>161</v>
      </c>
      <c r="H954" s="5" t="s">
        <v>218</v>
      </c>
      <c r="I954" s="5" t="s">
        <v>354</v>
      </c>
      <c r="J954" s="5" t="s">
        <v>355</v>
      </c>
      <c r="K954" s="5" t="s">
        <v>241</v>
      </c>
      <c r="L954" s="6">
        <v>45671</v>
      </c>
      <c r="M954" s="6">
        <v>45671</v>
      </c>
      <c r="N954" s="5" t="s">
        <v>811</v>
      </c>
      <c r="O954" s="5" t="str">
        <f ca="1">IF(P954&lt;&gt;"EXPEDIÇÃO","Expedido",IF(NETWORKDAYS(C954,TODAY())&gt;=5,"Risco Alto",IF(NETWORKDAYS(C954,TODAY())&gt;=3,IF(NETWORKDAYS(C954,TODAY())&lt;5,"Risco Médio",""),IF(NETWORKDAYS(C954,TODAY())&lt;=2,"Risco Baixo",""))))</f>
        <v>Expedido</v>
      </c>
      <c r="P954" s="5" t="s">
        <v>25</v>
      </c>
      <c r="Q954" s="5" t="s">
        <v>793</v>
      </c>
      <c r="S954" s="7">
        <f>IF(ISBLANK(M954),"Aguardando Previsão/Data",NETWORKDAYS(L954,M954)-1)</f>
        <v>0</v>
      </c>
      <c r="T954" s="5" t="s">
        <v>942</v>
      </c>
    </row>
    <row r="955" spans="1:20" x14ac:dyDescent="0.35">
      <c r="A955" s="5">
        <v>8100272970</v>
      </c>
      <c r="B955" s="5">
        <v>10635</v>
      </c>
      <c r="C955" s="6">
        <v>45665</v>
      </c>
      <c r="D955" s="5" t="s">
        <v>239</v>
      </c>
      <c r="E955" s="5" t="s">
        <v>240</v>
      </c>
      <c r="F955" s="5" t="s">
        <v>160</v>
      </c>
      <c r="G955" s="5" t="s">
        <v>161</v>
      </c>
      <c r="H955" s="5" t="s">
        <v>218</v>
      </c>
      <c r="I955" s="5" t="s">
        <v>356</v>
      </c>
      <c r="J955" s="5" t="s">
        <v>357</v>
      </c>
      <c r="K955" s="5" t="s">
        <v>241</v>
      </c>
      <c r="L955" s="6">
        <v>45671</v>
      </c>
      <c r="M955" s="6">
        <v>45672</v>
      </c>
      <c r="N955" s="5" t="s">
        <v>811</v>
      </c>
      <c r="O955" s="5" t="str">
        <f ca="1">IF(P955&lt;&gt;"EXPEDIÇÃO","Expedido",IF(NETWORKDAYS(C955,TODAY())&gt;=5,"Risco Alto",IF(NETWORKDAYS(C955,TODAY())&gt;=3,IF(NETWORKDAYS(C955,TODAY())&lt;5,"Risco Médio",""),IF(NETWORKDAYS(C955,TODAY())&lt;=2,"Risco Baixo",""))))</f>
        <v>Expedido</v>
      </c>
      <c r="P955" s="5" t="s">
        <v>25</v>
      </c>
      <c r="Q955" s="5" t="s">
        <v>897</v>
      </c>
      <c r="S955" s="7">
        <f>IF(ISBLANK(M955),"Aguardando Previsão/Data",NETWORKDAYS(L955,M955)-1)</f>
        <v>1</v>
      </c>
      <c r="T955" s="5" t="s">
        <v>942</v>
      </c>
    </row>
    <row r="956" spans="1:20" x14ac:dyDescent="0.35">
      <c r="A956" s="5">
        <v>8100272971</v>
      </c>
      <c r="B956" s="5">
        <v>10636</v>
      </c>
      <c r="C956" s="6">
        <v>45665</v>
      </c>
      <c r="D956" s="5" t="s">
        <v>239</v>
      </c>
      <c r="E956" s="5" t="s">
        <v>240</v>
      </c>
      <c r="F956" s="5" t="s">
        <v>176</v>
      </c>
      <c r="G956" s="5" t="s">
        <v>177</v>
      </c>
      <c r="H956" s="5" t="s">
        <v>218</v>
      </c>
      <c r="I956" s="5" t="s">
        <v>360</v>
      </c>
      <c r="J956" s="5" t="s">
        <v>361</v>
      </c>
      <c r="K956" s="5" t="s">
        <v>241</v>
      </c>
      <c r="L956" s="6">
        <v>45671</v>
      </c>
      <c r="M956" s="6">
        <v>45670</v>
      </c>
      <c r="N956" s="5" t="s">
        <v>811</v>
      </c>
      <c r="O956" s="5" t="str">
        <f ca="1">IF(P956&lt;&gt;"EXPEDIÇÃO","Expedido",IF(NETWORKDAYS(C956,TODAY())&gt;=5,"Risco Alto",IF(NETWORKDAYS(C956,TODAY())&gt;=3,IF(NETWORKDAYS(C956,TODAY())&lt;5,"Risco Médio",""),IF(NETWORKDAYS(C956,TODAY())&lt;=2,"Risco Baixo",""))))</f>
        <v>Expedido</v>
      </c>
      <c r="P956" s="5" t="s">
        <v>25</v>
      </c>
      <c r="Q956" s="5" t="s">
        <v>793</v>
      </c>
      <c r="S956" s="7">
        <f>IF(ISBLANK(M956),"Aguardando Previsão/Data",NETWORKDAYS(L956,M956)-1)</f>
        <v>-3</v>
      </c>
      <c r="T956" s="5" t="s">
        <v>942</v>
      </c>
    </row>
    <row r="957" spans="1:20" x14ac:dyDescent="0.35">
      <c r="A957" s="5">
        <v>8100272972</v>
      </c>
      <c r="B957" s="5">
        <v>10632</v>
      </c>
      <c r="C957" s="6">
        <v>45665</v>
      </c>
      <c r="D957" s="5" t="s">
        <v>239</v>
      </c>
      <c r="E957" s="5" t="s">
        <v>240</v>
      </c>
      <c r="F957" s="5" t="s">
        <v>242</v>
      </c>
      <c r="G957" s="5" t="s">
        <v>243</v>
      </c>
      <c r="H957" s="5" t="s">
        <v>218</v>
      </c>
      <c r="I957" s="5" t="s">
        <v>458</v>
      </c>
      <c r="J957" s="5" t="s">
        <v>459</v>
      </c>
      <c r="K957" s="5" t="s">
        <v>241</v>
      </c>
      <c r="L957" s="6">
        <v>45671</v>
      </c>
      <c r="M957" s="6">
        <v>45670</v>
      </c>
      <c r="N957" s="5" t="s">
        <v>811</v>
      </c>
      <c r="O957" s="5" t="str">
        <f ca="1">IF(P957&lt;&gt;"EXPEDIÇÃO","Expedido",IF(NETWORKDAYS(C957,TODAY())&gt;=5,"Risco Alto",IF(NETWORKDAYS(C957,TODAY())&gt;=3,IF(NETWORKDAYS(C957,TODAY())&lt;5,"Risco Médio",""),IF(NETWORKDAYS(C957,TODAY())&lt;=2,"Risco Baixo",""))))</f>
        <v>Expedido</v>
      </c>
      <c r="P957" s="5" t="s">
        <v>25</v>
      </c>
      <c r="Q957" s="5" t="s">
        <v>793</v>
      </c>
      <c r="S957" s="7">
        <f>IF(ISBLANK(M957),"Aguardando Previsão/Data",NETWORKDAYS(L957,M957)-1)</f>
        <v>-3</v>
      </c>
      <c r="T957" s="5" t="s">
        <v>942</v>
      </c>
    </row>
    <row r="958" spans="1:20" x14ac:dyDescent="0.35">
      <c r="A958" s="5">
        <v>8100272974</v>
      </c>
      <c r="B958" s="5">
        <v>10631</v>
      </c>
      <c r="C958" s="6">
        <v>45665</v>
      </c>
      <c r="D958" s="5" t="s">
        <v>239</v>
      </c>
      <c r="E958" s="5" t="s">
        <v>240</v>
      </c>
      <c r="F958" s="5" t="s">
        <v>242</v>
      </c>
      <c r="G958" s="5" t="s">
        <v>243</v>
      </c>
      <c r="H958" s="5" t="s">
        <v>218</v>
      </c>
      <c r="I958" s="5" t="s">
        <v>546</v>
      </c>
      <c r="J958" s="5" t="s">
        <v>355</v>
      </c>
      <c r="K958" s="5" t="s">
        <v>241</v>
      </c>
      <c r="L958" s="6">
        <v>45671</v>
      </c>
      <c r="M958" s="6">
        <v>45665</v>
      </c>
      <c r="N958" s="5" t="s">
        <v>811</v>
      </c>
      <c r="O958" s="5" t="str">
        <f ca="1">IF(P958&lt;&gt;"EXPEDIÇÃO","Expedido",IF(NETWORKDAYS(C958,TODAY())&gt;=5,"Risco Alto",IF(NETWORKDAYS(C958,TODAY())&gt;=3,IF(NETWORKDAYS(C958,TODAY())&lt;5,"Risco Médio",""),IF(NETWORKDAYS(C958,TODAY())&lt;=2,"Risco Baixo",""))))</f>
        <v>Expedido</v>
      </c>
      <c r="P958" s="5" t="s">
        <v>25</v>
      </c>
      <c r="Q958" s="5" t="s">
        <v>900</v>
      </c>
      <c r="S958" s="7">
        <f>IF(ISBLANK(M958),"Aguardando Previsão/Data",NETWORKDAYS(L958,M958)-1)</f>
        <v>-6</v>
      </c>
      <c r="T958" s="5" t="s">
        <v>942</v>
      </c>
    </row>
    <row r="959" spans="1:20" x14ac:dyDescent="0.35">
      <c r="A959" s="5">
        <v>8100273242</v>
      </c>
      <c r="B959" s="5">
        <v>10637</v>
      </c>
      <c r="C959" s="6">
        <v>45665</v>
      </c>
      <c r="D959" s="5" t="s">
        <v>239</v>
      </c>
      <c r="E959" s="5" t="s">
        <v>240</v>
      </c>
      <c r="F959" s="5" t="s">
        <v>242</v>
      </c>
      <c r="G959" s="5" t="s">
        <v>243</v>
      </c>
      <c r="H959" s="5" t="s">
        <v>218</v>
      </c>
      <c r="I959" s="5" t="s">
        <v>564</v>
      </c>
      <c r="J959" s="5" t="s">
        <v>565</v>
      </c>
      <c r="K959" s="5" t="s">
        <v>241</v>
      </c>
      <c r="L959" s="6">
        <v>45672</v>
      </c>
      <c r="M959" s="6">
        <v>45670</v>
      </c>
      <c r="N959" s="5" t="s">
        <v>811</v>
      </c>
      <c r="O959" s="5" t="str">
        <f ca="1">IF(P959&lt;&gt;"EXPEDIÇÃO","Expedido",IF(NETWORKDAYS(C959,TODAY())&gt;=5,"Risco Alto",IF(NETWORKDAYS(C959,TODAY())&gt;=3,IF(NETWORKDAYS(C959,TODAY())&lt;5,"Risco Médio",""),IF(NETWORKDAYS(C959,TODAY())&lt;=2,"Risco Baixo",""))))</f>
        <v>Expedido</v>
      </c>
      <c r="P959" s="5" t="s">
        <v>25</v>
      </c>
      <c r="Q959" s="5" t="s">
        <v>793</v>
      </c>
      <c r="S959" s="7">
        <f>IF(ISBLANK(M959),"Aguardando Previsão/Data",NETWORKDAYS(L959,M959)-1)</f>
        <v>-4</v>
      </c>
      <c r="T959" s="5" t="s">
        <v>942</v>
      </c>
    </row>
    <row r="960" spans="1:20" x14ac:dyDescent="0.35">
      <c r="A960" s="5">
        <v>8100272763</v>
      </c>
      <c r="B960" s="5">
        <v>18962</v>
      </c>
      <c r="C960" s="6">
        <v>45665</v>
      </c>
      <c r="D960" s="5" t="s">
        <v>106</v>
      </c>
      <c r="E960" s="5" t="s">
        <v>107</v>
      </c>
      <c r="F960" s="5" t="s">
        <v>58</v>
      </c>
      <c r="G960" s="5" t="s">
        <v>59</v>
      </c>
      <c r="H960" s="5" t="s">
        <v>218</v>
      </c>
      <c r="I960" s="5" t="s">
        <v>519</v>
      </c>
      <c r="J960" s="5" t="s">
        <v>640</v>
      </c>
      <c r="K960" s="5" t="s">
        <v>233</v>
      </c>
      <c r="L960" s="6">
        <v>45684</v>
      </c>
      <c r="M960" s="6">
        <v>45680</v>
      </c>
      <c r="N960" s="5" t="s">
        <v>811</v>
      </c>
      <c r="O960" s="5" t="str">
        <f ca="1">IF(P960&lt;&gt;"EXPEDIÇÃO","Expedido",IF(NETWORKDAYS(C960,TODAY())&gt;=5,"Risco Alto",IF(NETWORKDAYS(C960,TODAY())&gt;=3,IF(NETWORKDAYS(C960,TODAY())&lt;5,"Risco Médio",""),IF(NETWORKDAYS(C960,TODAY())&lt;=2,"Risco Baixo",""))))</f>
        <v>Expedido</v>
      </c>
      <c r="P960" s="5" t="s">
        <v>25</v>
      </c>
      <c r="S960" s="7">
        <f>IF(ISBLANK(M960),"Aguardando Previsão/Data",NETWORKDAYS(L960,M960)-1)</f>
        <v>-4</v>
      </c>
      <c r="T960" s="5" t="s">
        <v>942</v>
      </c>
    </row>
    <row r="961" spans="1:20" x14ac:dyDescent="0.35">
      <c r="A961" s="5">
        <v>8100272764</v>
      </c>
      <c r="B961" s="5">
        <v>18959</v>
      </c>
      <c r="C961" s="6">
        <v>45665</v>
      </c>
      <c r="D961" s="5" t="s">
        <v>106</v>
      </c>
      <c r="E961" s="5" t="s">
        <v>107</v>
      </c>
      <c r="F961" s="5" t="s">
        <v>58</v>
      </c>
      <c r="G961" s="5" t="s">
        <v>59</v>
      </c>
      <c r="H961" s="5" t="s">
        <v>218</v>
      </c>
      <c r="I961" s="5" t="s">
        <v>222</v>
      </c>
      <c r="J961" s="5" t="s">
        <v>220</v>
      </c>
      <c r="K961" s="5" t="s">
        <v>221</v>
      </c>
      <c r="L961" s="6">
        <v>45680</v>
      </c>
      <c r="M961" s="6">
        <v>45678</v>
      </c>
      <c r="N961" s="5" t="s">
        <v>811</v>
      </c>
      <c r="O961" s="5" t="str">
        <f ca="1">IF(P961&lt;&gt;"EXPEDIÇÃO","Expedido",IF(NETWORKDAYS(C961,TODAY())&gt;=5,"Risco Alto",IF(NETWORKDAYS(C961,TODAY())&gt;=3,IF(NETWORKDAYS(C961,TODAY())&lt;5,"Risco Médio",""),IF(NETWORKDAYS(C961,TODAY())&lt;=2,"Risco Baixo",""))))</f>
        <v>Expedido</v>
      </c>
      <c r="P961" s="5" t="s">
        <v>25</v>
      </c>
      <c r="S961" s="7">
        <f>IF(ISBLANK(M961),"Aguardando Previsão/Data",NETWORKDAYS(L961,M961)-1)</f>
        <v>-4</v>
      </c>
      <c r="T961" s="5" t="s">
        <v>942</v>
      </c>
    </row>
    <row r="962" spans="1:20" x14ac:dyDescent="0.35">
      <c r="A962" s="5">
        <v>8100272882</v>
      </c>
      <c r="B962" s="5">
        <v>18963</v>
      </c>
      <c r="C962" s="6">
        <v>45665</v>
      </c>
      <c r="D962" s="5" t="s">
        <v>106</v>
      </c>
      <c r="E962" s="5" t="s">
        <v>107</v>
      </c>
      <c r="F962" s="5" t="s">
        <v>58</v>
      </c>
      <c r="G962" s="5" t="s">
        <v>59</v>
      </c>
      <c r="H962" s="5" t="s">
        <v>218</v>
      </c>
      <c r="I962" s="5" t="s">
        <v>237</v>
      </c>
      <c r="J962" s="5" t="s">
        <v>220</v>
      </c>
      <c r="K962" s="5" t="s">
        <v>221</v>
      </c>
      <c r="L962" s="6">
        <v>45680</v>
      </c>
      <c r="M962" s="6">
        <v>45678</v>
      </c>
      <c r="N962" s="5" t="s">
        <v>811</v>
      </c>
      <c r="O962" s="5" t="str">
        <f ca="1">IF(P962&lt;&gt;"EXPEDIÇÃO","Expedido",IF(NETWORKDAYS(C962,TODAY())&gt;=5,"Risco Alto",IF(NETWORKDAYS(C962,TODAY())&gt;=3,IF(NETWORKDAYS(C962,TODAY())&lt;5,"Risco Médio",""),IF(NETWORKDAYS(C962,TODAY())&lt;=2,"Risco Baixo",""))))</f>
        <v>Expedido</v>
      </c>
      <c r="P962" s="5" t="s">
        <v>25</v>
      </c>
      <c r="S962" s="7">
        <f>IF(ISBLANK(M962),"Aguardando Previsão/Data",NETWORKDAYS(L962,M962)-1)</f>
        <v>-4</v>
      </c>
      <c r="T962" s="5" t="s">
        <v>942</v>
      </c>
    </row>
    <row r="963" spans="1:20" x14ac:dyDescent="0.35">
      <c r="A963" s="5">
        <v>8100272884</v>
      </c>
      <c r="B963" s="5">
        <v>18960</v>
      </c>
      <c r="C963" s="6">
        <v>45665</v>
      </c>
      <c r="D963" s="5" t="s">
        <v>106</v>
      </c>
      <c r="E963" s="5" t="s">
        <v>107</v>
      </c>
      <c r="F963" s="5" t="s">
        <v>58</v>
      </c>
      <c r="G963" s="5" t="s">
        <v>59</v>
      </c>
      <c r="H963" s="5" t="s">
        <v>218</v>
      </c>
      <c r="I963" s="5" t="s">
        <v>222</v>
      </c>
      <c r="J963" s="5" t="s">
        <v>220</v>
      </c>
      <c r="K963" s="5" t="s">
        <v>221</v>
      </c>
      <c r="L963" s="6">
        <v>45680</v>
      </c>
      <c r="M963" s="6">
        <v>45678</v>
      </c>
      <c r="N963" s="5" t="s">
        <v>811</v>
      </c>
      <c r="O963" s="5" t="str">
        <f ca="1">IF(P963&lt;&gt;"EXPEDIÇÃO","Expedido",IF(NETWORKDAYS(C963,TODAY())&gt;=5,"Risco Alto",IF(NETWORKDAYS(C963,TODAY())&gt;=3,IF(NETWORKDAYS(C963,TODAY())&lt;5,"Risco Médio",""),IF(NETWORKDAYS(C963,TODAY())&lt;=2,"Risco Baixo",""))))</f>
        <v>Expedido</v>
      </c>
      <c r="P963" s="5" t="s">
        <v>25</v>
      </c>
      <c r="S963" s="7">
        <f>IF(ISBLANK(M963),"Aguardando Previsão/Data",NETWORKDAYS(L963,M963)-1)</f>
        <v>-4</v>
      </c>
      <c r="T963" s="5" t="s">
        <v>942</v>
      </c>
    </row>
    <row r="964" spans="1:20" x14ac:dyDescent="0.35">
      <c r="A964" s="5">
        <v>8100272885</v>
      </c>
      <c r="B964" s="5">
        <v>18961</v>
      </c>
      <c r="C964" s="6">
        <v>45665</v>
      </c>
      <c r="D964" s="5" t="s">
        <v>106</v>
      </c>
      <c r="E964" s="5" t="s">
        <v>107</v>
      </c>
      <c r="F964" s="5" t="s">
        <v>58</v>
      </c>
      <c r="G964" s="5" t="s">
        <v>59</v>
      </c>
      <c r="H964" s="5" t="s">
        <v>218</v>
      </c>
      <c r="I964" s="5" t="s">
        <v>223</v>
      </c>
      <c r="J964" s="5" t="s">
        <v>224</v>
      </c>
      <c r="K964" s="5" t="s">
        <v>221</v>
      </c>
      <c r="L964" s="6">
        <v>45681</v>
      </c>
      <c r="M964" s="6">
        <v>45678</v>
      </c>
      <c r="N964" s="5" t="s">
        <v>811</v>
      </c>
      <c r="O964" s="5" t="str">
        <f ca="1">IF(P964&lt;&gt;"EXPEDIÇÃO","Expedido",IF(NETWORKDAYS(C964,TODAY())&gt;=5,"Risco Alto",IF(NETWORKDAYS(C964,TODAY())&gt;=3,IF(NETWORKDAYS(C964,TODAY())&lt;5,"Risco Médio",""),IF(NETWORKDAYS(C964,TODAY())&lt;=2,"Risco Baixo",""))))</f>
        <v>Expedido</v>
      </c>
      <c r="P964" s="5" t="s">
        <v>25</v>
      </c>
      <c r="S964" s="7">
        <f>IF(ISBLANK(M964),"Aguardando Previsão/Data",NETWORKDAYS(L964,M964)-1)</f>
        <v>-5</v>
      </c>
      <c r="T964" s="5" t="s">
        <v>942</v>
      </c>
    </row>
    <row r="965" spans="1:20" x14ac:dyDescent="0.35">
      <c r="A965" s="5">
        <v>8100272630</v>
      </c>
      <c r="B965" s="5">
        <v>18948</v>
      </c>
      <c r="C965" s="6">
        <v>45665</v>
      </c>
      <c r="D965" s="5" t="s">
        <v>106</v>
      </c>
      <c r="E965" s="5" t="s">
        <v>107</v>
      </c>
      <c r="F965" s="5" t="s">
        <v>53</v>
      </c>
      <c r="G965" s="5" t="s">
        <v>54</v>
      </c>
      <c r="H965" s="5" t="s">
        <v>108</v>
      </c>
      <c r="I965" s="5" t="s">
        <v>341</v>
      </c>
      <c r="J965" s="5" t="s">
        <v>109</v>
      </c>
      <c r="K965" s="5" t="s">
        <v>110</v>
      </c>
      <c r="L965" s="6">
        <v>45672</v>
      </c>
      <c r="M965" s="6">
        <v>45666</v>
      </c>
      <c r="N965" s="5" t="s">
        <v>811</v>
      </c>
      <c r="O965" s="5" t="str">
        <f ca="1">IF(P965&lt;&gt;"EXPEDIÇÃO","Expedido",IF(NETWORKDAYS(C965,TODAY())&gt;=5,"Risco Alto",IF(NETWORKDAYS(C965,TODAY())&gt;=3,IF(NETWORKDAYS(C965,TODAY())&lt;5,"Risco Médio",""),IF(NETWORKDAYS(C965,TODAY())&lt;=2,"Risco Baixo",""))))</f>
        <v>Expedido</v>
      </c>
      <c r="P965" s="5" t="s">
        <v>25</v>
      </c>
      <c r="S965" s="7">
        <f>IF(ISBLANK(M965),"Aguardando Previsão/Data",NETWORKDAYS(L965,M965)-1)</f>
        <v>-6</v>
      </c>
      <c r="T965" s="5" t="s">
        <v>942</v>
      </c>
    </row>
    <row r="966" spans="1:20" x14ac:dyDescent="0.35">
      <c r="A966" s="5">
        <v>8100272637</v>
      </c>
      <c r="B966" s="5">
        <v>18942</v>
      </c>
      <c r="C966" s="6">
        <v>45665</v>
      </c>
      <c r="D966" s="5" t="s">
        <v>106</v>
      </c>
      <c r="E966" s="5" t="s">
        <v>107</v>
      </c>
      <c r="F966" s="5" t="s">
        <v>66</v>
      </c>
      <c r="G966" s="5" t="s">
        <v>67</v>
      </c>
      <c r="H966" s="5" t="s">
        <v>108</v>
      </c>
      <c r="I966" s="5" t="s">
        <v>115</v>
      </c>
      <c r="J966" s="5" t="s">
        <v>946</v>
      </c>
      <c r="K966" s="5" t="s">
        <v>110</v>
      </c>
      <c r="L966" s="6">
        <v>45673</v>
      </c>
      <c r="M966" s="6">
        <v>45672</v>
      </c>
      <c r="N966" s="5" t="s">
        <v>811</v>
      </c>
      <c r="O966" s="5" t="str">
        <f ca="1">IF(P966&lt;&gt;"EXPEDIÇÃO","Expedido",IF(NETWORKDAYS(C966,TODAY())&gt;=5,"Risco Alto",IF(NETWORKDAYS(C966,TODAY())&gt;=3,IF(NETWORKDAYS(C966,TODAY())&lt;5,"Risco Médio",""),IF(NETWORKDAYS(C966,TODAY())&lt;=2,"Risco Baixo",""))))</f>
        <v>Expedido</v>
      </c>
      <c r="P966" s="5" t="s">
        <v>25</v>
      </c>
      <c r="R966" s="5" t="s">
        <v>1241</v>
      </c>
      <c r="S966" s="7">
        <f>IF(ISBLANK(M966),"Aguardando Previsão/Data",NETWORKDAYS(L966,M966)-1)</f>
        <v>-3</v>
      </c>
      <c r="T966" s="5" t="s">
        <v>942</v>
      </c>
    </row>
    <row r="967" spans="1:20" x14ac:dyDescent="0.35">
      <c r="A967" s="5">
        <v>8100272765</v>
      </c>
      <c r="B967" s="5">
        <v>18950</v>
      </c>
      <c r="C967" s="6">
        <v>45665</v>
      </c>
      <c r="D967" s="5" t="s">
        <v>106</v>
      </c>
      <c r="E967" s="5" t="s">
        <v>107</v>
      </c>
      <c r="F967" s="5" t="s">
        <v>53</v>
      </c>
      <c r="G967" s="5" t="s">
        <v>54</v>
      </c>
      <c r="H967" s="5" t="s">
        <v>108</v>
      </c>
      <c r="I967" s="5" t="s">
        <v>1067</v>
      </c>
      <c r="J967" s="5" t="s">
        <v>1068</v>
      </c>
      <c r="K967" s="5" t="s">
        <v>110</v>
      </c>
      <c r="L967" s="6">
        <v>45673</v>
      </c>
      <c r="M967" s="6">
        <v>45667</v>
      </c>
      <c r="N967" s="5" t="s">
        <v>811</v>
      </c>
      <c r="O967" s="5" t="str">
        <f ca="1">IF(P967&lt;&gt;"EXPEDIÇÃO","Expedido",IF(NETWORKDAYS(C967,TODAY())&gt;=5,"Risco Alto",IF(NETWORKDAYS(C967,TODAY())&gt;=3,IF(NETWORKDAYS(C967,TODAY())&lt;5,"Risco Médio",""),IF(NETWORKDAYS(C967,TODAY())&lt;=2,"Risco Baixo",""))))</f>
        <v>Expedido</v>
      </c>
      <c r="P967" s="5" t="s">
        <v>25</v>
      </c>
      <c r="S967" s="7">
        <f>IF(ISBLANK(M967),"Aguardando Previsão/Data",NETWORKDAYS(L967,M967)-1)</f>
        <v>-6</v>
      </c>
      <c r="T967" s="5" t="s">
        <v>942</v>
      </c>
    </row>
    <row r="968" spans="1:20" x14ac:dyDescent="0.35">
      <c r="A968" s="5">
        <v>8100272883</v>
      </c>
      <c r="B968" s="5">
        <v>18947</v>
      </c>
      <c r="C968" s="6">
        <v>45665</v>
      </c>
      <c r="D968" s="5" t="s">
        <v>106</v>
      </c>
      <c r="E968" s="5" t="s">
        <v>107</v>
      </c>
      <c r="F968" s="5" t="s">
        <v>147</v>
      </c>
      <c r="G968" s="5" t="s">
        <v>148</v>
      </c>
      <c r="H968" s="5" t="s">
        <v>108</v>
      </c>
      <c r="I968" s="5" t="s">
        <v>82</v>
      </c>
      <c r="J968" s="5" t="s">
        <v>150</v>
      </c>
      <c r="K968" s="5" t="s">
        <v>110</v>
      </c>
      <c r="L968" s="6">
        <v>45673</v>
      </c>
      <c r="M968" s="6">
        <v>45667</v>
      </c>
      <c r="N968" s="5" t="s">
        <v>811</v>
      </c>
      <c r="O968" s="5" t="str">
        <f ca="1">IF(P968&lt;&gt;"EXPEDIÇÃO","Expedido",IF(NETWORKDAYS(C968,TODAY())&gt;=5,"Risco Alto",IF(NETWORKDAYS(C968,TODAY())&gt;=3,IF(NETWORKDAYS(C968,TODAY())&lt;5,"Risco Médio",""),IF(NETWORKDAYS(C968,TODAY())&lt;=2,"Risco Baixo",""))))</f>
        <v>Expedido</v>
      </c>
      <c r="P968" s="5" t="s">
        <v>25</v>
      </c>
      <c r="S968" s="7">
        <f>IF(ISBLANK(M968),"Aguardando Previsão/Data",NETWORKDAYS(L968,M968)-1)</f>
        <v>-6</v>
      </c>
      <c r="T968" s="5" t="s">
        <v>942</v>
      </c>
    </row>
    <row r="969" spans="1:20" x14ac:dyDescent="0.35">
      <c r="A969" s="5">
        <v>8100272886</v>
      </c>
      <c r="B969" s="5">
        <v>18952</v>
      </c>
      <c r="C969" s="6">
        <v>45665</v>
      </c>
      <c r="D969" s="5" t="s">
        <v>106</v>
      </c>
      <c r="E969" s="5" t="s">
        <v>107</v>
      </c>
      <c r="F969" s="5" t="s">
        <v>58</v>
      </c>
      <c r="G969" s="5" t="s">
        <v>59</v>
      </c>
      <c r="H969" s="5" t="s">
        <v>108</v>
      </c>
      <c r="I969" s="5" t="s">
        <v>130</v>
      </c>
      <c r="J969" s="5" t="s">
        <v>131</v>
      </c>
      <c r="K969" s="5" t="s">
        <v>110</v>
      </c>
      <c r="L969" s="6">
        <v>45671</v>
      </c>
      <c r="M969" s="6">
        <v>45666</v>
      </c>
      <c r="N969" s="5" t="s">
        <v>811</v>
      </c>
      <c r="O969" s="5" t="str">
        <f ca="1">IF(P969&lt;&gt;"EXPEDIÇÃO","Expedido",IF(NETWORKDAYS(C969,TODAY())&gt;=5,"Risco Alto",IF(NETWORKDAYS(C969,TODAY())&gt;=3,IF(NETWORKDAYS(C969,TODAY())&lt;5,"Risco Médio",""),IF(NETWORKDAYS(C969,TODAY())&lt;=2,"Risco Baixo",""))))</f>
        <v>Expedido</v>
      </c>
      <c r="P969" s="5" t="s">
        <v>25</v>
      </c>
      <c r="S969" s="7">
        <f>IF(ISBLANK(M969),"Aguardando Previsão/Data",NETWORKDAYS(L969,M969)-1)</f>
        <v>-5</v>
      </c>
      <c r="T969" s="5" t="s">
        <v>942</v>
      </c>
    </row>
    <row r="970" spans="1:20" x14ac:dyDescent="0.35">
      <c r="A970" s="5">
        <v>8100272887</v>
      </c>
      <c r="B970" s="5">
        <v>18964</v>
      </c>
      <c r="C970" s="6">
        <v>45665</v>
      </c>
      <c r="D970" s="5" t="s">
        <v>106</v>
      </c>
      <c r="E970" s="5" t="s">
        <v>107</v>
      </c>
      <c r="F970" s="5" t="s">
        <v>58</v>
      </c>
      <c r="G970" s="5" t="s">
        <v>59</v>
      </c>
      <c r="H970" s="5" t="s">
        <v>108</v>
      </c>
      <c r="I970" s="5" t="s">
        <v>140</v>
      </c>
      <c r="J970" s="5" t="s">
        <v>141</v>
      </c>
      <c r="K970" s="5" t="s">
        <v>110</v>
      </c>
      <c r="L970" s="6">
        <v>45671</v>
      </c>
      <c r="M970" s="6">
        <v>45665</v>
      </c>
      <c r="N970" s="5" t="s">
        <v>811</v>
      </c>
      <c r="O970" s="5" t="str">
        <f ca="1">IF(P970&lt;&gt;"EXPEDIÇÃO","Expedido",IF(NETWORKDAYS(C970,TODAY())&gt;=5,"Risco Alto",IF(NETWORKDAYS(C970,TODAY())&gt;=3,IF(NETWORKDAYS(C970,TODAY())&lt;5,"Risco Médio",""),IF(NETWORKDAYS(C970,TODAY())&lt;=2,"Risco Baixo",""))))</f>
        <v>Expedido</v>
      </c>
      <c r="P970" s="5" t="s">
        <v>25</v>
      </c>
      <c r="Q970" s="5" t="s">
        <v>900</v>
      </c>
      <c r="S970" s="7">
        <f>IF(ISBLANK(M970),"Aguardando Previsão/Data",NETWORKDAYS(L970,M970)-1)</f>
        <v>-6</v>
      </c>
      <c r="T970" s="5" t="s">
        <v>942</v>
      </c>
    </row>
    <row r="971" spans="1:20" x14ac:dyDescent="0.35">
      <c r="A971" s="5">
        <v>8100272888</v>
      </c>
      <c r="B971" s="5">
        <v>18956</v>
      </c>
      <c r="C971" s="6">
        <v>45665</v>
      </c>
      <c r="D971" s="5" t="s">
        <v>106</v>
      </c>
      <c r="E971" s="5" t="s">
        <v>107</v>
      </c>
      <c r="F971" s="5" t="s">
        <v>147</v>
      </c>
      <c r="G971" s="5" t="s">
        <v>148</v>
      </c>
      <c r="H971" s="5" t="s">
        <v>108</v>
      </c>
      <c r="I971" s="5" t="s">
        <v>115</v>
      </c>
      <c r="J971" s="5" t="s">
        <v>116</v>
      </c>
      <c r="K971" s="5" t="s">
        <v>110</v>
      </c>
      <c r="L971" s="6">
        <v>45672</v>
      </c>
      <c r="M971" s="6">
        <v>45673</v>
      </c>
      <c r="N971" s="5" t="s">
        <v>811</v>
      </c>
      <c r="O971" s="5" t="str">
        <f ca="1">IF(P971&lt;&gt;"EXPEDIÇÃO","Expedido",IF(NETWORKDAYS(C971,TODAY())&gt;=5,"Risco Alto",IF(NETWORKDAYS(C971,TODAY())&gt;=3,IF(NETWORKDAYS(C971,TODAY())&lt;5,"Risco Médio",""),IF(NETWORKDAYS(C971,TODAY())&lt;=2,"Risco Baixo",""))))</f>
        <v>Expedido</v>
      </c>
      <c r="P971" s="5" t="s">
        <v>25</v>
      </c>
      <c r="Q971" s="5" t="s">
        <v>896</v>
      </c>
      <c r="R971" s="5">
        <v>3083115</v>
      </c>
      <c r="S971" s="7">
        <f>IF(ISBLANK(M971),"Aguardando Previsão/Data",NETWORKDAYS(L971,M971)-1)</f>
        <v>1</v>
      </c>
      <c r="T971" s="5" t="s">
        <v>942</v>
      </c>
    </row>
    <row r="972" spans="1:20" x14ac:dyDescent="0.35">
      <c r="A972" s="5">
        <v>8100272889</v>
      </c>
      <c r="B972" s="5">
        <v>18944</v>
      </c>
      <c r="C972" s="6">
        <v>45665</v>
      </c>
      <c r="D972" s="5" t="s">
        <v>106</v>
      </c>
      <c r="E972" s="5" t="s">
        <v>107</v>
      </c>
      <c r="F972" s="5" t="s">
        <v>69</v>
      </c>
      <c r="G972" s="5" t="s">
        <v>70</v>
      </c>
      <c r="H972" s="5" t="s">
        <v>108</v>
      </c>
      <c r="I972" s="5" t="s">
        <v>294</v>
      </c>
      <c r="J972" s="5" t="s">
        <v>295</v>
      </c>
      <c r="K972" s="5" t="s">
        <v>110</v>
      </c>
      <c r="L972" s="6">
        <v>45671</v>
      </c>
      <c r="M972" s="6">
        <v>45670</v>
      </c>
      <c r="N972" s="5" t="s">
        <v>811</v>
      </c>
      <c r="O972" s="5" t="str">
        <f ca="1">IF(P972&lt;&gt;"EXPEDIÇÃO","Expedido",IF(NETWORKDAYS(C972,TODAY())&gt;=5,"Risco Alto",IF(NETWORKDAYS(C972,TODAY())&gt;=3,IF(NETWORKDAYS(C972,TODAY())&lt;5,"Risco Médio",""),IF(NETWORKDAYS(C972,TODAY())&lt;=2,"Risco Baixo",""))))</f>
        <v>Expedido</v>
      </c>
      <c r="P972" s="5" t="s">
        <v>25</v>
      </c>
      <c r="Q972" s="5" t="s">
        <v>897</v>
      </c>
      <c r="S972" s="7">
        <f>IF(ISBLANK(M972),"Aguardando Previsão/Data",NETWORKDAYS(L972,M972)-1)</f>
        <v>-3</v>
      </c>
      <c r="T972" s="5" t="s">
        <v>942</v>
      </c>
    </row>
    <row r="973" spans="1:20" x14ac:dyDescent="0.35">
      <c r="A973" s="5">
        <v>8100272890</v>
      </c>
      <c r="B973" s="5">
        <v>18945</v>
      </c>
      <c r="C973" s="6">
        <v>45665</v>
      </c>
      <c r="D973" s="5" t="s">
        <v>106</v>
      </c>
      <c r="E973" s="5" t="s">
        <v>107</v>
      </c>
      <c r="F973" s="5" t="s">
        <v>69</v>
      </c>
      <c r="G973" s="5" t="s">
        <v>70</v>
      </c>
      <c r="H973" s="5" t="s">
        <v>108</v>
      </c>
      <c r="I973" s="5" t="s">
        <v>294</v>
      </c>
      <c r="J973" s="5" t="s">
        <v>295</v>
      </c>
      <c r="K973" s="5" t="s">
        <v>110</v>
      </c>
      <c r="L973" s="6">
        <v>45671</v>
      </c>
      <c r="M973" s="6">
        <v>45670</v>
      </c>
      <c r="N973" s="5" t="s">
        <v>811</v>
      </c>
      <c r="O973" s="5" t="str">
        <f ca="1">IF(P973&lt;&gt;"EXPEDIÇÃO","Expedido",IF(NETWORKDAYS(C973,TODAY())&gt;=5,"Risco Alto",IF(NETWORKDAYS(C973,TODAY())&gt;=3,IF(NETWORKDAYS(C973,TODAY())&lt;5,"Risco Médio",""),IF(NETWORKDAYS(C973,TODAY())&lt;=2,"Risco Baixo",""))))</f>
        <v>Expedido</v>
      </c>
      <c r="P973" s="5" t="s">
        <v>25</v>
      </c>
      <c r="Q973" s="5" t="s">
        <v>897</v>
      </c>
      <c r="S973" s="7">
        <f>IF(ISBLANK(M973),"Aguardando Previsão/Data",NETWORKDAYS(L973,M973)-1)</f>
        <v>-3</v>
      </c>
      <c r="T973" s="5" t="s">
        <v>942</v>
      </c>
    </row>
    <row r="974" spans="1:20" x14ac:dyDescent="0.35">
      <c r="A974" s="5">
        <v>8100272891</v>
      </c>
      <c r="B974" s="5">
        <v>18941</v>
      </c>
      <c r="C974" s="6">
        <v>45665</v>
      </c>
      <c r="D974" s="5" t="s">
        <v>106</v>
      </c>
      <c r="E974" s="5" t="s">
        <v>107</v>
      </c>
      <c r="F974" s="5" t="s">
        <v>69</v>
      </c>
      <c r="G974" s="5" t="s">
        <v>70</v>
      </c>
      <c r="H974" s="5" t="s">
        <v>108</v>
      </c>
      <c r="I974" s="5" t="s">
        <v>115</v>
      </c>
      <c r="J974" s="5" t="s">
        <v>122</v>
      </c>
      <c r="K974" s="5" t="s">
        <v>110</v>
      </c>
      <c r="L974" s="6">
        <v>45672</v>
      </c>
      <c r="M974" s="6">
        <v>45666</v>
      </c>
      <c r="N974" s="5" t="s">
        <v>811</v>
      </c>
      <c r="O974" s="5" t="str">
        <f ca="1">IF(P974&lt;&gt;"EXPEDIÇÃO","Expedido",IF(NETWORKDAYS(C974,TODAY())&gt;=5,"Risco Alto",IF(NETWORKDAYS(C974,TODAY())&gt;=3,IF(NETWORKDAYS(C974,TODAY())&lt;5,"Risco Médio",""),IF(NETWORKDAYS(C974,TODAY())&lt;=2,"Risco Baixo",""))))</f>
        <v>Expedido</v>
      </c>
      <c r="P974" s="5" t="s">
        <v>25</v>
      </c>
      <c r="S974" s="7">
        <f>IF(ISBLANK(M974),"Aguardando Previsão/Data",NETWORKDAYS(L974,M974)-1)</f>
        <v>-6</v>
      </c>
      <c r="T974" s="5" t="s">
        <v>942</v>
      </c>
    </row>
    <row r="975" spans="1:20" x14ac:dyDescent="0.35">
      <c r="A975" s="5">
        <v>8100272892</v>
      </c>
      <c r="B975" s="5">
        <v>18951</v>
      </c>
      <c r="C975" s="6">
        <v>45665</v>
      </c>
      <c r="D975" s="5" t="s">
        <v>106</v>
      </c>
      <c r="E975" s="5" t="s">
        <v>107</v>
      </c>
      <c r="F975" s="5" t="s">
        <v>53</v>
      </c>
      <c r="G975" s="5" t="s">
        <v>54</v>
      </c>
      <c r="H975" s="5" t="s">
        <v>108</v>
      </c>
      <c r="I975" s="5" t="s">
        <v>1067</v>
      </c>
      <c r="J975" s="5" t="s">
        <v>1068</v>
      </c>
      <c r="K975" s="5" t="s">
        <v>110</v>
      </c>
      <c r="L975" s="6">
        <v>45673</v>
      </c>
      <c r="M975" s="6">
        <v>45667</v>
      </c>
      <c r="N975" s="5" t="s">
        <v>811</v>
      </c>
      <c r="O975" s="5" t="str">
        <f ca="1">IF(P975&lt;&gt;"EXPEDIÇÃO","Expedido",IF(NETWORKDAYS(C975,TODAY())&gt;=5,"Risco Alto",IF(NETWORKDAYS(C975,TODAY())&gt;=3,IF(NETWORKDAYS(C975,TODAY())&lt;5,"Risco Médio",""),IF(NETWORKDAYS(C975,TODAY())&lt;=2,"Risco Baixo",""))))</f>
        <v>Expedido</v>
      </c>
      <c r="P975" s="5" t="s">
        <v>25</v>
      </c>
      <c r="S975" s="7">
        <f>IF(ISBLANK(M975),"Aguardando Previsão/Data",NETWORKDAYS(L975,M975)-1)</f>
        <v>-6</v>
      </c>
      <c r="T975" s="5" t="s">
        <v>942</v>
      </c>
    </row>
    <row r="976" spans="1:20" x14ac:dyDescent="0.35">
      <c r="A976" s="5">
        <v>8100272893</v>
      </c>
      <c r="B976" s="5">
        <v>18940</v>
      </c>
      <c r="C976" s="6">
        <v>45665</v>
      </c>
      <c r="D976" s="5" t="s">
        <v>106</v>
      </c>
      <c r="E976" s="5" t="s">
        <v>107</v>
      </c>
      <c r="F976" s="5" t="s">
        <v>111</v>
      </c>
      <c r="G976" s="5" t="s">
        <v>112</v>
      </c>
      <c r="H976" s="5" t="s">
        <v>108</v>
      </c>
      <c r="I976" s="5" t="s">
        <v>115</v>
      </c>
      <c r="J976" s="5" t="s">
        <v>343</v>
      </c>
      <c r="K976" s="5" t="s">
        <v>110</v>
      </c>
      <c r="L976" s="6">
        <v>45673</v>
      </c>
      <c r="M976" s="6">
        <v>45666</v>
      </c>
      <c r="N976" s="5" t="s">
        <v>811</v>
      </c>
      <c r="O976" s="5" t="str">
        <f ca="1">IF(P976&lt;&gt;"EXPEDIÇÃO","Expedido",IF(NETWORKDAYS(C976,TODAY())&gt;=5,"Risco Alto",IF(NETWORKDAYS(C976,TODAY())&gt;=3,IF(NETWORKDAYS(C976,TODAY())&lt;5,"Risco Médio",""),IF(NETWORKDAYS(C976,TODAY())&lt;=2,"Risco Baixo",""))))</f>
        <v>Expedido</v>
      </c>
      <c r="P976" s="5" t="s">
        <v>25</v>
      </c>
      <c r="S976" s="7">
        <f>IF(ISBLANK(M976),"Aguardando Previsão/Data",NETWORKDAYS(L976,M976)-1)</f>
        <v>-7</v>
      </c>
      <c r="T976" s="5" t="s">
        <v>942</v>
      </c>
    </row>
    <row r="977" spans="1:20" x14ac:dyDescent="0.35">
      <c r="A977" s="5">
        <v>8100272894</v>
      </c>
      <c r="B977" s="5">
        <v>18955</v>
      </c>
      <c r="C977" s="6">
        <v>45665</v>
      </c>
      <c r="D977" s="5" t="s">
        <v>106</v>
      </c>
      <c r="E977" s="5" t="s">
        <v>107</v>
      </c>
      <c r="F977" s="5" t="s">
        <v>111</v>
      </c>
      <c r="G977" s="5" t="s">
        <v>112</v>
      </c>
      <c r="H977" s="5" t="s">
        <v>108</v>
      </c>
      <c r="I977" s="5" t="s">
        <v>115</v>
      </c>
      <c r="J977" s="5" t="s">
        <v>116</v>
      </c>
      <c r="K977" s="5" t="s">
        <v>110</v>
      </c>
      <c r="L977" s="6">
        <v>45672</v>
      </c>
      <c r="M977" s="6">
        <v>45673</v>
      </c>
      <c r="N977" s="5" t="s">
        <v>811</v>
      </c>
      <c r="O977" s="5" t="str">
        <f ca="1">IF(P977&lt;&gt;"EXPEDIÇÃO","Expedido",IF(NETWORKDAYS(C977,TODAY())&gt;=5,"Risco Alto",IF(NETWORKDAYS(C977,TODAY())&gt;=3,IF(NETWORKDAYS(C977,TODAY())&lt;5,"Risco Médio",""),IF(NETWORKDAYS(C977,TODAY())&lt;=2,"Risco Baixo",""))))</f>
        <v>Expedido</v>
      </c>
      <c r="P977" s="5" t="s">
        <v>25</v>
      </c>
      <c r="Q977" s="5" t="s">
        <v>896</v>
      </c>
      <c r="R977" s="5">
        <v>3083115</v>
      </c>
      <c r="S977" s="7">
        <f>IF(ISBLANK(M977),"Aguardando Previsão/Data",NETWORKDAYS(L977,M977)-1)</f>
        <v>1</v>
      </c>
      <c r="T977" s="5" t="s">
        <v>942</v>
      </c>
    </row>
    <row r="978" spans="1:20" x14ac:dyDescent="0.35">
      <c r="A978" s="5">
        <v>8100272895</v>
      </c>
      <c r="B978" s="5">
        <v>18957</v>
      </c>
      <c r="C978" s="6">
        <v>45665</v>
      </c>
      <c r="D978" s="5" t="s">
        <v>106</v>
      </c>
      <c r="E978" s="5" t="s">
        <v>107</v>
      </c>
      <c r="F978" s="5" t="s">
        <v>111</v>
      </c>
      <c r="G978" s="5" t="s">
        <v>112</v>
      </c>
      <c r="H978" s="5" t="s">
        <v>108</v>
      </c>
      <c r="I978" s="5" t="s">
        <v>115</v>
      </c>
      <c r="J978" s="5" t="s">
        <v>393</v>
      </c>
      <c r="K978" s="5" t="s">
        <v>110</v>
      </c>
      <c r="L978" s="6">
        <v>45673</v>
      </c>
      <c r="M978" s="6">
        <v>45666</v>
      </c>
      <c r="N978" s="5" t="s">
        <v>811</v>
      </c>
      <c r="O978" s="5" t="str">
        <f ca="1">IF(P978&lt;&gt;"EXPEDIÇÃO","Expedido",IF(NETWORKDAYS(C978,TODAY())&gt;=5,"Risco Alto",IF(NETWORKDAYS(C978,TODAY())&gt;=3,IF(NETWORKDAYS(C978,TODAY())&lt;5,"Risco Médio",""),IF(NETWORKDAYS(C978,TODAY())&lt;=2,"Risco Baixo",""))))</f>
        <v>Expedido</v>
      </c>
      <c r="P978" s="5" t="s">
        <v>25</v>
      </c>
      <c r="S978" s="7">
        <f>IF(ISBLANK(M978),"Aguardando Previsão/Data",NETWORKDAYS(L978,M978)-1)</f>
        <v>-7</v>
      </c>
      <c r="T978" s="5" t="s">
        <v>942</v>
      </c>
    </row>
    <row r="979" spans="1:20" x14ac:dyDescent="0.35">
      <c r="A979" s="5">
        <v>8100272896</v>
      </c>
      <c r="B979" s="5">
        <v>18958</v>
      </c>
      <c r="C979" s="6">
        <v>45665</v>
      </c>
      <c r="D979" s="5" t="s">
        <v>106</v>
      </c>
      <c r="E979" s="5" t="s">
        <v>107</v>
      </c>
      <c r="F979" s="5" t="s">
        <v>111</v>
      </c>
      <c r="G979" s="5" t="s">
        <v>112</v>
      </c>
      <c r="H979" s="5" t="s">
        <v>108</v>
      </c>
      <c r="I979" s="5" t="s">
        <v>115</v>
      </c>
      <c r="J979" s="5" t="s">
        <v>393</v>
      </c>
      <c r="K979" s="5" t="s">
        <v>110</v>
      </c>
      <c r="L979" s="6">
        <v>45673</v>
      </c>
      <c r="M979" s="6">
        <v>45666</v>
      </c>
      <c r="N979" s="5" t="s">
        <v>811</v>
      </c>
      <c r="O979" s="5" t="str">
        <f ca="1">IF(P979&lt;&gt;"EXPEDIÇÃO","Expedido",IF(NETWORKDAYS(C979,TODAY())&gt;=5,"Risco Alto",IF(NETWORKDAYS(C979,TODAY())&gt;=3,IF(NETWORKDAYS(C979,TODAY())&lt;5,"Risco Médio",""),IF(NETWORKDAYS(C979,TODAY())&lt;=2,"Risco Baixo",""))))</f>
        <v>Expedido</v>
      </c>
      <c r="P979" s="5" t="s">
        <v>25</v>
      </c>
      <c r="S979" s="7">
        <f>IF(ISBLANK(M979),"Aguardando Previsão/Data",NETWORKDAYS(L979,M979)-1)</f>
        <v>-7</v>
      </c>
      <c r="T979" s="5" t="s">
        <v>942</v>
      </c>
    </row>
    <row r="980" spans="1:20" x14ac:dyDescent="0.35">
      <c r="A980" s="5">
        <v>8100272897</v>
      </c>
      <c r="B980" s="5">
        <v>18939</v>
      </c>
      <c r="C980" s="6">
        <v>45665</v>
      </c>
      <c r="D980" s="5" t="s">
        <v>106</v>
      </c>
      <c r="E980" s="5" t="s">
        <v>107</v>
      </c>
      <c r="F980" s="5" t="s">
        <v>111</v>
      </c>
      <c r="G980" s="5" t="s">
        <v>112</v>
      </c>
      <c r="H980" s="5" t="s">
        <v>108</v>
      </c>
      <c r="I980" s="5" t="s">
        <v>115</v>
      </c>
      <c r="J980" s="5" t="s">
        <v>125</v>
      </c>
      <c r="K980" s="5" t="s">
        <v>110</v>
      </c>
      <c r="L980" s="6">
        <v>45671</v>
      </c>
      <c r="M980" s="6">
        <v>45666</v>
      </c>
      <c r="N980" s="5" t="s">
        <v>811</v>
      </c>
      <c r="O980" s="5" t="str">
        <f ca="1">IF(P980&lt;&gt;"EXPEDIÇÃO","Expedido",IF(NETWORKDAYS(C980,TODAY())&gt;=5,"Risco Alto",IF(NETWORKDAYS(C980,TODAY())&gt;=3,IF(NETWORKDAYS(C980,TODAY())&lt;5,"Risco Médio",""),IF(NETWORKDAYS(C980,TODAY())&lt;=2,"Risco Baixo",""))))</f>
        <v>Expedido</v>
      </c>
      <c r="P980" s="5" t="s">
        <v>25</v>
      </c>
      <c r="S980" s="7">
        <f>IF(ISBLANK(M980),"Aguardando Previsão/Data",NETWORKDAYS(L980,M980)-1)</f>
        <v>-5</v>
      </c>
      <c r="T980" s="5" t="s">
        <v>942</v>
      </c>
    </row>
    <row r="981" spans="1:20" x14ac:dyDescent="0.35">
      <c r="A981" s="5">
        <v>8100272898</v>
      </c>
      <c r="B981" s="5">
        <v>18943</v>
      </c>
      <c r="C981" s="6">
        <v>45665</v>
      </c>
      <c r="D981" s="5" t="s">
        <v>106</v>
      </c>
      <c r="E981" s="5" t="s">
        <v>107</v>
      </c>
      <c r="F981" s="5" t="s">
        <v>111</v>
      </c>
      <c r="G981" s="5" t="s">
        <v>112</v>
      </c>
      <c r="H981" s="5" t="s">
        <v>108</v>
      </c>
      <c r="I981" s="5" t="s">
        <v>115</v>
      </c>
      <c r="J981" s="5" t="s">
        <v>133</v>
      </c>
      <c r="K981" s="5" t="s">
        <v>110</v>
      </c>
      <c r="L981" s="6">
        <v>45673</v>
      </c>
      <c r="M981" s="6">
        <v>45667</v>
      </c>
      <c r="N981" s="5" t="s">
        <v>811</v>
      </c>
      <c r="O981" s="5" t="str">
        <f ca="1">IF(P981&lt;&gt;"EXPEDIÇÃO","Expedido",IF(NETWORKDAYS(C981,TODAY())&gt;=5,"Risco Alto",IF(NETWORKDAYS(C981,TODAY())&gt;=3,IF(NETWORKDAYS(C981,TODAY())&lt;5,"Risco Médio",""),IF(NETWORKDAYS(C981,TODAY())&lt;=2,"Risco Baixo",""))))</f>
        <v>Expedido</v>
      </c>
      <c r="P981" s="5" t="s">
        <v>25</v>
      </c>
      <c r="S981" s="7">
        <f>IF(ISBLANK(M981),"Aguardando Previsão/Data",NETWORKDAYS(L981,M981)-1)</f>
        <v>-6</v>
      </c>
      <c r="T981" s="5" t="s">
        <v>942</v>
      </c>
    </row>
    <row r="982" spans="1:20" x14ac:dyDescent="0.35">
      <c r="A982" s="5">
        <v>8100272899</v>
      </c>
      <c r="B982" s="5">
        <v>18949</v>
      </c>
      <c r="C982" s="6">
        <v>45665</v>
      </c>
      <c r="D982" s="5" t="s">
        <v>106</v>
      </c>
      <c r="E982" s="5" t="s">
        <v>107</v>
      </c>
      <c r="F982" s="5" t="s">
        <v>111</v>
      </c>
      <c r="G982" s="5" t="s">
        <v>112</v>
      </c>
      <c r="H982" s="5" t="s">
        <v>108</v>
      </c>
      <c r="I982" s="5" t="s">
        <v>115</v>
      </c>
      <c r="J982" s="5" t="s">
        <v>143</v>
      </c>
      <c r="K982" s="5" t="s">
        <v>110</v>
      </c>
      <c r="L982" s="6">
        <v>45672</v>
      </c>
      <c r="M982" s="6">
        <v>45667</v>
      </c>
      <c r="N982" s="5" t="s">
        <v>811</v>
      </c>
      <c r="O982" s="5" t="str">
        <f ca="1">IF(P982&lt;&gt;"EXPEDIÇÃO","Expedido",IF(NETWORKDAYS(C982,TODAY())&gt;=5,"Risco Alto",IF(NETWORKDAYS(C982,TODAY())&gt;=3,IF(NETWORKDAYS(C982,TODAY())&lt;5,"Risco Médio",""),IF(NETWORKDAYS(C982,TODAY())&lt;=2,"Risco Baixo",""))))</f>
        <v>Expedido</v>
      </c>
      <c r="P982" s="5" t="s">
        <v>25</v>
      </c>
      <c r="Q982" s="5" t="s">
        <v>914</v>
      </c>
      <c r="S982" s="7">
        <f>IF(ISBLANK(M982),"Aguardando Previsão/Data",NETWORKDAYS(L982,M982)-1)</f>
        <v>-5</v>
      </c>
      <c r="T982" s="5" t="s">
        <v>942</v>
      </c>
    </row>
    <row r="983" spans="1:20" x14ac:dyDescent="0.35">
      <c r="A983" s="5">
        <v>8100272900</v>
      </c>
      <c r="B983" s="5">
        <v>18953</v>
      </c>
      <c r="C983" s="6">
        <v>45665</v>
      </c>
      <c r="D983" s="5" t="s">
        <v>106</v>
      </c>
      <c r="E983" s="5" t="s">
        <v>107</v>
      </c>
      <c r="F983" s="5" t="s">
        <v>66</v>
      </c>
      <c r="G983" s="5" t="s">
        <v>67</v>
      </c>
      <c r="H983" s="5" t="s">
        <v>108</v>
      </c>
      <c r="I983" s="5" t="s">
        <v>337</v>
      </c>
      <c r="J983" s="5" t="s">
        <v>338</v>
      </c>
      <c r="K983" s="5" t="s">
        <v>110</v>
      </c>
      <c r="L983" s="6">
        <v>45673</v>
      </c>
      <c r="M983" s="6">
        <v>45667</v>
      </c>
      <c r="N983" s="5" t="s">
        <v>811</v>
      </c>
      <c r="O983" s="5" t="str">
        <f ca="1">IF(P983&lt;&gt;"EXPEDIÇÃO","Expedido",IF(NETWORKDAYS(C983,TODAY())&gt;=5,"Risco Alto",IF(NETWORKDAYS(C983,TODAY())&gt;=3,IF(NETWORKDAYS(C983,TODAY())&lt;5,"Risco Médio",""),IF(NETWORKDAYS(C983,TODAY())&lt;=2,"Risco Baixo",""))))</f>
        <v>Expedido</v>
      </c>
      <c r="P983" s="5" t="s">
        <v>25</v>
      </c>
      <c r="S983" s="7">
        <f>IF(ISBLANK(M983),"Aguardando Previsão/Data",NETWORKDAYS(L983,M983)-1)</f>
        <v>-6</v>
      </c>
      <c r="T983" s="5" t="s">
        <v>942</v>
      </c>
    </row>
    <row r="984" spans="1:20" x14ac:dyDescent="0.35">
      <c r="A984" s="5">
        <v>8100272901</v>
      </c>
      <c r="B984" s="5">
        <v>18954</v>
      </c>
      <c r="C984" s="6">
        <v>45665</v>
      </c>
      <c r="D984" s="5" t="s">
        <v>106</v>
      </c>
      <c r="E984" s="5" t="s">
        <v>107</v>
      </c>
      <c r="F984" s="5" t="s">
        <v>66</v>
      </c>
      <c r="G984" s="5" t="s">
        <v>67</v>
      </c>
      <c r="H984" s="5" t="s">
        <v>108</v>
      </c>
      <c r="I984" s="5" t="s">
        <v>337</v>
      </c>
      <c r="J984" s="5" t="s">
        <v>338</v>
      </c>
      <c r="K984" s="5" t="s">
        <v>110</v>
      </c>
      <c r="L984" s="6">
        <v>45673</v>
      </c>
      <c r="M984" s="6">
        <v>45667</v>
      </c>
      <c r="N984" s="5" t="s">
        <v>811</v>
      </c>
      <c r="O984" s="5" t="str">
        <f ca="1">IF(P984&lt;&gt;"EXPEDIÇÃO","Expedido",IF(NETWORKDAYS(C984,TODAY())&gt;=5,"Risco Alto",IF(NETWORKDAYS(C984,TODAY())&gt;=3,IF(NETWORKDAYS(C984,TODAY())&lt;5,"Risco Médio",""),IF(NETWORKDAYS(C984,TODAY())&lt;=2,"Risco Baixo",""))))</f>
        <v>Expedido</v>
      </c>
      <c r="P984" s="5" t="s">
        <v>25</v>
      </c>
      <c r="S984" s="7">
        <f>IF(ISBLANK(M984),"Aguardando Previsão/Data",NETWORKDAYS(L984,M984)-1)</f>
        <v>-6</v>
      </c>
      <c r="T984" s="5" t="s">
        <v>942</v>
      </c>
    </row>
    <row r="985" spans="1:20" x14ac:dyDescent="0.35">
      <c r="A985" s="5">
        <v>8100272902</v>
      </c>
      <c r="B985" s="5">
        <v>18946</v>
      </c>
      <c r="C985" s="6">
        <v>45665</v>
      </c>
      <c r="D985" s="5" t="s">
        <v>106</v>
      </c>
      <c r="E985" s="5" t="s">
        <v>107</v>
      </c>
      <c r="F985" s="5" t="s">
        <v>147</v>
      </c>
      <c r="G985" s="5" t="s">
        <v>148</v>
      </c>
      <c r="H985" s="5" t="s">
        <v>108</v>
      </c>
      <c r="I985" s="5" t="s">
        <v>82</v>
      </c>
      <c r="J985" s="5" t="s">
        <v>449</v>
      </c>
      <c r="K985" s="5" t="s">
        <v>110</v>
      </c>
      <c r="L985" s="6">
        <v>45673</v>
      </c>
      <c r="M985" s="6">
        <v>45667</v>
      </c>
      <c r="N985" s="5" t="s">
        <v>811</v>
      </c>
      <c r="O985" s="5" t="str">
        <f ca="1">IF(P985&lt;&gt;"EXPEDIÇÃO","Expedido",IF(NETWORKDAYS(C985,TODAY())&gt;=5,"Risco Alto",IF(NETWORKDAYS(C985,TODAY())&gt;=3,IF(NETWORKDAYS(C985,TODAY())&lt;5,"Risco Médio",""),IF(NETWORKDAYS(C985,TODAY())&lt;=2,"Risco Baixo",""))))</f>
        <v>Expedido</v>
      </c>
      <c r="P985" s="5" t="s">
        <v>25</v>
      </c>
      <c r="S985" s="7">
        <f>IF(ISBLANK(M985),"Aguardando Previsão/Data",NETWORKDAYS(L985,M985)-1)</f>
        <v>-6</v>
      </c>
      <c r="T985" s="5" t="s">
        <v>942</v>
      </c>
    </row>
    <row r="986" spans="1:20" x14ac:dyDescent="0.35">
      <c r="A986" s="5">
        <v>8100273084</v>
      </c>
      <c r="B986" s="5">
        <v>18972</v>
      </c>
      <c r="C986" s="6">
        <v>45665</v>
      </c>
      <c r="D986" s="5" t="s">
        <v>106</v>
      </c>
      <c r="E986" s="5" t="s">
        <v>107</v>
      </c>
      <c r="F986" s="5" t="s">
        <v>69</v>
      </c>
      <c r="G986" s="5" t="s">
        <v>70</v>
      </c>
      <c r="H986" s="5" t="s">
        <v>108</v>
      </c>
      <c r="I986" s="5" t="s">
        <v>294</v>
      </c>
      <c r="J986" s="5" t="s">
        <v>295</v>
      </c>
      <c r="K986" s="5" t="s">
        <v>110</v>
      </c>
      <c r="L986" s="6">
        <v>45671</v>
      </c>
      <c r="M986" s="6">
        <v>45670</v>
      </c>
      <c r="N986" s="5" t="s">
        <v>811</v>
      </c>
      <c r="O986" s="5" t="str">
        <f ca="1">IF(P986&lt;&gt;"EXPEDIÇÃO","Expedido",IF(NETWORKDAYS(C986,TODAY())&gt;=5,"Risco Alto",IF(NETWORKDAYS(C986,TODAY())&gt;=3,IF(NETWORKDAYS(C986,TODAY())&lt;5,"Risco Médio",""),IF(NETWORKDAYS(C986,TODAY())&lt;=2,"Risco Baixo",""))))</f>
        <v>Expedido</v>
      </c>
      <c r="P986" s="5" t="s">
        <v>25</v>
      </c>
      <c r="Q986" s="5" t="s">
        <v>897</v>
      </c>
      <c r="S986" s="7">
        <f>IF(ISBLANK(M986),"Aguardando Previsão/Data",NETWORKDAYS(L986,M986)-1)</f>
        <v>-3</v>
      </c>
      <c r="T986" s="5" t="s">
        <v>942</v>
      </c>
    </row>
    <row r="987" spans="1:20" x14ac:dyDescent="0.35">
      <c r="A987" s="5">
        <v>8100273085</v>
      </c>
      <c r="B987" s="5">
        <v>18969</v>
      </c>
      <c r="C987" s="6">
        <v>45665</v>
      </c>
      <c r="D987" s="5" t="s">
        <v>106</v>
      </c>
      <c r="E987" s="5" t="s">
        <v>107</v>
      </c>
      <c r="F987" s="5" t="s">
        <v>69</v>
      </c>
      <c r="G987" s="5" t="s">
        <v>70</v>
      </c>
      <c r="H987" s="5" t="s">
        <v>108</v>
      </c>
      <c r="I987" s="5" t="s">
        <v>284</v>
      </c>
      <c r="J987" s="5" t="s">
        <v>286</v>
      </c>
      <c r="K987" s="5" t="s">
        <v>110</v>
      </c>
      <c r="L987" s="6">
        <v>45672</v>
      </c>
      <c r="M987" s="6">
        <v>45672</v>
      </c>
      <c r="N987" s="5" t="s">
        <v>811</v>
      </c>
      <c r="O987" s="5" t="str">
        <f ca="1">IF(P987&lt;&gt;"EXPEDIÇÃO","Expedido",IF(NETWORKDAYS(C987,TODAY())&gt;=5,"Risco Alto",IF(NETWORKDAYS(C987,TODAY())&gt;=3,IF(NETWORKDAYS(C987,TODAY())&lt;5,"Risco Médio",""),IF(NETWORKDAYS(C987,TODAY())&lt;=2,"Risco Baixo",""))))</f>
        <v>Expedido</v>
      </c>
      <c r="P987" s="5" t="s">
        <v>25</v>
      </c>
      <c r="S987" s="7">
        <f>IF(ISBLANK(M987),"Aguardando Previsão/Data",NETWORKDAYS(L987,M987)-1)</f>
        <v>0</v>
      </c>
      <c r="T987" s="5" t="s">
        <v>942</v>
      </c>
    </row>
    <row r="988" spans="1:20" x14ac:dyDescent="0.35">
      <c r="A988" s="5">
        <v>8100273086</v>
      </c>
      <c r="B988" s="5">
        <v>18967</v>
      </c>
      <c r="C988" s="6">
        <v>45665</v>
      </c>
      <c r="D988" s="5" t="s">
        <v>106</v>
      </c>
      <c r="E988" s="5" t="s">
        <v>107</v>
      </c>
      <c r="F988" s="5" t="s">
        <v>111</v>
      </c>
      <c r="G988" s="5" t="s">
        <v>112</v>
      </c>
      <c r="H988" s="5" t="s">
        <v>108</v>
      </c>
      <c r="I988" s="5" t="s">
        <v>115</v>
      </c>
      <c r="J988" s="5" t="s">
        <v>345</v>
      </c>
      <c r="K988" s="5" t="s">
        <v>110</v>
      </c>
      <c r="L988" s="6">
        <v>45673</v>
      </c>
      <c r="M988" s="6">
        <v>45670</v>
      </c>
      <c r="N988" s="5" t="s">
        <v>811</v>
      </c>
      <c r="O988" s="5" t="str">
        <f ca="1">IF(P988&lt;&gt;"EXPEDIÇÃO","Expedido",IF(NETWORKDAYS(C988,TODAY())&gt;=5,"Risco Alto",IF(NETWORKDAYS(C988,TODAY())&gt;=3,IF(NETWORKDAYS(C988,TODAY())&lt;5,"Risco Médio",""),IF(NETWORKDAYS(C988,TODAY())&lt;=2,"Risco Baixo",""))))</f>
        <v>Expedido</v>
      </c>
      <c r="P988" s="5" t="s">
        <v>25</v>
      </c>
      <c r="S988" s="7">
        <f>IF(ISBLANK(M988),"Aguardando Previsão/Data",NETWORKDAYS(L988,M988)-1)</f>
        <v>-5</v>
      </c>
      <c r="T988" s="5" t="s">
        <v>942</v>
      </c>
    </row>
    <row r="989" spans="1:20" x14ac:dyDescent="0.35">
      <c r="A989" s="5">
        <v>8100273087</v>
      </c>
      <c r="B989" s="5">
        <v>18973</v>
      </c>
      <c r="C989" s="6">
        <v>45665</v>
      </c>
      <c r="D989" s="5" t="s">
        <v>106</v>
      </c>
      <c r="E989" s="5" t="s">
        <v>107</v>
      </c>
      <c r="F989" s="5" t="s">
        <v>111</v>
      </c>
      <c r="G989" s="5" t="s">
        <v>112</v>
      </c>
      <c r="H989" s="5" t="s">
        <v>108</v>
      </c>
      <c r="I989" s="5" t="s">
        <v>115</v>
      </c>
      <c r="J989" s="5" t="s">
        <v>117</v>
      </c>
      <c r="K989" s="5" t="s">
        <v>110</v>
      </c>
      <c r="L989" s="6">
        <v>45672</v>
      </c>
      <c r="M989" s="6">
        <v>45671</v>
      </c>
      <c r="N989" s="5" t="s">
        <v>811</v>
      </c>
      <c r="O989" s="5" t="str">
        <f ca="1">IF(P989&lt;&gt;"EXPEDIÇÃO","Expedido",IF(NETWORKDAYS(C989,TODAY())&gt;=5,"Risco Alto",IF(NETWORKDAYS(C989,TODAY())&gt;=3,IF(NETWORKDAYS(C989,TODAY())&lt;5,"Risco Médio",""),IF(NETWORKDAYS(C989,TODAY())&lt;=2,"Risco Baixo",""))))</f>
        <v>Expedido</v>
      </c>
      <c r="P989" s="5" t="s">
        <v>25</v>
      </c>
      <c r="S989" s="7">
        <f>IF(ISBLANK(M989),"Aguardando Previsão/Data",NETWORKDAYS(L989,M989)-1)</f>
        <v>-3</v>
      </c>
      <c r="T989" s="5" t="s">
        <v>942</v>
      </c>
    </row>
    <row r="990" spans="1:20" x14ac:dyDescent="0.35">
      <c r="A990" s="5">
        <v>8100273182</v>
      </c>
      <c r="B990" s="5">
        <v>18970</v>
      </c>
      <c r="C990" s="6">
        <v>45665</v>
      </c>
      <c r="D990" s="5" t="s">
        <v>106</v>
      </c>
      <c r="E990" s="5" t="s">
        <v>107</v>
      </c>
      <c r="F990" s="5" t="s">
        <v>69</v>
      </c>
      <c r="G990" s="5" t="s">
        <v>70</v>
      </c>
      <c r="H990" s="5" t="s">
        <v>108</v>
      </c>
      <c r="I990" s="5" t="s">
        <v>284</v>
      </c>
      <c r="J990" s="5" t="s">
        <v>286</v>
      </c>
      <c r="K990" s="5" t="s">
        <v>110</v>
      </c>
      <c r="L990" s="6">
        <v>45672</v>
      </c>
      <c r="M990" s="6">
        <v>45672</v>
      </c>
      <c r="N990" s="5" t="s">
        <v>811</v>
      </c>
      <c r="O990" s="5" t="str">
        <f ca="1">IF(P990&lt;&gt;"EXPEDIÇÃO","Expedido",IF(NETWORKDAYS(C990,TODAY())&gt;=5,"Risco Alto",IF(NETWORKDAYS(C990,TODAY())&gt;=3,IF(NETWORKDAYS(C990,TODAY())&lt;5,"Risco Médio",""),IF(NETWORKDAYS(C990,TODAY())&lt;=2,"Risco Baixo",""))))</f>
        <v>Expedido</v>
      </c>
      <c r="P990" s="5" t="s">
        <v>25</v>
      </c>
      <c r="S990" s="7">
        <f>IF(ISBLANK(M990),"Aguardando Previsão/Data",NETWORKDAYS(L990,M990)-1)</f>
        <v>0</v>
      </c>
      <c r="T990" s="5" t="s">
        <v>942</v>
      </c>
    </row>
    <row r="991" spans="1:20" x14ac:dyDescent="0.35">
      <c r="A991" s="5">
        <v>8100273285</v>
      </c>
      <c r="B991" s="5">
        <v>18966</v>
      </c>
      <c r="C991" s="6">
        <v>45665</v>
      </c>
      <c r="D991" s="5" t="s">
        <v>106</v>
      </c>
      <c r="E991" s="5" t="s">
        <v>107</v>
      </c>
      <c r="F991" s="5" t="s">
        <v>69</v>
      </c>
      <c r="G991" s="5" t="s">
        <v>70</v>
      </c>
      <c r="H991" s="5" t="s">
        <v>108</v>
      </c>
      <c r="I991" s="5" t="s">
        <v>278</v>
      </c>
      <c r="J991" s="5" t="s">
        <v>279</v>
      </c>
      <c r="K991" s="5" t="s">
        <v>110</v>
      </c>
      <c r="L991" s="6">
        <v>45672</v>
      </c>
      <c r="M991" s="6">
        <v>45672</v>
      </c>
      <c r="N991" s="5" t="s">
        <v>811</v>
      </c>
      <c r="O991" s="5" t="str">
        <f ca="1">IF(P991&lt;&gt;"EXPEDIÇÃO","Expedido",IF(NETWORKDAYS(C991,TODAY())&gt;=5,"Risco Alto",IF(NETWORKDAYS(C991,TODAY())&gt;=3,IF(NETWORKDAYS(C991,TODAY())&lt;5,"Risco Médio",""),IF(NETWORKDAYS(C991,TODAY())&lt;=2,"Risco Baixo",""))))</f>
        <v>Expedido</v>
      </c>
      <c r="P991" s="5" t="s">
        <v>25</v>
      </c>
      <c r="Q991" s="5" t="s">
        <v>897</v>
      </c>
      <c r="R991" s="5" t="s">
        <v>1247</v>
      </c>
      <c r="S991" s="7">
        <f>IF(ISBLANK(M991),"Aguardando Previsão/Data",NETWORKDAYS(L991,M991)-1)</f>
        <v>0</v>
      </c>
      <c r="T991" s="5" t="s">
        <v>942</v>
      </c>
    </row>
    <row r="992" spans="1:20" x14ac:dyDescent="0.35">
      <c r="A992" s="5">
        <v>8100273286</v>
      </c>
      <c r="B992" s="5">
        <v>18975</v>
      </c>
      <c r="C992" s="6">
        <v>45665</v>
      </c>
      <c r="D992" s="5" t="s">
        <v>106</v>
      </c>
      <c r="E992" s="5" t="s">
        <v>107</v>
      </c>
      <c r="F992" s="5" t="s">
        <v>111</v>
      </c>
      <c r="G992" s="5" t="s">
        <v>112</v>
      </c>
      <c r="H992" s="5" t="s">
        <v>108</v>
      </c>
      <c r="I992" s="5" t="s">
        <v>1238</v>
      </c>
      <c r="J992" s="5" t="s">
        <v>1239</v>
      </c>
      <c r="K992" s="5" t="s">
        <v>110</v>
      </c>
      <c r="L992" s="6">
        <v>45672</v>
      </c>
      <c r="M992" s="6">
        <v>45672</v>
      </c>
      <c r="N992" s="5" t="s">
        <v>811</v>
      </c>
      <c r="O992" s="5" t="str">
        <f ca="1">IF(P992&lt;&gt;"EXPEDIÇÃO","Expedido",IF(NETWORKDAYS(C992,TODAY())&gt;=5,"Risco Alto",IF(NETWORKDAYS(C992,TODAY())&gt;=3,IF(NETWORKDAYS(C992,TODAY())&lt;5,"Risco Médio",""),IF(NETWORKDAYS(C992,TODAY())&lt;=2,"Risco Baixo",""))))</f>
        <v>Expedido</v>
      </c>
      <c r="P992" s="5" t="s">
        <v>25</v>
      </c>
      <c r="S992" s="7">
        <f>IF(ISBLANK(M992),"Aguardando Previsão/Data",NETWORKDAYS(L992,M992)-1)</f>
        <v>0</v>
      </c>
      <c r="T992" s="5" t="s">
        <v>942</v>
      </c>
    </row>
    <row r="993" spans="1:20" x14ac:dyDescent="0.35">
      <c r="A993" s="5">
        <v>8100273287</v>
      </c>
      <c r="B993" s="5">
        <v>18965</v>
      </c>
      <c r="C993" s="6">
        <v>45665</v>
      </c>
      <c r="D993" s="5" t="s">
        <v>106</v>
      </c>
      <c r="E993" s="5" t="s">
        <v>107</v>
      </c>
      <c r="F993" s="5" t="s">
        <v>66</v>
      </c>
      <c r="G993" s="5" t="s">
        <v>67</v>
      </c>
      <c r="H993" s="5" t="s">
        <v>108</v>
      </c>
      <c r="I993" s="5" t="s">
        <v>509</v>
      </c>
      <c r="J993" s="5" t="s">
        <v>282</v>
      </c>
      <c r="K993" s="5" t="s">
        <v>110</v>
      </c>
      <c r="L993" s="6">
        <v>45673</v>
      </c>
      <c r="M993" s="6">
        <v>45672</v>
      </c>
      <c r="N993" s="5"/>
      <c r="O993" s="5" t="str">
        <f ca="1">IF(P993&lt;&gt;"EXPEDIÇÃO","Expedido",IF(NETWORKDAYS(C993,TODAY())&gt;=5,"Risco Alto",IF(NETWORKDAYS(C993,TODAY())&gt;=3,IF(NETWORKDAYS(C993,TODAY())&lt;5,"Risco Médio",""),IF(NETWORKDAYS(C993,TODAY())&lt;=2,"Risco Baixo",""))))</f>
        <v>Expedido</v>
      </c>
      <c r="P993" s="5" t="s">
        <v>145</v>
      </c>
      <c r="Q993" s="5" t="s">
        <v>363</v>
      </c>
      <c r="S993" s="7">
        <f>IF(ISBLANK(M993),"Aguardando Previsão/Data",NETWORKDAYS(L993,M993)-1)</f>
        <v>-3</v>
      </c>
      <c r="T993" s="5" t="s">
        <v>942</v>
      </c>
    </row>
    <row r="994" spans="1:20" x14ac:dyDescent="0.35">
      <c r="A994" s="5">
        <v>8100273354</v>
      </c>
      <c r="B994" s="5">
        <v>18974</v>
      </c>
      <c r="C994" s="6">
        <v>45665</v>
      </c>
      <c r="D994" s="5" t="s">
        <v>106</v>
      </c>
      <c r="E994" s="5" t="s">
        <v>107</v>
      </c>
      <c r="F994" s="5" t="s">
        <v>69</v>
      </c>
      <c r="G994" s="5" t="s">
        <v>70</v>
      </c>
      <c r="H994" s="5" t="s">
        <v>108</v>
      </c>
      <c r="I994" s="5" t="s">
        <v>278</v>
      </c>
      <c r="J994" s="5" t="s">
        <v>279</v>
      </c>
      <c r="K994" s="5" t="s">
        <v>110</v>
      </c>
      <c r="L994" s="6">
        <v>45672</v>
      </c>
      <c r="M994" s="6">
        <v>45672</v>
      </c>
      <c r="N994" s="5"/>
      <c r="O994" s="5" t="str">
        <f ca="1">IF(P994&lt;&gt;"EXPEDIÇÃO","Expedido",IF(NETWORKDAYS(C994,TODAY())&gt;=5,"Risco Alto",IF(NETWORKDAYS(C994,TODAY())&gt;=3,IF(NETWORKDAYS(C994,TODAY())&lt;5,"Risco Médio",""),IF(NETWORKDAYS(C994,TODAY())&lt;=2,"Risco Baixo",""))))</f>
        <v>Expedido</v>
      </c>
      <c r="P994" s="5" t="s">
        <v>145</v>
      </c>
      <c r="Q994" s="5" t="s">
        <v>363</v>
      </c>
      <c r="S994" s="7">
        <f>IF(ISBLANK(M994),"Aguardando Previsão/Data",NETWORKDAYS(L994,M994)-1)</f>
        <v>0</v>
      </c>
      <c r="T994" s="5" t="s">
        <v>942</v>
      </c>
    </row>
    <row r="995" spans="1:20" x14ac:dyDescent="0.35">
      <c r="A995" s="5">
        <v>8100273355</v>
      </c>
      <c r="B995" s="5">
        <v>18977</v>
      </c>
      <c r="C995" s="6">
        <v>45665</v>
      </c>
      <c r="D995" s="5" t="s">
        <v>106</v>
      </c>
      <c r="E995" s="5" t="s">
        <v>107</v>
      </c>
      <c r="F995" s="5" t="s">
        <v>69</v>
      </c>
      <c r="G995" s="5" t="s">
        <v>70</v>
      </c>
      <c r="H995" s="5" t="s">
        <v>108</v>
      </c>
      <c r="I995" s="5" t="s">
        <v>278</v>
      </c>
      <c r="J995" s="5" t="s">
        <v>279</v>
      </c>
      <c r="K995" s="5" t="s">
        <v>110</v>
      </c>
      <c r="L995" s="6">
        <v>45672</v>
      </c>
      <c r="M995" s="6">
        <v>45672</v>
      </c>
      <c r="N995" s="5" t="s">
        <v>811</v>
      </c>
      <c r="O995" s="5" t="str">
        <f ca="1">IF(P995&lt;&gt;"EXPEDIÇÃO","Expedido",IF(NETWORKDAYS(C995,TODAY())&gt;=5,"Risco Alto",IF(NETWORKDAYS(C995,TODAY())&gt;=3,IF(NETWORKDAYS(C995,TODAY())&lt;5,"Risco Médio",""),IF(NETWORKDAYS(C995,TODAY())&lt;=2,"Risco Baixo",""))))</f>
        <v>Expedido</v>
      </c>
      <c r="P995" s="5" t="s">
        <v>25</v>
      </c>
      <c r="Q995" s="5" t="s">
        <v>897</v>
      </c>
      <c r="S995" s="7">
        <f>IF(ISBLANK(M995),"Aguardando Previsão/Data",NETWORKDAYS(L995,M995)-1)</f>
        <v>0</v>
      </c>
      <c r="T995" s="5" t="s">
        <v>942</v>
      </c>
    </row>
    <row r="996" spans="1:20" x14ac:dyDescent="0.35">
      <c r="A996" s="5">
        <v>8100273356</v>
      </c>
      <c r="B996" s="5">
        <v>18971</v>
      </c>
      <c r="C996" s="6">
        <v>45665</v>
      </c>
      <c r="D996" s="5" t="s">
        <v>106</v>
      </c>
      <c r="E996" s="5" t="s">
        <v>107</v>
      </c>
      <c r="F996" s="5" t="s">
        <v>147</v>
      </c>
      <c r="G996" s="5" t="s">
        <v>148</v>
      </c>
      <c r="H996" s="5" t="s">
        <v>108</v>
      </c>
      <c r="I996" s="5" t="s">
        <v>128</v>
      </c>
      <c r="J996" s="5" t="s">
        <v>293</v>
      </c>
      <c r="K996" s="5" t="s">
        <v>110</v>
      </c>
      <c r="L996" s="6">
        <v>45671</v>
      </c>
      <c r="M996" s="6">
        <v>45667</v>
      </c>
      <c r="N996" s="5" t="s">
        <v>811</v>
      </c>
      <c r="O996" s="5" t="str">
        <f ca="1">IF(P996&lt;&gt;"EXPEDIÇÃO","Expedido",IF(NETWORKDAYS(C996,TODAY())&gt;=5,"Risco Alto",IF(NETWORKDAYS(C996,TODAY())&gt;=3,IF(NETWORKDAYS(C996,TODAY())&lt;5,"Risco Médio",""),IF(NETWORKDAYS(C996,TODAY())&lt;=2,"Risco Baixo",""))))</f>
        <v>Expedido</v>
      </c>
      <c r="P996" s="5" t="s">
        <v>25</v>
      </c>
      <c r="S996" s="7">
        <f>IF(ISBLANK(M996),"Aguardando Previsão/Data",NETWORKDAYS(L996,M996)-1)</f>
        <v>-4</v>
      </c>
      <c r="T996" s="5" t="s">
        <v>942</v>
      </c>
    </row>
    <row r="997" spans="1:20" x14ac:dyDescent="0.35">
      <c r="A997" s="5">
        <v>8100273358</v>
      </c>
      <c r="B997" s="5">
        <v>18968</v>
      </c>
      <c r="C997" s="6">
        <v>45665</v>
      </c>
      <c r="D997" s="5" t="s">
        <v>106</v>
      </c>
      <c r="E997" s="5" t="s">
        <v>107</v>
      </c>
      <c r="F997" s="5" t="s">
        <v>66</v>
      </c>
      <c r="G997" s="5" t="s">
        <v>67</v>
      </c>
      <c r="H997" s="5" t="s">
        <v>108</v>
      </c>
      <c r="I997" s="5" t="s">
        <v>115</v>
      </c>
      <c r="J997" s="5" t="s">
        <v>946</v>
      </c>
      <c r="K997" s="5" t="s">
        <v>110</v>
      </c>
      <c r="L997" s="6">
        <v>45673</v>
      </c>
      <c r="M997" s="6">
        <v>45674</v>
      </c>
      <c r="N997" s="5" t="s">
        <v>811</v>
      </c>
      <c r="O997" s="5" t="str">
        <f ca="1">IF(P997&lt;&gt;"EXPEDIÇÃO","Expedido",IF(NETWORKDAYS(C997,TODAY())&gt;=5,"Risco Alto",IF(NETWORKDAYS(C997,TODAY())&gt;=3,IF(NETWORKDAYS(C997,TODAY())&lt;5,"Risco Médio",""),IF(NETWORKDAYS(C997,TODAY())&lt;=2,"Risco Baixo",""))))</f>
        <v>Expedido</v>
      </c>
      <c r="P997" s="5" t="s">
        <v>25</v>
      </c>
      <c r="Q997" s="5" t="s">
        <v>897</v>
      </c>
      <c r="S997" s="7">
        <f>IF(ISBLANK(M997),"Aguardando Previsão/Data",NETWORKDAYS(L997,M997)-1)</f>
        <v>1</v>
      </c>
      <c r="T997" s="5" t="s">
        <v>942</v>
      </c>
    </row>
    <row r="998" spans="1:20" x14ac:dyDescent="0.35">
      <c r="A998" s="5">
        <v>8100273359</v>
      </c>
      <c r="B998" s="5">
        <v>18976</v>
      </c>
      <c r="C998" s="6">
        <v>45665</v>
      </c>
      <c r="D998" s="5" t="s">
        <v>106</v>
      </c>
      <c r="E998" s="5" t="s">
        <v>107</v>
      </c>
      <c r="F998" s="5" t="s">
        <v>66</v>
      </c>
      <c r="G998" s="5" t="s">
        <v>67</v>
      </c>
      <c r="H998" s="5" t="s">
        <v>108</v>
      </c>
      <c r="I998" s="5" t="s">
        <v>115</v>
      </c>
      <c r="J998" s="5" t="s">
        <v>393</v>
      </c>
      <c r="K998" s="5" t="s">
        <v>110</v>
      </c>
      <c r="L998" s="6">
        <v>45673</v>
      </c>
      <c r="M998" s="6">
        <v>45670</v>
      </c>
      <c r="N998" s="5" t="s">
        <v>811</v>
      </c>
      <c r="O998" s="5" t="str">
        <f ca="1">IF(P998&lt;&gt;"EXPEDIÇÃO","Expedido",IF(NETWORKDAYS(C998,TODAY())&gt;=5,"Risco Alto",IF(NETWORKDAYS(C998,TODAY())&gt;=3,IF(NETWORKDAYS(C998,TODAY())&lt;5,"Risco Médio",""),IF(NETWORKDAYS(C998,TODAY())&lt;=2,"Risco Baixo",""))))</f>
        <v>Expedido</v>
      </c>
      <c r="P998" s="5" t="s">
        <v>25</v>
      </c>
      <c r="S998" s="7">
        <f>IF(ISBLANK(M998),"Aguardando Previsão/Data",NETWORKDAYS(L998,M998)-1)</f>
        <v>-5</v>
      </c>
      <c r="T998" s="5" t="s">
        <v>942</v>
      </c>
    </row>
    <row r="999" spans="1:20" x14ac:dyDescent="0.35">
      <c r="A999" s="5">
        <v>8100271688</v>
      </c>
      <c r="B999" s="5">
        <v>7076</v>
      </c>
      <c r="C999" s="6">
        <v>45665</v>
      </c>
      <c r="D999" s="5" t="s">
        <v>194</v>
      </c>
      <c r="E999" s="5" t="s">
        <v>195</v>
      </c>
      <c r="F999" s="5" t="s">
        <v>199</v>
      </c>
      <c r="G999" s="5" t="s">
        <v>200</v>
      </c>
      <c r="H999" s="5" t="s">
        <v>108</v>
      </c>
      <c r="I999" s="5" t="s">
        <v>1095</v>
      </c>
      <c r="J999" s="5" t="s">
        <v>543</v>
      </c>
      <c r="K999" s="5" t="s">
        <v>198</v>
      </c>
      <c r="L999" s="6">
        <v>45673</v>
      </c>
      <c r="M999" s="6">
        <v>45678</v>
      </c>
      <c r="N999" s="5" t="s">
        <v>812</v>
      </c>
      <c r="O999" s="5" t="str">
        <f ca="1">IF(P999&lt;&gt;"EXPEDIÇÃO","Expedido",IF(NETWORKDAYS(C999,TODAY())&gt;=5,"Risco Alto",IF(NETWORKDAYS(C999,TODAY())&gt;=3,IF(NETWORKDAYS(C999,TODAY())&lt;5,"Risco Médio",""),IF(NETWORKDAYS(C999,TODAY())&lt;=2,"Risco Baixo",""))))</f>
        <v>Expedido</v>
      </c>
      <c r="P999" s="5" t="s">
        <v>25</v>
      </c>
      <c r="Q999" s="5" t="s">
        <v>899</v>
      </c>
      <c r="S999" s="7">
        <f>IF(ISBLANK(M999),"Aguardando Previsão/Data",NETWORKDAYS(L999,M999)-1)</f>
        <v>3</v>
      </c>
      <c r="T999" s="5" t="s">
        <v>942</v>
      </c>
    </row>
    <row r="1000" spans="1:20" x14ac:dyDescent="0.35">
      <c r="A1000" s="5">
        <v>8100271689</v>
      </c>
      <c r="B1000" s="5">
        <v>7075</v>
      </c>
      <c r="C1000" s="6">
        <v>45665</v>
      </c>
      <c r="D1000" s="5" t="s">
        <v>194</v>
      </c>
      <c r="E1000" s="5" t="s">
        <v>195</v>
      </c>
      <c r="F1000" s="5" t="s">
        <v>406</v>
      </c>
      <c r="G1000" s="5" t="s">
        <v>407</v>
      </c>
      <c r="H1000" s="5" t="s">
        <v>108</v>
      </c>
      <c r="I1000" s="5" t="s">
        <v>795</v>
      </c>
      <c r="J1000" s="5" t="s">
        <v>616</v>
      </c>
      <c r="K1000" s="5" t="s">
        <v>198</v>
      </c>
      <c r="L1000" s="6">
        <v>45671</v>
      </c>
      <c r="M1000" s="6">
        <v>45667</v>
      </c>
      <c r="N1000" s="5" t="s">
        <v>811</v>
      </c>
      <c r="O1000" s="5" t="str">
        <f ca="1">IF(P1000&lt;&gt;"EXPEDIÇÃO","Expedido",IF(NETWORKDAYS(C1000,TODAY())&gt;=5,"Risco Alto",IF(NETWORKDAYS(C1000,TODAY())&gt;=3,IF(NETWORKDAYS(C1000,TODAY())&lt;5,"Risco Médio",""),IF(NETWORKDAYS(C1000,TODAY())&lt;=2,"Risco Baixo",""))))</f>
        <v>Expedido</v>
      </c>
      <c r="P1000" s="5" t="s">
        <v>25</v>
      </c>
      <c r="Q1000" s="5" t="s">
        <v>899</v>
      </c>
      <c r="S1000" s="7">
        <f>IF(ISBLANK(M1000),"Aguardando Previsão/Data",NETWORKDAYS(L1000,M1000)-1)</f>
        <v>-4</v>
      </c>
      <c r="T1000" s="5" t="s">
        <v>942</v>
      </c>
    </row>
    <row r="1001" spans="1:20" x14ac:dyDescent="0.35">
      <c r="A1001" s="5">
        <v>8100271691</v>
      </c>
      <c r="B1001" s="5">
        <v>7073</v>
      </c>
      <c r="C1001" s="6">
        <v>45665</v>
      </c>
      <c r="D1001" s="5" t="s">
        <v>194</v>
      </c>
      <c r="E1001" s="5" t="s">
        <v>195</v>
      </c>
      <c r="F1001" s="5" t="s">
        <v>199</v>
      </c>
      <c r="G1001" s="5" t="s">
        <v>200</v>
      </c>
      <c r="H1001" s="5" t="s">
        <v>108</v>
      </c>
      <c r="I1001" s="5" t="s">
        <v>1220</v>
      </c>
      <c r="J1001" s="5" t="s">
        <v>666</v>
      </c>
      <c r="K1001" s="5" t="s">
        <v>198</v>
      </c>
      <c r="L1001" s="6">
        <v>45672</v>
      </c>
      <c r="M1001" s="6">
        <v>45668</v>
      </c>
      <c r="N1001" s="5" t="s">
        <v>811</v>
      </c>
      <c r="O1001" s="5" t="str">
        <f ca="1">IF(P1001&lt;&gt;"EXPEDIÇÃO","Expedido",IF(NETWORKDAYS(C1001,TODAY())&gt;=5,"Risco Alto",IF(NETWORKDAYS(C1001,TODAY())&gt;=3,IF(NETWORKDAYS(C1001,TODAY())&lt;5,"Risco Médio",""),IF(NETWORKDAYS(C1001,TODAY())&lt;=2,"Risco Baixo",""))))</f>
        <v>Expedido</v>
      </c>
      <c r="P1001" s="5" t="s">
        <v>25</v>
      </c>
      <c r="S1001" s="7">
        <f>IF(ISBLANK(M1001),"Aguardando Previsão/Data",NETWORKDAYS(L1001,M1001)-1)</f>
        <v>-4</v>
      </c>
      <c r="T1001" s="5" t="s">
        <v>942</v>
      </c>
    </row>
    <row r="1002" spans="1:20" x14ac:dyDescent="0.35">
      <c r="A1002" s="5">
        <v>8100271692</v>
      </c>
      <c r="B1002" s="5">
        <v>7078</v>
      </c>
      <c r="C1002" s="6">
        <v>45665</v>
      </c>
      <c r="D1002" s="5" t="s">
        <v>194</v>
      </c>
      <c r="E1002" s="5" t="s">
        <v>195</v>
      </c>
      <c r="F1002" s="5" t="s">
        <v>406</v>
      </c>
      <c r="G1002" s="5" t="s">
        <v>407</v>
      </c>
      <c r="H1002" s="5" t="s">
        <v>108</v>
      </c>
      <c r="I1002" s="5" t="s">
        <v>1159</v>
      </c>
      <c r="J1002" s="5" t="s">
        <v>483</v>
      </c>
      <c r="K1002" s="5" t="s">
        <v>198</v>
      </c>
      <c r="L1002" s="6">
        <v>45672</v>
      </c>
      <c r="M1002" s="6">
        <v>45667</v>
      </c>
      <c r="N1002" s="5" t="s">
        <v>811</v>
      </c>
      <c r="O1002" s="5" t="str">
        <f ca="1">IF(P1002&lt;&gt;"EXPEDIÇÃO","Expedido",IF(NETWORKDAYS(C1002,TODAY())&gt;=5,"Risco Alto",IF(NETWORKDAYS(C1002,TODAY())&gt;=3,IF(NETWORKDAYS(C1002,TODAY())&lt;5,"Risco Médio",""),IF(NETWORKDAYS(C1002,TODAY())&lt;=2,"Risco Baixo",""))))</f>
        <v>Expedido</v>
      </c>
      <c r="P1002" s="5" t="s">
        <v>25</v>
      </c>
      <c r="Q1002" s="5" t="s">
        <v>899</v>
      </c>
      <c r="S1002" s="7">
        <f>IF(ISBLANK(M1002),"Aguardando Previsão/Data",NETWORKDAYS(L1002,M1002)-1)</f>
        <v>-5</v>
      </c>
      <c r="T1002" s="5" t="s">
        <v>942</v>
      </c>
    </row>
    <row r="1003" spans="1:20" x14ac:dyDescent="0.35">
      <c r="A1003" s="5">
        <v>8100271701</v>
      </c>
      <c r="B1003" s="5">
        <v>7068</v>
      </c>
      <c r="C1003" s="6">
        <v>45665</v>
      </c>
      <c r="D1003" s="5" t="s">
        <v>194</v>
      </c>
      <c r="E1003" s="5" t="s">
        <v>195</v>
      </c>
      <c r="F1003" s="5" t="s">
        <v>199</v>
      </c>
      <c r="G1003" s="5" t="s">
        <v>200</v>
      </c>
      <c r="H1003" s="5" t="s">
        <v>108</v>
      </c>
      <c r="I1003" s="5" t="s">
        <v>1104</v>
      </c>
      <c r="J1003" s="5" t="s">
        <v>205</v>
      </c>
      <c r="K1003" s="5" t="s">
        <v>198</v>
      </c>
      <c r="L1003" s="6">
        <v>45673</v>
      </c>
      <c r="M1003" s="6">
        <v>45674</v>
      </c>
      <c r="N1003" s="5" t="s">
        <v>812</v>
      </c>
      <c r="O1003" s="5" t="str">
        <f ca="1">IF(P1003&lt;&gt;"EXPEDIÇÃO","Expedido",IF(NETWORKDAYS(C1003,TODAY())&gt;=5,"Risco Alto",IF(NETWORKDAYS(C1003,TODAY())&gt;=3,IF(NETWORKDAYS(C1003,TODAY())&lt;5,"Risco Médio",""),IF(NETWORKDAYS(C1003,TODAY())&lt;=2,"Risco Baixo",""))))</f>
        <v>Expedido</v>
      </c>
      <c r="P1003" s="5" t="s">
        <v>25</v>
      </c>
      <c r="Q1003" s="5" t="s">
        <v>899</v>
      </c>
      <c r="S1003" s="7">
        <f>IF(ISBLANK(M1003),"Aguardando Previsão/Data",NETWORKDAYS(L1003,M1003)-1)</f>
        <v>1</v>
      </c>
      <c r="T1003" s="5" t="s">
        <v>942</v>
      </c>
    </row>
    <row r="1004" spans="1:20" x14ac:dyDescent="0.35">
      <c r="A1004" s="5">
        <v>8100271703</v>
      </c>
      <c r="B1004" s="5">
        <v>7081</v>
      </c>
      <c r="C1004" s="6">
        <v>45665</v>
      </c>
      <c r="D1004" s="5" t="s">
        <v>194</v>
      </c>
      <c r="E1004" s="5" t="s">
        <v>195</v>
      </c>
      <c r="F1004" s="5" t="s">
        <v>406</v>
      </c>
      <c r="G1004" s="5" t="s">
        <v>407</v>
      </c>
      <c r="H1004" s="5" t="s">
        <v>108</v>
      </c>
      <c r="I1004" s="5" t="s">
        <v>201</v>
      </c>
      <c r="J1004" s="5" t="s">
        <v>202</v>
      </c>
      <c r="K1004" s="5" t="s">
        <v>198</v>
      </c>
      <c r="L1004" s="6">
        <v>45672</v>
      </c>
      <c r="M1004" s="6">
        <v>45671</v>
      </c>
      <c r="N1004" s="5" t="s">
        <v>811</v>
      </c>
      <c r="O1004" s="5" t="str">
        <f ca="1">IF(P1004&lt;&gt;"EXPEDIÇÃO","Expedido",IF(NETWORKDAYS(C1004,TODAY())&gt;=5,"Risco Alto",IF(NETWORKDAYS(C1004,TODAY())&gt;=3,IF(NETWORKDAYS(C1004,TODAY())&lt;5,"Risco Médio",""),IF(NETWORKDAYS(C1004,TODAY())&lt;=2,"Risco Baixo",""))))</f>
        <v>Expedido</v>
      </c>
      <c r="P1004" s="5" t="s">
        <v>25</v>
      </c>
      <c r="Q1004" s="5" t="s">
        <v>1245</v>
      </c>
      <c r="S1004" s="7">
        <f>IF(ISBLANK(M1004),"Aguardando Previsão/Data",NETWORKDAYS(L1004,M1004)-1)</f>
        <v>-3</v>
      </c>
      <c r="T1004" s="5" t="s">
        <v>942</v>
      </c>
    </row>
    <row r="1005" spans="1:20" x14ac:dyDescent="0.35">
      <c r="A1005" s="5">
        <v>8100271704</v>
      </c>
      <c r="B1005" s="5">
        <v>7070</v>
      </c>
      <c r="C1005" s="6">
        <v>45665</v>
      </c>
      <c r="D1005" s="5" t="s">
        <v>194</v>
      </c>
      <c r="E1005" s="5" t="s">
        <v>195</v>
      </c>
      <c r="F1005" s="5" t="s">
        <v>199</v>
      </c>
      <c r="G1005" s="5" t="s">
        <v>200</v>
      </c>
      <c r="H1005" s="5" t="s">
        <v>108</v>
      </c>
      <c r="I1005" s="5" t="s">
        <v>201</v>
      </c>
      <c r="J1005" s="5" t="s">
        <v>202</v>
      </c>
      <c r="K1005" s="5" t="s">
        <v>198</v>
      </c>
      <c r="L1005" s="6">
        <v>45672</v>
      </c>
      <c r="M1005" s="6">
        <v>45671</v>
      </c>
      <c r="N1005" s="5" t="s">
        <v>811</v>
      </c>
      <c r="O1005" s="5" t="str">
        <f ca="1">IF(P1005&lt;&gt;"EXPEDIÇÃO","Expedido",IF(NETWORKDAYS(C1005,TODAY())&gt;=5,"Risco Alto",IF(NETWORKDAYS(C1005,TODAY())&gt;=3,IF(NETWORKDAYS(C1005,TODAY())&lt;5,"Risco Médio",""),IF(NETWORKDAYS(C1005,TODAY())&lt;=2,"Risco Baixo",""))))</f>
        <v>Expedido</v>
      </c>
      <c r="P1005" s="5" t="s">
        <v>25</v>
      </c>
      <c r="Q1005" s="5" t="s">
        <v>1245</v>
      </c>
      <c r="S1005" s="7">
        <f>IF(ISBLANK(M1005),"Aguardando Previsão/Data",NETWORKDAYS(L1005,M1005)-1)</f>
        <v>-3</v>
      </c>
      <c r="T1005" s="5" t="s">
        <v>942</v>
      </c>
    </row>
    <row r="1006" spans="1:20" x14ac:dyDescent="0.35">
      <c r="A1006" s="5">
        <v>8100271705</v>
      </c>
      <c r="B1006" s="5">
        <v>7082</v>
      </c>
      <c r="C1006" s="6">
        <v>45665</v>
      </c>
      <c r="D1006" s="5" t="s">
        <v>194</v>
      </c>
      <c r="E1006" s="5" t="s">
        <v>195</v>
      </c>
      <c r="F1006" s="5" t="s">
        <v>406</v>
      </c>
      <c r="G1006" s="5" t="s">
        <v>407</v>
      </c>
      <c r="H1006" s="5" t="s">
        <v>108</v>
      </c>
      <c r="I1006" s="5" t="s">
        <v>708</v>
      </c>
      <c r="J1006" s="5" t="s">
        <v>616</v>
      </c>
      <c r="K1006" s="5" t="s">
        <v>198</v>
      </c>
      <c r="L1006" s="6">
        <v>45671</v>
      </c>
      <c r="M1006" s="6">
        <v>45666</v>
      </c>
      <c r="N1006" s="5" t="s">
        <v>811</v>
      </c>
      <c r="O1006" s="5" t="str">
        <f ca="1">IF(P1006&lt;&gt;"EXPEDIÇÃO","Expedido",IF(NETWORKDAYS(C1006,TODAY())&gt;=5,"Risco Alto",IF(NETWORKDAYS(C1006,TODAY())&gt;=3,IF(NETWORKDAYS(C1006,TODAY())&lt;5,"Risco Médio",""),IF(NETWORKDAYS(C1006,TODAY())&lt;=2,"Risco Baixo",""))))</f>
        <v>Expedido</v>
      </c>
      <c r="P1006" s="5" t="s">
        <v>25</v>
      </c>
      <c r="Q1006" s="5" t="s">
        <v>899</v>
      </c>
      <c r="S1006" s="7">
        <f>IF(ISBLANK(M1006),"Aguardando Previsão/Data",NETWORKDAYS(L1006,M1006)-1)</f>
        <v>-5</v>
      </c>
      <c r="T1006" s="5" t="s">
        <v>942</v>
      </c>
    </row>
    <row r="1007" spans="1:20" x14ac:dyDescent="0.35">
      <c r="A1007" s="5">
        <v>8100271706</v>
      </c>
      <c r="B1007" s="5">
        <v>7074</v>
      </c>
      <c r="C1007" s="6">
        <v>45665</v>
      </c>
      <c r="D1007" s="5" t="s">
        <v>194</v>
      </c>
      <c r="E1007" s="5" t="s">
        <v>195</v>
      </c>
      <c r="F1007" s="5" t="s">
        <v>199</v>
      </c>
      <c r="G1007" s="5" t="s">
        <v>200</v>
      </c>
      <c r="H1007" s="5" t="s">
        <v>108</v>
      </c>
      <c r="I1007" s="5" t="s">
        <v>1220</v>
      </c>
      <c r="J1007" s="5" t="s">
        <v>666</v>
      </c>
      <c r="K1007" s="5" t="s">
        <v>198</v>
      </c>
      <c r="L1007" s="6">
        <v>45672</v>
      </c>
      <c r="M1007" s="6">
        <v>45668</v>
      </c>
      <c r="N1007" s="5" t="s">
        <v>811</v>
      </c>
      <c r="O1007" s="5" t="str">
        <f ca="1">IF(P1007&lt;&gt;"EXPEDIÇÃO","Expedido",IF(NETWORKDAYS(C1007,TODAY())&gt;=5,"Risco Alto",IF(NETWORKDAYS(C1007,TODAY())&gt;=3,IF(NETWORKDAYS(C1007,TODAY())&lt;5,"Risco Médio",""),IF(NETWORKDAYS(C1007,TODAY())&lt;=2,"Risco Baixo",""))))</f>
        <v>Expedido</v>
      </c>
      <c r="P1007" s="5" t="s">
        <v>25</v>
      </c>
      <c r="S1007" s="7">
        <f>IF(ISBLANK(M1007),"Aguardando Previsão/Data",NETWORKDAYS(L1007,M1007)-1)</f>
        <v>-4</v>
      </c>
      <c r="T1007" s="5" t="s">
        <v>942</v>
      </c>
    </row>
    <row r="1008" spans="1:20" x14ac:dyDescent="0.35">
      <c r="A1008" s="5">
        <v>8100271707</v>
      </c>
      <c r="B1008" s="5">
        <v>7072</v>
      </c>
      <c r="C1008" s="6">
        <v>45665</v>
      </c>
      <c r="D1008" s="5" t="s">
        <v>194</v>
      </c>
      <c r="E1008" s="5" t="s">
        <v>195</v>
      </c>
      <c r="F1008" s="5" t="s">
        <v>199</v>
      </c>
      <c r="G1008" s="5" t="s">
        <v>200</v>
      </c>
      <c r="H1008" s="5" t="s">
        <v>108</v>
      </c>
      <c r="I1008" s="5" t="s">
        <v>1221</v>
      </c>
      <c r="J1008" s="5" t="s">
        <v>1222</v>
      </c>
      <c r="K1008" s="5" t="s">
        <v>198</v>
      </c>
      <c r="L1008" s="6">
        <v>45672</v>
      </c>
      <c r="M1008" s="6">
        <v>45668</v>
      </c>
      <c r="N1008" s="5" t="s">
        <v>811</v>
      </c>
      <c r="O1008" s="5" t="str">
        <f ca="1">IF(P1008&lt;&gt;"EXPEDIÇÃO","Expedido",IF(NETWORKDAYS(C1008,TODAY())&gt;=5,"Risco Alto",IF(NETWORKDAYS(C1008,TODAY())&gt;=3,IF(NETWORKDAYS(C1008,TODAY())&lt;5,"Risco Médio",""),IF(NETWORKDAYS(C1008,TODAY())&lt;=2,"Risco Baixo",""))))</f>
        <v>Expedido</v>
      </c>
      <c r="P1008" s="5" t="s">
        <v>25</v>
      </c>
      <c r="S1008" s="7">
        <f>IF(ISBLANK(M1008),"Aguardando Previsão/Data",NETWORKDAYS(L1008,M1008)-1)</f>
        <v>-4</v>
      </c>
      <c r="T1008" s="5" t="s">
        <v>942</v>
      </c>
    </row>
    <row r="1009" spans="1:20" x14ac:dyDescent="0.35">
      <c r="A1009" s="5">
        <v>8100271708</v>
      </c>
      <c r="B1009" s="5">
        <v>7069</v>
      </c>
      <c r="C1009" s="6">
        <v>45665</v>
      </c>
      <c r="D1009" s="5" t="s">
        <v>194</v>
      </c>
      <c r="E1009" s="5" t="s">
        <v>195</v>
      </c>
      <c r="F1009" s="5" t="s">
        <v>199</v>
      </c>
      <c r="G1009" s="5" t="s">
        <v>200</v>
      </c>
      <c r="H1009" s="5" t="s">
        <v>108</v>
      </c>
      <c r="I1009" s="5" t="s">
        <v>201</v>
      </c>
      <c r="J1009" s="5" t="s">
        <v>202</v>
      </c>
      <c r="K1009" s="5" t="s">
        <v>198</v>
      </c>
      <c r="L1009" s="6">
        <v>45672</v>
      </c>
      <c r="M1009" s="6">
        <v>45671</v>
      </c>
      <c r="N1009" s="5" t="s">
        <v>811</v>
      </c>
      <c r="O1009" s="5" t="str">
        <f ca="1">IF(P1009&lt;&gt;"EXPEDIÇÃO","Expedido",IF(NETWORKDAYS(C1009,TODAY())&gt;=5,"Risco Alto",IF(NETWORKDAYS(C1009,TODAY())&gt;=3,IF(NETWORKDAYS(C1009,TODAY())&lt;5,"Risco Médio",""),IF(NETWORKDAYS(C1009,TODAY())&lt;=2,"Risco Baixo",""))))</f>
        <v>Expedido</v>
      </c>
      <c r="P1009" s="5" t="s">
        <v>25</v>
      </c>
      <c r="Q1009" s="5" t="s">
        <v>1245</v>
      </c>
      <c r="S1009" s="7">
        <f>IF(ISBLANK(M1009),"Aguardando Previsão/Data",NETWORKDAYS(L1009,M1009)-1)</f>
        <v>-3</v>
      </c>
      <c r="T1009" s="5" t="s">
        <v>942</v>
      </c>
    </row>
    <row r="1010" spans="1:20" x14ac:dyDescent="0.35">
      <c r="A1010" s="5">
        <v>8100271709</v>
      </c>
      <c r="B1010" s="5">
        <v>7077</v>
      </c>
      <c r="C1010" s="6">
        <v>45665</v>
      </c>
      <c r="D1010" s="5" t="s">
        <v>194</v>
      </c>
      <c r="E1010" s="5" t="s">
        <v>195</v>
      </c>
      <c r="F1010" s="5" t="s">
        <v>199</v>
      </c>
      <c r="G1010" s="5" t="s">
        <v>200</v>
      </c>
      <c r="H1010" s="5" t="s">
        <v>108</v>
      </c>
      <c r="I1010" s="5" t="s">
        <v>1191</v>
      </c>
      <c r="J1010" s="5" t="s">
        <v>590</v>
      </c>
      <c r="K1010" s="5" t="s">
        <v>198</v>
      </c>
      <c r="L1010" s="6">
        <v>45672</v>
      </c>
      <c r="M1010" s="6">
        <v>45671</v>
      </c>
      <c r="N1010" s="5" t="s">
        <v>811</v>
      </c>
      <c r="O1010" s="5" t="str">
        <f ca="1">IF(P1010&lt;&gt;"EXPEDIÇÃO","Expedido",IF(NETWORKDAYS(C1010,TODAY())&gt;=5,"Risco Alto",IF(NETWORKDAYS(C1010,TODAY())&gt;=3,IF(NETWORKDAYS(C1010,TODAY())&lt;5,"Risco Médio",""),IF(NETWORKDAYS(C1010,TODAY())&lt;=2,"Risco Baixo",""))))</f>
        <v>Expedido</v>
      </c>
      <c r="P1010" s="5" t="s">
        <v>25</v>
      </c>
      <c r="Q1010" s="5" t="s">
        <v>899</v>
      </c>
      <c r="S1010" s="7">
        <f>IF(ISBLANK(M1010),"Aguardando Previsão/Data",NETWORKDAYS(L1010,M1010)-1)</f>
        <v>-3</v>
      </c>
      <c r="T1010" s="5" t="s">
        <v>942</v>
      </c>
    </row>
    <row r="1011" spans="1:20" x14ac:dyDescent="0.35">
      <c r="A1011" s="5">
        <v>8100272289</v>
      </c>
      <c r="B1011" s="5">
        <v>7071</v>
      </c>
      <c r="C1011" s="6">
        <v>45665</v>
      </c>
      <c r="D1011" s="5" t="s">
        <v>194</v>
      </c>
      <c r="E1011" s="5" t="s">
        <v>195</v>
      </c>
      <c r="F1011" s="5" t="s">
        <v>406</v>
      </c>
      <c r="G1011" s="5" t="s">
        <v>407</v>
      </c>
      <c r="H1011" s="5" t="s">
        <v>108</v>
      </c>
      <c r="I1011" s="5" t="s">
        <v>201</v>
      </c>
      <c r="J1011" s="5" t="s">
        <v>202</v>
      </c>
      <c r="K1011" s="5" t="s">
        <v>198</v>
      </c>
      <c r="L1011" s="6">
        <v>45672</v>
      </c>
      <c r="M1011" s="6">
        <v>45671</v>
      </c>
      <c r="N1011" s="5" t="s">
        <v>811</v>
      </c>
      <c r="O1011" s="5" t="str">
        <f ca="1">IF(P1011&lt;&gt;"EXPEDIÇÃO","Expedido",IF(NETWORKDAYS(C1011,TODAY())&gt;=5,"Risco Alto",IF(NETWORKDAYS(C1011,TODAY())&gt;=3,IF(NETWORKDAYS(C1011,TODAY())&lt;5,"Risco Médio",""),IF(NETWORKDAYS(C1011,TODAY())&lt;=2,"Risco Baixo",""))))</f>
        <v>Expedido</v>
      </c>
      <c r="P1011" s="5" t="s">
        <v>25</v>
      </c>
      <c r="Q1011" s="5" t="s">
        <v>1245</v>
      </c>
      <c r="S1011" s="7">
        <f>IF(ISBLANK(M1011),"Aguardando Previsão/Data",NETWORKDAYS(L1011,M1011)-1)</f>
        <v>-3</v>
      </c>
      <c r="T1011" s="5" t="s">
        <v>942</v>
      </c>
    </row>
    <row r="1012" spans="1:20" x14ac:dyDescent="0.35">
      <c r="A1012" s="5">
        <v>8100272443</v>
      </c>
      <c r="B1012" s="5">
        <v>7079</v>
      </c>
      <c r="C1012" s="6">
        <v>45665</v>
      </c>
      <c r="D1012" s="5" t="s">
        <v>194</v>
      </c>
      <c r="E1012" s="5" t="s">
        <v>195</v>
      </c>
      <c r="F1012" s="5" t="s">
        <v>199</v>
      </c>
      <c r="G1012" s="5" t="s">
        <v>200</v>
      </c>
      <c r="H1012" s="5" t="s">
        <v>108</v>
      </c>
      <c r="I1012" s="5" t="s">
        <v>1223</v>
      </c>
      <c r="J1012" s="5" t="s">
        <v>205</v>
      </c>
      <c r="K1012" s="5" t="s">
        <v>198</v>
      </c>
      <c r="L1012" s="6">
        <v>45673</v>
      </c>
      <c r="M1012" s="6">
        <v>45671</v>
      </c>
      <c r="N1012" s="5" t="s">
        <v>811</v>
      </c>
      <c r="O1012" s="5" t="str">
        <f ca="1">IF(P1012&lt;&gt;"EXPEDIÇÃO","Expedido",IF(NETWORKDAYS(C1012,TODAY())&gt;=5,"Risco Alto",IF(NETWORKDAYS(C1012,TODAY())&gt;=3,IF(NETWORKDAYS(C1012,TODAY())&lt;5,"Risco Médio",""),IF(NETWORKDAYS(C1012,TODAY())&lt;=2,"Risco Baixo",""))))</f>
        <v>Expedido</v>
      </c>
      <c r="P1012" s="5" t="s">
        <v>25</v>
      </c>
      <c r="Q1012" s="5" t="s">
        <v>899</v>
      </c>
      <c r="S1012" s="7">
        <f>IF(ISBLANK(M1012),"Aguardando Previsão/Data",NETWORKDAYS(L1012,M1012)-1)</f>
        <v>-4</v>
      </c>
      <c r="T1012" s="5" t="s">
        <v>942</v>
      </c>
    </row>
    <row r="1013" spans="1:20" x14ac:dyDescent="0.35">
      <c r="A1013" s="5">
        <v>8100272478</v>
      </c>
      <c r="B1013" s="5">
        <v>7080</v>
      </c>
      <c r="C1013" s="6">
        <v>45665</v>
      </c>
      <c r="D1013" s="5" t="s">
        <v>194</v>
      </c>
      <c r="E1013" s="5" t="s">
        <v>195</v>
      </c>
      <c r="F1013" s="5" t="s">
        <v>406</v>
      </c>
      <c r="G1013" s="5" t="s">
        <v>407</v>
      </c>
      <c r="H1013" s="5" t="s">
        <v>108</v>
      </c>
      <c r="I1013" s="5" t="s">
        <v>1224</v>
      </c>
      <c r="J1013" s="5" t="s">
        <v>407</v>
      </c>
      <c r="K1013" s="5" t="s">
        <v>198</v>
      </c>
      <c r="L1013" s="6">
        <v>45671</v>
      </c>
      <c r="M1013" s="6">
        <v>45666</v>
      </c>
      <c r="N1013" s="5" t="s">
        <v>811</v>
      </c>
      <c r="O1013" s="5" t="str">
        <f ca="1">IF(P1013&lt;&gt;"EXPEDIÇÃO","Expedido",IF(NETWORKDAYS(C1013,TODAY())&gt;=5,"Risco Alto",IF(NETWORKDAYS(C1013,TODAY())&gt;=3,IF(NETWORKDAYS(C1013,TODAY())&lt;5,"Risco Médio",""),IF(NETWORKDAYS(C1013,TODAY())&lt;=2,"Risco Baixo",""))))</f>
        <v>Expedido</v>
      </c>
      <c r="P1013" s="5" t="s">
        <v>25</v>
      </c>
      <c r="S1013" s="7">
        <f>IF(ISBLANK(M1013),"Aguardando Previsão/Data",NETWORKDAYS(L1013,M1013)-1)</f>
        <v>-5</v>
      </c>
      <c r="T1013" s="5" t="s">
        <v>942</v>
      </c>
    </row>
    <row r="1014" spans="1:20" x14ac:dyDescent="0.35">
      <c r="A1014" s="5">
        <v>8100272756</v>
      </c>
      <c r="B1014" s="5">
        <v>14276</v>
      </c>
      <c r="C1014" s="6">
        <v>45665</v>
      </c>
      <c r="D1014" s="5" t="s">
        <v>211</v>
      </c>
      <c r="E1014" s="5" t="s">
        <v>212</v>
      </c>
      <c r="F1014" s="5" t="s">
        <v>58</v>
      </c>
      <c r="G1014" s="5" t="s">
        <v>59</v>
      </c>
      <c r="H1014" s="5" t="s">
        <v>108</v>
      </c>
      <c r="I1014" s="5" t="s">
        <v>634</v>
      </c>
      <c r="J1014" s="5" t="s">
        <v>214</v>
      </c>
      <c r="K1014" s="5" t="s">
        <v>119</v>
      </c>
      <c r="L1014" s="6">
        <v>45671</v>
      </c>
      <c r="M1014" s="6">
        <v>45671</v>
      </c>
      <c r="N1014" s="5" t="s">
        <v>811</v>
      </c>
      <c r="O1014" s="5" t="str">
        <f ca="1">IF(P1014&lt;&gt;"EXPEDIÇÃO","Expedido",IF(NETWORKDAYS(C1014,TODAY())&gt;=5,"Risco Alto",IF(NETWORKDAYS(C1014,TODAY())&gt;=3,IF(NETWORKDAYS(C1014,TODAY())&lt;5,"Risco Médio",""),IF(NETWORKDAYS(C1014,TODAY())&lt;=2,"Risco Baixo",""))))</f>
        <v>Expedido</v>
      </c>
      <c r="P1014" s="5" t="s">
        <v>25</v>
      </c>
      <c r="S1014" s="7">
        <f>IF(ISBLANK(M1014),"Aguardando Previsão/Data",NETWORKDAYS(L1014,M1014)-1)</f>
        <v>0</v>
      </c>
      <c r="T1014" s="5" t="s">
        <v>942</v>
      </c>
    </row>
    <row r="1015" spans="1:20" x14ac:dyDescent="0.35">
      <c r="A1015" s="5">
        <v>8100272757</v>
      </c>
      <c r="B1015" s="5">
        <v>14277</v>
      </c>
      <c r="C1015" s="6">
        <v>45665</v>
      </c>
      <c r="D1015" s="5" t="s">
        <v>211</v>
      </c>
      <c r="E1015" s="5" t="s">
        <v>212</v>
      </c>
      <c r="F1015" s="5" t="s">
        <v>58</v>
      </c>
      <c r="G1015" s="5" t="s">
        <v>59</v>
      </c>
      <c r="H1015" s="5" t="s">
        <v>108</v>
      </c>
      <c r="I1015" s="5" t="s">
        <v>1228</v>
      </c>
      <c r="J1015" s="5" t="s">
        <v>1229</v>
      </c>
      <c r="K1015" s="5" t="s">
        <v>119</v>
      </c>
      <c r="L1015" s="6">
        <v>45672</v>
      </c>
      <c r="M1015" s="6">
        <v>45672</v>
      </c>
      <c r="N1015" s="5" t="s">
        <v>811</v>
      </c>
      <c r="O1015" s="5" t="str">
        <f ca="1">IF(P1015&lt;&gt;"EXPEDIÇÃO","Expedido",IF(NETWORKDAYS(C1015,TODAY())&gt;=5,"Risco Alto",IF(NETWORKDAYS(C1015,TODAY())&gt;=3,IF(NETWORKDAYS(C1015,TODAY())&lt;5,"Risco Médio",""),IF(NETWORKDAYS(C1015,TODAY())&lt;=2,"Risco Baixo",""))))</f>
        <v>Expedido</v>
      </c>
      <c r="P1015" s="5" t="s">
        <v>25</v>
      </c>
      <c r="S1015" s="7">
        <f>IF(ISBLANK(M1015),"Aguardando Previsão/Data",NETWORKDAYS(L1015,M1015)-1)</f>
        <v>0</v>
      </c>
      <c r="T1015" s="5" t="s">
        <v>942</v>
      </c>
    </row>
    <row r="1016" spans="1:20" x14ac:dyDescent="0.35">
      <c r="A1016" s="5">
        <v>8100272874</v>
      </c>
      <c r="B1016" s="5">
        <v>14273</v>
      </c>
      <c r="C1016" s="6">
        <v>45665</v>
      </c>
      <c r="D1016" s="5" t="s">
        <v>211</v>
      </c>
      <c r="E1016" s="5" t="s">
        <v>212</v>
      </c>
      <c r="F1016" s="5" t="s">
        <v>171</v>
      </c>
      <c r="G1016" s="5" t="s">
        <v>172</v>
      </c>
      <c r="H1016" s="5" t="s">
        <v>108</v>
      </c>
      <c r="I1016" s="5" t="s">
        <v>216</v>
      </c>
      <c r="J1016" s="5" t="s">
        <v>217</v>
      </c>
      <c r="K1016" s="5" t="s">
        <v>170</v>
      </c>
      <c r="L1016" s="6">
        <v>45677</v>
      </c>
      <c r="M1016" s="6">
        <v>45675</v>
      </c>
      <c r="N1016" s="5" t="s">
        <v>811</v>
      </c>
      <c r="O1016" s="5" t="str">
        <f ca="1">IF(P1016&lt;&gt;"EXPEDIÇÃO","Expedido",IF(NETWORKDAYS(C1016,TODAY())&gt;=5,"Risco Alto",IF(NETWORKDAYS(C1016,TODAY())&gt;=3,IF(NETWORKDAYS(C1016,TODAY())&lt;5,"Risco Médio",""),IF(NETWORKDAYS(C1016,TODAY())&lt;=2,"Risco Baixo",""))))</f>
        <v>Expedido</v>
      </c>
      <c r="P1016" s="5" t="s">
        <v>25</v>
      </c>
      <c r="S1016" s="7">
        <f>IF(ISBLANK(M1016),"Aguardando Previsão/Data",NETWORKDAYS(L1016,M1016)-1)</f>
        <v>-2</v>
      </c>
      <c r="T1016" s="5" t="s">
        <v>942</v>
      </c>
    </row>
    <row r="1017" spans="1:20" x14ac:dyDescent="0.35">
      <c r="A1017" s="5">
        <v>8100272875</v>
      </c>
      <c r="B1017" s="5">
        <v>14274</v>
      </c>
      <c r="C1017" s="6">
        <v>45665</v>
      </c>
      <c r="D1017" s="5" t="s">
        <v>211</v>
      </c>
      <c r="E1017" s="5" t="s">
        <v>212</v>
      </c>
      <c r="F1017" s="5" t="s">
        <v>136</v>
      </c>
      <c r="G1017" s="5" t="s">
        <v>137</v>
      </c>
      <c r="H1017" s="5" t="s">
        <v>108</v>
      </c>
      <c r="I1017" s="5" t="s">
        <v>680</v>
      </c>
      <c r="J1017" s="5" t="s">
        <v>681</v>
      </c>
      <c r="K1017" s="5" t="s">
        <v>170</v>
      </c>
      <c r="L1017" s="6">
        <v>45677</v>
      </c>
      <c r="M1017" s="6">
        <v>45672</v>
      </c>
      <c r="N1017" s="5" t="s">
        <v>811</v>
      </c>
      <c r="O1017" s="5" t="str">
        <f ca="1">IF(P1017&lt;&gt;"EXPEDIÇÃO","Expedido",IF(NETWORKDAYS(C1017,TODAY())&gt;=5,"Risco Alto",IF(NETWORKDAYS(C1017,TODAY())&gt;=3,IF(NETWORKDAYS(C1017,TODAY())&lt;5,"Risco Médio",""),IF(NETWORKDAYS(C1017,TODAY())&lt;=2,"Risco Baixo",""))))</f>
        <v>Expedido</v>
      </c>
      <c r="P1017" s="5" t="s">
        <v>25</v>
      </c>
      <c r="S1017" s="7">
        <f>IF(ISBLANK(M1017),"Aguardando Previsão/Data",NETWORKDAYS(L1017,M1017)-1)</f>
        <v>-5</v>
      </c>
      <c r="T1017" s="5" t="s">
        <v>942</v>
      </c>
    </row>
    <row r="1018" spans="1:20" x14ac:dyDescent="0.35">
      <c r="A1018" s="5">
        <v>8100272835</v>
      </c>
      <c r="B1018" s="5">
        <v>12185</v>
      </c>
      <c r="C1018" s="6">
        <v>45665</v>
      </c>
      <c r="D1018" s="5" t="s">
        <v>158</v>
      </c>
      <c r="E1018" s="5" t="s">
        <v>159</v>
      </c>
      <c r="F1018" s="5" t="s">
        <v>176</v>
      </c>
      <c r="G1018" s="5" t="s">
        <v>177</v>
      </c>
      <c r="H1018" s="5" t="s">
        <v>108</v>
      </c>
      <c r="I1018" s="5" t="s">
        <v>1166</v>
      </c>
      <c r="J1018" s="5" t="s">
        <v>455</v>
      </c>
      <c r="K1018" s="5" t="s">
        <v>175</v>
      </c>
      <c r="L1018" s="6">
        <v>45674</v>
      </c>
      <c r="M1018" s="6">
        <v>45673</v>
      </c>
      <c r="N1018" s="5" t="s">
        <v>811</v>
      </c>
      <c r="O1018" s="5" t="str">
        <f ca="1">IF(P1018&lt;&gt;"EXPEDIÇÃO","Expedido",IF(NETWORKDAYS(C1018,TODAY())&gt;=5,"Risco Alto",IF(NETWORKDAYS(C1018,TODAY())&gt;=3,IF(NETWORKDAYS(C1018,TODAY())&lt;5,"Risco Médio",""),IF(NETWORKDAYS(C1018,TODAY())&lt;=2,"Risco Baixo",""))))</f>
        <v>Expedido</v>
      </c>
      <c r="P1018" s="5" t="s">
        <v>25</v>
      </c>
      <c r="S1018" s="7">
        <f>IF(ISBLANK(M1018),"Aguardando Previsão/Data",NETWORKDAYS(L1018,M1018)-1)</f>
        <v>-3</v>
      </c>
      <c r="T1018" s="5" t="s">
        <v>942</v>
      </c>
    </row>
    <row r="1019" spans="1:20" x14ac:dyDescent="0.35">
      <c r="A1019" s="5">
        <v>8100272836</v>
      </c>
      <c r="B1019" s="5">
        <v>12183</v>
      </c>
      <c r="C1019" s="6">
        <v>45665</v>
      </c>
      <c r="D1019" s="5" t="s">
        <v>158</v>
      </c>
      <c r="E1019" s="5" t="s">
        <v>159</v>
      </c>
      <c r="F1019" s="5" t="s">
        <v>176</v>
      </c>
      <c r="G1019" s="5" t="s">
        <v>177</v>
      </c>
      <c r="H1019" s="5" t="s">
        <v>108</v>
      </c>
      <c r="I1019" s="5" t="s">
        <v>915</v>
      </c>
      <c r="J1019" s="5" t="s">
        <v>455</v>
      </c>
      <c r="K1019" s="5" t="s">
        <v>175</v>
      </c>
      <c r="L1019" s="6">
        <v>45674</v>
      </c>
      <c r="M1019" s="6">
        <v>45673</v>
      </c>
      <c r="N1019" s="5" t="s">
        <v>811</v>
      </c>
      <c r="O1019" s="5" t="str">
        <f ca="1">IF(P1019&lt;&gt;"EXPEDIÇÃO","Expedido",IF(NETWORKDAYS(C1019,TODAY())&gt;=5,"Risco Alto",IF(NETWORKDAYS(C1019,TODAY())&gt;=3,IF(NETWORKDAYS(C1019,TODAY())&lt;5,"Risco Médio",""),IF(NETWORKDAYS(C1019,TODAY())&lt;=2,"Risco Baixo",""))))</f>
        <v>Expedido</v>
      </c>
      <c r="P1019" s="5" t="s">
        <v>25</v>
      </c>
      <c r="S1019" s="7">
        <f>IF(ISBLANK(M1019),"Aguardando Previsão/Data",NETWORKDAYS(L1019,M1019)-1)</f>
        <v>-3</v>
      </c>
      <c r="T1019" s="5" t="s">
        <v>942</v>
      </c>
    </row>
    <row r="1020" spans="1:20" x14ac:dyDescent="0.35">
      <c r="A1020" s="5">
        <v>8100272837</v>
      </c>
      <c r="B1020" s="5">
        <v>12182</v>
      </c>
      <c r="C1020" s="6">
        <v>45665</v>
      </c>
      <c r="D1020" s="5" t="s">
        <v>158</v>
      </c>
      <c r="E1020" s="5" t="s">
        <v>159</v>
      </c>
      <c r="F1020" s="5" t="s">
        <v>176</v>
      </c>
      <c r="G1020" s="5" t="s">
        <v>177</v>
      </c>
      <c r="H1020" s="5" t="s">
        <v>108</v>
      </c>
      <c r="I1020" s="5" t="s">
        <v>915</v>
      </c>
      <c r="J1020" s="5" t="s">
        <v>301</v>
      </c>
      <c r="K1020" s="5" t="s">
        <v>175</v>
      </c>
      <c r="L1020" s="6">
        <v>45673</v>
      </c>
      <c r="M1020" s="6">
        <v>45667</v>
      </c>
      <c r="N1020" s="5" t="s">
        <v>811</v>
      </c>
      <c r="O1020" s="5" t="str">
        <f ca="1">IF(P1020&lt;&gt;"EXPEDIÇÃO","Expedido",IF(NETWORKDAYS(C1020,TODAY())&gt;=5,"Risco Alto",IF(NETWORKDAYS(C1020,TODAY())&gt;=3,IF(NETWORKDAYS(C1020,TODAY())&lt;5,"Risco Médio",""),IF(NETWORKDAYS(C1020,TODAY())&lt;=2,"Risco Baixo",""))))</f>
        <v>Expedido</v>
      </c>
      <c r="P1020" s="5" t="s">
        <v>25</v>
      </c>
      <c r="S1020" s="7">
        <f>IF(ISBLANK(M1020),"Aguardando Previsão/Data",NETWORKDAYS(L1020,M1020)-1)</f>
        <v>-6</v>
      </c>
      <c r="T1020" s="5" t="s">
        <v>942</v>
      </c>
    </row>
    <row r="1021" spans="1:20" x14ac:dyDescent="0.35">
      <c r="A1021" s="5">
        <v>8100272838</v>
      </c>
      <c r="B1021" s="5">
        <v>12184</v>
      </c>
      <c r="C1021" s="6">
        <v>45665</v>
      </c>
      <c r="D1021" s="5" t="s">
        <v>158</v>
      </c>
      <c r="E1021" s="5" t="s">
        <v>159</v>
      </c>
      <c r="F1021" s="5" t="s">
        <v>176</v>
      </c>
      <c r="G1021" s="5" t="s">
        <v>177</v>
      </c>
      <c r="H1021" s="5" t="s">
        <v>108</v>
      </c>
      <c r="I1021" s="5" t="s">
        <v>915</v>
      </c>
      <c r="J1021" s="5" t="s">
        <v>1145</v>
      </c>
      <c r="K1021" s="5" t="s">
        <v>170</v>
      </c>
      <c r="L1021" s="6">
        <v>45672</v>
      </c>
      <c r="M1021" s="6">
        <v>45666</v>
      </c>
      <c r="N1021" s="5" t="s">
        <v>811</v>
      </c>
      <c r="O1021" s="5" t="str">
        <f ca="1">IF(P1021&lt;&gt;"EXPEDIÇÃO","Expedido",IF(NETWORKDAYS(C1021,TODAY())&gt;=5,"Risco Alto",IF(NETWORKDAYS(C1021,TODAY())&gt;=3,IF(NETWORKDAYS(C1021,TODAY())&lt;5,"Risco Médio",""),IF(NETWORKDAYS(C1021,TODAY())&lt;=2,"Risco Baixo",""))))</f>
        <v>Expedido</v>
      </c>
      <c r="P1021" s="5" t="s">
        <v>25</v>
      </c>
      <c r="S1021" s="7">
        <f>IF(ISBLANK(M1021),"Aguardando Previsão/Data",NETWORKDAYS(L1021,M1021)-1)</f>
        <v>-6</v>
      </c>
      <c r="T1021" s="5" t="s">
        <v>942</v>
      </c>
    </row>
    <row r="1022" spans="1:20" x14ac:dyDescent="0.35">
      <c r="A1022" s="5">
        <v>8100272841</v>
      </c>
      <c r="B1022" s="5">
        <v>12186</v>
      </c>
      <c r="C1022" s="6">
        <v>45665</v>
      </c>
      <c r="D1022" s="5" t="s">
        <v>158</v>
      </c>
      <c r="E1022" s="5" t="s">
        <v>159</v>
      </c>
      <c r="F1022" s="5" t="s">
        <v>176</v>
      </c>
      <c r="G1022" s="5" t="s">
        <v>177</v>
      </c>
      <c r="H1022" s="5" t="s">
        <v>108</v>
      </c>
      <c r="I1022" s="5" t="s">
        <v>915</v>
      </c>
      <c r="J1022" s="5" t="s">
        <v>1145</v>
      </c>
      <c r="K1022" s="5" t="s">
        <v>170</v>
      </c>
      <c r="L1022" s="6">
        <v>45672</v>
      </c>
      <c r="M1022" s="6">
        <v>45666</v>
      </c>
      <c r="N1022" s="5" t="s">
        <v>811</v>
      </c>
      <c r="O1022" s="5" t="str">
        <f ca="1">IF(P1022&lt;&gt;"EXPEDIÇÃO","Expedido",IF(NETWORKDAYS(C1022,TODAY())&gt;=5,"Risco Alto",IF(NETWORKDAYS(C1022,TODAY())&gt;=3,IF(NETWORKDAYS(C1022,TODAY())&lt;5,"Risco Médio",""),IF(NETWORKDAYS(C1022,TODAY())&lt;=2,"Risco Baixo",""))))</f>
        <v>Expedido</v>
      </c>
      <c r="P1022" s="5" t="s">
        <v>25</v>
      </c>
      <c r="S1022" s="7">
        <f>IF(ISBLANK(M1022),"Aguardando Previsão/Data",NETWORKDAYS(L1022,M1022)-1)</f>
        <v>-6</v>
      </c>
      <c r="T1022" s="5" t="s">
        <v>942</v>
      </c>
    </row>
    <row r="1023" spans="1:20" x14ac:dyDescent="0.35">
      <c r="A1023" s="5">
        <v>8100272871</v>
      </c>
      <c r="B1023" s="5">
        <v>12190</v>
      </c>
      <c r="C1023" s="6">
        <v>45665</v>
      </c>
      <c r="D1023" s="5" t="s">
        <v>158</v>
      </c>
      <c r="E1023" s="5" t="s">
        <v>159</v>
      </c>
      <c r="F1023" s="5" t="s">
        <v>176</v>
      </c>
      <c r="G1023" s="5" t="s">
        <v>177</v>
      </c>
      <c r="H1023" s="5" t="s">
        <v>108</v>
      </c>
      <c r="I1023" s="5" t="s">
        <v>929</v>
      </c>
      <c r="J1023" s="5" t="s">
        <v>348</v>
      </c>
      <c r="K1023" s="5" t="s">
        <v>175</v>
      </c>
      <c r="L1023" s="6">
        <v>45673</v>
      </c>
      <c r="M1023" s="6">
        <v>45673</v>
      </c>
      <c r="N1023" s="5" t="s">
        <v>811</v>
      </c>
      <c r="O1023" s="5" t="str">
        <f ca="1">IF(P1023&lt;&gt;"EXPEDIÇÃO","Expedido",IF(NETWORKDAYS(C1023,TODAY())&gt;=5,"Risco Alto",IF(NETWORKDAYS(C1023,TODAY())&gt;=3,IF(NETWORKDAYS(C1023,TODAY())&lt;5,"Risco Médio",""),IF(NETWORKDAYS(C1023,TODAY())&lt;=2,"Risco Baixo",""))))</f>
        <v>Expedido</v>
      </c>
      <c r="P1023" s="5" t="s">
        <v>25</v>
      </c>
      <c r="S1023" s="7">
        <f>IF(ISBLANK(M1023),"Aguardando Previsão/Data",NETWORKDAYS(L1023,M1023)-1)</f>
        <v>0</v>
      </c>
      <c r="T1023" s="5" t="s">
        <v>942</v>
      </c>
    </row>
    <row r="1024" spans="1:20" x14ac:dyDescent="0.35">
      <c r="A1024" s="5">
        <v>8100272872</v>
      </c>
      <c r="B1024" s="5">
        <v>12191</v>
      </c>
      <c r="C1024" s="6">
        <v>45665</v>
      </c>
      <c r="D1024" s="5" t="s">
        <v>158</v>
      </c>
      <c r="E1024" s="5" t="s">
        <v>159</v>
      </c>
      <c r="F1024" s="5" t="s">
        <v>147</v>
      </c>
      <c r="G1024" s="5" t="s">
        <v>148</v>
      </c>
      <c r="H1024" s="5" t="s">
        <v>108</v>
      </c>
      <c r="I1024" s="5" t="s">
        <v>82</v>
      </c>
      <c r="J1024" s="5" t="s">
        <v>296</v>
      </c>
      <c r="K1024" s="5" t="s">
        <v>80</v>
      </c>
      <c r="L1024" s="6">
        <v>45673</v>
      </c>
      <c r="M1024" s="6">
        <v>45667</v>
      </c>
      <c r="N1024" s="5" t="s">
        <v>811</v>
      </c>
      <c r="O1024" s="5" t="str">
        <f ca="1">IF(P1024&lt;&gt;"EXPEDIÇÃO","Expedido",IF(NETWORKDAYS(C1024,TODAY())&gt;=5,"Risco Alto",IF(NETWORKDAYS(C1024,TODAY())&gt;=3,IF(NETWORKDAYS(C1024,TODAY())&lt;5,"Risco Médio",""),IF(NETWORKDAYS(C1024,TODAY())&lt;=2,"Risco Baixo",""))))</f>
        <v>Expedido</v>
      </c>
      <c r="P1024" s="5" t="s">
        <v>25</v>
      </c>
      <c r="S1024" s="7">
        <f>IF(ISBLANK(M1024),"Aguardando Previsão/Data",NETWORKDAYS(L1024,M1024)-1)</f>
        <v>-6</v>
      </c>
      <c r="T1024" s="5" t="s">
        <v>942</v>
      </c>
    </row>
    <row r="1025" spans="1:20" x14ac:dyDescent="0.35">
      <c r="A1025" s="5">
        <v>8100272978</v>
      </c>
      <c r="B1025" s="5">
        <v>12187</v>
      </c>
      <c r="C1025" s="6">
        <v>45665</v>
      </c>
      <c r="D1025" s="5" t="s">
        <v>158</v>
      </c>
      <c r="E1025" s="5" t="s">
        <v>159</v>
      </c>
      <c r="F1025" s="5" t="s">
        <v>176</v>
      </c>
      <c r="G1025" s="5" t="s">
        <v>177</v>
      </c>
      <c r="H1025" s="5" t="s">
        <v>108</v>
      </c>
      <c r="I1025" s="5" t="s">
        <v>299</v>
      </c>
      <c r="J1025" s="5" t="s">
        <v>300</v>
      </c>
      <c r="K1025" s="5" t="s">
        <v>175</v>
      </c>
      <c r="L1025" s="6">
        <v>45677</v>
      </c>
      <c r="M1025" s="6">
        <v>45674</v>
      </c>
      <c r="N1025" s="5" t="s">
        <v>811</v>
      </c>
      <c r="O1025" s="5" t="str">
        <f ca="1">IF(P1025&lt;&gt;"EXPEDIÇÃO","Expedido",IF(NETWORKDAYS(C1025,TODAY())&gt;=5,"Risco Alto",IF(NETWORKDAYS(C1025,TODAY())&gt;=3,IF(NETWORKDAYS(C1025,TODAY())&lt;5,"Risco Médio",""),IF(NETWORKDAYS(C1025,TODAY())&lt;=2,"Risco Baixo",""))))</f>
        <v>Expedido</v>
      </c>
      <c r="P1025" s="5" t="s">
        <v>25</v>
      </c>
      <c r="S1025" s="7">
        <f>IF(ISBLANK(M1025),"Aguardando Previsão/Data",NETWORKDAYS(L1025,M1025)-1)</f>
        <v>-3</v>
      </c>
      <c r="T1025" s="5" t="s">
        <v>942</v>
      </c>
    </row>
    <row r="1026" spans="1:20" x14ac:dyDescent="0.35">
      <c r="A1026" s="5">
        <v>8100272979</v>
      </c>
      <c r="B1026" s="5">
        <v>12188</v>
      </c>
      <c r="C1026" s="6">
        <v>45665</v>
      </c>
      <c r="D1026" s="5" t="s">
        <v>158</v>
      </c>
      <c r="E1026" s="5" t="s">
        <v>159</v>
      </c>
      <c r="F1026" s="5" t="s">
        <v>176</v>
      </c>
      <c r="G1026" s="5" t="s">
        <v>177</v>
      </c>
      <c r="H1026" s="5" t="s">
        <v>108</v>
      </c>
      <c r="I1026" s="5" t="s">
        <v>299</v>
      </c>
      <c r="J1026" s="5" t="s">
        <v>300</v>
      </c>
      <c r="K1026" s="5" t="s">
        <v>175</v>
      </c>
      <c r="L1026" s="6">
        <v>45677</v>
      </c>
      <c r="M1026" s="6">
        <v>45674</v>
      </c>
      <c r="N1026" s="5" t="s">
        <v>811</v>
      </c>
      <c r="O1026" s="5" t="str">
        <f ca="1">IF(P1026&lt;&gt;"EXPEDIÇÃO","Expedido",IF(NETWORKDAYS(C1026,TODAY())&gt;=5,"Risco Alto",IF(NETWORKDAYS(C1026,TODAY())&gt;=3,IF(NETWORKDAYS(C1026,TODAY())&lt;5,"Risco Médio",""),IF(NETWORKDAYS(C1026,TODAY())&lt;=2,"Risco Baixo",""))))</f>
        <v>Expedido</v>
      </c>
      <c r="P1026" s="5" t="s">
        <v>25</v>
      </c>
      <c r="S1026" s="7">
        <f>IF(ISBLANK(M1026),"Aguardando Previsão/Data",NETWORKDAYS(L1026,M1026)-1)</f>
        <v>-3</v>
      </c>
      <c r="T1026" s="5" t="s">
        <v>942</v>
      </c>
    </row>
    <row r="1027" spans="1:20" x14ac:dyDescent="0.35">
      <c r="A1027" s="5">
        <v>8100272980</v>
      </c>
      <c r="B1027" s="5">
        <v>12189</v>
      </c>
      <c r="C1027" s="6">
        <v>45665</v>
      </c>
      <c r="D1027" s="5" t="s">
        <v>158</v>
      </c>
      <c r="E1027" s="5" t="s">
        <v>159</v>
      </c>
      <c r="F1027" s="5" t="s">
        <v>176</v>
      </c>
      <c r="G1027" s="5" t="s">
        <v>177</v>
      </c>
      <c r="H1027" s="5" t="s">
        <v>108</v>
      </c>
      <c r="I1027" s="5" t="s">
        <v>299</v>
      </c>
      <c r="J1027" s="5" t="s">
        <v>300</v>
      </c>
      <c r="K1027" s="5" t="s">
        <v>175</v>
      </c>
      <c r="L1027" s="6">
        <v>45677</v>
      </c>
      <c r="M1027" s="6">
        <v>45674</v>
      </c>
      <c r="N1027" s="5" t="s">
        <v>811</v>
      </c>
      <c r="O1027" s="5" t="str">
        <f ca="1">IF(P1027&lt;&gt;"EXPEDIÇÃO","Expedido",IF(NETWORKDAYS(C1027,TODAY())&gt;=5,"Risco Alto",IF(NETWORKDAYS(C1027,TODAY())&gt;=3,IF(NETWORKDAYS(C1027,TODAY())&lt;5,"Risco Médio",""),IF(NETWORKDAYS(C1027,TODAY())&lt;=2,"Risco Baixo",""))))</f>
        <v>Expedido</v>
      </c>
      <c r="P1027" s="5" t="s">
        <v>25</v>
      </c>
      <c r="S1027" s="7">
        <f>IF(ISBLANK(M1027),"Aguardando Previsão/Data",NETWORKDAYS(L1027,M1027)-1)</f>
        <v>-3</v>
      </c>
      <c r="T1027" s="5" t="s">
        <v>942</v>
      </c>
    </row>
    <row r="1028" spans="1:20" x14ac:dyDescent="0.35">
      <c r="A1028" s="5">
        <v>8100273289</v>
      </c>
      <c r="B1028" s="5">
        <v>12192</v>
      </c>
      <c r="C1028" s="6">
        <v>45665</v>
      </c>
      <c r="D1028" s="5" t="s">
        <v>158</v>
      </c>
      <c r="E1028" s="5" t="s">
        <v>159</v>
      </c>
      <c r="F1028" s="5" t="s">
        <v>167</v>
      </c>
      <c r="G1028" s="5" t="s">
        <v>168</v>
      </c>
      <c r="H1028" s="5" t="s">
        <v>108</v>
      </c>
      <c r="I1028" s="5" t="s">
        <v>652</v>
      </c>
      <c r="J1028" s="5" t="s">
        <v>653</v>
      </c>
      <c r="K1028" s="5" t="s">
        <v>170</v>
      </c>
      <c r="L1028" s="6">
        <v>45672</v>
      </c>
      <c r="M1028" s="6">
        <v>45671</v>
      </c>
      <c r="N1028" s="5" t="s">
        <v>811</v>
      </c>
      <c r="O1028" s="5" t="str">
        <f ca="1">IF(P1028&lt;&gt;"EXPEDIÇÃO","Expedido",IF(NETWORKDAYS(C1028,TODAY())&gt;=5,"Risco Alto",IF(NETWORKDAYS(C1028,TODAY())&gt;=3,IF(NETWORKDAYS(C1028,TODAY())&lt;5,"Risco Médio",""),IF(NETWORKDAYS(C1028,TODAY())&lt;=2,"Risco Baixo",""))))</f>
        <v>Expedido</v>
      </c>
      <c r="P1028" s="5" t="s">
        <v>25</v>
      </c>
      <c r="S1028" s="7">
        <f>IF(ISBLANK(M1028),"Aguardando Previsão/Data",NETWORKDAYS(L1028,M1028)-1)</f>
        <v>-3</v>
      </c>
      <c r="T1028" s="5" t="s">
        <v>942</v>
      </c>
    </row>
    <row r="1029" spans="1:20" x14ac:dyDescent="0.35">
      <c r="A1029" s="5">
        <v>8100273546</v>
      </c>
      <c r="B1029" s="5">
        <v>17274</v>
      </c>
      <c r="C1029" s="6">
        <v>45666</v>
      </c>
      <c r="D1029" s="5" t="s">
        <v>51</v>
      </c>
      <c r="E1029" s="5" t="s">
        <v>52</v>
      </c>
      <c r="F1029" s="5" t="s">
        <v>66</v>
      </c>
      <c r="G1029" s="5" t="s">
        <v>67</v>
      </c>
      <c r="H1029" s="5" t="s">
        <v>21</v>
      </c>
      <c r="I1029" s="5" t="s">
        <v>1174</v>
      </c>
      <c r="J1029" s="5" t="s">
        <v>1055</v>
      </c>
      <c r="K1029" s="5" t="s">
        <v>57</v>
      </c>
      <c r="L1029" s="6">
        <v>45674</v>
      </c>
      <c r="M1029" s="6">
        <v>45670</v>
      </c>
      <c r="N1029" s="6" t="s">
        <v>811</v>
      </c>
      <c r="O1029" s="5" t="str">
        <f ca="1">IF(P1029&lt;&gt;"EXPEDIÇÃO","Expedido",IF(NETWORKDAYS(C1029,TODAY())&gt;=5,"Risco Alto",IF(NETWORKDAYS(C1029,TODAY())&gt;=3,IF(NETWORKDAYS(C1029,TODAY())&lt;5,"Risco Médio",""),IF(NETWORKDAYS(C1029,TODAY())&lt;=2,"Risco Baixo",""))))</f>
        <v>Expedido</v>
      </c>
      <c r="P1029" s="5" t="s">
        <v>25</v>
      </c>
      <c r="S1029" s="7">
        <f>IF(ISBLANK(M1029),"Aguardando Previsão/Data",NETWORKDAYS(L1029,M1029)-1)</f>
        <v>-6</v>
      </c>
      <c r="T1029" s="5" t="s">
        <v>942</v>
      </c>
    </row>
    <row r="1030" spans="1:20" x14ac:dyDescent="0.35">
      <c r="A1030" s="5">
        <v>8100273547</v>
      </c>
      <c r="B1030" s="5">
        <v>17275</v>
      </c>
      <c r="C1030" s="6">
        <v>45666</v>
      </c>
      <c r="D1030" s="5" t="s">
        <v>51</v>
      </c>
      <c r="E1030" s="5" t="s">
        <v>52</v>
      </c>
      <c r="F1030" s="5" t="s">
        <v>329</v>
      </c>
      <c r="G1030" s="5" t="s">
        <v>330</v>
      </c>
      <c r="H1030" s="5" t="s">
        <v>21</v>
      </c>
      <c r="I1030" s="5" t="s">
        <v>1263</v>
      </c>
      <c r="J1030" s="5" t="s">
        <v>611</v>
      </c>
      <c r="K1030" s="5" t="s">
        <v>57</v>
      </c>
      <c r="L1030" s="6">
        <v>45672</v>
      </c>
      <c r="M1030" s="6">
        <v>45670</v>
      </c>
      <c r="N1030" s="6" t="s">
        <v>811</v>
      </c>
      <c r="O1030" s="5" t="str">
        <f ca="1">IF(P1030&lt;&gt;"EXPEDIÇÃO","Expedido",IF(NETWORKDAYS(C1030,TODAY())&gt;=5,"Risco Alto",IF(NETWORKDAYS(C1030,TODAY())&gt;=3,IF(NETWORKDAYS(C1030,TODAY())&lt;5,"Risco Médio",""),IF(NETWORKDAYS(C1030,TODAY())&lt;=2,"Risco Baixo",""))))</f>
        <v>Expedido</v>
      </c>
      <c r="P1030" s="5" t="s">
        <v>25</v>
      </c>
      <c r="S1030" s="7">
        <f>IF(ISBLANK(M1030),"Aguardando Previsão/Data",NETWORKDAYS(L1030,M1030)-1)</f>
        <v>-4</v>
      </c>
      <c r="T1030" s="5" t="s">
        <v>942</v>
      </c>
    </row>
    <row r="1031" spans="1:20" x14ac:dyDescent="0.35">
      <c r="A1031" s="5">
        <v>8100273548</v>
      </c>
      <c r="B1031" s="5">
        <v>17272</v>
      </c>
      <c r="C1031" s="6">
        <v>45666</v>
      </c>
      <c r="D1031" s="5" t="s">
        <v>51</v>
      </c>
      <c r="E1031" s="5" t="s">
        <v>52</v>
      </c>
      <c r="F1031" s="5" t="s">
        <v>329</v>
      </c>
      <c r="G1031" s="5" t="s">
        <v>330</v>
      </c>
      <c r="H1031" s="5" t="s">
        <v>21</v>
      </c>
      <c r="I1031" s="5" t="s">
        <v>675</v>
      </c>
      <c r="J1031" s="5" t="s">
        <v>676</v>
      </c>
      <c r="K1031" s="5" t="s">
        <v>57</v>
      </c>
      <c r="L1031" s="6">
        <v>45671</v>
      </c>
      <c r="M1031" s="6">
        <v>45670</v>
      </c>
      <c r="N1031" s="6" t="s">
        <v>811</v>
      </c>
      <c r="O1031" s="5" t="str">
        <f ca="1">IF(P1031&lt;&gt;"EXPEDIÇÃO","Expedido",IF(NETWORKDAYS(C1031,TODAY())&gt;=5,"Risco Alto",IF(NETWORKDAYS(C1031,TODAY())&gt;=3,IF(NETWORKDAYS(C1031,TODAY())&lt;5,"Risco Médio",""),IF(NETWORKDAYS(C1031,TODAY())&lt;=2,"Risco Baixo",""))))</f>
        <v>Expedido</v>
      </c>
      <c r="P1031" s="5" t="s">
        <v>25</v>
      </c>
      <c r="S1031" s="7">
        <f>IF(ISBLANK(M1031),"Aguardando Previsão/Data",NETWORKDAYS(L1031,M1031)-1)</f>
        <v>-3</v>
      </c>
      <c r="T1031" s="5" t="s">
        <v>942</v>
      </c>
    </row>
    <row r="1032" spans="1:20" x14ac:dyDescent="0.35">
      <c r="A1032" s="5">
        <v>8100273549</v>
      </c>
      <c r="B1032" s="5">
        <v>17273</v>
      </c>
      <c r="C1032" s="6">
        <v>45666</v>
      </c>
      <c r="D1032" s="5" t="s">
        <v>51</v>
      </c>
      <c r="E1032" s="5" t="s">
        <v>52</v>
      </c>
      <c r="F1032" s="5" t="s">
        <v>329</v>
      </c>
      <c r="G1032" s="5" t="s">
        <v>330</v>
      </c>
      <c r="H1032" s="5" t="s">
        <v>21</v>
      </c>
      <c r="I1032" s="5" t="s">
        <v>675</v>
      </c>
      <c r="J1032" s="5" t="s">
        <v>676</v>
      </c>
      <c r="K1032" s="5" t="s">
        <v>57</v>
      </c>
      <c r="L1032" s="6">
        <v>45671</v>
      </c>
      <c r="M1032" s="6">
        <v>45670</v>
      </c>
      <c r="N1032" s="6" t="s">
        <v>811</v>
      </c>
      <c r="O1032" s="5" t="str">
        <f ca="1">IF(P1032&lt;&gt;"EXPEDIÇÃO","Expedido",IF(NETWORKDAYS(C1032,TODAY())&gt;=5,"Risco Alto",IF(NETWORKDAYS(C1032,TODAY())&gt;=3,IF(NETWORKDAYS(C1032,TODAY())&lt;5,"Risco Médio",""),IF(NETWORKDAYS(C1032,TODAY())&lt;=2,"Risco Baixo",""))))</f>
        <v>Expedido</v>
      </c>
      <c r="P1032" s="5" t="s">
        <v>25</v>
      </c>
      <c r="S1032" s="7">
        <f>IF(ISBLANK(M1032),"Aguardando Previsão/Data",NETWORKDAYS(L1032,M1032)-1)</f>
        <v>-3</v>
      </c>
      <c r="T1032" s="5" t="s">
        <v>942</v>
      </c>
    </row>
    <row r="1033" spans="1:20" x14ac:dyDescent="0.35">
      <c r="A1033" s="5">
        <v>8100273550</v>
      </c>
      <c r="B1033" s="5">
        <v>17271</v>
      </c>
      <c r="C1033" s="6">
        <v>45666</v>
      </c>
      <c r="D1033" s="5" t="s">
        <v>51</v>
      </c>
      <c r="E1033" s="5" t="s">
        <v>52</v>
      </c>
      <c r="F1033" s="5" t="s">
        <v>329</v>
      </c>
      <c r="G1033" s="5" t="s">
        <v>330</v>
      </c>
      <c r="H1033" s="5" t="s">
        <v>21</v>
      </c>
      <c r="I1033" s="5" t="s">
        <v>752</v>
      </c>
      <c r="J1033" s="5" t="s">
        <v>267</v>
      </c>
      <c r="K1033" s="5" t="s">
        <v>57</v>
      </c>
      <c r="L1033" s="6">
        <v>45671</v>
      </c>
      <c r="M1033" s="6">
        <v>45671</v>
      </c>
      <c r="N1033" s="6" t="s">
        <v>811</v>
      </c>
      <c r="O1033" s="5" t="str">
        <f ca="1">IF(P1033&lt;&gt;"EXPEDIÇÃO","Expedido",IF(NETWORKDAYS(C1033,TODAY())&gt;=5,"Risco Alto",IF(NETWORKDAYS(C1033,TODAY())&gt;=3,IF(NETWORKDAYS(C1033,TODAY())&lt;5,"Risco Médio",""),IF(NETWORKDAYS(C1033,TODAY())&lt;=2,"Risco Baixo",""))))</f>
        <v>Expedido</v>
      </c>
      <c r="P1033" s="5" t="s">
        <v>25</v>
      </c>
      <c r="Q1033" s="5" t="s">
        <v>898</v>
      </c>
      <c r="S1033" s="7">
        <f>IF(ISBLANK(M1033),"Aguardando Previsão/Data",NETWORKDAYS(L1033,M1033)-1)</f>
        <v>0</v>
      </c>
      <c r="T1033" s="5" t="s">
        <v>942</v>
      </c>
    </row>
    <row r="1034" spans="1:20" x14ac:dyDescent="0.35">
      <c r="A1034" s="5">
        <v>8100273725</v>
      </c>
      <c r="B1034" s="5">
        <v>17278</v>
      </c>
      <c r="C1034" s="6">
        <v>45666</v>
      </c>
      <c r="D1034" s="5" t="s">
        <v>51</v>
      </c>
      <c r="E1034" s="5" t="s">
        <v>52</v>
      </c>
      <c r="F1034" s="5" t="s">
        <v>58</v>
      </c>
      <c r="G1034" s="5" t="s">
        <v>59</v>
      </c>
      <c r="H1034" s="5" t="s">
        <v>21</v>
      </c>
      <c r="I1034" s="5" t="s">
        <v>269</v>
      </c>
      <c r="J1034" s="5" t="s">
        <v>270</v>
      </c>
      <c r="K1034" s="5" t="s">
        <v>57</v>
      </c>
      <c r="L1034" s="6">
        <v>45674</v>
      </c>
      <c r="M1034" s="6">
        <v>45671</v>
      </c>
      <c r="N1034" s="6" t="s">
        <v>811</v>
      </c>
      <c r="O1034" s="5" t="str">
        <f ca="1">IF(P1034&lt;&gt;"EXPEDIÇÃO","Expedido",IF(NETWORKDAYS(C1034,TODAY())&gt;=5,"Risco Alto",IF(NETWORKDAYS(C1034,TODAY())&gt;=3,IF(NETWORKDAYS(C1034,TODAY())&lt;5,"Risco Médio",""),IF(NETWORKDAYS(C1034,TODAY())&lt;=2,"Risco Baixo",""))))</f>
        <v>Expedido</v>
      </c>
      <c r="P1034" s="5" t="s">
        <v>25</v>
      </c>
      <c r="S1034" s="7">
        <f>IF(ISBLANK(M1034),"Aguardando Previsão/Data",NETWORKDAYS(L1034,M1034)-1)</f>
        <v>-5</v>
      </c>
      <c r="T1034" s="5" t="s">
        <v>942</v>
      </c>
    </row>
    <row r="1035" spans="1:20" x14ac:dyDescent="0.35">
      <c r="A1035" s="5">
        <v>8100273726</v>
      </c>
      <c r="B1035" s="5">
        <v>17276</v>
      </c>
      <c r="C1035" s="6">
        <v>45666</v>
      </c>
      <c r="D1035" s="5" t="s">
        <v>51</v>
      </c>
      <c r="E1035" s="5" t="s">
        <v>52</v>
      </c>
      <c r="F1035" s="5" t="s">
        <v>58</v>
      </c>
      <c r="G1035" s="5" t="s">
        <v>59</v>
      </c>
      <c r="H1035" s="5" t="s">
        <v>21</v>
      </c>
      <c r="I1035" s="5" t="s">
        <v>748</v>
      </c>
      <c r="J1035" s="5" t="s">
        <v>620</v>
      </c>
      <c r="K1035" s="5" t="s">
        <v>57</v>
      </c>
      <c r="L1035" s="6">
        <v>45674</v>
      </c>
      <c r="M1035" s="6">
        <v>45670</v>
      </c>
      <c r="N1035" s="6" t="s">
        <v>811</v>
      </c>
      <c r="O1035" s="5" t="str">
        <f ca="1">IF(P1035&lt;&gt;"EXPEDIÇÃO","Expedido",IF(NETWORKDAYS(C1035,TODAY())&gt;=5,"Risco Alto",IF(NETWORKDAYS(C1035,TODAY())&gt;=3,IF(NETWORKDAYS(C1035,TODAY())&lt;5,"Risco Médio",""),IF(NETWORKDAYS(C1035,TODAY())&lt;=2,"Risco Baixo",""))))</f>
        <v>Expedido</v>
      </c>
      <c r="P1035" s="5" t="s">
        <v>25</v>
      </c>
      <c r="Q1035" s="5" t="s">
        <v>1032</v>
      </c>
      <c r="R1035" s="5">
        <v>1676927</v>
      </c>
      <c r="S1035" s="7">
        <f>IF(ISBLANK(M1035),"Aguardando Previsão/Data",NETWORKDAYS(L1035,M1035)-1)</f>
        <v>-6</v>
      </c>
      <c r="T1035" s="5" t="s">
        <v>942</v>
      </c>
    </row>
    <row r="1036" spans="1:20" x14ac:dyDescent="0.35">
      <c r="A1036" s="5">
        <v>8100273727</v>
      </c>
      <c r="B1036" s="5">
        <v>17277</v>
      </c>
      <c r="C1036" s="6">
        <v>45666</v>
      </c>
      <c r="D1036" s="5" t="s">
        <v>51</v>
      </c>
      <c r="E1036" s="5" t="s">
        <v>52</v>
      </c>
      <c r="F1036" s="5" t="s">
        <v>58</v>
      </c>
      <c r="G1036" s="5" t="s">
        <v>59</v>
      </c>
      <c r="H1036" s="5" t="s">
        <v>21</v>
      </c>
      <c r="I1036" s="5" t="s">
        <v>748</v>
      </c>
      <c r="J1036" s="5" t="s">
        <v>620</v>
      </c>
      <c r="K1036" s="5" t="s">
        <v>57</v>
      </c>
      <c r="L1036" s="6">
        <v>45674</v>
      </c>
      <c r="M1036" s="6">
        <v>45670</v>
      </c>
      <c r="N1036" s="6" t="s">
        <v>811</v>
      </c>
      <c r="O1036" s="5" t="str">
        <f ca="1">IF(P1036&lt;&gt;"EXPEDIÇÃO","Expedido",IF(NETWORKDAYS(C1036,TODAY())&gt;=5,"Risco Alto",IF(NETWORKDAYS(C1036,TODAY())&gt;=3,IF(NETWORKDAYS(C1036,TODAY())&lt;5,"Risco Médio",""),IF(NETWORKDAYS(C1036,TODAY())&lt;=2,"Risco Baixo",""))))</f>
        <v>Expedido</v>
      </c>
      <c r="P1036" s="5" t="s">
        <v>25</v>
      </c>
      <c r="Q1036" s="5" t="s">
        <v>1032</v>
      </c>
      <c r="R1036" s="5">
        <v>1676927</v>
      </c>
      <c r="S1036" s="7">
        <f>IF(ISBLANK(M1036),"Aguardando Previsão/Data",NETWORKDAYS(L1036,M1036)-1)</f>
        <v>-6</v>
      </c>
      <c r="T1036" s="5" t="s">
        <v>942</v>
      </c>
    </row>
    <row r="1037" spans="1:20" x14ac:dyDescent="0.35">
      <c r="A1037" s="5">
        <v>8100273728</v>
      </c>
      <c r="B1037" s="5">
        <v>17279</v>
      </c>
      <c r="C1037" s="6">
        <v>45666</v>
      </c>
      <c r="D1037" s="5" t="s">
        <v>51</v>
      </c>
      <c r="E1037" s="5" t="s">
        <v>52</v>
      </c>
      <c r="F1037" s="5" t="s">
        <v>329</v>
      </c>
      <c r="G1037" s="5" t="s">
        <v>330</v>
      </c>
      <c r="H1037" s="5" t="s">
        <v>21</v>
      </c>
      <c r="I1037" s="5" t="s">
        <v>970</v>
      </c>
      <c r="J1037" s="5" t="s">
        <v>436</v>
      </c>
      <c r="K1037" s="5" t="s">
        <v>57</v>
      </c>
      <c r="L1037" s="6">
        <v>45672</v>
      </c>
      <c r="M1037" s="6">
        <v>45670</v>
      </c>
      <c r="N1037" s="6" t="s">
        <v>811</v>
      </c>
      <c r="O1037" s="5" t="str">
        <f ca="1">IF(P1037&lt;&gt;"EXPEDIÇÃO","Expedido",IF(NETWORKDAYS(C1037,TODAY())&gt;=5,"Risco Alto",IF(NETWORKDAYS(C1037,TODAY())&gt;=3,IF(NETWORKDAYS(C1037,TODAY())&lt;5,"Risco Médio",""),IF(NETWORKDAYS(C1037,TODAY())&lt;=2,"Risco Baixo",""))))</f>
        <v>Expedido</v>
      </c>
      <c r="P1037" s="5" t="s">
        <v>25</v>
      </c>
      <c r="S1037" s="7">
        <f>IF(ISBLANK(M1037),"Aguardando Previsão/Data",NETWORKDAYS(L1037,M1037)-1)</f>
        <v>-4</v>
      </c>
      <c r="T1037" s="5" t="s">
        <v>942</v>
      </c>
    </row>
    <row r="1038" spans="1:20" x14ac:dyDescent="0.35">
      <c r="A1038" s="5">
        <v>8100273729</v>
      </c>
      <c r="B1038" s="5">
        <v>17281</v>
      </c>
      <c r="C1038" s="6">
        <v>45666</v>
      </c>
      <c r="D1038" s="5" t="s">
        <v>51</v>
      </c>
      <c r="E1038" s="5" t="s">
        <v>52</v>
      </c>
      <c r="F1038" s="5" t="s">
        <v>66</v>
      </c>
      <c r="G1038" s="5" t="s">
        <v>67</v>
      </c>
      <c r="H1038" s="5" t="s">
        <v>21</v>
      </c>
      <c r="I1038" s="5" t="s">
        <v>434</v>
      </c>
      <c r="J1038" s="5" t="s">
        <v>435</v>
      </c>
      <c r="K1038" s="5" t="s">
        <v>57</v>
      </c>
      <c r="L1038" s="6">
        <v>45673</v>
      </c>
      <c r="M1038" s="6">
        <v>45670</v>
      </c>
      <c r="N1038" s="6" t="s">
        <v>811</v>
      </c>
      <c r="O1038" s="5" t="str">
        <f ca="1">IF(P1038&lt;&gt;"EXPEDIÇÃO","Expedido",IF(NETWORKDAYS(C1038,TODAY())&gt;=5,"Risco Alto",IF(NETWORKDAYS(C1038,TODAY())&gt;=3,IF(NETWORKDAYS(C1038,TODAY())&lt;5,"Risco Médio",""),IF(NETWORKDAYS(C1038,TODAY())&lt;=2,"Risco Baixo",""))))</f>
        <v>Expedido</v>
      </c>
      <c r="P1038" s="5" t="s">
        <v>25</v>
      </c>
      <c r="S1038" s="7">
        <f>IF(ISBLANK(M1038),"Aguardando Previsão/Data",NETWORKDAYS(L1038,M1038)-1)</f>
        <v>-5</v>
      </c>
      <c r="T1038" s="5" t="s">
        <v>942</v>
      </c>
    </row>
    <row r="1039" spans="1:20" x14ac:dyDescent="0.35">
      <c r="A1039" s="5">
        <v>8100273730</v>
      </c>
      <c r="B1039" s="5">
        <v>17285</v>
      </c>
      <c r="C1039" s="6">
        <v>45666</v>
      </c>
      <c r="D1039" s="5" t="s">
        <v>51</v>
      </c>
      <c r="E1039" s="5" t="s">
        <v>52</v>
      </c>
      <c r="F1039" s="5" t="s">
        <v>66</v>
      </c>
      <c r="G1039" s="5" t="s">
        <v>67</v>
      </c>
      <c r="H1039" s="5" t="s">
        <v>21</v>
      </c>
      <c r="I1039" s="5" t="s">
        <v>528</v>
      </c>
      <c r="J1039" s="5" t="s">
        <v>268</v>
      </c>
      <c r="K1039" s="5" t="s">
        <v>57</v>
      </c>
      <c r="L1039" s="6">
        <v>45674</v>
      </c>
      <c r="M1039" s="6">
        <v>45670</v>
      </c>
      <c r="N1039" s="6" t="s">
        <v>811</v>
      </c>
      <c r="O1039" s="5" t="str">
        <f ca="1">IF(P1039&lt;&gt;"EXPEDIÇÃO","Expedido",IF(NETWORKDAYS(C1039,TODAY())&gt;=5,"Risco Alto",IF(NETWORKDAYS(C1039,TODAY())&gt;=3,IF(NETWORKDAYS(C1039,TODAY())&lt;5,"Risco Médio",""),IF(NETWORKDAYS(C1039,TODAY())&lt;=2,"Risco Baixo",""))))</f>
        <v>Expedido</v>
      </c>
      <c r="P1039" s="5" t="s">
        <v>25</v>
      </c>
      <c r="S1039" s="7">
        <f>IF(ISBLANK(M1039),"Aguardando Previsão/Data",NETWORKDAYS(L1039,M1039)-1)</f>
        <v>-6</v>
      </c>
      <c r="T1039" s="5" t="s">
        <v>942</v>
      </c>
    </row>
    <row r="1040" spans="1:20" x14ac:dyDescent="0.35">
      <c r="A1040" s="5">
        <v>8100273731</v>
      </c>
      <c r="B1040" s="5">
        <v>17280</v>
      </c>
      <c r="C1040" s="6">
        <v>45666</v>
      </c>
      <c r="D1040" s="5" t="s">
        <v>51</v>
      </c>
      <c r="E1040" s="5" t="s">
        <v>52</v>
      </c>
      <c r="F1040" s="5" t="s">
        <v>66</v>
      </c>
      <c r="G1040" s="5" t="s">
        <v>67</v>
      </c>
      <c r="H1040" s="5" t="s">
        <v>21</v>
      </c>
      <c r="I1040" s="5" t="s">
        <v>1174</v>
      </c>
      <c r="J1040" s="5" t="s">
        <v>1055</v>
      </c>
      <c r="K1040" s="5" t="s">
        <v>57</v>
      </c>
      <c r="L1040" s="6">
        <v>45674</v>
      </c>
      <c r="M1040" s="6">
        <v>45670</v>
      </c>
      <c r="N1040" s="6" t="s">
        <v>811</v>
      </c>
      <c r="O1040" s="5" t="str">
        <f ca="1">IF(P1040&lt;&gt;"EXPEDIÇÃO","Expedido",IF(NETWORKDAYS(C1040,TODAY())&gt;=5,"Risco Alto",IF(NETWORKDAYS(C1040,TODAY())&gt;=3,IF(NETWORKDAYS(C1040,TODAY())&lt;5,"Risco Médio",""),IF(NETWORKDAYS(C1040,TODAY())&lt;=2,"Risco Baixo",""))))</f>
        <v>Expedido</v>
      </c>
      <c r="P1040" s="5" t="s">
        <v>25</v>
      </c>
      <c r="S1040" s="7">
        <f>IF(ISBLANK(M1040),"Aguardando Previsão/Data",NETWORKDAYS(L1040,M1040)-1)</f>
        <v>-6</v>
      </c>
      <c r="T1040" s="5" t="s">
        <v>942</v>
      </c>
    </row>
    <row r="1041" spans="1:20" x14ac:dyDescent="0.35">
      <c r="A1041" s="5">
        <v>8100273732</v>
      </c>
      <c r="B1041" s="5">
        <v>17287</v>
      </c>
      <c r="C1041" s="6">
        <v>45666</v>
      </c>
      <c r="D1041" s="5" t="s">
        <v>51</v>
      </c>
      <c r="E1041" s="5" t="s">
        <v>52</v>
      </c>
      <c r="F1041" s="5" t="s">
        <v>329</v>
      </c>
      <c r="G1041" s="5" t="s">
        <v>330</v>
      </c>
      <c r="H1041" s="5" t="s">
        <v>21</v>
      </c>
      <c r="I1041" s="5" t="s">
        <v>1265</v>
      </c>
      <c r="J1041" s="5" t="s">
        <v>1266</v>
      </c>
      <c r="K1041" s="5" t="s">
        <v>57</v>
      </c>
      <c r="L1041" s="6">
        <v>45672</v>
      </c>
      <c r="M1041" s="6">
        <v>45670</v>
      </c>
      <c r="N1041" s="6" t="s">
        <v>811</v>
      </c>
      <c r="O1041" s="5" t="str">
        <f ca="1">IF(P1041&lt;&gt;"EXPEDIÇÃO","Expedido",IF(NETWORKDAYS(C1041,TODAY())&gt;=5,"Risco Alto",IF(NETWORKDAYS(C1041,TODAY())&gt;=3,IF(NETWORKDAYS(C1041,TODAY())&lt;5,"Risco Médio",""),IF(NETWORKDAYS(C1041,TODAY())&lt;=2,"Risco Baixo",""))))</f>
        <v>Expedido</v>
      </c>
      <c r="P1041" s="5" t="s">
        <v>25</v>
      </c>
      <c r="S1041" s="7">
        <f>IF(ISBLANK(M1041),"Aguardando Previsão/Data",NETWORKDAYS(L1041,M1041)-1)</f>
        <v>-4</v>
      </c>
      <c r="T1041" s="5" t="s">
        <v>942</v>
      </c>
    </row>
    <row r="1042" spans="1:20" x14ac:dyDescent="0.35">
      <c r="A1042" s="5">
        <v>8100273733</v>
      </c>
      <c r="B1042" s="5">
        <v>17282</v>
      </c>
      <c r="C1042" s="6">
        <v>45666</v>
      </c>
      <c r="D1042" s="5" t="s">
        <v>51</v>
      </c>
      <c r="E1042" s="5" t="s">
        <v>52</v>
      </c>
      <c r="F1042" s="5" t="s">
        <v>329</v>
      </c>
      <c r="G1042" s="5" t="s">
        <v>330</v>
      </c>
      <c r="H1042" s="5" t="s">
        <v>21</v>
      </c>
      <c r="I1042" s="5" t="s">
        <v>675</v>
      </c>
      <c r="J1042" s="5" t="s">
        <v>676</v>
      </c>
      <c r="K1042" s="5" t="s">
        <v>57</v>
      </c>
      <c r="L1042" s="6">
        <v>45671</v>
      </c>
      <c r="M1042" s="6">
        <v>45670</v>
      </c>
      <c r="N1042" s="6" t="s">
        <v>811</v>
      </c>
      <c r="O1042" s="5" t="str">
        <f ca="1">IF(P1042&lt;&gt;"EXPEDIÇÃO","Expedido",IF(NETWORKDAYS(C1042,TODAY())&gt;=5,"Risco Alto",IF(NETWORKDAYS(C1042,TODAY())&gt;=3,IF(NETWORKDAYS(C1042,TODAY())&lt;5,"Risco Médio",""),IF(NETWORKDAYS(C1042,TODAY())&lt;=2,"Risco Baixo",""))))</f>
        <v>Expedido</v>
      </c>
      <c r="P1042" s="5" t="s">
        <v>25</v>
      </c>
      <c r="S1042" s="7">
        <f>IF(ISBLANK(M1042),"Aguardando Previsão/Data",NETWORKDAYS(L1042,M1042)-1)</f>
        <v>-3</v>
      </c>
      <c r="T1042" s="5" t="s">
        <v>942</v>
      </c>
    </row>
    <row r="1043" spans="1:20" x14ac:dyDescent="0.35">
      <c r="A1043" s="5">
        <v>8100273734</v>
      </c>
      <c r="B1043" s="5">
        <v>17283</v>
      </c>
      <c r="C1043" s="6">
        <v>45666</v>
      </c>
      <c r="D1043" s="5" t="s">
        <v>51</v>
      </c>
      <c r="E1043" s="5" t="s">
        <v>52</v>
      </c>
      <c r="F1043" s="5" t="s">
        <v>66</v>
      </c>
      <c r="G1043" s="5" t="s">
        <v>67</v>
      </c>
      <c r="H1043" s="5" t="s">
        <v>21</v>
      </c>
      <c r="I1043" s="5" t="s">
        <v>434</v>
      </c>
      <c r="J1043" s="5" t="s">
        <v>435</v>
      </c>
      <c r="K1043" s="5" t="s">
        <v>57</v>
      </c>
      <c r="L1043" s="6">
        <v>45673</v>
      </c>
      <c r="M1043" s="6">
        <v>45670</v>
      </c>
      <c r="N1043" s="6" t="s">
        <v>811</v>
      </c>
      <c r="O1043" s="5" t="str">
        <f ca="1">IF(P1043&lt;&gt;"EXPEDIÇÃO","Expedido",IF(NETWORKDAYS(C1043,TODAY())&gt;=5,"Risco Alto",IF(NETWORKDAYS(C1043,TODAY())&gt;=3,IF(NETWORKDAYS(C1043,TODAY())&lt;5,"Risco Médio",""),IF(NETWORKDAYS(C1043,TODAY())&lt;=2,"Risco Baixo",""))))</f>
        <v>Expedido</v>
      </c>
      <c r="P1043" s="5" t="s">
        <v>25</v>
      </c>
      <c r="S1043" s="7">
        <f>IF(ISBLANK(M1043),"Aguardando Previsão/Data",NETWORKDAYS(L1043,M1043)-1)</f>
        <v>-5</v>
      </c>
      <c r="T1043" s="5" t="s">
        <v>942</v>
      </c>
    </row>
    <row r="1044" spans="1:20" x14ac:dyDescent="0.35">
      <c r="A1044" s="5">
        <v>8100273735</v>
      </c>
      <c r="B1044" s="5">
        <v>17294</v>
      </c>
      <c r="C1044" s="6">
        <v>45666</v>
      </c>
      <c r="D1044" s="5" t="s">
        <v>51</v>
      </c>
      <c r="E1044" s="5" t="s">
        <v>52</v>
      </c>
      <c r="F1044" s="5" t="s">
        <v>69</v>
      </c>
      <c r="G1044" s="5" t="s">
        <v>70</v>
      </c>
      <c r="H1044" s="5" t="s">
        <v>21</v>
      </c>
      <c r="I1044" s="5" t="s">
        <v>527</v>
      </c>
      <c r="J1044" s="5" t="s">
        <v>65</v>
      </c>
      <c r="K1044" s="5" t="s">
        <v>57</v>
      </c>
      <c r="L1044" s="6">
        <v>45671</v>
      </c>
      <c r="M1044" s="6">
        <v>45671</v>
      </c>
      <c r="N1044" s="6" t="s">
        <v>811</v>
      </c>
      <c r="O1044" s="5" t="str">
        <f ca="1">IF(P1044&lt;&gt;"EXPEDIÇÃO","Expedido",IF(NETWORKDAYS(C1044,TODAY())&gt;=5,"Risco Alto",IF(NETWORKDAYS(C1044,TODAY())&gt;=3,IF(NETWORKDAYS(C1044,TODAY())&lt;5,"Risco Médio",""),IF(NETWORKDAYS(C1044,TODAY())&lt;=2,"Risco Baixo",""))))</f>
        <v>Expedido</v>
      </c>
      <c r="P1044" s="5" t="s">
        <v>25</v>
      </c>
      <c r="Q1044" s="5" t="s">
        <v>900</v>
      </c>
      <c r="S1044" s="7">
        <f>IF(ISBLANK(M1044),"Aguardando Previsão/Data",NETWORKDAYS(L1044,M1044)-1)</f>
        <v>0</v>
      </c>
      <c r="T1044" s="5" t="s">
        <v>942</v>
      </c>
    </row>
    <row r="1045" spans="1:20" x14ac:dyDescent="0.35">
      <c r="A1045" s="5">
        <v>8100273736</v>
      </c>
      <c r="B1045" s="5">
        <v>17286</v>
      </c>
      <c r="C1045" s="6">
        <v>45666</v>
      </c>
      <c r="D1045" s="5" t="s">
        <v>51</v>
      </c>
      <c r="E1045" s="5" t="s">
        <v>52</v>
      </c>
      <c r="F1045" s="5" t="s">
        <v>53</v>
      </c>
      <c r="G1045" s="5" t="s">
        <v>54</v>
      </c>
      <c r="H1045" s="5" t="s">
        <v>21</v>
      </c>
      <c r="I1045" s="5" t="s">
        <v>649</v>
      </c>
      <c r="J1045" s="5" t="s">
        <v>650</v>
      </c>
      <c r="K1045" s="5" t="s">
        <v>57</v>
      </c>
      <c r="L1045" s="6">
        <v>45674</v>
      </c>
      <c r="M1045" s="6">
        <v>45670</v>
      </c>
      <c r="N1045" s="6" t="s">
        <v>811</v>
      </c>
      <c r="O1045" s="5" t="str">
        <f ca="1">IF(P1045&lt;&gt;"EXPEDIÇÃO","Expedido",IF(NETWORKDAYS(C1045,TODAY())&gt;=5,"Risco Alto",IF(NETWORKDAYS(C1045,TODAY())&gt;=3,IF(NETWORKDAYS(C1045,TODAY())&lt;5,"Risco Médio",""),IF(NETWORKDAYS(C1045,TODAY())&lt;=2,"Risco Baixo",""))))</f>
        <v>Expedido</v>
      </c>
      <c r="P1045" s="5" t="s">
        <v>25</v>
      </c>
      <c r="S1045" s="7">
        <f>IF(ISBLANK(M1045),"Aguardando Previsão/Data",NETWORKDAYS(L1045,M1045)-1)</f>
        <v>-6</v>
      </c>
      <c r="T1045" s="5" t="s">
        <v>942</v>
      </c>
    </row>
    <row r="1046" spans="1:20" x14ac:dyDescent="0.35">
      <c r="A1046" s="5">
        <v>8100274243</v>
      </c>
      <c r="B1046" s="5">
        <v>17290</v>
      </c>
      <c r="C1046" s="6">
        <v>45666</v>
      </c>
      <c r="D1046" s="5" t="s">
        <v>51</v>
      </c>
      <c r="E1046" s="5" t="s">
        <v>52</v>
      </c>
      <c r="F1046" s="5" t="s">
        <v>69</v>
      </c>
      <c r="G1046" s="5" t="s">
        <v>70</v>
      </c>
      <c r="H1046" s="5" t="s">
        <v>21</v>
      </c>
      <c r="I1046" s="5" t="s">
        <v>1226</v>
      </c>
      <c r="J1046" s="5" t="s">
        <v>530</v>
      </c>
      <c r="K1046" s="5" t="s">
        <v>57</v>
      </c>
      <c r="L1046" s="6">
        <v>45671</v>
      </c>
      <c r="M1046" s="6">
        <v>45670</v>
      </c>
      <c r="N1046" s="6" t="s">
        <v>811</v>
      </c>
      <c r="O1046" s="5" t="str">
        <f ca="1">IF(P1046&lt;&gt;"EXPEDIÇÃO","Expedido",IF(NETWORKDAYS(C1046,TODAY())&gt;=5,"Risco Alto",IF(NETWORKDAYS(C1046,TODAY())&gt;=3,IF(NETWORKDAYS(C1046,TODAY())&lt;5,"Risco Médio",""),IF(NETWORKDAYS(C1046,TODAY())&lt;=2,"Risco Baixo",""))))</f>
        <v>Expedido</v>
      </c>
      <c r="P1046" s="5" t="s">
        <v>25</v>
      </c>
      <c r="S1046" s="7">
        <f>IF(ISBLANK(M1046),"Aguardando Previsão/Data",NETWORKDAYS(L1046,M1046)-1)</f>
        <v>-3</v>
      </c>
      <c r="T1046" s="5" t="s">
        <v>942</v>
      </c>
    </row>
    <row r="1047" spans="1:20" x14ac:dyDescent="0.35">
      <c r="A1047" s="5">
        <v>8100274244</v>
      </c>
      <c r="B1047" s="5">
        <v>17297</v>
      </c>
      <c r="C1047" s="6">
        <v>45666</v>
      </c>
      <c r="D1047" s="5" t="s">
        <v>51</v>
      </c>
      <c r="E1047" s="5" t="s">
        <v>52</v>
      </c>
      <c r="F1047" s="5" t="s">
        <v>69</v>
      </c>
      <c r="G1047" s="5" t="s">
        <v>70</v>
      </c>
      <c r="H1047" s="5" t="s">
        <v>21</v>
      </c>
      <c r="I1047" s="5" t="s">
        <v>350</v>
      </c>
      <c r="J1047" s="5" t="s">
        <v>65</v>
      </c>
      <c r="K1047" s="5" t="s">
        <v>57</v>
      </c>
      <c r="L1047" s="6">
        <v>45671</v>
      </c>
      <c r="M1047" s="6">
        <v>45677</v>
      </c>
      <c r="N1047" s="6" t="s">
        <v>811</v>
      </c>
      <c r="O1047" s="5" t="str">
        <f ca="1">IF(P1047&lt;&gt;"EXPEDIÇÃO","Expedido",IF(NETWORKDAYS(C1047,TODAY())&gt;=5,"Risco Alto",IF(NETWORKDAYS(C1047,TODAY())&gt;=3,IF(NETWORKDAYS(C1047,TODAY())&lt;5,"Risco Médio",""),IF(NETWORKDAYS(C1047,TODAY())&lt;=2,"Risco Baixo",""))))</f>
        <v>Expedido</v>
      </c>
      <c r="P1047" s="5" t="s">
        <v>25</v>
      </c>
      <c r="Q1047" s="5" t="s">
        <v>897</v>
      </c>
      <c r="R1047" s="5">
        <v>1677707</v>
      </c>
      <c r="S1047" s="7">
        <f>IF(ISBLANK(M1047),"Aguardando Previsão/Data",NETWORKDAYS(L1047,M1047)-1)</f>
        <v>4</v>
      </c>
      <c r="T1047" s="5" t="s">
        <v>942</v>
      </c>
    </row>
    <row r="1048" spans="1:20" x14ac:dyDescent="0.35">
      <c r="A1048" s="5">
        <v>8100274245</v>
      </c>
      <c r="B1048" s="5">
        <v>17288</v>
      </c>
      <c r="C1048" s="6">
        <v>45666</v>
      </c>
      <c r="D1048" s="5" t="s">
        <v>51</v>
      </c>
      <c r="E1048" s="5" t="s">
        <v>52</v>
      </c>
      <c r="F1048" s="5" t="s">
        <v>406</v>
      </c>
      <c r="G1048" s="5" t="s">
        <v>407</v>
      </c>
      <c r="H1048" s="5" t="s">
        <v>21</v>
      </c>
      <c r="I1048" s="5" t="s">
        <v>1270</v>
      </c>
      <c r="J1048" s="5" t="s">
        <v>265</v>
      </c>
      <c r="K1048" s="5" t="s">
        <v>80</v>
      </c>
      <c r="L1048" s="6">
        <v>45673</v>
      </c>
      <c r="M1048" s="6">
        <v>45672</v>
      </c>
      <c r="N1048" s="6" t="s">
        <v>811</v>
      </c>
      <c r="O1048" s="5" t="str">
        <f ca="1">IF(P1048&lt;&gt;"EXPEDIÇÃO","Expedido",IF(NETWORKDAYS(C1048,TODAY())&gt;=5,"Risco Alto",IF(NETWORKDAYS(C1048,TODAY())&gt;=3,IF(NETWORKDAYS(C1048,TODAY())&lt;5,"Risco Médio",""),IF(NETWORKDAYS(C1048,TODAY())&lt;=2,"Risco Baixo",""))))</f>
        <v>Expedido</v>
      </c>
      <c r="P1048" s="5" t="s">
        <v>25</v>
      </c>
      <c r="S1048" s="7">
        <f>IF(ISBLANK(M1048),"Aguardando Previsão/Data",NETWORKDAYS(L1048,M1048)-1)</f>
        <v>-3</v>
      </c>
      <c r="T1048" s="5" t="s">
        <v>942</v>
      </c>
    </row>
    <row r="1049" spans="1:20" x14ac:dyDescent="0.35">
      <c r="A1049" s="5">
        <v>8100274246</v>
      </c>
      <c r="B1049" s="5">
        <v>17291</v>
      </c>
      <c r="C1049" s="6">
        <v>45666</v>
      </c>
      <c r="D1049" s="5" t="s">
        <v>51</v>
      </c>
      <c r="E1049" s="5" t="s">
        <v>52</v>
      </c>
      <c r="F1049" s="5" t="s">
        <v>329</v>
      </c>
      <c r="G1049" s="5" t="s">
        <v>330</v>
      </c>
      <c r="H1049" s="5" t="s">
        <v>21</v>
      </c>
      <c r="I1049" s="5" t="s">
        <v>438</v>
      </c>
      <c r="J1049" s="5" t="s">
        <v>439</v>
      </c>
      <c r="K1049" s="5" t="s">
        <v>57</v>
      </c>
      <c r="L1049" s="6">
        <v>45672</v>
      </c>
      <c r="M1049" s="6">
        <v>45670</v>
      </c>
      <c r="N1049" s="6" t="s">
        <v>811</v>
      </c>
      <c r="O1049" s="5" t="str">
        <f ca="1">IF(P1049&lt;&gt;"EXPEDIÇÃO","Expedido",IF(NETWORKDAYS(C1049,TODAY())&gt;=5,"Risco Alto",IF(NETWORKDAYS(C1049,TODAY())&gt;=3,IF(NETWORKDAYS(C1049,TODAY())&lt;5,"Risco Médio",""),IF(NETWORKDAYS(C1049,TODAY())&lt;=2,"Risco Baixo",""))))</f>
        <v>Expedido</v>
      </c>
      <c r="P1049" s="5" t="s">
        <v>25</v>
      </c>
      <c r="S1049" s="7">
        <f>IF(ISBLANK(M1049),"Aguardando Previsão/Data",NETWORKDAYS(L1049,M1049)-1)</f>
        <v>-4</v>
      </c>
      <c r="T1049" s="5" t="s">
        <v>942</v>
      </c>
    </row>
    <row r="1050" spans="1:20" x14ac:dyDescent="0.35">
      <c r="A1050" s="5">
        <v>8100274247</v>
      </c>
      <c r="B1050" s="5">
        <v>17293</v>
      </c>
      <c r="C1050" s="6">
        <v>45666</v>
      </c>
      <c r="D1050" s="5" t="s">
        <v>51</v>
      </c>
      <c r="E1050" s="5" t="s">
        <v>52</v>
      </c>
      <c r="F1050" s="5" t="s">
        <v>69</v>
      </c>
      <c r="G1050" s="5" t="s">
        <v>70</v>
      </c>
      <c r="H1050" s="5" t="s">
        <v>21</v>
      </c>
      <c r="I1050" s="5" t="s">
        <v>128</v>
      </c>
      <c r="J1050" s="5" t="s">
        <v>1271</v>
      </c>
      <c r="K1050" s="5" t="s">
        <v>57</v>
      </c>
      <c r="L1050" s="6">
        <v>45671</v>
      </c>
      <c r="M1050" s="6">
        <v>45670</v>
      </c>
      <c r="N1050" s="6" t="s">
        <v>811</v>
      </c>
      <c r="O1050" s="5" t="str">
        <f ca="1">IF(P1050&lt;&gt;"EXPEDIÇÃO","Expedido",IF(NETWORKDAYS(C1050,TODAY())&gt;=5,"Risco Alto",IF(NETWORKDAYS(C1050,TODAY())&gt;=3,IF(NETWORKDAYS(C1050,TODAY())&lt;5,"Risco Médio",""),IF(NETWORKDAYS(C1050,TODAY())&lt;=2,"Risco Baixo",""))))</f>
        <v>Expedido</v>
      </c>
      <c r="P1050" s="5" t="s">
        <v>25</v>
      </c>
      <c r="S1050" s="7">
        <f>IF(ISBLANK(M1050),"Aguardando Previsão/Data",NETWORKDAYS(L1050,M1050)-1)</f>
        <v>-3</v>
      </c>
      <c r="T1050" s="5" t="s">
        <v>942</v>
      </c>
    </row>
    <row r="1051" spans="1:20" x14ac:dyDescent="0.35">
      <c r="A1051" s="5">
        <v>8100274248</v>
      </c>
      <c r="B1051" s="5">
        <v>17289</v>
      </c>
      <c r="C1051" s="6">
        <v>45666</v>
      </c>
      <c r="D1051" s="5" t="s">
        <v>51</v>
      </c>
      <c r="E1051" s="5" t="s">
        <v>52</v>
      </c>
      <c r="F1051" s="5" t="s">
        <v>69</v>
      </c>
      <c r="G1051" s="5" t="s">
        <v>70</v>
      </c>
      <c r="H1051" s="5" t="s">
        <v>21</v>
      </c>
      <c r="I1051" s="5" t="s">
        <v>335</v>
      </c>
      <c r="J1051" s="5" t="s">
        <v>351</v>
      </c>
      <c r="K1051" s="5" t="s">
        <v>57</v>
      </c>
      <c r="L1051" s="6">
        <v>45672</v>
      </c>
      <c r="M1051" s="6">
        <v>45670</v>
      </c>
      <c r="N1051" s="6" t="s">
        <v>811</v>
      </c>
      <c r="O1051" s="5" t="str">
        <f ca="1">IF(P1051&lt;&gt;"EXPEDIÇÃO","Expedido",IF(NETWORKDAYS(C1051,TODAY())&gt;=5,"Risco Alto",IF(NETWORKDAYS(C1051,TODAY())&gt;=3,IF(NETWORKDAYS(C1051,TODAY())&lt;5,"Risco Médio",""),IF(NETWORKDAYS(C1051,TODAY())&lt;=2,"Risco Baixo",""))))</f>
        <v>Expedido</v>
      </c>
      <c r="P1051" s="5" t="s">
        <v>25</v>
      </c>
      <c r="S1051" s="7">
        <f>IF(ISBLANK(M1051),"Aguardando Previsão/Data",NETWORKDAYS(L1051,M1051)-1)</f>
        <v>-4</v>
      </c>
      <c r="T1051" s="5" t="s">
        <v>942</v>
      </c>
    </row>
    <row r="1052" spans="1:20" x14ac:dyDescent="0.35">
      <c r="A1052" s="5">
        <v>8100274249</v>
      </c>
      <c r="B1052" s="5">
        <v>17292</v>
      </c>
      <c r="C1052" s="6">
        <v>45666</v>
      </c>
      <c r="D1052" s="5" t="s">
        <v>51</v>
      </c>
      <c r="E1052" s="5" t="s">
        <v>52</v>
      </c>
      <c r="F1052" s="5" t="s">
        <v>69</v>
      </c>
      <c r="G1052" s="5" t="s">
        <v>70</v>
      </c>
      <c r="H1052" s="5" t="s">
        <v>21</v>
      </c>
      <c r="I1052" s="5" t="s">
        <v>128</v>
      </c>
      <c r="J1052" s="5" t="s">
        <v>65</v>
      </c>
      <c r="K1052" s="5" t="s">
        <v>57</v>
      </c>
      <c r="L1052" s="6">
        <v>45671</v>
      </c>
      <c r="M1052" s="6">
        <v>45670</v>
      </c>
      <c r="N1052" s="6" t="s">
        <v>811</v>
      </c>
      <c r="O1052" s="5" t="str">
        <f ca="1">IF(P1052&lt;&gt;"EXPEDIÇÃO","Expedido",IF(NETWORKDAYS(C1052,TODAY())&gt;=5,"Risco Alto",IF(NETWORKDAYS(C1052,TODAY())&gt;=3,IF(NETWORKDAYS(C1052,TODAY())&lt;5,"Risco Médio",""),IF(NETWORKDAYS(C1052,TODAY())&lt;=2,"Risco Baixo",""))))</f>
        <v>Expedido</v>
      </c>
      <c r="P1052" s="5" t="s">
        <v>25</v>
      </c>
      <c r="S1052" s="7">
        <f>IF(ISBLANK(M1052),"Aguardando Previsão/Data",NETWORKDAYS(L1052,M1052)-1)</f>
        <v>-3</v>
      </c>
      <c r="T1052" s="5" t="s">
        <v>942</v>
      </c>
    </row>
    <row r="1053" spans="1:20" x14ac:dyDescent="0.35">
      <c r="A1053" s="5">
        <v>8100274250</v>
      </c>
      <c r="B1053" s="5">
        <v>17295</v>
      </c>
      <c r="C1053" s="6">
        <v>45666</v>
      </c>
      <c r="D1053" s="5" t="s">
        <v>51</v>
      </c>
      <c r="E1053" s="5" t="s">
        <v>52</v>
      </c>
      <c r="F1053" s="5" t="s">
        <v>69</v>
      </c>
      <c r="G1053" s="5" t="s">
        <v>70</v>
      </c>
      <c r="H1053" s="5" t="s">
        <v>21</v>
      </c>
      <c r="I1053" s="5" t="s">
        <v>128</v>
      </c>
      <c r="J1053" s="5" t="s">
        <v>65</v>
      </c>
      <c r="K1053" s="5" t="s">
        <v>57</v>
      </c>
      <c r="L1053" s="6">
        <v>45671</v>
      </c>
      <c r="M1053" s="6">
        <v>45670</v>
      </c>
      <c r="N1053" s="6" t="s">
        <v>811</v>
      </c>
      <c r="O1053" s="5" t="str">
        <f ca="1">IF(P1053&lt;&gt;"EXPEDIÇÃO","Expedido",IF(NETWORKDAYS(C1053,TODAY())&gt;=5,"Risco Alto",IF(NETWORKDAYS(C1053,TODAY())&gt;=3,IF(NETWORKDAYS(C1053,TODAY())&lt;5,"Risco Médio",""),IF(NETWORKDAYS(C1053,TODAY())&lt;=2,"Risco Baixo",""))))</f>
        <v>Expedido</v>
      </c>
      <c r="P1053" s="5" t="s">
        <v>25</v>
      </c>
      <c r="S1053" s="7">
        <f>IF(ISBLANK(M1053),"Aguardando Previsão/Data",NETWORKDAYS(L1053,M1053)-1)</f>
        <v>-3</v>
      </c>
      <c r="T1053" s="5" t="s">
        <v>942</v>
      </c>
    </row>
    <row r="1054" spans="1:20" x14ac:dyDescent="0.35">
      <c r="A1054" s="5">
        <v>8100274254</v>
      </c>
      <c r="B1054" s="5">
        <v>17298</v>
      </c>
      <c r="C1054" s="6">
        <v>45666</v>
      </c>
      <c r="D1054" s="5" t="s">
        <v>51</v>
      </c>
      <c r="E1054" s="5" t="s">
        <v>52</v>
      </c>
      <c r="F1054" s="5" t="s">
        <v>69</v>
      </c>
      <c r="G1054" s="5" t="s">
        <v>70</v>
      </c>
      <c r="H1054" s="5" t="s">
        <v>21</v>
      </c>
      <c r="I1054" s="5" t="s">
        <v>350</v>
      </c>
      <c r="J1054" s="5" t="s">
        <v>65</v>
      </c>
      <c r="K1054" s="5" t="s">
        <v>57</v>
      </c>
      <c r="L1054" s="6">
        <v>45671</v>
      </c>
      <c r="M1054" s="6">
        <v>45677</v>
      </c>
      <c r="N1054" s="6" t="s">
        <v>811</v>
      </c>
      <c r="O1054" s="5" t="str">
        <f ca="1">IF(P1054&lt;&gt;"EXPEDIÇÃO","Expedido",IF(NETWORKDAYS(C1054,TODAY())&gt;=5,"Risco Alto",IF(NETWORKDAYS(C1054,TODAY())&gt;=3,IF(NETWORKDAYS(C1054,TODAY())&lt;5,"Risco Médio",""),IF(NETWORKDAYS(C1054,TODAY())&lt;=2,"Risco Baixo",""))))</f>
        <v>Expedido</v>
      </c>
      <c r="P1054" s="5" t="s">
        <v>25</v>
      </c>
      <c r="Q1054" s="5" t="s">
        <v>897</v>
      </c>
      <c r="R1054" s="5">
        <v>1677707</v>
      </c>
      <c r="S1054" s="7">
        <f>IF(ISBLANK(M1054),"Aguardando Previsão/Data",NETWORKDAYS(L1054,M1054)-1)</f>
        <v>4</v>
      </c>
      <c r="T1054" s="5" t="s">
        <v>942</v>
      </c>
    </row>
    <row r="1055" spans="1:20" x14ac:dyDescent="0.35">
      <c r="A1055" s="5">
        <v>8100274255</v>
      </c>
      <c r="B1055" s="5">
        <v>17296</v>
      </c>
      <c r="C1055" s="6">
        <v>45666</v>
      </c>
      <c r="D1055" s="5" t="s">
        <v>51</v>
      </c>
      <c r="E1055" s="5" t="s">
        <v>52</v>
      </c>
      <c r="F1055" s="5" t="s">
        <v>69</v>
      </c>
      <c r="G1055" s="5" t="s">
        <v>70</v>
      </c>
      <c r="H1055" s="5" t="s">
        <v>21</v>
      </c>
      <c r="I1055" s="5" t="s">
        <v>128</v>
      </c>
      <c r="J1055" s="5" t="s">
        <v>1271</v>
      </c>
      <c r="K1055" s="5" t="s">
        <v>57</v>
      </c>
      <c r="L1055" s="6">
        <v>45671</v>
      </c>
      <c r="M1055" s="6">
        <v>45670</v>
      </c>
      <c r="N1055" s="6" t="s">
        <v>811</v>
      </c>
      <c r="O1055" s="5" t="str">
        <f ca="1">IF(P1055&lt;&gt;"EXPEDIÇÃO","Expedido",IF(NETWORKDAYS(C1055,TODAY())&gt;=5,"Risco Alto",IF(NETWORKDAYS(C1055,TODAY())&gt;=3,IF(NETWORKDAYS(C1055,TODAY())&lt;5,"Risco Médio",""),IF(NETWORKDAYS(C1055,TODAY())&lt;=2,"Risco Baixo",""))))</f>
        <v>Expedido</v>
      </c>
      <c r="P1055" s="5" t="s">
        <v>25</v>
      </c>
      <c r="S1055" s="7">
        <f>IF(ISBLANK(M1055),"Aguardando Previsão/Data",NETWORKDAYS(L1055,M1055)-1)</f>
        <v>-3</v>
      </c>
      <c r="T1055" s="5" t="s">
        <v>942</v>
      </c>
    </row>
    <row r="1056" spans="1:20" x14ac:dyDescent="0.35">
      <c r="A1056" s="5">
        <v>8100272574</v>
      </c>
      <c r="B1056" s="5">
        <v>21143</v>
      </c>
      <c r="C1056" s="6">
        <v>45666</v>
      </c>
      <c r="D1056" s="5" t="s">
        <v>17</v>
      </c>
      <c r="E1056" s="5" t="s">
        <v>18</v>
      </c>
      <c r="F1056" s="5" t="s">
        <v>27</v>
      </c>
      <c r="G1056" s="5" t="s">
        <v>28</v>
      </c>
      <c r="H1056" s="5" t="s">
        <v>21</v>
      </c>
      <c r="I1056" s="5" t="s">
        <v>415</v>
      </c>
      <c r="J1056" s="5" t="s">
        <v>364</v>
      </c>
      <c r="K1056" s="5" t="s">
        <v>24</v>
      </c>
      <c r="L1056" s="6">
        <v>45673</v>
      </c>
      <c r="M1056" s="6">
        <v>45673</v>
      </c>
      <c r="N1056" s="6" t="s">
        <v>811</v>
      </c>
      <c r="O1056" s="5" t="str">
        <f ca="1">IF(P1056&lt;&gt;"EXPEDIÇÃO","Expedido",IF(NETWORKDAYS(C1056,TODAY())&gt;=5,"Risco Alto",IF(NETWORKDAYS(C1056,TODAY())&gt;=3,IF(NETWORKDAYS(C1056,TODAY())&lt;5,"Risco Médio",""),IF(NETWORKDAYS(C1056,TODAY())&lt;=2,"Risco Baixo",""))))</f>
        <v>Expedido</v>
      </c>
      <c r="P1056" s="5" t="s">
        <v>25</v>
      </c>
      <c r="Q1056" s="5" t="s">
        <v>897</v>
      </c>
      <c r="S1056" s="7">
        <f>IF(ISBLANK(M1056),"Aguardando Previsão/Data",NETWORKDAYS(L1056,M1056)-1)</f>
        <v>0</v>
      </c>
      <c r="T1056" s="5" t="s">
        <v>942</v>
      </c>
    </row>
    <row r="1057" spans="1:20" x14ac:dyDescent="0.35">
      <c r="A1057" s="5">
        <v>8100272879</v>
      </c>
      <c r="B1057" s="5">
        <v>21146</v>
      </c>
      <c r="C1057" s="6">
        <v>45666</v>
      </c>
      <c r="D1057" s="5" t="s">
        <v>17</v>
      </c>
      <c r="E1057" s="5" t="s">
        <v>18</v>
      </c>
      <c r="F1057" s="5" t="s">
        <v>27</v>
      </c>
      <c r="G1057" s="5" t="s">
        <v>28</v>
      </c>
      <c r="H1057" s="5" t="s">
        <v>21</v>
      </c>
      <c r="I1057" s="5" t="s">
        <v>967</v>
      </c>
      <c r="J1057" s="5" t="s">
        <v>694</v>
      </c>
      <c r="K1057" s="5" t="s">
        <v>24</v>
      </c>
      <c r="L1057" s="6">
        <v>45674</v>
      </c>
      <c r="M1057" s="6">
        <v>45674</v>
      </c>
      <c r="N1057" s="6" t="s">
        <v>811</v>
      </c>
      <c r="O1057" s="5" t="str">
        <f ca="1">IF(P1057&lt;&gt;"EXPEDIÇÃO","Expedido",IF(NETWORKDAYS(C1057,TODAY())&gt;=5,"Risco Alto",IF(NETWORKDAYS(C1057,TODAY())&gt;=3,IF(NETWORKDAYS(C1057,TODAY())&lt;5,"Risco Médio",""),IF(NETWORKDAYS(C1057,TODAY())&lt;=2,"Risco Baixo",""))))</f>
        <v>Expedido</v>
      </c>
      <c r="P1057" s="5" t="s">
        <v>25</v>
      </c>
      <c r="S1057" s="7">
        <f>IF(ISBLANK(M1057),"Aguardando Previsão/Data",NETWORKDAYS(L1057,M1057)-1)</f>
        <v>0</v>
      </c>
      <c r="T1057" s="5" t="s">
        <v>942</v>
      </c>
    </row>
    <row r="1058" spans="1:20" x14ac:dyDescent="0.35">
      <c r="A1058" s="5">
        <v>8100273280</v>
      </c>
      <c r="B1058" s="5">
        <v>21135</v>
      </c>
      <c r="C1058" s="6">
        <v>45666</v>
      </c>
      <c r="D1058" s="5" t="s">
        <v>17</v>
      </c>
      <c r="E1058" s="5" t="s">
        <v>18</v>
      </c>
      <c r="F1058" s="5" t="s">
        <v>84</v>
      </c>
      <c r="G1058" s="5" t="s">
        <v>85</v>
      </c>
      <c r="H1058" s="5" t="s">
        <v>21</v>
      </c>
      <c r="I1058" s="5" t="s">
        <v>881</v>
      </c>
      <c r="J1058" s="5" t="s">
        <v>713</v>
      </c>
      <c r="K1058" s="5" t="s">
        <v>24</v>
      </c>
      <c r="L1058" s="6">
        <v>45673</v>
      </c>
      <c r="M1058" s="6">
        <v>45673</v>
      </c>
      <c r="N1058" s="6" t="s">
        <v>811</v>
      </c>
      <c r="O1058" s="5" t="str">
        <f ca="1">IF(P1058&lt;&gt;"EXPEDIÇÃO","Expedido",IF(NETWORKDAYS(C1058,TODAY())&gt;=5,"Risco Alto",IF(NETWORKDAYS(C1058,TODAY())&gt;=3,IF(NETWORKDAYS(C1058,TODAY())&lt;5,"Risco Médio",""),IF(NETWORKDAYS(C1058,TODAY())&lt;=2,"Risco Baixo",""))))</f>
        <v>Expedido</v>
      </c>
      <c r="P1058" s="5" t="s">
        <v>25</v>
      </c>
      <c r="Q1058" s="5" t="s">
        <v>898</v>
      </c>
      <c r="S1058" s="7">
        <f>IF(ISBLANK(M1058),"Aguardando Previsão/Data",NETWORKDAYS(L1058,M1058)-1)</f>
        <v>0</v>
      </c>
      <c r="T1058" s="5" t="s">
        <v>942</v>
      </c>
    </row>
    <row r="1059" spans="1:20" x14ac:dyDescent="0.35">
      <c r="A1059" s="5">
        <v>8100273542</v>
      </c>
      <c r="B1059" s="5">
        <v>21133</v>
      </c>
      <c r="C1059" s="6">
        <v>45666</v>
      </c>
      <c r="D1059" s="5" t="s">
        <v>17</v>
      </c>
      <c r="E1059" s="5" t="s">
        <v>18</v>
      </c>
      <c r="F1059" s="5" t="s">
        <v>44</v>
      </c>
      <c r="G1059" s="5" t="s">
        <v>45</v>
      </c>
      <c r="H1059" s="5" t="s">
        <v>21</v>
      </c>
      <c r="I1059" s="5" t="s">
        <v>1261</v>
      </c>
      <c r="J1059" s="5" t="s">
        <v>1262</v>
      </c>
      <c r="K1059" s="5" t="s">
        <v>24</v>
      </c>
      <c r="L1059" s="6">
        <v>45674</v>
      </c>
      <c r="M1059" s="6">
        <v>45671</v>
      </c>
      <c r="N1059" s="6" t="s">
        <v>811</v>
      </c>
      <c r="O1059" s="5" t="str">
        <f ca="1">IF(P1059&lt;&gt;"EXPEDIÇÃO","Expedido",IF(NETWORKDAYS(C1059,TODAY())&gt;=5,"Risco Alto",IF(NETWORKDAYS(C1059,TODAY())&gt;=3,IF(NETWORKDAYS(C1059,TODAY())&lt;5,"Risco Médio",""),IF(NETWORKDAYS(C1059,TODAY())&lt;=2,"Risco Baixo",""))))</f>
        <v>Expedido</v>
      </c>
      <c r="P1059" s="5" t="s">
        <v>25</v>
      </c>
      <c r="S1059" s="7">
        <f>IF(ISBLANK(M1059),"Aguardando Previsão/Data",NETWORKDAYS(L1059,M1059)-1)</f>
        <v>-5</v>
      </c>
      <c r="T1059" s="5" t="s">
        <v>942</v>
      </c>
    </row>
    <row r="1060" spans="1:20" x14ac:dyDescent="0.35">
      <c r="A1060" s="5">
        <v>8100273543</v>
      </c>
      <c r="B1060" s="5">
        <v>21132</v>
      </c>
      <c r="C1060" s="6">
        <v>45666</v>
      </c>
      <c r="D1060" s="5" t="s">
        <v>17</v>
      </c>
      <c r="E1060" s="5" t="s">
        <v>18</v>
      </c>
      <c r="F1060" s="5" t="s">
        <v>19</v>
      </c>
      <c r="G1060" s="5" t="s">
        <v>20</v>
      </c>
      <c r="H1060" s="5" t="s">
        <v>21</v>
      </c>
      <c r="I1060" s="5" t="s">
        <v>526</v>
      </c>
      <c r="J1060" s="5" t="s">
        <v>370</v>
      </c>
      <c r="K1060" s="5" t="s">
        <v>24</v>
      </c>
      <c r="L1060" s="6">
        <v>45678</v>
      </c>
      <c r="M1060" s="6">
        <v>45672</v>
      </c>
      <c r="N1060" s="6" t="s">
        <v>811</v>
      </c>
      <c r="O1060" s="5" t="str">
        <f ca="1">IF(P1060&lt;&gt;"EXPEDIÇÃO","Expedido",IF(NETWORKDAYS(C1060,TODAY())&gt;=5,"Risco Alto",IF(NETWORKDAYS(C1060,TODAY())&gt;=3,IF(NETWORKDAYS(C1060,TODAY())&lt;5,"Risco Médio",""),IF(NETWORKDAYS(C1060,TODAY())&lt;=2,"Risco Baixo",""))))</f>
        <v>Expedido</v>
      </c>
      <c r="P1060" s="5" t="s">
        <v>25</v>
      </c>
      <c r="S1060" s="7">
        <f>IF(ISBLANK(M1060),"Aguardando Previsão/Data",NETWORKDAYS(L1060,M1060)-1)</f>
        <v>-6</v>
      </c>
      <c r="T1060" s="5" t="s">
        <v>942</v>
      </c>
    </row>
    <row r="1061" spans="1:20" x14ac:dyDescent="0.35">
      <c r="A1061" s="5">
        <v>8100273716</v>
      </c>
      <c r="B1061" s="5">
        <v>21144</v>
      </c>
      <c r="C1061" s="6">
        <v>45666</v>
      </c>
      <c r="D1061" s="5" t="s">
        <v>17</v>
      </c>
      <c r="E1061" s="5" t="s">
        <v>18</v>
      </c>
      <c r="F1061" s="5" t="s">
        <v>27</v>
      </c>
      <c r="G1061" s="5" t="s">
        <v>28</v>
      </c>
      <c r="H1061" s="5" t="s">
        <v>21</v>
      </c>
      <c r="I1061" s="5" t="s">
        <v>829</v>
      </c>
      <c r="J1061" s="5" t="s">
        <v>364</v>
      </c>
      <c r="K1061" s="5" t="s">
        <v>24</v>
      </c>
      <c r="L1061" s="6">
        <v>45673</v>
      </c>
      <c r="M1061" s="6">
        <v>45670</v>
      </c>
      <c r="N1061" s="6" t="s">
        <v>811</v>
      </c>
      <c r="O1061" s="5" t="str">
        <f ca="1">IF(P1061&lt;&gt;"EXPEDIÇÃO","Expedido",IF(NETWORKDAYS(C1061,TODAY())&gt;=5,"Risco Alto",IF(NETWORKDAYS(C1061,TODAY())&gt;=3,IF(NETWORKDAYS(C1061,TODAY())&lt;5,"Risco Médio",""),IF(NETWORKDAYS(C1061,TODAY())&lt;=2,"Risco Baixo",""))))</f>
        <v>Expedido</v>
      </c>
      <c r="P1061" s="5" t="s">
        <v>25</v>
      </c>
      <c r="S1061" s="7">
        <f>IF(ISBLANK(M1061),"Aguardando Previsão/Data",NETWORKDAYS(L1061,M1061)-1)</f>
        <v>-5</v>
      </c>
      <c r="T1061" s="5" t="s">
        <v>942</v>
      </c>
    </row>
    <row r="1062" spans="1:20" x14ac:dyDescent="0.35">
      <c r="A1062" s="5">
        <v>8100273717</v>
      </c>
      <c r="B1062" s="5">
        <v>21137</v>
      </c>
      <c r="C1062" s="6">
        <v>45666</v>
      </c>
      <c r="D1062" s="5" t="s">
        <v>17</v>
      </c>
      <c r="E1062" s="5" t="s">
        <v>18</v>
      </c>
      <c r="F1062" s="5" t="s">
        <v>19</v>
      </c>
      <c r="G1062" s="5" t="s">
        <v>20</v>
      </c>
      <c r="H1062" s="5" t="s">
        <v>21</v>
      </c>
      <c r="I1062" s="5" t="s">
        <v>892</v>
      </c>
      <c r="J1062" s="5" t="s">
        <v>45</v>
      </c>
      <c r="K1062" s="5" t="s">
        <v>24</v>
      </c>
      <c r="L1062" s="6">
        <v>45673</v>
      </c>
      <c r="M1062" s="6">
        <v>45674</v>
      </c>
      <c r="N1062" s="6" t="s">
        <v>811</v>
      </c>
      <c r="O1062" s="5" t="str">
        <f ca="1">IF(P1062&lt;&gt;"EXPEDIÇÃO","Expedido",IF(NETWORKDAYS(C1062,TODAY())&gt;=5,"Risco Alto",IF(NETWORKDAYS(C1062,TODAY())&gt;=3,IF(NETWORKDAYS(C1062,TODAY())&lt;5,"Risco Médio",""),IF(NETWORKDAYS(C1062,TODAY())&lt;=2,"Risco Baixo",""))))</f>
        <v>Expedido</v>
      </c>
      <c r="P1062" s="5" t="s">
        <v>25</v>
      </c>
      <c r="Q1062" s="5" t="s">
        <v>897</v>
      </c>
      <c r="S1062" s="7">
        <f>IF(ISBLANK(M1062),"Aguardando Previsão/Data",NETWORKDAYS(L1062,M1062)-1)</f>
        <v>1</v>
      </c>
      <c r="T1062" s="5" t="s">
        <v>942</v>
      </c>
    </row>
    <row r="1063" spans="1:20" x14ac:dyDescent="0.35">
      <c r="A1063" s="5">
        <v>8100273719</v>
      </c>
      <c r="B1063" s="5">
        <v>21136</v>
      </c>
      <c r="C1063" s="6">
        <v>45666</v>
      </c>
      <c r="D1063" s="5" t="s">
        <v>17</v>
      </c>
      <c r="E1063" s="5" t="s">
        <v>18</v>
      </c>
      <c r="F1063" s="5" t="s">
        <v>19</v>
      </c>
      <c r="G1063" s="5" t="s">
        <v>20</v>
      </c>
      <c r="H1063" s="5" t="s">
        <v>21</v>
      </c>
      <c r="I1063" s="5" t="s">
        <v>1264</v>
      </c>
      <c r="J1063" s="5" t="s">
        <v>713</v>
      </c>
      <c r="K1063" s="5" t="s">
        <v>24</v>
      </c>
      <c r="L1063" s="6">
        <v>45673</v>
      </c>
      <c r="M1063" s="6">
        <v>45675</v>
      </c>
      <c r="N1063" s="6" t="s">
        <v>812</v>
      </c>
      <c r="O1063" s="5" t="str">
        <f ca="1">IF(P1063&lt;&gt;"EXPEDIÇÃO","Expedido",IF(NETWORKDAYS(C1063,TODAY())&gt;=5,"Risco Alto",IF(NETWORKDAYS(C1063,TODAY())&gt;=3,IF(NETWORKDAYS(C1063,TODAY())&lt;5,"Risco Médio",""),IF(NETWORKDAYS(C1063,TODAY())&lt;=2,"Risco Baixo",""))))</f>
        <v>Expedido</v>
      </c>
      <c r="P1063" s="5" t="s">
        <v>25</v>
      </c>
      <c r="Q1063" s="5" t="s">
        <v>898</v>
      </c>
      <c r="S1063" s="7">
        <f>IF(ISBLANK(M1063),"Aguardando Previsão/Data",NETWORKDAYS(L1063,M1063)-1)</f>
        <v>1</v>
      </c>
      <c r="T1063" s="5" t="s">
        <v>942</v>
      </c>
    </row>
    <row r="1064" spans="1:20" x14ac:dyDescent="0.35">
      <c r="A1064" s="5">
        <v>8100273720</v>
      </c>
      <c r="B1064" s="5">
        <v>21142</v>
      </c>
      <c r="C1064" s="6">
        <v>45666</v>
      </c>
      <c r="D1064" s="5" t="s">
        <v>17</v>
      </c>
      <c r="E1064" s="5" t="s">
        <v>18</v>
      </c>
      <c r="F1064" s="5" t="s">
        <v>32</v>
      </c>
      <c r="G1064" s="5" t="s">
        <v>33</v>
      </c>
      <c r="H1064" s="5" t="s">
        <v>21</v>
      </c>
      <c r="I1064" s="5" t="s">
        <v>367</v>
      </c>
      <c r="J1064" s="5" t="s">
        <v>368</v>
      </c>
      <c r="K1064" s="5" t="s">
        <v>24</v>
      </c>
      <c r="L1064" s="6">
        <v>45674</v>
      </c>
      <c r="M1064" s="6">
        <v>45673</v>
      </c>
      <c r="N1064" s="6" t="s">
        <v>811</v>
      </c>
      <c r="O1064" s="5" t="str">
        <f ca="1">IF(P1064&lt;&gt;"EXPEDIÇÃO","Expedido",IF(NETWORKDAYS(C1064,TODAY())&gt;=5,"Risco Alto",IF(NETWORKDAYS(C1064,TODAY())&gt;=3,IF(NETWORKDAYS(C1064,TODAY())&lt;5,"Risco Médio",""),IF(NETWORKDAYS(C1064,TODAY())&lt;=2,"Risco Baixo",""))))</f>
        <v>Expedido</v>
      </c>
      <c r="P1064" s="5" t="s">
        <v>25</v>
      </c>
      <c r="S1064" s="7">
        <f>IF(ISBLANK(M1064),"Aguardando Previsão/Data",NETWORKDAYS(L1064,M1064)-1)</f>
        <v>-3</v>
      </c>
      <c r="T1064" s="5" t="s">
        <v>942</v>
      </c>
    </row>
    <row r="1065" spans="1:20" x14ac:dyDescent="0.35">
      <c r="A1065" s="5">
        <v>8100273721</v>
      </c>
      <c r="B1065" s="5">
        <v>21138</v>
      </c>
      <c r="C1065" s="6">
        <v>45666</v>
      </c>
      <c r="D1065" s="5" t="s">
        <v>17</v>
      </c>
      <c r="E1065" s="5" t="s">
        <v>18</v>
      </c>
      <c r="F1065" s="5" t="s">
        <v>19</v>
      </c>
      <c r="G1065" s="5" t="s">
        <v>20</v>
      </c>
      <c r="H1065" s="5" t="s">
        <v>21</v>
      </c>
      <c r="I1065" s="5" t="s">
        <v>892</v>
      </c>
      <c r="J1065" s="5" t="s">
        <v>45</v>
      </c>
      <c r="K1065" s="5" t="s">
        <v>24</v>
      </c>
      <c r="L1065" s="6">
        <v>45673</v>
      </c>
      <c r="M1065" s="6">
        <v>45674</v>
      </c>
      <c r="N1065" s="6" t="s">
        <v>811</v>
      </c>
      <c r="O1065" s="5" t="str">
        <f ca="1">IF(P1065&lt;&gt;"EXPEDIÇÃO","Expedido",IF(NETWORKDAYS(C1065,TODAY())&gt;=5,"Risco Alto",IF(NETWORKDAYS(C1065,TODAY())&gt;=3,IF(NETWORKDAYS(C1065,TODAY())&lt;5,"Risco Médio",""),IF(NETWORKDAYS(C1065,TODAY())&lt;=2,"Risco Baixo",""))))</f>
        <v>Expedido</v>
      </c>
      <c r="P1065" s="5" t="s">
        <v>25</v>
      </c>
      <c r="Q1065" s="5" t="s">
        <v>897</v>
      </c>
      <c r="S1065" s="7">
        <f>IF(ISBLANK(M1065),"Aguardando Previsão/Data",NETWORKDAYS(L1065,M1065)-1)</f>
        <v>1</v>
      </c>
      <c r="T1065" s="5" t="s">
        <v>942</v>
      </c>
    </row>
    <row r="1066" spans="1:20" x14ac:dyDescent="0.35">
      <c r="A1066" s="5">
        <v>8100273792</v>
      </c>
      <c r="B1066" s="5">
        <v>21139</v>
      </c>
      <c r="C1066" s="6">
        <v>45666</v>
      </c>
      <c r="D1066" s="5" t="s">
        <v>17</v>
      </c>
      <c r="E1066" s="5" t="s">
        <v>18</v>
      </c>
      <c r="F1066" s="5" t="s">
        <v>19</v>
      </c>
      <c r="G1066" s="5" t="s">
        <v>20</v>
      </c>
      <c r="H1066" s="5" t="s">
        <v>21</v>
      </c>
      <c r="I1066" s="5" t="s">
        <v>892</v>
      </c>
      <c r="J1066" s="5" t="s">
        <v>45</v>
      </c>
      <c r="K1066" s="5" t="s">
        <v>24</v>
      </c>
      <c r="L1066" s="6">
        <v>45673</v>
      </c>
      <c r="M1066" s="6">
        <v>45673</v>
      </c>
      <c r="N1066" s="6" t="s">
        <v>811</v>
      </c>
      <c r="O1066" s="5" t="str">
        <f ca="1">IF(P1066&lt;&gt;"EXPEDIÇÃO","Expedido",IF(NETWORKDAYS(C1066,TODAY())&gt;=5,"Risco Alto",IF(NETWORKDAYS(C1066,TODAY())&gt;=3,IF(NETWORKDAYS(C1066,TODAY())&lt;5,"Risco Médio",""),IF(NETWORKDAYS(C1066,TODAY())&lt;=2,"Risco Baixo",""))))</f>
        <v>Expedido</v>
      </c>
      <c r="P1066" s="5" t="s">
        <v>25</v>
      </c>
      <c r="Q1066" s="5" t="s">
        <v>897</v>
      </c>
      <c r="S1066" s="7">
        <f>IF(ISBLANK(M1066),"Aguardando Previsão/Data",NETWORKDAYS(L1066,M1066)-1)</f>
        <v>0</v>
      </c>
      <c r="T1066" s="5" t="s">
        <v>942</v>
      </c>
    </row>
    <row r="1067" spans="1:20" x14ac:dyDescent="0.35">
      <c r="A1067" s="5">
        <v>8100273794</v>
      </c>
      <c r="B1067" s="5">
        <v>21140</v>
      </c>
      <c r="C1067" s="6">
        <v>45666</v>
      </c>
      <c r="D1067" s="5" t="s">
        <v>17</v>
      </c>
      <c r="E1067" s="5" t="s">
        <v>18</v>
      </c>
      <c r="F1067" s="5" t="s">
        <v>19</v>
      </c>
      <c r="G1067" s="5" t="s">
        <v>20</v>
      </c>
      <c r="H1067" s="5" t="s">
        <v>21</v>
      </c>
      <c r="I1067" s="5" t="s">
        <v>892</v>
      </c>
      <c r="J1067" s="5" t="s">
        <v>45</v>
      </c>
      <c r="K1067" s="5" t="s">
        <v>24</v>
      </c>
      <c r="L1067" s="6">
        <v>45673</v>
      </c>
      <c r="M1067" s="6">
        <v>45674</v>
      </c>
      <c r="N1067" s="6" t="s">
        <v>811</v>
      </c>
      <c r="O1067" s="5" t="str">
        <f ca="1">IF(P1067&lt;&gt;"EXPEDIÇÃO","Expedido",IF(NETWORKDAYS(C1067,TODAY())&gt;=5,"Risco Alto",IF(NETWORKDAYS(C1067,TODAY())&gt;=3,IF(NETWORKDAYS(C1067,TODAY())&lt;5,"Risco Médio",""),IF(NETWORKDAYS(C1067,TODAY())&lt;=2,"Risco Baixo",""))))</f>
        <v>Expedido</v>
      </c>
      <c r="P1067" s="5" t="s">
        <v>25</v>
      </c>
      <c r="Q1067" s="5" t="s">
        <v>897</v>
      </c>
      <c r="S1067" s="7">
        <f>IF(ISBLANK(M1067),"Aguardando Previsão/Data",NETWORKDAYS(L1067,M1067)-1)</f>
        <v>1</v>
      </c>
      <c r="T1067" s="5" t="s">
        <v>942</v>
      </c>
    </row>
    <row r="1068" spans="1:20" x14ac:dyDescent="0.35">
      <c r="A1068" s="5">
        <v>8100273798</v>
      </c>
      <c r="B1068" s="5">
        <v>21141</v>
      </c>
      <c r="C1068" s="6">
        <v>45666</v>
      </c>
      <c r="D1068" s="5" t="s">
        <v>17</v>
      </c>
      <c r="E1068" s="5" t="s">
        <v>18</v>
      </c>
      <c r="F1068" s="5" t="s">
        <v>19</v>
      </c>
      <c r="G1068" s="5" t="s">
        <v>20</v>
      </c>
      <c r="H1068" s="5" t="s">
        <v>21</v>
      </c>
      <c r="I1068" s="5" t="s">
        <v>892</v>
      </c>
      <c r="J1068" s="5" t="s">
        <v>45</v>
      </c>
      <c r="K1068" s="5" t="s">
        <v>24</v>
      </c>
      <c r="L1068" s="6">
        <v>45673</v>
      </c>
      <c r="M1068" s="6">
        <v>45674</v>
      </c>
      <c r="N1068" s="6" t="s">
        <v>811</v>
      </c>
      <c r="O1068" s="5" t="str">
        <f ca="1">IF(P1068&lt;&gt;"EXPEDIÇÃO","Expedido",IF(NETWORKDAYS(C1068,TODAY())&gt;=5,"Risco Alto",IF(NETWORKDAYS(C1068,TODAY())&gt;=3,IF(NETWORKDAYS(C1068,TODAY())&lt;5,"Risco Médio",""),IF(NETWORKDAYS(C1068,TODAY())&lt;=2,"Risco Baixo",""))))</f>
        <v>Expedido</v>
      </c>
      <c r="P1068" s="5" t="s">
        <v>25</v>
      </c>
      <c r="Q1068" s="5" t="s">
        <v>897</v>
      </c>
      <c r="S1068" s="7">
        <f>IF(ISBLANK(M1068),"Aguardando Previsão/Data",NETWORKDAYS(L1068,M1068)-1)</f>
        <v>1</v>
      </c>
      <c r="T1068" s="5" t="s">
        <v>942</v>
      </c>
    </row>
    <row r="1069" spans="1:20" x14ac:dyDescent="0.35">
      <c r="A1069" s="5">
        <v>8100274092</v>
      </c>
      <c r="B1069" s="5">
        <v>21145</v>
      </c>
      <c r="C1069" s="6">
        <v>45666</v>
      </c>
      <c r="D1069" s="5" t="s">
        <v>17</v>
      </c>
      <c r="E1069" s="5" t="s">
        <v>18</v>
      </c>
      <c r="F1069" s="5" t="s">
        <v>27</v>
      </c>
      <c r="G1069" s="5" t="s">
        <v>28</v>
      </c>
      <c r="H1069" s="5" t="s">
        <v>21</v>
      </c>
      <c r="I1069" s="5" t="s">
        <v>645</v>
      </c>
      <c r="J1069" s="5" t="s">
        <v>364</v>
      </c>
      <c r="K1069" s="5" t="s">
        <v>24</v>
      </c>
      <c r="L1069" s="6">
        <v>45673</v>
      </c>
      <c r="M1069" s="6">
        <v>45671</v>
      </c>
      <c r="N1069" s="6" t="s">
        <v>811</v>
      </c>
      <c r="O1069" s="5" t="str">
        <f ca="1">IF(P1069&lt;&gt;"EXPEDIÇÃO","Expedido",IF(NETWORKDAYS(C1069,TODAY())&gt;=5,"Risco Alto",IF(NETWORKDAYS(C1069,TODAY())&gt;=3,IF(NETWORKDAYS(C1069,TODAY())&lt;5,"Risco Médio",""),IF(NETWORKDAYS(C1069,TODAY())&lt;=2,"Risco Baixo",""))))</f>
        <v>Expedido</v>
      </c>
      <c r="P1069" s="5" t="s">
        <v>25</v>
      </c>
      <c r="S1069" s="7">
        <f>IF(ISBLANK(M1069),"Aguardando Previsão/Data",NETWORKDAYS(L1069,M1069)-1)</f>
        <v>-4</v>
      </c>
      <c r="T1069" s="5" t="s">
        <v>942</v>
      </c>
    </row>
    <row r="1070" spans="1:20" x14ac:dyDescent="0.35">
      <c r="A1070" s="5">
        <v>8100273053</v>
      </c>
      <c r="B1070" s="5">
        <v>13151</v>
      </c>
      <c r="C1070" s="6">
        <v>45666</v>
      </c>
      <c r="D1070" s="5" t="s">
        <v>91</v>
      </c>
      <c r="E1070" s="5" t="s">
        <v>92</v>
      </c>
      <c r="F1070" s="5" t="s">
        <v>103</v>
      </c>
      <c r="G1070" s="5" t="s">
        <v>104</v>
      </c>
      <c r="H1070" s="5" t="s">
        <v>21</v>
      </c>
      <c r="I1070" s="5" t="s">
        <v>763</v>
      </c>
      <c r="J1070" s="5" t="s">
        <v>1252</v>
      </c>
      <c r="K1070" s="5" t="s">
        <v>274</v>
      </c>
      <c r="L1070" s="6">
        <v>45678</v>
      </c>
      <c r="M1070" s="6">
        <v>45677</v>
      </c>
      <c r="N1070" s="6" t="s">
        <v>811</v>
      </c>
      <c r="O1070" s="5" t="str">
        <f ca="1">IF(P1070&lt;&gt;"EXPEDIÇÃO","Expedido",IF(NETWORKDAYS(C1070,TODAY())&gt;=5,"Risco Alto",IF(NETWORKDAYS(C1070,TODAY())&gt;=3,IF(NETWORKDAYS(C1070,TODAY())&lt;5,"Risco Médio",""),IF(NETWORKDAYS(C1070,TODAY())&lt;=2,"Risco Baixo",""))))</f>
        <v>Expedido</v>
      </c>
      <c r="P1070" s="5" t="s">
        <v>25</v>
      </c>
      <c r="S1070" s="7">
        <f>IF(ISBLANK(M1070),"Aguardando Previsão/Data",NETWORKDAYS(L1070,M1070)-1)</f>
        <v>-3</v>
      </c>
      <c r="T1070" s="5" t="s">
        <v>942</v>
      </c>
    </row>
    <row r="1071" spans="1:20" x14ac:dyDescent="0.35">
      <c r="A1071" s="5">
        <v>8100273054</v>
      </c>
      <c r="B1071" s="5">
        <v>13147</v>
      </c>
      <c r="C1071" s="6">
        <v>45666</v>
      </c>
      <c r="D1071" s="5" t="s">
        <v>91</v>
      </c>
      <c r="E1071" s="5" t="s">
        <v>92</v>
      </c>
      <c r="F1071" s="5" t="s">
        <v>96</v>
      </c>
      <c r="G1071" s="5" t="s">
        <v>97</v>
      </c>
      <c r="H1071" s="5" t="s">
        <v>21</v>
      </c>
      <c r="I1071" s="5" t="s">
        <v>1253</v>
      </c>
      <c r="J1071" s="5" t="s">
        <v>99</v>
      </c>
      <c r="K1071" s="5" t="s">
        <v>95</v>
      </c>
      <c r="L1071" s="6">
        <v>45672</v>
      </c>
      <c r="M1071" s="6">
        <v>45670</v>
      </c>
      <c r="N1071" s="6" t="s">
        <v>811</v>
      </c>
      <c r="O1071" s="5" t="str">
        <f ca="1">IF(P1071&lt;&gt;"EXPEDIÇÃO","Expedido",IF(NETWORKDAYS(C1071,TODAY())&gt;=5,"Risco Alto",IF(NETWORKDAYS(C1071,TODAY())&gt;=3,IF(NETWORKDAYS(C1071,TODAY())&lt;5,"Risco Médio",""),IF(NETWORKDAYS(C1071,TODAY())&lt;=2,"Risco Baixo",""))))</f>
        <v>Expedido</v>
      </c>
      <c r="P1071" s="5" t="s">
        <v>25</v>
      </c>
      <c r="S1071" s="7">
        <f>IF(ISBLANK(M1071),"Aguardando Previsão/Data",NETWORKDAYS(L1071,M1071)-1)</f>
        <v>-4</v>
      </c>
      <c r="T1071" s="5" t="s">
        <v>942</v>
      </c>
    </row>
    <row r="1072" spans="1:20" x14ac:dyDescent="0.35">
      <c r="A1072" s="5">
        <v>8100273055</v>
      </c>
      <c r="B1072" s="5">
        <v>13152</v>
      </c>
      <c r="C1072" s="6">
        <v>45666</v>
      </c>
      <c r="D1072" s="5" t="s">
        <v>91</v>
      </c>
      <c r="E1072" s="5" t="s">
        <v>92</v>
      </c>
      <c r="F1072" s="5" t="s">
        <v>96</v>
      </c>
      <c r="G1072" s="5" t="s">
        <v>97</v>
      </c>
      <c r="H1072" s="5" t="s">
        <v>21</v>
      </c>
      <c r="I1072" s="5" t="s">
        <v>1254</v>
      </c>
      <c r="J1072" s="5" t="s">
        <v>99</v>
      </c>
      <c r="K1072" s="5" t="s">
        <v>95</v>
      </c>
      <c r="L1072" s="6">
        <v>45672</v>
      </c>
      <c r="M1072" s="6">
        <v>45670</v>
      </c>
      <c r="N1072" s="6" t="s">
        <v>811</v>
      </c>
      <c r="O1072" s="5" t="str">
        <f ca="1">IF(P1072&lt;&gt;"EXPEDIÇÃO","Expedido",IF(NETWORKDAYS(C1072,TODAY())&gt;=5,"Risco Alto",IF(NETWORKDAYS(C1072,TODAY())&gt;=3,IF(NETWORKDAYS(C1072,TODAY())&lt;5,"Risco Médio",""),IF(NETWORKDAYS(C1072,TODAY())&lt;=2,"Risco Baixo",""))))</f>
        <v>Expedido</v>
      </c>
      <c r="P1072" s="5" t="s">
        <v>25</v>
      </c>
      <c r="S1072" s="7">
        <f>IF(ISBLANK(M1072),"Aguardando Previsão/Data",NETWORKDAYS(L1072,M1072)-1)</f>
        <v>-4</v>
      </c>
      <c r="T1072" s="5" t="s">
        <v>942</v>
      </c>
    </row>
    <row r="1073" spans="1:20" x14ac:dyDescent="0.35">
      <c r="A1073" s="5">
        <v>8100273056</v>
      </c>
      <c r="B1073" s="5">
        <v>13149</v>
      </c>
      <c r="C1073" s="6">
        <v>45666</v>
      </c>
      <c r="D1073" s="5" t="s">
        <v>91</v>
      </c>
      <c r="E1073" s="5" t="s">
        <v>92</v>
      </c>
      <c r="F1073" s="5" t="s">
        <v>96</v>
      </c>
      <c r="G1073" s="5" t="s">
        <v>97</v>
      </c>
      <c r="H1073" s="5" t="s">
        <v>21</v>
      </c>
      <c r="I1073" s="5" t="s">
        <v>1255</v>
      </c>
      <c r="J1073" s="5" t="s">
        <v>472</v>
      </c>
      <c r="K1073" s="5" t="s">
        <v>95</v>
      </c>
      <c r="L1073" s="6">
        <v>45673</v>
      </c>
      <c r="M1073" s="6">
        <v>45667</v>
      </c>
      <c r="N1073" s="6" t="s">
        <v>811</v>
      </c>
      <c r="O1073" s="5" t="str">
        <f ca="1">IF(P1073&lt;&gt;"EXPEDIÇÃO","Expedido",IF(NETWORKDAYS(C1073,TODAY())&gt;=5,"Risco Alto",IF(NETWORKDAYS(C1073,TODAY())&gt;=3,IF(NETWORKDAYS(C1073,TODAY())&lt;5,"Risco Médio",""),IF(NETWORKDAYS(C1073,TODAY())&lt;=2,"Risco Baixo",""))))</f>
        <v>Expedido</v>
      </c>
      <c r="P1073" s="5" t="s">
        <v>25</v>
      </c>
      <c r="S1073" s="7">
        <f>IF(ISBLANK(M1073),"Aguardando Previsão/Data",NETWORKDAYS(L1073,M1073)-1)</f>
        <v>-6</v>
      </c>
      <c r="T1073" s="5" t="s">
        <v>942</v>
      </c>
    </row>
    <row r="1074" spans="1:20" x14ac:dyDescent="0.35">
      <c r="A1074" s="5">
        <v>8100273058</v>
      </c>
      <c r="B1074" s="5">
        <v>13153</v>
      </c>
      <c r="C1074" s="6">
        <v>45666</v>
      </c>
      <c r="D1074" s="5" t="s">
        <v>91</v>
      </c>
      <c r="E1074" s="5" t="s">
        <v>92</v>
      </c>
      <c r="F1074" s="5" t="s">
        <v>96</v>
      </c>
      <c r="G1074" s="5" t="s">
        <v>97</v>
      </c>
      <c r="H1074" s="5" t="s">
        <v>21</v>
      </c>
      <c r="I1074" s="5" t="s">
        <v>1072</v>
      </c>
      <c r="J1074" s="5" t="s">
        <v>426</v>
      </c>
      <c r="K1074" s="5" t="s">
        <v>95</v>
      </c>
      <c r="L1074" s="6">
        <v>45673</v>
      </c>
      <c r="M1074" s="6">
        <v>45671</v>
      </c>
      <c r="N1074" s="6" t="s">
        <v>811</v>
      </c>
      <c r="O1074" s="5" t="str">
        <f ca="1">IF(P1074&lt;&gt;"EXPEDIÇÃO","Expedido",IF(NETWORKDAYS(C1074,TODAY())&gt;=5,"Risco Alto",IF(NETWORKDAYS(C1074,TODAY())&gt;=3,IF(NETWORKDAYS(C1074,TODAY())&lt;5,"Risco Médio",""),IF(NETWORKDAYS(C1074,TODAY())&lt;=2,"Risco Baixo",""))))</f>
        <v>Expedido</v>
      </c>
      <c r="P1074" s="5" t="s">
        <v>25</v>
      </c>
      <c r="S1074" s="7">
        <f>IF(ISBLANK(M1074),"Aguardando Previsão/Data",NETWORKDAYS(L1074,M1074)-1)</f>
        <v>-4</v>
      </c>
      <c r="T1074" s="5" t="s">
        <v>942</v>
      </c>
    </row>
    <row r="1075" spans="1:20" x14ac:dyDescent="0.35">
      <c r="A1075" s="5">
        <v>8100273327</v>
      </c>
      <c r="B1075" s="5">
        <v>13137</v>
      </c>
      <c r="C1075" s="6">
        <v>45666</v>
      </c>
      <c r="D1075" s="5" t="s">
        <v>91</v>
      </c>
      <c r="E1075" s="5" t="s">
        <v>92</v>
      </c>
      <c r="F1075" s="5" t="s">
        <v>96</v>
      </c>
      <c r="G1075" s="5" t="s">
        <v>97</v>
      </c>
      <c r="H1075" s="5" t="s">
        <v>21</v>
      </c>
      <c r="I1075" s="5" t="s">
        <v>1257</v>
      </c>
      <c r="J1075" s="5" t="s">
        <v>667</v>
      </c>
      <c r="K1075" s="5" t="s">
        <v>101</v>
      </c>
      <c r="L1075" s="6">
        <v>45677</v>
      </c>
      <c r="M1075" s="6">
        <v>45669</v>
      </c>
      <c r="N1075" s="6" t="s">
        <v>811</v>
      </c>
      <c r="O1075" s="5" t="str">
        <f ca="1">IF(P1075&lt;&gt;"EXPEDIÇÃO","Expedido",IF(NETWORKDAYS(C1075,TODAY())&gt;=5,"Risco Alto",IF(NETWORKDAYS(C1075,TODAY())&gt;=3,IF(NETWORKDAYS(C1075,TODAY())&lt;5,"Risco Médio",""),IF(NETWORKDAYS(C1075,TODAY())&lt;=2,"Risco Baixo",""))))</f>
        <v>Expedido</v>
      </c>
      <c r="P1075" s="5" t="s">
        <v>25</v>
      </c>
      <c r="S1075" s="7">
        <f>IF(ISBLANK(M1075),"Aguardando Previsão/Data",NETWORKDAYS(L1075,M1075)-1)</f>
        <v>-7</v>
      </c>
      <c r="T1075" s="5" t="s">
        <v>942</v>
      </c>
    </row>
    <row r="1076" spans="1:20" x14ac:dyDescent="0.35">
      <c r="A1076" s="5">
        <v>8100273502</v>
      </c>
      <c r="B1076" s="5">
        <v>13138</v>
      </c>
      <c r="C1076" s="6">
        <v>45666</v>
      </c>
      <c r="D1076" s="5" t="s">
        <v>91</v>
      </c>
      <c r="E1076" s="5" t="s">
        <v>92</v>
      </c>
      <c r="F1076" s="5" t="s">
        <v>96</v>
      </c>
      <c r="G1076" s="5" t="s">
        <v>97</v>
      </c>
      <c r="H1076" s="5" t="s">
        <v>21</v>
      </c>
      <c r="I1076" s="5" t="s">
        <v>22</v>
      </c>
      <c r="J1076" s="5" t="s">
        <v>99</v>
      </c>
      <c r="K1076" s="5" t="s">
        <v>95</v>
      </c>
      <c r="L1076" s="6">
        <v>45672</v>
      </c>
      <c r="M1076" s="6">
        <v>45667</v>
      </c>
      <c r="N1076" s="6" t="s">
        <v>811</v>
      </c>
      <c r="O1076" s="5" t="str">
        <f ca="1">IF(P1076&lt;&gt;"EXPEDIÇÃO","Expedido",IF(NETWORKDAYS(C1076,TODAY())&gt;=5,"Risco Alto",IF(NETWORKDAYS(C1076,TODAY())&gt;=3,IF(NETWORKDAYS(C1076,TODAY())&lt;5,"Risco Médio",""),IF(NETWORKDAYS(C1076,TODAY())&lt;=2,"Risco Baixo",""))))</f>
        <v>Expedido</v>
      </c>
      <c r="P1076" s="5" t="s">
        <v>25</v>
      </c>
      <c r="Q1076" s="5" t="s">
        <v>900</v>
      </c>
      <c r="S1076" s="7">
        <f>IF(ISBLANK(M1076),"Aguardando Previsão/Data",NETWORKDAYS(L1076,M1076)-1)</f>
        <v>-5</v>
      </c>
      <c r="T1076" s="5" t="s">
        <v>942</v>
      </c>
    </row>
    <row r="1077" spans="1:20" x14ac:dyDescent="0.35">
      <c r="A1077" s="5">
        <v>8100273503</v>
      </c>
      <c r="B1077" s="5">
        <v>13148</v>
      </c>
      <c r="C1077" s="6">
        <v>45666</v>
      </c>
      <c r="D1077" s="5" t="s">
        <v>91</v>
      </c>
      <c r="E1077" s="5" t="s">
        <v>92</v>
      </c>
      <c r="F1077" s="5" t="s">
        <v>96</v>
      </c>
      <c r="G1077" s="5" t="s">
        <v>97</v>
      </c>
      <c r="H1077" s="5" t="s">
        <v>21</v>
      </c>
      <c r="I1077" s="5" t="s">
        <v>1259</v>
      </c>
      <c r="J1077" s="5" t="s">
        <v>828</v>
      </c>
      <c r="K1077" s="5" t="s">
        <v>101</v>
      </c>
      <c r="L1077" s="6">
        <v>45677</v>
      </c>
      <c r="M1077" s="6">
        <v>45670</v>
      </c>
      <c r="N1077" s="6" t="s">
        <v>811</v>
      </c>
      <c r="O1077" s="5" t="str">
        <f ca="1">IF(P1077&lt;&gt;"EXPEDIÇÃO","Expedido",IF(NETWORKDAYS(C1077,TODAY())&gt;=5,"Risco Alto",IF(NETWORKDAYS(C1077,TODAY())&gt;=3,IF(NETWORKDAYS(C1077,TODAY())&lt;5,"Risco Médio",""),IF(NETWORKDAYS(C1077,TODAY())&lt;=2,"Risco Baixo",""))))</f>
        <v>Expedido</v>
      </c>
      <c r="P1077" s="5" t="s">
        <v>25</v>
      </c>
      <c r="S1077" s="7">
        <f>IF(ISBLANK(M1077),"Aguardando Previsão/Data",NETWORKDAYS(L1077,M1077)-1)</f>
        <v>-7</v>
      </c>
      <c r="T1077" s="5" t="s">
        <v>942</v>
      </c>
    </row>
    <row r="1078" spans="1:20" x14ac:dyDescent="0.35">
      <c r="A1078" s="5">
        <v>8100273506</v>
      </c>
      <c r="B1078" s="5">
        <v>13154</v>
      </c>
      <c r="C1078" s="6">
        <v>45666</v>
      </c>
      <c r="D1078" s="5" t="s">
        <v>91</v>
      </c>
      <c r="E1078" s="5" t="s">
        <v>92</v>
      </c>
      <c r="F1078" s="5" t="s">
        <v>103</v>
      </c>
      <c r="G1078" s="5" t="s">
        <v>104</v>
      </c>
      <c r="H1078" s="5" t="s">
        <v>21</v>
      </c>
      <c r="I1078" s="5" t="s">
        <v>1020</v>
      </c>
      <c r="J1078" s="5" t="s">
        <v>422</v>
      </c>
      <c r="K1078" s="5" t="s">
        <v>423</v>
      </c>
      <c r="L1078" s="6">
        <v>45677</v>
      </c>
      <c r="M1078" s="6">
        <v>45672</v>
      </c>
      <c r="N1078" s="6" t="s">
        <v>811</v>
      </c>
      <c r="O1078" s="5" t="str">
        <f ca="1">IF(P1078&lt;&gt;"EXPEDIÇÃO","Expedido",IF(NETWORKDAYS(C1078,TODAY())&gt;=5,"Risco Alto",IF(NETWORKDAYS(C1078,TODAY())&gt;=3,IF(NETWORKDAYS(C1078,TODAY())&lt;5,"Risco Médio",""),IF(NETWORKDAYS(C1078,TODAY())&lt;=2,"Risco Baixo",""))))</f>
        <v>Expedido</v>
      </c>
      <c r="P1078" s="5" t="s">
        <v>25</v>
      </c>
      <c r="S1078" s="7">
        <f>IF(ISBLANK(M1078),"Aguardando Previsão/Data",NETWORKDAYS(L1078,M1078)-1)</f>
        <v>-5</v>
      </c>
      <c r="T1078" s="5" t="s">
        <v>942</v>
      </c>
    </row>
    <row r="1079" spans="1:20" x14ac:dyDescent="0.35">
      <c r="A1079" s="5">
        <v>8100273788</v>
      </c>
      <c r="B1079" s="5">
        <v>13146</v>
      </c>
      <c r="C1079" s="6">
        <v>45666</v>
      </c>
      <c r="D1079" s="5" t="s">
        <v>91</v>
      </c>
      <c r="E1079" s="5" t="s">
        <v>92</v>
      </c>
      <c r="F1079" s="5" t="s">
        <v>96</v>
      </c>
      <c r="G1079" s="5" t="s">
        <v>97</v>
      </c>
      <c r="H1079" s="5" t="s">
        <v>21</v>
      </c>
      <c r="I1079" s="5" t="s">
        <v>1011</v>
      </c>
      <c r="J1079" s="5" t="s">
        <v>472</v>
      </c>
      <c r="K1079" s="5" t="s">
        <v>95</v>
      </c>
      <c r="L1079" s="6">
        <v>45673</v>
      </c>
      <c r="M1079" s="6">
        <v>45671</v>
      </c>
      <c r="N1079" s="6" t="s">
        <v>811</v>
      </c>
      <c r="O1079" s="5" t="str">
        <f ca="1">IF(P1079&lt;&gt;"EXPEDIÇÃO","Expedido",IF(NETWORKDAYS(C1079,TODAY())&gt;=5,"Risco Alto",IF(NETWORKDAYS(C1079,TODAY())&gt;=3,IF(NETWORKDAYS(C1079,TODAY())&lt;5,"Risco Médio",""),IF(NETWORKDAYS(C1079,TODAY())&lt;=2,"Risco Baixo",""))))</f>
        <v>Expedido</v>
      </c>
      <c r="P1079" s="5" t="s">
        <v>25</v>
      </c>
      <c r="S1079" s="7">
        <f>IF(ISBLANK(M1079),"Aguardando Previsão/Data",NETWORKDAYS(L1079,M1079)-1)</f>
        <v>-4</v>
      </c>
      <c r="T1079" s="5" t="s">
        <v>942</v>
      </c>
    </row>
    <row r="1080" spans="1:20" x14ac:dyDescent="0.35">
      <c r="A1080" s="5">
        <v>8100273789</v>
      </c>
      <c r="B1080" s="5">
        <v>13157</v>
      </c>
      <c r="C1080" s="6">
        <v>45666</v>
      </c>
      <c r="D1080" s="5" t="s">
        <v>91</v>
      </c>
      <c r="E1080" s="5" t="s">
        <v>92</v>
      </c>
      <c r="F1080" s="5" t="s">
        <v>66</v>
      </c>
      <c r="G1080" s="5" t="s">
        <v>67</v>
      </c>
      <c r="H1080" s="5" t="s">
        <v>21</v>
      </c>
      <c r="I1080" s="5" t="s">
        <v>559</v>
      </c>
      <c r="J1080" s="5" t="s">
        <v>385</v>
      </c>
      <c r="K1080" s="5" t="s">
        <v>95</v>
      </c>
      <c r="L1080" s="6">
        <v>45679</v>
      </c>
      <c r="M1080" s="6">
        <v>45672</v>
      </c>
      <c r="N1080" s="6" t="s">
        <v>811</v>
      </c>
      <c r="O1080" s="5" t="str">
        <f ca="1">IF(P1080&lt;&gt;"EXPEDIÇÃO","Expedido",IF(NETWORKDAYS(C1080,TODAY())&gt;=5,"Risco Alto",IF(NETWORKDAYS(C1080,TODAY())&gt;=3,IF(NETWORKDAYS(C1080,TODAY())&lt;5,"Risco Médio",""),IF(NETWORKDAYS(C1080,TODAY())&lt;=2,"Risco Baixo",""))))</f>
        <v>Expedido</v>
      </c>
      <c r="P1080" s="5" t="s">
        <v>25</v>
      </c>
      <c r="S1080" s="7">
        <f>IF(ISBLANK(M1080),"Aguardando Previsão/Data",NETWORKDAYS(L1080,M1080)-1)</f>
        <v>-7</v>
      </c>
      <c r="T1080" s="5" t="s">
        <v>942</v>
      </c>
    </row>
    <row r="1081" spans="1:20" x14ac:dyDescent="0.35">
      <c r="A1081" s="5">
        <v>8100273790</v>
      </c>
      <c r="B1081" s="5">
        <v>13158</v>
      </c>
      <c r="C1081" s="6">
        <v>45666</v>
      </c>
      <c r="D1081" s="5" t="s">
        <v>91</v>
      </c>
      <c r="E1081" s="5" t="s">
        <v>92</v>
      </c>
      <c r="F1081" s="5" t="s">
        <v>66</v>
      </c>
      <c r="G1081" s="5" t="s">
        <v>67</v>
      </c>
      <c r="H1081" s="5" t="s">
        <v>21</v>
      </c>
      <c r="I1081" s="5" t="s">
        <v>559</v>
      </c>
      <c r="J1081" s="5" t="s">
        <v>385</v>
      </c>
      <c r="K1081" s="5" t="s">
        <v>95</v>
      </c>
      <c r="L1081" s="6">
        <v>45679</v>
      </c>
      <c r="M1081" s="6">
        <v>45672</v>
      </c>
      <c r="N1081" s="6" t="s">
        <v>811</v>
      </c>
      <c r="O1081" s="5" t="str">
        <f ca="1">IF(P1081&lt;&gt;"EXPEDIÇÃO","Expedido",IF(NETWORKDAYS(C1081,TODAY())&gt;=5,"Risco Alto",IF(NETWORKDAYS(C1081,TODAY())&gt;=3,IF(NETWORKDAYS(C1081,TODAY())&lt;5,"Risco Médio",""),IF(NETWORKDAYS(C1081,TODAY())&lt;=2,"Risco Baixo",""))))</f>
        <v>Expedido</v>
      </c>
      <c r="P1081" s="5" t="s">
        <v>25</v>
      </c>
      <c r="S1081" s="7">
        <f>IF(ISBLANK(M1081),"Aguardando Previsão/Data",NETWORKDAYS(L1081,M1081)-1)</f>
        <v>-7</v>
      </c>
      <c r="T1081" s="5" t="s">
        <v>942</v>
      </c>
    </row>
    <row r="1082" spans="1:20" x14ac:dyDescent="0.35">
      <c r="A1082" s="5">
        <v>8100273791</v>
      </c>
      <c r="B1082" s="5">
        <v>13159</v>
      </c>
      <c r="C1082" s="6">
        <v>45666</v>
      </c>
      <c r="D1082" s="5" t="s">
        <v>91</v>
      </c>
      <c r="E1082" s="5" t="s">
        <v>92</v>
      </c>
      <c r="F1082" s="5" t="s">
        <v>66</v>
      </c>
      <c r="G1082" s="5" t="s">
        <v>67</v>
      </c>
      <c r="H1082" s="5" t="s">
        <v>21</v>
      </c>
      <c r="I1082" s="5" t="s">
        <v>559</v>
      </c>
      <c r="J1082" s="5" t="s">
        <v>385</v>
      </c>
      <c r="K1082" s="5" t="s">
        <v>95</v>
      </c>
      <c r="L1082" s="6">
        <v>45679</v>
      </c>
      <c r="M1082" s="6">
        <v>45672</v>
      </c>
      <c r="N1082" s="6" t="s">
        <v>811</v>
      </c>
      <c r="O1082" s="5" t="str">
        <f ca="1">IF(P1082&lt;&gt;"EXPEDIÇÃO","Expedido",IF(NETWORKDAYS(C1082,TODAY())&gt;=5,"Risco Alto",IF(NETWORKDAYS(C1082,TODAY())&gt;=3,IF(NETWORKDAYS(C1082,TODAY())&lt;5,"Risco Médio",""),IF(NETWORKDAYS(C1082,TODAY())&lt;=2,"Risco Baixo",""))))</f>
        <v>Expedido</v>
      </c>
      <c r="P1082" s="5" t="s">
        <v>25</v>
      </c>
      <c r="S1082" s="7">
        <f>IF(ISBLANK(M1082),"Aguardando Previsão/Data",NETWORKDAYS(L1082,M1082)-1)</f>
        <v>-7</v>
      </c>
      <c r="T1082" s="5" t="s">
        <v>942</v>
      </c>
    </row>
    <row r="1083" spans="1:20" x14ac:dyDescent="0.35">
      <c r="A1083" s="5">
        <v>8100273857</v>
      </c>
      <c r="B1083" s="5">
        <v>13155</v>
      </c>
      <c r="C1083" s="6">
        <v>45666</v>
      </c>
      <c r="D1083" s="5" t="s">
        <v>91</v>
      </c>
      <c r="E1083" s="5" t="s">
        <v>92</v>
      </c>
      <c r="F1083" s="5" t="s">
        <v>66</v>
      </c>
      <c r="G1083" s="5" t="s">
        <v>67</v>
      </c>
      <c r="H1083" s="5" t="s">
        <v>21</v>
      </c>
      <c r="I1083" s="5" t="s">
        <v>388</v>
      </c>
      <c r="J1083" s="5" t="s">
        <v>389</v>
      </c>
      <c r="K1083" s="5" t="s">
        <v>95</v>
      </c>
      <c r="L1083" s="6">
        <v>45679</v>
      </c>
      <c r="M1083" s="6">
        <v>45673</v>
      </c>
      <c r="N1083" s="6" t="s">
        <v>811</v>
      </c>
      <c r="O1083" s="5" t="str">
        <f ca="1">IF(P1083&lt;&gt;"EXPEDIÇÃO","Expedido",IF(NETWORKDAYS(C1083,TODAY())&gt;=5,"Risco Alto",IF(NETWORKDAYS(C1083,TODAY())&gt;=3,IF(NETWORKDAYS(C1083,TODAY())&lt;5,"Risco Médio",""),IF(NETWORKDAYS(C1083,TODAY())&lt;=2,"Risco Baixo",""))))</f>
        <v>Expedido</v>
      </c>
      <c r="P1083" s="5" t="s">
        <v>25</v>
      </c>
      <c r="S1083" s="7">
        <f>IF(ISBLANK(M1083),"Aguardando Previsão/Data",NETWORKDAYS(L1083,M1083)-1)</f>
        <v>-6</v>
      </c>
      <c r="T1083" s="5" t="s">
        <v>942</v>
      </c>
    </row>
    <row r="1084" spans="1:20" x14ac:dyDescent="0.35">
      <c r="A1084" s="5">
        <v>8100273858</v>
      </c>
      <c r="B1084" s="5">
        <v>13156</v>
      </c>
      <c r="C1084" s="6">
        <v>45666</v>
      </c>
      <c r="D1084" s="5" t="s">
        <v>91</v>
      </c>
      <c r="E1084" s="5" t="s">
        <v>92</v>
      </c>
      <c r="F1084" s="5" t="s">
        <v>66</v>
      </c>
      <c r="G1084" s="5" t="s">
        <v>67</v>
      </c>
      <c r="H1084" s="5" t="s">
        <v>21</v>
      </c>
      <c r="I1084" s="5" t="s">
        <v>388</v>
      </c>
      <c r="J1084" s="5" t="s">
        <v>389</v>
      </c>
      <c r="K1084" s="5" t="s">
        <v>95</v>
      </c>
      <c r="L1084" s="6">
        <v>45679</v>
      </c>
      <c r="M1084" s="6">
        <v>45673</v>
      </c>
      <c r="N1084" s="6" t="s">
        <v>811</v>
      </c>
      <c r="O1084" s="5" t="str">
        <f ca="1">IF(P1084&lt;&gt;"EXPEDIÇÃO","Expedido",IF(NETWORKDAYS(C1084,TODAY())&gt;=5,"Risco Alto",IF(NETWORKDAYS(C1084,TODAY())&gt;=3,IF(NETWORKDAYS(C1084,TODAY())&lt;5,"Risco Médio",""),IF(NETWORKDAYS(C1084,TODAY())&lt;=2,"Risco Baixo",""))))</f>
        <v>Expedido</v>
      </c>
      <c r="P1084" s="5" t="s">
        <v>25</v>
      </c>
      <c r="S1084" s="7">
        <f>IF(ISBLANK(M1084),"Aguardando Previsão/Data",NETWORKDAYS(L1084,M1084)-1)</f>
        <v>-6</v>
      </c>
      <c r="T1084" s="5" t="s">
        <v>942</v>
      </c>
    </row>
    <row r="1085" spans="1:20" x14ac:dyDescent="0.35">
      <c r="A1085" s="5">
        <v>8100273859</v>
      </c>
      <c r="B1085" s="5">
        <v>13160</v>
      </c>
      <c r="C1085" s="6">
        <v>45666</v>
      </c>
      <c r="D1085" s="5" t="s">
        <v>91</v>
      </c>
      <c r="E1085" s="5" t="s">
        <v>92</v>
      </c>
      <c r="F1085" s="5" t="s">
        <v>66</v>
      </c>
      <c r="G1085" s="5" t="s">
        <v>67</v>
      </c>
      <c r="H1085" s="5" t="s">
        <v>21</v>
      </c>
      <c r="I1085" s="5" t="s">
        <v>559</v>
      </c>
      <c r="J1085" s="5" t="s">
        <v>385</v>
      </c>
      <c r="K1085" s="5" t="s">
        <v>95</v>
      </c>
      <c r="L1085" s="6">
        <v>45679</v>
      </c>
      <c r="M1085" s="6">
        <v>45672</v>
      </c>
      <c r="N1085" s="6" t="s">
        <v>811</v>
      </c>
      <c r="O1085" s="5" t="str">
        <f ca="1">IF(P1085&lt;&gt;"EXPEDIÇÃO","Expedido",IF(NETWORKDAYS(C1085,TODAY())&gt;=5,"Risco Alto",IF(NETWORKDAYS(C1085,TODAY())&gt;=3,IF(NETWORKDAYS(C1085,TODAY())&lt;5,"Risco Médio",""),IF(NETWORKDAYS(C1085,TODAY())&lt;=2,"Risco Baixo",""))))</f>
        <v>Expedido</v>
      </c>
      <c r="P1085" s="5" t="s">
        <v>25</v>
      </c>
      <c r="S1085" s="7">
        <f>IF(ISBLANK(M1085),"Aguardando Previsão/Data",NETWORKDAYS(L1085,M1085)-1)</f>
        <v>-7</v>
      </c>
      <c r="T1085" s="5" t="s">
        <v>942</v>
      </c>
    </row>
    <row r="1086" spans="1:20" x14ac:dyDescent="0.35">
      <c r="A1086" s="5">
        <v>8100273933</v>
      </c>
      <c r="B1086" s="5">
        <v>21147</v>
      </c>
      <c r="C1086" s="6">
        <v>45666</v>
      </c>
      <c r="D1086" s="5" t="s">
        <v>836</v>
      </c>
      <c r="E1086" s="5" t="s">
        <v>837</v>
      </c>
      <c r="F1086" s="5" t="s">
        <v>39</v>
      </c>
      <c r="G1086" s="5" t="s">
        <v>40</v>
      </c>
      <c r="H1086" s="5" t="s">
        <v>21</v>
      </c>
      <c r="I1086" s="5" t="s">
        <v>1052</v>
      </c>
      <c r="J1086" s="5" t="s">
        <v>41</v>
      </c>
      <c r="K1086" s="5" t="s">
        <v>24</v>
      </c>
      <c r="L1086" s="6">
        <v>45672</v>
      </c>
      <c r="M1086" s="6">
        <v>45672</v>
      </c>
      <c r="N1086" s="6" t="s">
        <v>811</v>
      </c>
      <c r="O1086" s="5" t="str">
        <f ca="1">IF(P1086&lt;&gt;"EXPEDIÇÃO","Expedido",IF(NETWORKDAYS(C1086,TODAY())&gt;=5,"Risco Alto",IF(NETWORKDAYS(C1086,TODAY())&gt;=3,IF(NETWORKDAYS(C1086,TODAY())&lt;5,"Risco Médio",""),IF(NETWORKDAYS(C1086,TODAY())&lt;=2,"Risco Baixo",""))))</f>
        <v>Expedido</v>
      </c>
      <c r="P1086" s="5" t="s">
        <v>25</v>
      </c>
      <c r="Q1086" s="5" t="s">
        <v>898</v>
      </c>
      <c r="S1086" s="7">
        <f>IF(ISBLANK(M1086),"Aguardando Previsão/Data",NETWORKDAYS(L1086,M1086)-1)</f>
        <v>0</v>
      </c>
      <c r="T1086" s="5" t="s">
        <v>942</v>
      </c>
    </row>
    <row r="1087" spans="1:20" x14ac:dyDescent="0.35">
      <c r="A1087" s="5">
        <v>8100273934</v>
      </c>
      <c r="B1087" s="5">
        <v>21148</v>
      </c>
      <c r="C1087" s="6">
        <v>45666</v>
      </c>
      <c r="D1087" s="5" t="s">
        <v>836</v>
      </c>
      <c r="E1087" s="5" t="s">
        <v>837</v>
      </c>
      <c r="F1087" s="5" t="s">
        <v>39</v>
      </c>
      <c r="G1087" s="5" t="s">
        <v>40</v>
      </c>
      <c r="H1087" s="5" t="s">
        <v>21</v>
      </c>
      <c r="I1087" s="5" t="s">
        <v>1016</v>
      </c>
      <c r="J1087" s="5" t="s">
        <v>737</v>
      </c>
      <c r="K1087" s="5" t="s">
        <v>24</v>
      </c>
      <c r="L1087" s="6">
        <v>45677</v>
      </c>
      <c r="M1087" s="6">
        <v>45671</v>
      </c>
      <c r="N1087" s="6" t="s">
        <v>811</v>
      </c>
      <c r="O1087" s="5" t="str">
        <f ca="1">IF(P1087&lt;&gt;"EXPEDIÇÃO","Expedido",IF(NETWORKDAYS(C1087,TODAY())&gt;=5,"Risco Alto",IF(NETWORKDAYS(C1087,TODAY())&gt;=3,IF(NETWORKDAYS(C1087,TODAY())&lt;5,"Risco Médio",""),IF(NETWORKDAYS(C1087,TODAY())&lt;=2,"Risco Baixo",""))))</f>
        <v>Expedido</v>
      </c>
      <c r="P1087" s="5" t="s">
        <v>25</v>
      </c>
      <c r="S1087" s="7">
        <f>IF(ISBLANK(M1087),"Aguardando Previsão/Data",NETWORKDAYS(L1087,M1087)-1)</f>
        <v>-6</v>
      </c>
      <c r="T1087" s="5" t="s">
        <v>942</v>
      </c>
    </row>
    <row r="1088" spans="1:20" x14ac:dyDescent="0.35">
      <c r="A1088" s="5">
        <v>8100273935</v>
      </c>
      <c r="B1088" s="5">
        <v>21149</v>
      </c>
      <c r="C1088" s="6">
        <v>45666</v>
      </c>
      <c r="D1088" s="5" t="s">
        <v>836</v>
      </c>
      <c r="E1088" s="5" t="s">
        <v>837</v>
      </c>
      <c r="F1088" s="5" t="s">
        <v>39</v>
      </c>
      <c r="G1088" s="5" t="s">
        <v>40</v>
      </c>
      <c r="H1088" s="5" t="s">
        <v>21</v>
      </c>
      <c r="I1088" s="5" t="s">
        <v>918</v>
      </c>
      <c r="J1088" s="5" t="s">
        <v>495</v>
      </c>
      <c r="K1088" s="5" t="s">
        <v>24</v>
      </c>
      <c r="L1088" s="6">
        <v>45677</v>
      </c>
      <c r="M1088" s="6">
        <v>45672</v>
      </c>
      <c r="N1088" s="6" t="s">
        <v>811</v>
      </c>
      <c r="O1088" s="5" t="str">
        <f ca="1">IF(P1088&lt;&gt;"EXPEDIÇÃO","Expedido",IF(NETWORKDAYS(C1088,TODAY())&gt;=5,"Risco Alto",IF(NETWORKDAYS(C1088,TODAY())&gt;=3,IF(NETWORKDAYS(C1088,TODAY())&lt;5,"Risco Médio",""),IF(NETWORKDAYS(C1088,TODAY())&lt;=2,"Risco Baixo",""))))</f>
        <v>Expedido</v>
      </c>
      <c r="P1088" s="5" t="s">
        <v>25</v>
      </c>
      <c r="S1088" s="7">
        <f>IF(ISBLANK(M1088),"Aguardando Previsão/Data",NETWORKDAYS(L1088,M1088)-1)</f>
        <v>-5</v>
      </c>
      <c r="T1088" s="5" t="s">
        <v>942</v>
      </c>
    </row>
    <row r="1089" spans="1:20" x14ac:dyDescent="0.35">
      <c r="A1089" s="5">
        <v>8100273235</v>
      </c>
      <c r="B1089" s="5">
        <v>10638</v>
      </c>
      <c r="C1089" s="6">
        <v>45666</v>
      </c>
      <c r="D1089" s="5" t="s">
        <v>239</v>
      </c>
      <c r="E1089" s="5" t="s">
        <v>240</v>
      </c>
      <c r="F1089" s="5" t="s">
        <v>176</v>
      </c>
      <c r="G1089" s="5" t="s">
        <v>177</v>
      </c>
      <c r="H1089" s="5" t="s">
        <v>218</v>
      </c>
      <c r="I1089" s="5" t="s">
        <v>354</v>
      </c>
      <c r="J1089" s="5" t="s">
        <v>355</v>
      </c>
      <c r="K1089" s="5" t="s">
        <v>241</v>
      </c>
      <c r="L1089" s="6">
        <v>45672</v>
      </c>
      <c r="M1089" s="6">
        <v>45671</v>
      </c>
      <c r="N1089" s="6" t="s">
        <v>811</v>
      </c>
      <c r="O1089" s="5" t="str">
        <f ca="1">IF(P1089&lt;&gt;"EXPEDIÇÃO","Expedido",IF(NETWORKDAYS(C1089,TODAY())&gt;=5,"Risco Alto",IF(NETWORKDAYS(C1089,TODAY())&gt;=3,IF(NETWORKDAYS(C1089,TODAY())&lt;5,"Risco Médio",""),IF(NETWORKDAYS(C1089,TODAY())&lt;=2,"Risco Baixo",""))))</f>
        <v>Expedido</v>
      </c>
      <c r="P1089" s="5" t="s">
        <v>25</v>
      </c>
      <c r="Q1089" s="5" t="s">
        <v>793</v>
      </c>
      <c r="S1089" s="7">
        <f>IF(ISBLANK(M1089),"Aguardando Previsão/Data",NETWORKDAYS(L1089,M1089)-1)</f>
        <v>-3</v>
      </c>
      <c r="T1089" s="5" t="s">
        <v>942</v>
      </c>
    </row>
    <row r="1090" spans="1:20" x14ac:dyDescent="0.35">
      <c r="A1090" s="5">
        <v>8100273518</v>
      </c>
      <c r="B1090" s="5">
        <v>10642</v>
      </c>
      <c r="C1090" s="6">
        <v>45666</v>
      </c>
      <c r="D1090" s="5" t="s">
        <v>239</v>
      </c>
      <c r="E1090" s="5" t="s">
        <v>240</v>
      </c>
      <c r="F1090" s="5" t="s">
        <v>160</v>
      </c>
      <c r="G1090" s="5" t="s">
        <v>161</v>
      </c>
      <c r="H1090" s="5" t="s">
        <v>218</v>
      </c>
      <c r="I1090" s="5" t="s">
        <v>354</v>
      </c>
      <c r="J1090" s="5" t="s">
        <v>355</v>
      </c>
      <c r="K1090" s="5" t="s">
        <v>241</v>
      </c>
      <c r="L1090" s="6">
        <v>45672</v>
      </c>
      <c r="M1090" s="6">
        <v>45673</v>
      </c>
      <c r="N1090" s="6" t="s">
        <v>811</v>
      </c>
      <c r="O1090" s="5" t="str">
        <f ca="1">IF(P1090&lt;&gt;"EXPEDIÇÃO","Expedido",IF(NETWORKDAYS(C1090,TODAY())&gt;=5,"Risco Alto",IF(NETWORKDAYS(C1090,TODAY())&gt;=3,IF(NETWORKDAYS(C1090,TODAY())&lt;5,"Risco Médio",""),IF(NETWORKDAYS(C1090,TODAY())&lt;=2,"Risco Baixo",""))))</f>
        <v>Expedido</v>
      </c>
      <c r="P1090" s="5" t="s">
        <v>25</v>
      </c>
      <c r="Q1090" s="5" t="s">
        <v>897</v>
      </c>
      <c r="S1090" s="7">
        <f>IF(ISBLANK(M1090),"Aguardando Previsão/Data",NETWORKDAYS(L1090,M1090)-1)</f>
        <v>1</v>
      </c>
      <c r="T1090" s="5" t="s">
        <v>942</v>
      </c>
    </row>
    <row r="1091" spans="1:20" x14ac:dyDescent="0.35">
      <c r="A1091" s="5">
        <v>8100273519</v>
      </c>
      <c r="B1091" s="5">
        <v>10644</v>
      </c>
      <c r="C1091" s="6">
        <v>45666</v>
      </c>
      <c r="D1091" s="5" t="s">
        <v>239</v>
      </c>
      <c r="E1091" s="5" t="s">
        <v>240</v>
      </c>
      <c r="F1091" s="5" t="s">
        <v>176</v>
      </c>
      <c r="G1091" s="5" t="s">
        <v>177</v>
      </c>
      <c r="H1091" s="5" t="s">
        <v>218</v>
      </c>
      <c r="I1091" s="5" t="s">
        <v>324</v>
      </c>
      <c r="J1091" s="5" t="s">
        <v>325</v>
      </c>
      <c r="K1091" s="5" t="s">
        <v>241</v>
      </c>
      <c r="L1091" s="6">
        <v>45674</v>
      </c>
      <c r="M1091" s="6">
        <v>45674</v>
      </c>
      <c r="N1091" s="6" t="s">
        <v>811</v>
      </c>
      <c r="O1091" s="5" t="str">
        <f ca="1">IF(P1091&lt;&gt;"EXPEDIÇÃO","Expedido",IF(NETWORKDAYS(C1091,TODAY())&gt;=5,"Risco Alto",IF(NETWORKDAYS(C1091,TODAY())&gt;=3,IF(NETWORKDAYS(C1091,TODAY())&lt;5,"Risco Médio",""),IF(NETWORKDAYS(C1091,TODAY())&lt;=2,"Risco Baixo",""))))</f>
        <v>Expedido</v>
      </c>
      <c r="P1091" s="5" t="s">
        <v>25</v>
      </c>
      <c r="Q1091" s="5" t="s">
        <v>793</v>
      </c>
      <c r="S1091" s="7">
        <f>IF(ISBLANK(M1091),"Aguardando Previsão/Data",NETWORKDAYS(L1091,M1091)-1)</f>
        <v>0</v>
      </c>
      <c r="T1091" s="5" t="s">
        <v>942</v>
      </c>
    </row>
    <row r="1092" spans="1:20" x14ac:dyDescent="0.35">
      <c r="A1092" s="5">
        <v>8100273566</v>
      </c>
      <c r="B1092" s="5">
        <v>10643</v>
      </c>
      <c r="C1092" s="6">
        <v>45666</v>
      </c>
      <c r="D1092" s="5" t="s">
        <v>239</v>
      </c>
      <c r="E1092" s="5" t="s">
        <v>240</v>
      </c>
      <c r="F1092" s="5" t="s">
        <v>160</v>
      </c>
      <c r="G1092" s="5" t="s">
        <v>161</v>
      </c>
      <c r="H1092" s="5" t="s">
        <v>218</v>
      </c>
      <c r="I1092" s="5" t="s">
        <v>354</v>
      </c>
      <c r="J1092" s="5" t="s">
        <v>355</v>
      </c>
      <c r="K1092" s="5" t="s">
        <v>241</v>
      </c>
      <c r="L1092" s="6">
        <v>45672</v>
      </c>
      <c r="M1092" s="6">
        <v>45671</v>
      </c>
      <c r="N1092" s="6" t="s">
        <v>811</v>
      </c>
      <c r="O1092" s="5" t="str">
        <f ca="1">IF(P1092&lt;&gt;"EXPEDIÇÃO","Expedido",IF(NETWORKDAYS(C1092,TODAY())&gt;=5,"Risco Alto",IF(NETWORKDAYS(C1092,TODAY())&gt;=3,IF(NETWORKDAYS(C1092,TODAY())&lt;5,"Risco Médio",""),IF(NETWORKDAYS(C1092,TODAY())&lt;=2,"Risco Baixo",""))))</f>
        <v>Expedido</v>
      </c>
      <c r="P1092" s="5" t="s">
        <v>25</v>
      </c>
      <c r="Q1092" s="5" t="s">
        <v>793</v>
      </c>
      <c r="S1092" s="7">
        <f>IF(ISBLANK(M1092),"Aguardando Previsão/Data",NETWORKDAYS(L1092,M1092)-1)</f>
        <v>-3</v>
      </c>
      <c r="T1092" s="5" t="s">
        <v>942</v>
      </c>
    </row>
    <row r="1093" spans="1:20" x14ac:dyDescent="0.35">
      <c r="A1093" s="5">
        <v>8100273634</v>
      </c>
      <c r="B1093" s="5">
        <v>10639</v>
      </c>
      <c r="C1093" s="6">
        <v>45666</v>
      </c>
      <c r="D1093" s="5" t="s">
        <v>239</v>
      </c>
      <c r="E1093" s="5" t="s">
        <v>240</v>
      </c>
      <c r="F1093" s="5" t="s">
        <v>176</v>
      </c>
      <c r="G1093" s="5" t="s">
        <v>177</v>
      </c>
      <c r="H1093" s="5" t="s">
        <v>218</v>
      </c>
      <c r="I1093" s="5" t="s">
        <v>429</v>
      </c>
      <c r="J1093" s="5" t="s">
        <v>430</v>
      </c>
      <c r="K1093" s="5" t="s">
        <v>241</v>
      </c>
      <c r="L1093" s="6">
        <v>45673</v>
      </c>
      <c r="M1093" s="6">
        <v>45673</v>
      </c>
      <c r="N1093" s="6" t="s">
        <v>811</v>
      </c>
      <c r="O1093" s="5" t="str">
        <f ca="1">IF(P1093&lt;&gt;"EXPEDIÇÃO","Expedido",IF(NETWORKDAYS(C1093,TODAY())&gt;=5,"Risco Alto",IF(NETWORKDAYS(C1093,TODAY())&gt;=3,IF(NETWORKDAYS(C1093,TODAY())&lt;5,"Risco Médio",""),IF(NETWORKDAYS(C1093,TODAY())&lt;=2,"Risco Baixo",""))))</f>
        <v>Expedido</v>
      </c>
      <c r="P1093" s="5" t="s">
        <v>25</v>
      </c>
      <c r="Q1093" s="5" t="s">
        <v>793</v>
      </c>
      <c r="S1093" s="7">
        <f>IF(ISBLANK(M1093),"Aguardando Previsão/Data",NETWORKDAYS(L1093,M1093)-1)</f>
        <v>0</v>
      </c>
      <c r="T1093" s="5" t="s">
        <v>942</v>
      </c>
    </row>
    <row r="1094" spans="1:20" x14ac:dyDescent="0.35">
      <c r="A1094" s="5">
        <v>8100273635</v>
      </c>
      <c r="B1094" s="5">
        <v>10640</v>
      </c>
      <c r="C1094" s="6">
        <v>45666</v>
      </c>
      <c r="D1094" s="5" t="s">
        <v>239</v>
      </c>
      <c r="E1094" s="5" t="s">
        <v>240</v>
      </c>
      <c r="F1094" s="5" t="s">
        <v>176</v>
      </c>
      <c r="G1094" s="5" t="s">
        <v>177</v>
      </c>
      <c r="H1094" s="5" t="s">
        <v>218</v>
      </c>
      <c r="I1094" s="5" t="s">
        <v>429</v>
      </c>
      <c r="J1094" s="5" t="s">
        <v>430</v>
      </c>
      <c r="K1094" s="5" t="s">
        <v>241</v>
      </c>
      <c r="L1094" s="6">
        <v>45673</v>
      </c>
      <c r="M1094" s="6">
        <v>45673</v>
      </c>
      <c r="N1094" s="6" t="s">
        <v>811</v>
      </c>
      <c r="O1094" s="5" t="str">
        <f ca="1">IF(P1094&lt;&gt;"EXPEDIÇÃO","Expedido",IF(NETWORKDAYS(C1094,TODAY())&gt;=5,"Risco Alto",IF(NETWORKDAYS(C1094,TODAY())&gt;=3,IF(NETWORKDAYS(C1094,TODAY())&lt;5,"Risco Médio",""),IF(NETWORKDAYS(C1094,TODAY())&lt;=2,"Risco Baixo",""))))</f>
        <v>Expedido</v>
      </c>
      <c r="P1094" s="5" t="s">
        <v>25</v>
      </c>
      <c r="Q1094" s="5" t="s">
        <v>793</v>
      </c>
      <c r="S1094" s="7">
        <f>IF(ISBLANK(M1094),"Aguardando Previsão/Data",NETWORKDAYS(L1094,M1094)-1)</f>
        <v>0</v>
      </c>
      <c r="T1094" s="5" t="s">
        <v>942</v>
      </c>
    </row>
    <row r="1095" spans="1:20" x14ac:dyDescent="0.35">
      <c r="A1095" s="5">
        <v>8100273641</v>
      </c>
      <c r="B1095" s="5">
        <v>10641</v>
      </c>
      <c r="C1095" s="6">
        <v>45666</v>
      </c>
      <c r="D1095" s="5" t="s">
        <v>239</v>
      </c>
      <c r="E1095" s="5" t="s">
        <v>240</v>
      </c>
      <c r="F1095" s="5" t="s">
        <v>176</v>
      </c>
      <c r="G1095" s="5" t="s">
        <v>177</v>
      </c>
      <c r="H1095" s="5" t="s">
        <v>218</v>
      </c>
      <c r="I1095" s="5" t="s">
        <v>429</v>
      </c>
      <c r="J1095" s="5" t="s">
        <v>430</v>
      </c>
      <c r="K1095" s="5" t="s">
        <v>241</v>
      </c>
      <c r="L1095" s="6">
        <v>45673</v>
      </c>
      <c r="M1095" s="6">
        <v>45673</v>
      </c>
      <c r="N1095" s="6" t="s">
        <v>811</v>
      </c>
      <c r="O1095" s="5" t="str">
        <f ca="1">IF(P1095&lt;&gt;"EXPEDIÇÃO","Expedido",IF(NETWORKDAYS(C1095,TODAY())&gt;=5,"Risco Alto",IF(NETWORKDAYS(C1095,TODAY())&gt;=3,IF(NETWORKDAYS(C1095,TODAY())&lt;5,"Risco Médio",""),IF(NETWORKDAYS(C1095,TODAY())&lt;=2,"Risco Baixo",""))))</f>
        <v>Expedido</v>
      </c>
      <c r="P1095" s="5" t="s">
        <v>25</v>
      </c>
      <c r="Q1095" s="5" t="s">
        <v>793</v>
      </c>
      <c r="S1095" s="7">
        <f>IF(ISBLANK(M1095),"Aguardando Previsão/Data",NETWORKDAYS(L1095,M1095)-1)</f>
        <v>0</v>
      </c>
      <c r="T1095" s="5" t="s">
        <v>942</v>
      </c>
    </row>
    <row r="1096" spans="1:20" x14ac:dyDescent="0.35">
      <c r="A1096" s="5">
        <v>8100273810</v>
      </c>
      <c r="B1096" s="5">
        <v>10645</v>
      </c>
      <c r="C1096" s="6">
        <v>45666</v>
      </c>
      <c r="D1096" s="5" t="s">
        <v>239</v>
      </c>
      <c r="E1096" s="5" t="s">
        <v>240</v>
      </c>
      <c r="F1096" s="5" t="s">
        <v>242</v>
      </c>
      <c r="G1096" s="5" t="s">
        <v>243</v>
      </c>
      <c r="H1096" s="5" t="s">
        <v>218</v>
      </c>
      <c r="I1096" s="5" t="s">
        <v>564</v>
      </c>
      <c r="J1096" s="5" t="s">
        <v>565</v>
      </c>
      <c r="K1096" s="5" t="s">
        <v>241</v>
      </c>
      <c r="L1096" s="6">
        <v>45673</v>
      </c>
      <c r="M1096" s="6">
        <v>45670</v>
      </c>
      <c r="N1096" s="6" t="s">
        <v>811</v>
      </c>
      <c r="O1096" s="5" t="str">
        <f ca="1">IF(P1096&lt;&gt;"EXPEDIÇÃO","Expedido",IF(NETWORKDAYS(C1096,TODAY())&gt;=5,"Risco Alto",IF(NETWORKDAYS(C1096,TODAY())&gt;=3,IF(NETWORKDAYS(C1096,TODAY())&lt;5,"Risco Médio",""),IF(NETWORKDAYS(C1096,TODAY())&lt;=2,"Risco Baixo",""))))</f>
        <v>Expedido</v>
      </c>
      <c r="P1096" s="5" t="s">
        <v>25</v>
      </c>
      <c r="Q1096" s="5" t="s">
        <v>793</v>
      </c>
      <c r="S1096" s="7">
        <f>IF(ISBLANK(M1096),"Aguardando Previsão/Data",NETWORKDAYS(L1096,M1096)-1)</f>
        <v>-5</v>
      </c>
      <c r="T1096" s="5" t="s">
        <v>942</v>
      </c>
    </row>
    <row r="1097" spans="1:20" x14ac:dyDescent="0.35">
      <c r="A1097" s="5">
        <v>8100274176</v>
      </c>
      <c r="B1097" s="5">
        <v>10646</v>
      </c>
      <c r="C1097" s="6">
        <v>45666</v>
      </c>
      <c r="D1097" s="5" t="s">
        <v>239</v>
      </c>
      <c r="E1097" s="5" t="s">
        <v>240</v>
      </c>
      <c r="F1097" s="5" t="s">
        <v>242</v>
      </c>
      <c r="G1097" s="5" t="s">
        <v>243</v>
      </c>
      <c r="H1097" s="5" t="s">
        <v>218</v>
      </c>
      <c r="I1097" s="5" t="s">
        <v>488</v>
      </c>
      <c r="J1097" s="5" t="s">
        <v>489</v>
      </c>
      <c r="K1097" s="5" t="s">
        <v>241</v>
      </c>
      <c r="L1097" s="6">
        <v>45672</v>
      </c>
      <c r="M1097" s="6">
        <v>45671</v>
      </c>
      <c r="N1097" s="6" t="s">
        <v>811</v>
      </c>
      <c r="O1097" s="5" t="str">
        <f ca="1">IF(P1097&lt;&gt;"EXPEDIÇÃO","Expedido",IF(NETWORKDAYS(C1097,TODAY())&gt;=5,"Risco Alto",IF(NETWORKDAYS(C1097,TODAY())&gt;=3,IF(NETWORKDAYS(C1097,TODAY())&lt;5,"Risco Médio",""),IF(NETWORKDAYS(C1097,TODAY())&lt;=2,"Risco Baixo",""))))</f>
        <v>Expedido</v>
      </c>
      <c r="P1097" s="5" t="s">
        <v>25</v>
      </c>
      <c r="Q1097" s="5" t="s">
        <v>897</v>
      </c>
      <c r="S1097" s="7">
        <f>IF(ISBLANK(M1097),"Aguardando Previsão/Data",NETWORKDAYS(L1097,M1097)-1)</f>
        <v>-3</v>
      </c>
      <c r="T1097" s="5" t="s">
        <v>942</v>
      </c>
    </row>
    <row r="1098" spans="1:20" x14ac:dyDescent="0.35">
      <c r="A1098" s="5">
        <v>8100273570</v>
      </c>
      <c r="B1098" s="5">
        <v>19009</v>
      </c>
      <c r="C1098" s="6">
        <v>45666</v>
      </c>
      <c r="D1098" s="5" t="s">
        <v>106</v>
      </c>
      <c r="E1098" s="5" t="s">
        <v>107</v>
      </c>
      <c r="F1098" s="5" t="s">
        <v>58</v>
      </c>
      <c r="G1098" s="5" t="s">
        <v>59</v>
      </c>
      <c r="H1098" s="5" t="s">
        <v>218</v>
      </c>
      <c r="I1098" s="5" t="s">
        <v>237</v>
      </c>
      <c r="J1098" s="5" t="s">
        <v>220</v>
      </c>
      <c r="K1098" s="5" t="s">
        <v>221</v>
      </c>
      <c r="L1098" s="6">
        <v>45681</v>
      </c>
      <c r="M1098" s="6">
        <v>45678</v>
      </c>
      <c r="N1098" s="6" t="s">
        <v>811</v>
      </c>
      <c r="O1098" s="5" t="str">
        <f ca="1">IF(P1098&lt;&gt;"EXPEDIÇÃO","Expedido",IF(NETWORKDAYS(C1098,TODAY())&gt;=5,"Risco Alto",IF(NETWORKDAYS(C1098,TODAY())&gt;=3,IF(NETWORKDAYS(C1098,TODAY())&lt;5,"Risco Médio",""),IF(NETWORKDAYS(C1098,TODAY())&lt;=2,"Risco Baixo",""))))</f>
        <v>Expedido</v>
      </c>
      <c r="P1098" s="5" t="s">
        <v>25</v>
      </c>
      <c r="S1098" s="7">
        <f>IF(ISBLANK(M1098),"Aguardando Previsão/Data",NETWORKDAYS(L1098,M1098)-1)</f>
        <v>-5</v>
      </c>
      <c r="T1098" s="5" t="s">
        <v>942</v>
      </c>
    </row>
    <row r="1099" spans="1:20" x14ac:dyDescent="0.35">
      <c r="A1099" s="5">
        <v>8100273572</v>
      </c>
      <c r="B1099" s="5">
        <v>19003</v>
      </c>
      <c r="C1099" s="6">
        <v>45666</v>
      </c>
      <c r="D1099" s="5" t="s">
        <v>106</v>
      </c>
      <c r="E1099" s="5" t="s">
        <v>107</v>
      </c>
      <c r="F1099" s="5" t="s">
        <v>58</v>
      </c>
      <c r="G1099" s="5" t="s">
        <v>59</v>
      </c>
      <c r="H1099" s="5" t="s">
        <v>218</v>
      </c>
      <c r="I1099" s="5" t="s">
        <v>222</v>
      </c>
      <c r="J1099" s="5" t="s">
        <v>220</v>
      </c>
      <c r="K1099" s="5" t="s">
        <v>221</v>
      </c>
      <c r="L1099" s="6">
        <v>45681</v>
      </c>
      <c r="M1099" s="6">
        <v>45678</v>
      </c>
      <c r="N1099" s="6" t="s">
        <v>811</v>
      </c>
      <c r="O1099" s="5" t="str">
        <f ca="1">IF(P1099&lt;&gt;"EXPEDIÇÃO","Expedido",IF(NETWORKDAYS(C1099,TODAY())&gt;=5,"Risco Alto",IF(NETWORKDAYS(C1099,TODAY())&gt;=3,IF(NETWORKDAYS(C1099,TODAY())&lt;5,"Risco Médio",""),IF(NETWORKDAYS(C1099,TODAY())&lt;=2,"Risco Baixo",""))))</f>
        <v>Expedido</v>
      </c>
      <c r="P1099" s="5" t="s">
        <v>25</v>
      </c>
      <c r="S1099" s="7">
        <f>IF(ISBLANK(M1099),"Aguardando Previsão/Data",NETWORKDAYS(L1099,M1099)-1)</f>
        <v>-5</v>
      </c>
      <c r="T1099" s="5" t="s">
        <v>942</v>
      </c>
    </row>
    <row r="1100" spans="1:20" x14ac:dyDescent="0.35">
      <c r="A1100" s="5">
        <v>8100273573</v>
      </c>
      <c r="B1100" s="5">
        <v>19010</v>
      </c>
      <c r="C1100" s="6">
        <v>45666</v>
      </c>
      <c r="D1100" s="5" t="s">
        <v>106</v>
      </c>
      <c r="E1100" s="5" t="s">
        <v>107</v>
      </c>
      <c r="F1100" s="5" t="s">
        <v>58</v>
      </c>
      <c r="G1100" s="5" t="s">
        <v>59</v>
      </c>
      <c r="H1100" s="5" t="s">
        <v>218</v>
      </c>
      <c r="I1100" s="5" t="s">
        <v>230</v>
      </c>
      <c r="J1100" s="5" t="s">
        <v>684</v>
      </c>
      <c r="K1100" s="5" t="s">
        <v>238</v>
      </c>
      <c r="L1100" s="6">
        <v>45685</v>
      </c>
      <c r="M1100" s="6">
        <v>45680</v>
      </c>
      <c r="N1100" s="6" t="s">
        <v>811</v>
      </c>
      <c r="O1100" s="5" t="str">
        <f ca="1">IF(P1100&lt;&gt;"EXPEDIÇÃO","Expedido",IF(NETWORKDAYS(C1100,TODAY())&gt;=5,"Risco Alto",IF(NETWORKDAYS(C1100,TODAY())&gt;=3,IF(NETWORKDAYS(C1100,TODAY())&lt;5,"Risco Médio",""),IF(NETWORKDAYS(C1100,TODAY())&lt;=2,"Risco Baixo",""))))</f>
        <v>Expedido</v>
      </c>
      <c r="P1100" s="5" t="s">
        <v>25</v>
      </c>
      <c r="S1100" s="7">
        <f>IF(ISBLANK(M1100),"Aguardando Previsão/Data",NETWORKDAYS(L1100,M1100)-1)</f>
        <v>-5</v>
      </c>
      <c r="T1100" s="5" t="s">
        <v>942</v>
      </c>
    </row>
    <row r="1101" spans="1:20" x14ac:dyDescent="0.35">
      <c r="A1101" s="5">
        <v>8100273574</v>
      </c>
      <c r="B1101" s="5">
        <v>19006</v>
      </c>
      <c r="C1101" s="6">
        <v>45666</v>
      </c>
      <c r="D1101" s="5" t="s">
        <v>106</v>
      </c>
      <c r="E1101" s="5" t="s">
        <v>107</v>
      </c>
      <c r="F1101" s="5" t="s">
        <v>58</v>
      </c>
      <c r="G1101" s="5" t="s">
        <v>59</v>
      </c>
      <c r="H1101" s="5" t="s">
        <v>218</v>
      </c>
      <c r="I1101" s="5" t="s">
        <v>219</v>
      </c>
      <c r="J1101" s="5" t="s">
        <v>220</v>
      </c>
      <c r="K1101" s="5" t="s">
        <v>221</v>
      </c>
      <c r="L1101" s="6">
        <v>45681</v>
      </c>
      <c r="M1101" s="6">
        <v>45678</v>
      </c>
      <c r="N1101" s="6" t="s">
        <v>811</v>
      </c>
      <c r="O1101" s="5" t="str">
        <f ca="1">IF(P1101&lt;&gt;"EXPEDIÇÃO","Expedido",IF(NETWORKDAYS(C1101,TODAY())&gt;=5,"Risco Alto",IF(NETWORKDAYS(C1101,TODAY())&gt;=3,IF(NETWORKDAYS(C1101,TODAY())&lt;5,"Risco Médio",""),IF(NETWORKDAYS(C1101,TODAY())&lt;=2,"Risco Baixo",""))))</f>
        <v>Expedido</v>
      </c>
      <c r="P1101" s="5" t="s">
        <v>25</v>
      </c>
      <c r="S1101" s="7">
        <f>IF(ISBLANK(M1101),"Aguardando Previsão/Data",NETWORKDAYS(L1101,M1101)-1)</f>
        <v>-5</v>
      </c>
      <c r="T1101" s="5" t="s">
        <v>942</v>
      </c>
    </row>
    <row r="1102" spans="1:20" x14ac:dyDescent="0.35">
      <c r="A1102" s="5">
        <v>8100273575</v>
      </c>
      <c r="B1102" s="5">
        <v>19007</v>
      </c>
      <c r="C1102" s="6">
        <v>45666</v>
      </c>
      <c r="D1102" s="5" t="s">
        <v>106</v>
      </c>
      <c r="E1102" s="5" t="s">
        <v>107</v>
      </c>
      <c r="F1102" s="5" t="s">
        <v>58</v>
      </c>
      <c r="G1102" s="5" t="s">
        <v>59</v>
      </c>
      <c r="H1102" s="5" t="s">
        <v>218</v>
      </c>
      <c r="I1102" s="5" t="s">
        <v>219</v>
      </c>
      <c r="J1102" s="5" t="s">
        <v>220</v>
      </c>
      <c r="K1102" s="5" t="s">
        <v>221</v>
      </c>
      <c r="L1102" s="6">
        <v>45681</v>
      </c>
      <c r="M1102" s="6">
        <v>45678</v>
      </c>
      <c r="N1102" s="6" t="s">
        <v>811</v>
      </c>
      <c r="O1102" s="5" t="str">
        <f ca="1">IF(P1102&lt;&gt;"EXPEDIÇÃO","Expedido",IF(NETWORKDAYS(C1102,TODAY())&gt;=5,"Risco Alto",IF(NETWORKDAYS(C1102,TODAY())&gt;=3,IF(NETWORKDAYS(C1102,TODAY())&lt;5,"Risco Médio",""),IF(NETWORKDAYS(C1102,TODAY())&lt;=2,"Risco Baixo",""))))</f>
        <v>Expedido</v>
      </c>
      <c r="P1102" s="5" t="s">
        <v>25</v>
      </c>
      <c r="S1102" s="7">
        <f>IF(ISBLANK(M1102),"Aguardando Previsão/Data",NETWORKDAYS(L1102,M1102)-1)</f>
        <v>-5</v>
      </c>
      <c r="T1102" s="5" t="s">
        <v>942</v>
      </c>
    </row>
    <row r="1103" spans="1:20" x14ac:dyDescent="0.35">
      <c r="A1103" s="5">
        <v>8100273576</v>
      </c>
      <c r="B1103" s="5">
        <v>19011</v>
      </c>
      <c r="C1103" s="6">
        <v>45666</v>
      </c>
      <c r="D1103" s="5" t="s">
        <v>106</v>
      </c>
      <c r="E1103" s="5" t="s">
        <v>107</v>
      </c>
      <c r="F1103" s="5" t="s">
        <v>58</v>
      </c>
      <c r="G1103" s="5" t="s">
        <v>59</v>
      </c>
      <c r="H1103" s="5" t="s">
        <v>218</v>
      </c>
      <c r="I1103" s="5" t="s">
        <v>520</v>
      </c>
      <c r="J1103" s="5" t="s">
        <v>684</v>
      </c>
      <c r="K1103" s="5" t="s">
        <v>238</v>
      </c>
      <c r="L1103" s="6">
        <v>45685</v>
      </c>
      <c r="M1103" s="6">
        <v>45680</v>
      </c>
      <c r="N1103" s="6" t="s">
        <v>811</v>
      </c>
      <c r="O1103" s="5" t="str">
        <f ca="1">IF(P1103&lt;&gt;"EXPEDIÇÃO","Expedido",IF(NETWORKDAYS(C1103,TODAY())&gt;=5,"Risco Alto",IF(NETWORKDAYS(C1103,TODAY())&gt;=3,IF(NETWORKDAYS(C1103,TODAY())&lt;5,"Risco Médio",""),IF(NETWORKDAYS(C1103,TODAY())&lt;=2,"Risco Baixo",""))))</f>
        <v>Expedido</v>
      </c>
      <c r="P1103" s="5" t="s">
        <v>25</v>
      </c>
      <c r="S1103" s="7">
        <f>IF(ISBLANK(M1103),"Aguardando Previsão/Data",NETWORKDAYS(L1103,M1103)-1)</f>
        <v>-5</v>
      </c>
      <c r="T1103" s="5" t="s">
        <v>942</v>
      </c>
    </row>
    <row r="1104" spans="1:20" x14ac:dyDescent="0.35">
      <c r="A1104" s="5">
        <v>8100273577</v>
      </c>
      <c r="B1104" s="5">
        <v>19004</v>
      </c>
      <c r="C1104" s="6">
        <v>45666</v>
      </c>
      <c r="D1104" s="5" t="s">
        <v>106</v>
      </c>
      <c r="E1104" s="5" t="s">
        <v>107</v>
      </c>
      <c r="F1104" s="5" t="s">
        <v>58</v>
      </c>
      <c r="G1104" s="5" t="s">
        <v>59</v>
      </c>
      <c r="H1104" s="5" t="s">
        <v>218</v>
      </c>
      <c r="I1104" s="5" t="s">
        <v>317</v>
      </c>
      <c r="J1104" s="5" t="s">
        <v>770</v>
      </c>
      <c r="K1104" s="5" t="s">
        <v>238</v>
      </c>
      <c r="L1104" s="6">
        <v>45685</v>
      </c>
      <c r="M1104" s="6">
        <v>45680</v>
      </c>
      <c r="N1104" s="6" t="s">
        <v>811</v>
      </c>
      <c r="O1104" s="5" t="str">
        <f ca="1">IF(P1104&lt;&gt;"EXPEDIÇÃO","Expedido",IF(NETWORKDAYS(C1104,TODAY())&gt;=5,"Risco Alto",IF(NETWORKDAYS(C1104,TODAY())&gt;=3,IF(NETWORKDAYS(C1104,TODAY())&lt;5,"Risco Médio",""),IF(NETWORKDAYS(C1104,TODAY())&lt;=2,"Risco Baixo",""))))</f>
        <v>Expedido</v>
      </c>
      <c r="P1104" s="5" t="s">
        <v>25</v>
      </c>
      <c r="S1104" s="7">
        <f>IF(ISBLANK(M1104),"Aguardando Previsão/Data",NETWORKDAYS(L1104,M1104)-1)</f>
        <v>-5</v>
      </c>
      <c r="T1104" s="5" t="s">
        <v>942</v>
      </c>
    </row>
    <row r="1105" spans="1:20" x14ac:dyDescent="0.35">
      <c r="A1105" s="5">
        <v>8100273581</v>
      </c>
      <c r="B1105" s="5">
        <v>19008</v>
      </c>
      <c r="C1105" s="6">
        <v>45666</v>
      </c>
      <c r="D1105" s="5" t="s">
        <v>106</v>
      </c>
      <c r="E1105" s="5" t="s">
        <v>107</v>
      </c>
      <c r="F1105" s="5" t="s">
        <v>58</v>
      </c>
      <c r="G1105" s="5" t="s">
        <v>59</v>
      </c>
      <c r="H1105" s="5" t="s">
        <v>218</v>
      </c>
      <c r="I1105" s="5" t="s">
        <v>219</v>
      </c>
      <c r="J1105" s="5" t="s">
        <v>220</v>
      </c>
      <c r="K1105" s="5" t="s">
        <v>221</v>
      </c>
      <c r="L1105" s="6">
        <v>45681</v>
      </c>
      <c r="M1105" s="6">
        <v>45678</v>
      </c>
      <c r="N1105" s="6" t="s">
        <v>811</v>
      </c>
      <c r="O1105" s="5" t="str">
        <f ca="1">IF(P1105&lt;&gt;"EXPEDIÇÃO","Expedido",IF(NETWORKDAYS(C1105,TODAY())&gt;=5,"Risco Alto",IF(NETWORKDAYS(C1105,TODAY())&gt;=3,IF(NETWORKDAYS(C1105,TODAY())&lt;5,"Risco Médio",""),IF(NETWORKDAYS(C1105,TODAY())&lt;=2,"Risco Baixo",""))))</f>
        <v>Expedido</v>
      </c>
      <c r="P1105" s="5" t="s">
        <v>25</v>
      </c>
      <c r="S1105" s="7">
        <f>IF(ISBLANK(M1105),"Aguardando Previsão/Data",NETWORKDAYS(L1105,M1105)-1)</f>
        <v>-5</v>
      </c>
      <c r="T1105" s="5" t="s">
        <v>942</v>
      </c>
    </row>
    <row r="1106" spans="1:20" x14ac:dyDescent="0.35">
      <c r="A1106" s="5">
        <v>8100273584</v>
      </c>
      <c r="B1106" s="5">
        <v>19005</v>
      </c>
      <c r="C1106" s="6">
        <v>45666</v>
      </c>
      <c r="D1106" s="5" t="s">
        <v>106</v>
      </c>
      <c r="E1106" s="5" t="s">
        <v>107</v>
      </c>
      <c r="F1106" s="5" t="s">
        <v>58</v>
      </c>
      <c r="G1106" s="5" t="s">
        <v>59</v>
      </c>
      <c r="H1106" s="5" t="s">
        <v>218</v>
      </c>
      <c r="I1106" s="5" t="s">
        <v>317</v>
      </c>
      <c r="J1106" s="5" t="s">
        <v>1099</v>
      </c>
      <c r="K1106" s="5" t="s">
        <v>233</v>
      </c>
      <c r="L1106" s="6">
        <v>45685</v>
      </c>
      <c r="M1106" s="6">
        <v>45679</v>
      </c>
      <c r="N1106" s="6" t="s">
        <v>811</v>
      </c>
      <c r="O1106" s="5" t="str">
        <f ca="1">IF(P1106&lt;&gt;"EXPEDIÇÃO","Expedido",IF(NETWORKDAYS(C1106,TODAY())&gt;=5,"Risco Alto",IF(NETWORKDAYS(C1106,TODAY())&gt;=3,IF(NETWORKDAYS(C1106,TODAY())&lt;5,"Risco Médio",""),IF(NETWORKDAYS(C1106,TODAY())&lt;=2,"Risco Baixo",""))))</f>
        <v>Expedido</v>
      </c>
      <c r="P1106" s="5" t="s">
        <v>25</v>
      </c>
      <c r="S1106" s="7">
        <f>IF(ISBLANK(M1106),"Aguardando Previsão/Data",NETWORKDAYS(L1106,M1106)-1)</f>
        <v>-6</v>
      </c>
      <c r="T1106" s="5" t="s">
        <v>942</v>
      </c>
    </row>
    <row r="1107" spans="1:20" x14ac:dyDescent="0.35">
      <c r="A1107" s="5">
        <v>8100273881</v>
      </c>
      <c r="B1107" s="5">
        <v>19029</v>
      </c>
      <c r="C1107" s="6">
        <v>45666</v>
      </c>
      <c r="D1107" s="5" t="s">
        <v>106</v>
      </c>
      <c r="E1107" s="5" t="s">
        <v>107</v>
      </c>
      <c r="F1107" s="5" t="s">
        <v>58</v>
      </c>
      <c r="G1107" s="5" t="s">
        <v>59</v>
      </c>
      <c r="H1107" s="5" t="s">
        <v>218</v>
      </c>
      <c r="I1107" s="5" t="s">
        <v>219</v>
      </c>
      <c r="J1107" s="5" t="s">
        <v>220</v>
      </c>
      <c r="K1107" s="5" t="s">
        <v>221</v>
      </c>
      <c r="L1107" s="6">
        <v>45681</v>
      </c>
      <c r="M1107" s="6">
        <v>45678</v>
      </c>
      <c r="N1107" s="6" t="s">
        <v>811</v>
      </c>
      <c r="O1107" s="5" t="str">
        <f ca="1">IF(P1107&lt;&gt;"EXPEDIÇÃO","Expedido",IF(NETWORKDAYS(C1107,TODAY())&gt;=5,"Risco Alto",IF(NETWORKDAYS(C1107,TODAY())&gt;=3,IF(NETWORKDAYS(C1107,TODAY())&lt;5,"Risco Médio",""),IF(NETWORKDAYS(C1107,TODAY())&lt;=2,"Risco Baixo",""))))</f>
        <v>Expedido</v>
      </c>
      <c r="P1107" s="5" t="s">
        <v>25</v>
      </c>
      <c r="S1107" s="7">
        <f>IF(ISBLANK(M1107),"Aguardando Previsão/Data",NETWORKDAYS(L1107,M1107)-1)</f>
        <v>-5</v>
      </c>
      <c r="T1107" s="5" t="s">
        <v>942</v>
      </c>
    </row>
    <row r="1108" spans="1:20" ht="16" x14ac:dyDescent="0.4">
      <c r="A1108" s="5">
        <v>8100273882</v>
      </c>
      <c r="B1108" s="5">
        <v>19032</v>
      </c>
      <c r="C1108" s="6">
        <v>45666</v>
      </c>
      <c r="D1108" s="5" t="s">
        <v>106</v>
      </c>
      <c r="E1108" s="5" t="s">
        <v>107</v>
      </c>
      <c r="F1108" s="5" t="s">
        <v>58</v>
      </c>
      <c r="G1108" s="5" t="s">
        <v>59</v>
      </c>
      <c r="H1108" s="5" t="s">
        <v>218</v>
      </c>
      <c r="I1108" s="5" t="s">
        <v>384</v>
      </c>
      <c r="J1108" s="5" t="s">
        <v>220</v>
      </c>
      <c r="K1108" s="5" t="s">
        <v>221</v>
      </c>
      <c r="L1108" s="6">
        <v>45681</v>
      </c>
      <c r="M1108" s="6">
        <v>45681</v>
      </c>
      <c r="O1108" s="5" t="str">
        <f ca="1">IF(P1108&lt;&gt;"EXPEDIÇÃO","Expedido",IF(NETWORKDAYS(C1108,TODAY())&gt;=5,"Risco Alto",IF(NETWORKDAYS(C1108,TODAY())&gt;=3,IF(NETWORKDAYS(C1108,TODAY())&lt;5,"Risco Médio",""),IF(NETWORKDAYS(C1108,TODAY())&lt;=2,"Risco Baixo",""))))</f>
        <v>Expedido</v>
      </c>
      <c r="P1108" s="5" t="s">
        <v>145</v>
      </c>
      <c r="R1108" s="9">
        <v>3098821</v>
      </c>
      <c r="S1108" s="7">
        <f>IF(ISBLANK(M1108),"Aguardando Previsão/Data",NETWORKDAYS(L1108,M1108)-1)</f>
        <v>0</v>
      </c>
      <c r="T1108" s="5" t="s">
        <v>942</v>
      </c>
    </row>
    <row r="1109" spans="1:20" x14ac:dyDescent="0.35">
      <c r="A1109" s="5">
        <v>8100273893</v>
      </c>
      <c r="B1109" s="5">
        <v>19034</v>
      </c>
      <c r="C1109" s="6">
        <v>45666</v>
      </c>
      <c r="D1109" s="5" t="s">
        <v>106</v>
      </c>
      <c r="E1109" s="5" t="s">
        <v>107</v>
      </c>
      <c r="F1109" s="5" t="s">
        <v>69</v>
      </c>
      <c r="G1109" s="5" t="s">
        <v>70</v>
      </c>
      <c r="H1109" s="5" t="s">
        <v>218</v>
      </c>
      <c r="I1109" s="5" t="s">
        <v>235</v>
      </c>
      <c r="J1109" s="5" t="s">
        <v>236</v>
      </c>
      <c r="K1109" s="5" t="s">
        <v>229</v>
      </c>
      <c r="L1109" s="6">
        <v>45685</v>
      </c>
      <c r="M1109" s="6">
        <v>45685</v>
      </c>
      <c r="N1109" s="6" t="s">
        <v>811</v>
      </c>
      <c r="O1109" s="5" t="str">
        <f ca="1">IF(P1109&lt;&gt;"EXPEDIÇÃO","Expedido",IF(NETWORKDAYS(C1109,TODAY())&gt;=5,"Risco Alto",IF(NETWORKDAYS(C1109,TODAY())&gt;=3,IF(NETWORKDAYS(C1109,TODAY())&lt;5,"Risco Médio",""),IF(NETWORKDAYS(C1109,TODAY())&lt;=2,"Risco Baixo",""))))</f>
        <v>Expedido</v>
      </c>
      <c r="P1109" s="5" t="s">
        <v>25</v>
      </c>
      <c r="S1109" s="7">
        <f>IF(ISBLANK(M1109),"Aguardando Previsão/Data",NETWORKDAYS(L1109,M1109)-1)</f>
        <v>0</v>
      </c>
      <c r="T1109" s="5" t="s">
        <v>942</v>
      </c>
    </row>
    <row r="1110" spans="1:20" x14ac:dyDescent="0.35">
      <c r="A1110" s="5">
        <v>8100273879</v>
      </c>
      <c r="B1110" s="5">
        <v>19030</v>
      </c>
      <c r="C1110" s="6">
        <v>45666</v>
      </c>
      <c r="D1110" s="5" t="s">
        <v>106</v>
      </c>
      <c r="E1110" s="5" t="s">
        <v>107</v>
      </c>
      <c r="F1110" s="5" t="s">
        <v>58</v>
      </c>
      <c r="G1110" s="5" t="s">
        <v>59</v>
      </c>
      <c r="H1110" s="5" t="s">
        <v>218</v>
      </c>
      <c r="I1110" s="5" t="s">
        <v>227</v>
      </c>
      <c r="J1110" s="5" t="s">
        <v>228</v>
      </c>
      <c r="K1110" s="5" t="s">
        <v>229</v>
      </c>
      <c r="L1110" s="6">
        <v>45684</v>
      </c>
      <c r="M1110" s="6">
        <v>45678</v>
      </c>
      <c r="N1110" s="6" t="s">
        <v>811</v>
      </c>
      <c r="O1110" s="5" t="str">
        <f ca="1">IF(P1110&lt;&gt;"EXPEDIÇÃO","Expedido",IF(NETWORKDAYS(C1110,TODAY())&gt;=5,"Risco Alto",IF(NETWORKDAYS(C1110,TODAY())&gt;=3,IF(NETWORKDAYS(C1110,TODAY())&lt;5,"Risco Médio",""),IF(NETWORKDAYS(C1110,TODAY())&lt;=2,"Risco Baixo",""))))</f>
        <v>Expedido</v>
      </c>
      <c r="P1110" s="5" t="s">
        <v>25</v>
      </c>
      <c r="S1110" s="7">
        <f>IF(ISBLANK(M1110),"Aguardando Previsão/Data",NETWORKDAYS(L1110,M1110)-1)</f>
        <v>-6</v>
      </c>
      <c r="T1110" s="5" t="s">
        <v>942</v>
      </c>
    </row>
    <row r="1111" spans="1:20" x14ac:dyDescent="0.35">
      <c r="A1111" s="5">
        <v>8100273880</v>
      </c>
      <c r="B1111" s="5">
        <v>19031</v>
      </c>
      <c r="C1111" s="6">
        <v>45666</v>
      </c>
      <c r="D1111" s="5" t="s">
        <v>106</v>
      </c>
      <c r="E1111" s="5" t="s">
        <v>107</v>
      </c>
      <c r="F1111" s="5" t="s">
        <v>58</v>
      </c>
      <c r="G1111" s="5" t="s">
        <v>59</v>
      </c>
      <c r="H1111" s="5" t="s">
        <v>218</v>
      </c>
      <c r="I1111" s="5" t="s">
        <v>227</v>
      </c>
      <c r="J1111" s="5" t="s">
        <v>228</v>
      </c>
      <c r="K1111" s="5" t="s">
        <v>229</v>
      </c>
      <c r="L1111" s="6">
        <v>45684</v>
      </c>
      <c r="M1111" s="6">
        <v>45678</v>
      </c>
      <c r="N1111" s="6" t="s">
        <v>811</v>
      </c>
      <c r="O1111" s="5" t="str">
        <f ca="1">IF(P1111&lt;&gt;"EXPEDIÇÃO","Expedido",IF(NETWORKDAYS(C1111,TODAY())&gt;=5,"Risco Alto",IF(NETWORKDAYS(C1111,TODAY())&gt;=3,IF(NETWORKDAYS(C1111,TODAY())&lt;5,"Risco Médio",""),IF(NETWORKDAYS(C1111,TODAY())&lt;=2,"Risco Baixo",""))))</f>
        <v>Expedido</v>
      </c>
      <c r="P1111" s="5" t="s">
        <v>25</v>
      </c>
      <c r="S1111" s="7">
        <f>IF(ISBLANK(M1111),"Aguardando Previsão/Data",NETWORKDAYS(L1111,M1111)-1)</f>
        <v>-6</v>
      </c>
      <c r="T1111" s="5" t="s">
        <v>942</v>
      </c>
    </row>
    <row r="1112" spans="1:20" x14ac:dyDescent="0.35">
      <c r="A1112" s="5">
        <v>8100273885</v>
      </c>
      <c r="B1112" s="5">
        <v>19028</v>
      </c>
      <c r="C1112" s="6">
        <v>45666</v>
      </c>
      <c r="D1112" s="5" t="s">
        <v>106</v>
      </c>
      <c r="E1112" s="5" t="s">
        <v>107</v>
      </c>
      <c r="F1112" s="5" t="s">
        <v>58</v>
      </c>
      <c r="G1112" s="5" t="s">
        <v>59</v>
      </c>
      <c r="H1112" s="5" t="s">
        <v>218</v>
      </c>
      <c r="I1112" s="5" t="s">
        <v>223</v>
      </c>
      <c r="J1112" s="5" t="s">
        <v>224</v>
      </c>
      <c r="K1112" s="5" t="s">
        <v>221</v>
      </c>
      <c r="L1112" s="6">
        <v>45684</v>
      </c>
      <c r="M1112" s="6">
        <v>45678</v>
      </c>
      <c r="N1112" s="6" t="s">
        <v>811</v>
      </c>
      <c r="O1112" s="5" t="str">
        <f ca="1">IF(P1112&lt;&gt;"EXPEDIÇÃO","Expedido",IF(NETWORKDAYS(C1112,TODAY())&gt;=5,"Risco Alto",IF(NETWORKDAYS(C1112,TODAY())&gt;=3,IF(NETWORKDAYS(C1112,TODAY())&lt;5,"Risco Médio",""),IF(NETWORKDAYS(C1112,TODAY())&lt;=2,"Risco Baixo",""))))</f>
        <v>Expedido</v>
      </c>
      <c r="P1112" s="5" t="s">
        <v>25</v>
      </c>
      <c r="S1112" s="7">
        <f>IF(ISBLANK(M1112),"Aguardando Previsão/Data",NETWORKDAYS(L1112,M1112)-1)</f>
        <v>-6</v>
      </c>
      <c r="T1112" s="5" t="s">
        <v>942</v>
      </c>
    </row>
    <row r="1113" spans="1:20" x14ac:dyDescent="0.35">
      <c r="A1113" s="5">
        <v>8100273892</v>
      </c>
      <c r="B1113" s="5">
        <v>19033</v>
      </c>
      <c r="C1113" s="6">
        <v>45666</v>
      </c>
      <c r="D1113" s="5" t="s">
        <v>106</v>
      </c>
      <c r="E1113" s="5" t="s">
        <v>107</v>
      </c>
      <c r="F1113" s="5" t="s">
        <v>69</v>
      </c>
      <c r="G1113" s="5" t="s">
        <v>70</v>
      </c>
      <c r="H1113" s="5" t="s">
        <v>218</v>
      </c>
      <c r="I1113" s="5" t="s">
        <v>235</v>
      </c>
      <c r="J1113" s="5" t="s">
        <v>236</v>
      </c>
      <c r="K1113" s="5" t="s">
        <v>229</v>
      </c>
      <c r="L1113" s="6">
        <v>45685</v>
      </c>
      <c r="M1113" s="6">
        <v>45678</v>
      </c>
      <c r="N1113" s="6" t="s">
        <v>811</v>
      </c>
      <c r="O1113" s="5" t="str">
        <f ca="1">IF(P1113&lt;&gt;"EXPEDIÇÃO","Expedido",IF(NETWORKDAYS(C1113,TODAY())&gt;=5,"Risco Alto",IF(NETWORKDAYS(C1113,TODAY())&gt;=3,IF(NETWORKDAYS(C1113,TODAY())&lt;5,"Risco Médio",""),IF(NETWORKDAYS(C1113,TODAY())&lt;=2,"Risco Baixo",""))))</f>
        <v>Expedido</v>
      </c>
      <c r="P1113" s="5" t="s">
        <v>25</v>
      </c>
      <c r="S1113" s="7">
        <f>IF(ISBLANK(M1113),"Aguardando Previsão/Data",NETWORKDAYS(L1113,M1113)-1)</f>
        <v>-7</v>
      </c>
      <c r="T1113" s="5" t="s">
        <v>942</v>
      </c>
    </row>
    <row r="1114" spans="1:20" x14ac:dyDescent="0.35">
      <c r="A1114" s="5">
        <v>8100273183</v>
      </c>
      <c r="B1114" s="5">
        <v>19020</v>
      </c>
      <c r="C1114" s="6">
        <v>45666</v>
      </c>
      <c r="D1114" s="5" t="s">
        <v>106</v>
      </c>
      <c r="E1114" s="5" t="s">
        <v>107</v>
      </c>
      <c r="F1114" s="5" t="s">
        <v>111</v>
      </c>
      <c r="G1114" s="5" t="s">
        <v>112</v>
      </c>
      <c r="H1114" s="5" t="s">
        <v>108</v>
      </c>
      <c r="I1114" s="5" t="s">
        <v>445</v>
      </c>
      <c r="J1114" s="5" t="s">
        <v>446</v>
      </c>
      <c r="K1114" s="5" t="s">
        <v>110</v>
      </c>
      <c r="L1114" s="6">
        <v>45674</v>
      </c>
      <c r="M1114" s="6">
        <v>45670</v>
      </c>
      <c r="N1114" s="6" t="s">
        <v>811</v>
      </c>
      <c r="O1114" s="5" t="str">
        <f ca="1">IF(P1114&lt;&gt;"EXPEDIÇÃO","Expedido",IF(NETWORKDAYS(C1114,TODAY())&gt;=5,"Risco Alto",IF(NETWORKDAYS(C1114,TODAY())&gt;=3,IF(NETWORKDAYS(C1114,TODAY())&lt;5,"Risco Médio",""),IF(NETWORKDAYS(C1114,TODAY())&lt;=2,"Risco Baixo",""))))</f>
        <v>Expedido</v>
      </c>
      <c r="P1114" s="5" t="s">
        <v>25</v>
      </c>
      <c r="S1114" s="7">
        <f>IF(ISBLANK(M1114),"Aguardando Previsão/Data",NETWORKDAYS(L1114,M1114)-1)</f>
        <v>-6</v>
      </c>
      <c r="T1114" s="5" t="s">
        <v>942</v>
      </c>
    </row>
    <row r="1115" spans="1:20" x14ac:dyDescent="0.35">
      <c r="A1115" s="5">
        <v>8100273357</v>
      </c>
      <c r="B1115" s="5">
        <v>18986</v>
      </c>
      <c r="C1115" s="6">
        <v>45666</v>
      </c>
      <c r="D1115" s="5" t="s">
        <v>106</v>
      </c>
      <c r="E1115" s="5" t="s">
        <v>107</v>
      </c>
      <c r="F1115" s="5" t="s">
        <v>111</v>
      </c>
      <c r="G1115" s="5" t="s">
        <v>112</v>
      </c>
      <c r="H1115" s="5" t="s">
        <v>108</v>
      </c>
      <c r="I1115" s="5" t="s">
        <v>1258</v>
      </c>
      <c r="J1115" s="5" t="s">
        <v>114</v>
      </c>
      <c r="K1115" s="5" t="s">
        <v>110</v>
      </c>
      <c r="L1115" s="6">
        <v>45674</v>
      </c>
      <c r="M1115" s="6">
        <v>45671</v>
      </c>
      <c r="N1115" s="6" t="s">
        <v>811</v>
      </c>
      <c r="O1115" s="5" t="str">
        <f ca="1">IF(P1115&lt;&gt;"EXPEDIÇÃO","Expedido",IF(NETWORKDAYS(C1115,TODAY())&gt;=5,"Risco Alto",IF(NETWORKDAYS(C1115,TODAY())&gt;=3,IF(NETWORKDAYS(C1115,TODAY())&lt;5,"Risco Médio",""),IF(NETWORKDAYS(C1115,TODAY())&lt;=2,"Risco Baixo",""))))</f>
        <v>Expedido</v>
      </c>
      <c r="P1115" s="5" t="s">
        <v>25</v>
      </c>
      <c r="S1115" s="7">
        <f>IF(ISBLANK(M1115),"Aguardando Previsão/Data",NETWORKDAYS(L1115,M1115)-1)</f>
        <v>-5</v>
      </c>
      <c r="T1115" s="5" t="s">
        <v>942</v>
      </c>
    </row>
    <row r="1116" spans="1:20" x14ac:dyDescent="0.35">
      <c r="A1116" s="5">
        <v>8100273578</v>
      </c>
      <c r="B1116" s="5">
        <v>18999</v>
      </c>
      <c r="C1116" s="6">
        <v>45666</v>
      </c>
      <c r="D1116" s="5" t="s">
        <v>106</v>
      </c>
      <c r="E1116" s="5" t="s">
        <v>107</v>
      </c>
      <c r="F1116" s="5" t="s">
        <v>58</v>
      </c>
      <c r="G1116" s="5" t="s">
        <v>59</v>
      </c>
      <c r="H1116" s="5" t="s">
        <v>108</v>
      </c>
      <c r="I1116" s="5" t="s">
        <v>130</v>
      </c>
      <c r="J1116" s="5" t="s">
        <v>131</v>
      </c>
      <c r="K1116" s="5" t="s">
        <v>110</v>
      </c>
      <c r="L1116" s="6">
        <v>45672</v>
      </c>
      <c r="M1116" s="6">
        <v>45670</v>
      </c>
      <c r="N1116" s="6" t="s">
        <v>811</v>
      </c>
      <c r="O1116" s="5" t="str">
        <f ca="1">IF(P1116&lt;&gt;"EXPEDIÇÃO","Expedido",IF(NETWORKDAYS(C1116,TODAY())&gt;=5,"Risco Alto",IF(NETWORKDAYS(C1116,TODAY())&gt;=3,IF(NETWORKDAYS(C1116,TODAY())&lt;5,"Risco Médio",""),IF(NETWORKDAYS(C1116,TODAY())&lt;=2,"Risco Baixo",""))))</f>
        <v>Expedido</v>
      </c>
      <c r="P1116" s="5" t="s">
        <v>25</v>
      </c>
      <c r="S1116" s="7">
        <f>IF(ISBLANK(M1116),"Aguardando Previsão/Data",NETWORKDAYS(L1116,M1116)-1)</f>
        <v>-4</v>
      </c>
      <c r="T1116" s="5" t="s">
        <v>942</v>
      </c>
    </row>
    <row r="1117" spans="1:20" x14ac:dyDescent="0.35">
      <c r="A1117" s="5">
        <v>8100273579</v>
      </c>
      <c r="B1117" s="5">
        <v>19000</v>
      </c>
      <c r="C1117" s="6">
        <v>45666</v>
      </c>
      <c r="D1117" s="5" t="s">
        <v>106</v>
      </c>
      <c r="E1117" s="5" t="s">
        <v>107</v>
      </c>
      <c r="F1117" s="5" t="s">
        <v>58</v>
      </c>
      <c r="G1117" s="5" t="s">
        <v>59</v>
      </c>
      <c r="H1117" s="5" t="s">
        <v>108</v>
      </c>
      <c r="I1117" s="5" t="s">
        <v>130</v>
      </c>
      <c r="J1117" s="5" t="s">
        <v>131</v>
      </c>
      <c r="K1117" s="5" t="s">
        <v>110</v>
      </c>
      <c r="L1117" s="6">
        <v>45672</v>
      </c>
      <c r="M1117" s="6">
        <v>45670</v>
      </c>
      <c r="N1117" s="6" t="s">
        <v>811</v>
      </c>
      <c r="O1117" s="5" t="str">
        <f ca="1">IF(P1117&lt;&gt;"EXPEDIÇÃO","Expedido",IF(NETWORKDAYS(C1117,TODAY())&gt;=5,"Risco Alto",IF(NETWORKDAYS(C1117,TODAY())&gt;=3,IF(NETWORKDAYS(C1117,TODAY())&lt;5,"Risco Médio",""),IF(NETWORKDAYS(C1117,TODAY())&lt;=2,"Risco Baixo",""))))</f>
        <v>Expedido</v>
      </c>
      <c r="P1117" s="5" t="s">
        <v>25</v>
      </c>
      <c r="S1117" s="7">
        <f>IF(ISBLANK(M1117),"Aguardando Previsão/Data",NETWORKDAYS(L1117,M1117)-1)</f>
        <v>-4</v>
      </c>
      <c r="T1117" s="5" t="s">
        <v>942</v>
      </c>
    </row>
    <row r="1118" spans="1:20" x14ac:dyDescent="0.35">
      <c r="A1118" s="5">
        <v>8100273580</v>
      </c>
      <c r="B1118" s="5">
        <v>18994</v>
      </c>
      <c r="C1118" s="6">
        <v>45666</v>
      </c>
      <c r="D1118" s="5" t="s">
        <v>106</v>
      </c>
      <c r="E1118" s="5" t="s">
        <v>107</v>
      </c>
      <c r="F1118" s="5" t="s">
        <v>69</v>
      </c>
      <c r="G1118" s="5" t="s">
        <v>70</v>
      </c>
      <c r="H1118" s="5" t="s">
        <v>108</v>
      </c>
      <c r="I1118" s="5" t="s">
        <v>118</v>
      </c>
      <c r="J1118" s="5" t="s">
        <v>114</v>
      </c>
      <c r="K1118" s="5" t="s">
        <v>110</v>
      </c>
      <c r="L1118" s="6">
        <v>45674</v>
      </c>
      <c r="M1118" s="6">
        <v>45678</v>
      </c>
      <c r="N1118" s="6" t="s">
        <v>811</v>
      </c>
      <c r="O1118" s="5" t="str">
        <f ca="1">IF(P1118&lt;&gt;"EXPEDIÇÃO","Expedido",IF(NETWORKDAYS(C1118,TODAY())&gt;=5,"Risco Alto",IF(NETWORKDAYS(C1118,TODAY())&gt;=3,IF(NETWORKDAYS(C1118,TODAY())&lt;5,"Risco Médio",""),IF(NETWORKDAYS(C1118,TODAY())&lt;=2,"Risco Baixo",""))))</f>
        <v>Expedido</v>
      </c>
      <c r="P1118" s="5" t="s">
        <v>25</v>
      </c>
      <c r="Q1118" s="5" t="s">
        <v>897</v>
      </c>
      <c r="R1118" s="5" t="s">
        <v>1423</v>
      </c>
      <c r="S1118" s="7">
        <f>IF(ISBLANK(M1118),"Aguardando Previsão/Data",NETWORKDAYS(L1118,M1118)-1)</f>
        <v>2</v>
      </c>
      <c r="T1118" s="5" t="s">
        <v>942</v>
      </c>
    </row>
    <row r="1119" spans="1:20" x14ac:dyDescent="0.35">
      <c r="A1119" s="5">
        <v>8100273582</v>
      </c>
      <c r="B1119" s="5">
        <v>18993</v>
      </c>
      <c r="C1119" s="6">
        <v>45666</v>
      </c>
      <c r="D1119" s="5" t="s">
        <v>106</v>
      </c>
      <c r="E1119" s="5" t="s">
        <v>107</v>
      </c>
      <c r="F1119" s="5" t="s">
        <v>53</v>
      </c>
      <c r="G1119" s="5" t="s">
        <v>54</v>
      </c>
      <c r="H1119" s="5" t="s">
        <v>108</v>
      </c>
      <c r="I1119" s="5" t="s">
        <v>138</v>
      </c>
      <c r="J1119" s="5" t="s">
        <v>139</v>
      </c>
      <c r="K1119" s="5" t="s">
        <v>110</v>
      </c>
      <c r="L1119" s="6">
        <v>45674</v>
      </c>
      <c r="M1119" s="6">
        <v>45673</v>
      </c>
      <c r="N1119" s="6" t="s">
        <v>811</v>
      </c>
      <c r="O1119" s="5" t="str">
        <f ca="1">IF(P1119&lt;&gt;"EXPEDIÇÃO","Expedido",IF(NETWORKDAYS(C1119,TODAY())&gt;=5,"Risco Alto",IF(NETWORKDAYS(C1119,TODAY())&gt;=3,IF(NETWORKDAYS(C1119,TODAY())&lt;5,"Risco Médio",""),IF(NETWORKDAYS(C1119,TODAY())&lt;=2,"Risco Baixo",""))))</f>
        <v>Expedido</v>
      </c>
      <c r="P1119" s="5" t="s">
        <v>25</v>
      </c>
      <c r="S1119" s="7">
        <f>IF(ISBLANK(M1119),"Aguardando Previsão/Data",NETWORKDAYS(L1119,M1119)-1)</f>
        <v>-3</v>
      </c>
      <c r="T1119" s="5" t="s">
        <v>942</v>
      </c>
    </row>
    <row r="1120" spans="1:20" x14ac:dyDescent="0.35">
      <c r="A1120" s="5">
        <v>8100273583</v>
      </c>
      <c r="B1120" s="5">
        <v>18984</v>
      </c>
      <c r="C1120" s="6">
        <v>45666</v>
      </c>
      <c r="D1120" s="5" t="s">
        <v>106</v>
      </c>
      <c r="E1120" s="5" t="s">
        <v>107</v>
      </c>
      <c r="F1120" s="5" t="s">
        <v>147</v>
      </c>
      <c r="G1120" s="5" t="s">
        <v>148</v>
      </c>
      <c r="H1120" s="5" t="s">
        <v>108</v>
      </c>
      <c r="I1120" s="5" t="s">
        <v>678</v>
      </c>
      <c r="J1120" s="5" t="s">
        <v>679</v>
      </c>
      <c r="K1120" s="5" t="s">
        <v>110</v>
      </c>
      <c r="L1120" s="6">
        <v>45674</v>
      </c>
      <c r="M1120" s="6">
        <v>45671</v>
      </c>
      <c r="N1120" s="6" t="s">
        <v>811</v>
      </c>
      <c r="O1120" s="5" t="str">
        <f ca="1">IF(P1120&lt;&gt;"EXPEDIÇÃO","Expedido",IF(NETWORKDAYS(C1120,TODAY())&gt;=5,"Risco Alto",IF(NETWORKDAYS(C1120,TODAY())&gt;=3,IF(NETWORKDAYS(C1120,TODAY())&lt;5,"Risco Médio",""),IF(NETWORKDAYS(C1120,TODAY())&lt;=2,"Risco Baixo",""))))</f>
        <v>Expedido</v>
      </c>
      <c r="P1120" s="5" t="s">
        <v>25</v>
      </c>
      <c r="S1120" s="7">
        <f>IF(ISBLANK(M1120),"Aguardando Previsão/Data",NETWORKDAYS(L1120,M1120)-1)</f>
        <v>-5</v>
      </c>
      <c r="T1120" s="5" t="s">
        <v>942</v>
      </c>
    </row>
    <row r="1121" spans="1:20" x14ac:dyDescent="0.35">
      <c r="A1121" s="5">
        <v>8100273585</v>
      </c>
      <c r="B1121" s="5">
        <v>18989</v>
      </c>
      <c r="C1121" s="6">
        <v>45666</v>
      </c>
      <c r="D1121" s="5" t="s">
        <v>106</v>
      </c>
      <c r="E1121" s="5" t="s">
        <v>107</v>
      </c>
      <c r="F1121" s="5" t="s">
        <v>69</v>
      </c>
      <c r="G1121" s="5" t="s">
        <v>70</v>
      </c>
      <c r="H1121" s="5" t="s">
        <v>108</v>
      </c>
      <c r="I1121" s="5" t="s">
        <v>64</v>
      </c>
      <c r="J1121" s="5" t="s">
        <v>537</v>
      </c>
      <c r="K1121" s="5" t="s">
        <v>110</v>
      </c>
      <c r="L1121" s="6">
        <v>45674</v>
      </c>
      <c r="M1121" s="6">
        <v>45672</v>
      </c>
      <c r="N1121" s="6" t="s">
        <v>811</v>
      </c>
      <c r="O1121" s="5" t="str">
        <f ca="1">IF(P1121&lt;&gt;"EXPEDIÇÃO","Expedido",IF(NETWORKDAYS(C1121,TODAY())&gt;=5,"Risco Alto",IF(NETWORKDAYS(C1121,TODAY())&gt;=3,IF(NETWORKDAYS(C1121,TODAY())&lt;5,"Risco Médio",""),IF(NETWORKDAYS(C1121,TODAY())&lt;=2,"Risco Baixo",""))))</f>
        <v>Expedido</v>
      </c>
      <c r="P1121" s="5" t="s">
        <v>25</v>
      </c>
      <c r="S1121" s="7">
        <f>IF(ISBLANK(M1121),"Aguardando Previsão/Data",NETWORKDAYS(L1121,M1121)-1)</f>
        <v>-4</v>
      </c>
      <c r="T1121" s="5" t="s">
        <v>942</v>
      </c>
    </row>
    <row r="1122" spans="1:20" x14ac:dyDescent="0.35">
      <c r="A1122" s="5">
        <v>8100273586</v>
      </c>
      <c r="B1122" s="5">
        <v>19002</v>
      </c>
      <c r="C1122" s="6">
        <v>45666</v>
      </c>
      <c r="D1122" s="5" t="s">
        <v>106</v>
      </c>
      <c r="E1122" s="5" t="s">
        <v>107</v>
      </c>
      <c r="F1122" s="5" t="s">
        <v>53</v>
      </c>
      <c r="G1122" s="5" t="s">
        <v>54</v>
      </c>
      <c r="H1122" s="5" t="s">
        <v>108</v>
      </c>
      <c r="I1122" s="5" t="s">
        <v>132</v>
      </c>
      <c r="J1122" s="5" t="s">
        <v>133</v>
      </c>
      <c r="K1122" s="5" t="s">
        <v>110</v>
      </c>
      <c r="L1122" s="6">
        <v>45674</v>
      </c>
      <c r="M1122" s="6">
        <v>45673</v>
      </c>
      <c r="N1122" s="6" t="s">
        <v>811</v>
      </c>
      <c r="O1122" s="5" t="str">
        <f ca="1">IF(P1122&lt;&gt;"EXPEDIÇÃO","Expedido",IF(NETWORKDAYS(C1122,TODAY())&gt;=5,"Risco Alto",IF(NETWORKDAYS(C1122,TODAY())&gt;=3,IF(NETWORKDAYS(C1122,TODAY())&lt;5,"Risco Médio",""),IF(NETWORKDAYS(C1122,TODAY())&lt;=2,"Risco Baixo",""))))</f>
        <v>Expedido</v>
      </c>
      <c r="P1122" s="5" t="s">
        <v>25</v>
      </c>
      <c r="S1122" s="7">
        <f>IF(ISBLANK(M1122),"Aguardando Previsão/Data",NETWORKDAYS(L1122,M1122)-1)</f>
        <v>-3</v>
      </c>
      <c r="T1122" s="5" t="s">
        <v>942</v>
      </c>
    </row>
    <row r="1123" spans="1:20" x14ac:dyDescent="0.35">
      <c r="A1123" s="5">
        <v>8100273587</v>
      </c>
      <c r="B1123" s="5">
        <v>18990</v>
      </c>
      <c r="C1123" s="6">
        <v>45666</v>
      </c>
      <c r="D1123" s="5" t="s">
        <v>106</v>
      </c>
      <c r="E1123" s="5" t="s">
        <v>107</v>
      </c>
      <c r="F1123" s="5" t="s">
        <v>53</v>
      </c>
      <c r="G1123" s="5" t="s">
        <v>54</v>
      </c>
      <c r="H1123" s="5" t="s">
        <v>108</v>
      </c>
      <c r="I1123" s="5" t="s">
        <v>587</v>
      </c>
      <c r="J1123" s="5" t="s">
        <v>390</v>
      </c>
      <c r="K1123" s="5" t="s">
        <v>110</v>
      </c>
      <c r="L1123" s="6">
        <v>45674</v>
      </c>
      <c r="M1123" s="6">
        <v>45673</v>
      </c>
      <c r="N1123" s="6" t="s">
        <v>811</v>
      </c>
      <c r="O1123" s="5" t="str">
        <f ca="1">IF(P1123&lt;&gt;"EXPEDIÇÃO","Expedido",IF(NETWORKDAYS(C1123,TODAY())&gt;=5,"Risco Alto",IF(NETWORKDAYS(C1123,TODAY())&gt;=3,IF(NETWORKDAYS(C1123,TODAY())&lt;5,"Risco Médio",""),IF(NETWORKDAYS(C1123,TODAY())&lt;=2,"Risco Baixo",""))))</f>
        <v>Expedido</v>
      </c>
      <c r="P1123" s="5" t="s">
        <v>25</v>
      </c>
      <c r="S1123" s="7">
        <f>IF(ISBLANK(M1123),"Aguardando Previsão/Data",NETWORKDAYS(L1123,M1123)-1)</f>
        <v>-3</v>
      </c>
      <c r="T1123" s="5" t="s">
        <v>942</v>
      </c>
    </row>
    <row r="1124" spans="1:20" x14ac:dyDescent="0.35">
      <c r="A1124" s="5">
        <v>8100273588</v>
      </c>
      <c r="B1124" s="5">
        <v>18992</v>
      </c>
      <c r="C1124" s="6">
        <v>45666</v>
      </c>
      <c r="D1124" s="5" t="s">
        <v>106</v>
      </c>
      <c r="E1124" s="5" t="s">
        <v>107</v>
      </c>
      <c r="F1124" s="5" t="s">
        <v>111</v>
      </c>
      <c r="G1124" s="5" t="s">
        <v>112</v>
      </c>
      <c r="H1124" s="5" t="s">
        <v>108</v>
      </c>
      <c r="I1124" s="5" t="s">
        <v>113</v>
      </c>
      <c r="J1124" s="5" t="s">
        <v>114</v>
      </c>
      <c r="K1124" s="5" t="s">
        <v>110</v>
      </c>
      <c r="L1124" s="6">
        <v>45674</v>
      </c>
      <c r="M1124" s="6">
        <v>45672</v>
      </c>
      <c r="N1124" s="6" t="s">
        <v>811</v>
      </c>
      <c r="O1124" s="5" t="str">
        <f ca="1">IF(P1124&lt;&gt;"EXPEDIÇÃO","Expedido",IF(NETWORKDAYS(C1124,TODAY())&gt;=5,"Risco Alto",IF(NETWORKDAYS(C1124,TODAY())&gt;=3,IF(NETWORKDAYS(C1124,TODAY())&lt;5,"Risco Médio",""),IF(NETWORKDAYS(C1124,TODAY())&lt;=2,"Risco Baixo",""))))</f>
        <v>Expedido</v>
      </c>
      <c r="P1124" s="5" t="s">
        <v>25</v>
      </c>
      <c r="S1124" s="7">
        <f>IF(ISBLANK(M1124),"Aguardando Previsão/Data",NETWORKDAYS(L1124,M1124)-1)</f>
        <v>-4</v>
      </c>
      <c r="T1124" s="5" t="s">
        <v>942</v>
      </c>
    </row>
    <row r="1125" spans="1:20" x14ac:dyDescent="0.35">
      <c r="A1125" s="5">
        <v>8100273589</v>
      </c>
      <c r="B1125" s="5">
        <v>18996</v>
      </c>
      <c r="C1125" s="6">
        <v>45666</v>
      </c>
      <c r="D1125" s="5" t="s">
        <v>106</v>
      </c>
      <c r="E1125" s="5" t="s">
        <v>107</v>
      </c>
      <c r="F1125" s="5" t="s">
        <v>53</v>
      </c>
      <c r="G1125" s="5" t="s">
        <v>54</v>
      </c>
      <c r="H1125" s="5" t="s">
        <v>108</v>
      </c>
      <c r="I1125" s="5" t="s">
        <v>82</v>
      </c>
      <c r="J1125" s="5" t="s">
        <v>124</v>
      </c>
      <c r="K1125" s="5" t="s">
        <v>110</v>
      </c>
      <c r="L1125" s="6">
        <v>45674</v>
      </c>
      <c r="M1125" s="6">
        <v>45672</v>
      </c>
      <c r="N1125" s="6" t="s">
        <v>811</v>
      </c>
      <c r="O1125" s="5" t="str">
        <f ca="1">IF(P1125&lt;&gt;"EXPEDIÇÃO","Expedido",IF(NETWORKDAYS(C1125,TODAY())&gt;=5,"Risco Alto",IF(NETWORKDAYS(C1125,TODAY())&gt;=3,IF(NETWORKDAYS(C1125,TODAY())&lt;5,"Risco Médio",""),IF(NETWORKDAYS(C1125,TODAY())&lt;=2,"Risco Baixo",""))))</f>
        <v>Expedido</v>
      </c>
      <c r="P1125" s="5" t="s">
        <v>25</v>
      </c>
      <c r="S1125" s="7">
        <f>IF(ISBLANK(M1125),"Aguardando Previsão/Data",NETWORKDAYS(L1125,M1125)-1)</f>
        <v>-4</v>
      </c>
      <c r="T1125" s="5" t="s">
        <v>942</v>
      </c>
    </row>
    <row r="1126" spans="1:20" x14ac:dyDescent="0.35">
      <c r="A1126" s="5">
        <v>8100273590</v>
      </c>
      <c r="B1126" s="5">
        <v>18985</v>
      </c>
      <c r="C1126" s="6">
        <v>45666</v>
      </c>
      <c r="D1126" s="5" t="s">
        <v>106</v>
      </c>
      <c r="E1126" s="5" t="s">
        <v>107</v>
      </c>
      <c r="F1126" s="5" t="s">
        <v>66</v>
      </c>
      <c r="G1126" s="5" t="s">
        <v>67</v>
      </c>
      <c r="H1126" s="5" t="s">
        <v>108</v>
      </c>
      <c r="I1126" s="5" t="s">
        <v>394</v>
      </c>
      <c r="J1126" s="5" t="s">
        <v>395</v>
      </c>
      <c r="K1126" s="5" t="s">
        <v>110</v>
      </c>
      <c r="L1126" s="6">
        <v>45673</v>
      </c>
      <c r="M1126" s="6">
        <v>45670</v>
      </c>
      <c r="N1126" s="6" t="s">
        <v>811</v>
      </c>
      <c r="O1126" s="5" t="str">
        <f ca="1">IF(P1126&lt;&gt;"EXPEDIÇÃO","Expedido",IF(NETWORKDAYS(C1126,TODAY())&gt;=5,"Risco Alto",IF(NETWORKDAYS(C1126,TODAY())&gt;=3,IF(NETWORKDAYS(C1126,TODAY())&lt;5,"Risco Médio",""),IF(NETWORKDAYS(C1126,TODAY())&lt;=2,"Risco Baixo",""))))</f>
        <v>Expedido</v>
      </c>
      <c r="P1126" s="5" t="s">
        <v>25</v>
      </c>
      <c r="S1126" s="7">
        <f>IF(ISBLANK(M1126),"Aguardando Previsão/Data",NETWORKDAYS(L1126,M1126)-1)</f>
        <v>-5</v>
      </c>
      <c r="T1126" s="5" t="s">
        <v>942</v>
      </c>
    </row>
    <row r="1127" spans="1:20" x14ac:dyDescent="0.35">
      <c r="A1127" s="5">
        <v>8100273591</v>
      </c>
      <c r="B1127" s="5">
        <v>18988</v>
      </c>
      <c r="C1127" s="6">
        <v>45666</v>
      </c>
      <c r="D1127" s="5" t="s">
        <v>106</v>
      </c>
      <c r="E1127" s="5" t="s">
        <v>107</v>
      </c>
      <c r="F1127" s="5" t="s">
        <v>58</v>
      </c>
      <c r="G1127" s="5" t="s">
        <v>59</v>
      </c>
      <c r="H1127" s="5" t="s">
        <v>108</v>
      </c>
      <c r="I1127" s="5" t="s">
        <v>1054</v>
      </c>
      <c r="J1127" s="5" t="s">
        <v>503</v>
      </c>
      <c r="K1127" s="5" t="s">
        <v>110</v>
      </c>
      <c r="L1127" s="6">
        <v>45673</v>
      </c>
      <c r="M1127" s="6">
        <v>45671</v>
      </c>
      <c r="N1127" s="6" t="s">
        <v>811</v>
      </c>
      <c r="O1127" s="5" t="str">
        <f ca="1">IF(P1127&lt;&gt;"EXPEDIÇÃO","Expedido",IF(NETWORKDAYS(C1127,TODAY())&gt;=5,"Risco Alto",IF(NETWORKDAYS(C1127,TODAY())&gt;=3,IF(NETWORKDAYS(C1127,TODAY())&lt;5,"Risco Médio",""),IF(NETWORKDAYS(C1127,TODAY())&lt;=2,"Risco Baixo",""))))</f>
        <v>Expedido</v>
      </c>
      <c r="P1127" s="5" t="s">
        <v>25</v>
      </c>
      <c r="S1127" s="7">
        <f>IF(ISBLANK(M1127),"Aguardando Previsão/Data",NETWORKDAYS(L1127,M1127)-1)</f>
        <v>-4</v>
      </c>
      <c r="T1127" s="5" t="s">
        <v>942</v>
      </c>
    </row>
    <row r="1128" spans="1:20" x14ac:dyDescent="0.35">
      <c r="A1128" s="5">
        <v>8100273592</v>
      </c>
      <c r="B1128" s="5">
        <v>19001</v>
      </c>
      <c r="C1128" s="6">
        <v>45666</v>
      </c>
      <c r="D1128" s="5" t="s">
        <v>106</v>
      </c>
      <c r="E1128" s="5" t="s">
        <v>107</v>
      </c>
      <c r="F1128" s="5" t="s">
        <v>111</v>
      </c>
      <c r="G1128" s="5" t="s">
        <v>112</v>
      </c>
      <c r="H1128" s="5" t="s">
        <v>108</v>
      </c>
      <c r="I1128" s="5" t="s">
        <v>113</v>
      </c>
      <c r="J1128" s="5" t="s">
        <v>142</v>
      </c>
      <c r="K1128" s="5" t="s">
        <v>110</v>
      </c>
      <c r="L1128" s="6">
        <v>45673</v>
      </c>
      <c r="M1128" s="6">
        <v>45671</v>
      </c>
      <c r="N1128" s="6" t="s">
        <v>811</v>
      </c>
      <c r="O1128" s="5" t="str">
        <f ca="1">IF(P1128&lt;&gt;"EXPEDIÇÃO","Expedido",IF(NETWORKDAYS(C1128,TODAY())&gt;=5,"Risco Alto",IF(NETWORKDAYS(C1128,TODAY())&gt;=3,IF(NETWORKDAYS(C1128,TODAY())&lt;5,"Risco Médio",""),IF(NETWORKDAYS(C1128,TODAY())&lt;=2,"Risco Baixo",""))))</f>
        <v>Expedido</v>
      </c>
      <c r="P1128" s="5" t="s">
        <v>25</v>
      </c>
      <c r="S1128" s="7">
        <f>IF(ISBLANK(M1128),"Aguardando Previsão/Data",NETWORKDAYS(L1128,M1128)-1)</f>
        <v>-4</v>
      </c>
      <c r="T1128" s="5" t="s">
        <v>942</v>
      </c>
    </row>
    <row r="1129" spans="1:20" x14ac:dyDescent="0.35">
      <c r="A1129" s="5">
        <v>8100273593</v>
      </c>
      <c r="B1129" s="5">
        <v>18998</v>
      </c>
      <c r="C1129" s="6">
        <v>45666</v>
      </c>
      <c r="D1129" s="5" t="s">
        <v>106</v>
      </c>
      <c r="E1129" s="5" t="s">
        <v>107</v>
      </c>
      <c r="F1129" s="5" t="s">
        <v>66</v>
      </c>
      <c r="G1129" s="5" t="s">
        <v>67</v>
      </c>
      <c r="H1129" s="5" t="s">
        <v>108</v>
      </c>
      <c r="I1129" s="5" t="s">
        <v>82</v>
      </c>
      <c r="J1129" s="5" t="s">
        <v>1149</v>
      </c>
      <c r="K1129" s="5" t="s">
        <v>110</v>
      </c>
      <c r="L1129" s="6">
        <v>45674</v>
      </c>
      <c r="M1129" s="6">
        <v>45674</v>
      </c>
      <c r="N1129" s="6" t="s">
        <v>811</v>
      </c>
      <c r="O1129" s="5" t="str">
        <f ca="1">IF(P1129&lt;&gt;"EXPEDIÇÃO","Expedido",IF(NETWORKDAYS(C1129,TODAY())&gt;=5,"Risco Alto",IF(NETWORKDAYS(C1129,TODAY())&gt;=3,IF(NETWORKDAYS(C1129,TODAY())&lt;5,"Risco Médio",""),IF(NETWORKDAYS(C1129,TODAY())&lt;=2,"Risco Baixo",""))))</f>
        <v>Expedido</v>
      </c>
      <c r="P1129" s="5" t="s">
        <v>25</v>
      </c>
      <c r="S1129" s="7">
        <f>IF(ISBLANK(M1129),"Aguardando Previsão/Data",NETWORKDAYS(L1129,M1129)-1)</f>
        <v>0</v>
      </c>
      <c r="T1129" s="5" t="s">
        <v>942</v>
      </c>
    </row>
    <row r="1130" spans="1:20" x14ac:dyDescent="0.35">
      <c r="A1130" s="5">
        <v>8100273594</v>
      </c>
      <c r="B1130" s="5">
        <v>18995</v>
      </c>
      <c r="C1130" s="6">
        <v>45666</v>
      </c>
      <c r="D1130" s="5" t="s">
        <v>106</v>
      </c>
      <c r="E1130" s="5" t="s">
        <v>107</v>
      </c>
      <c r="F1130" s="5" t="s">
        <v>53</v>
      </c>
      <c r="G1130" s="5" t="s">
        <v>54</v>
      </c>
      <c r="H1130" s="5" t="s">
        <v>108</v>
      </c>
      <c r="I1130" s="5" t="s">
        <v>561</v>
      </c>
      <c r="J1130" s="5" t="s">
        <v>121</v>
      </c>
      <c r="K1130" s="5" t="s">
        <v>110</v>
      </c>
      <c r="L1130" s="6">
        <v>45673</v>
      </c>
      <c r="M1130" s="6">
        <v>45671</v>
      </c>
      <c r="N1130" s="6" t="s">
        <v>811</v>
      </c>
      <c r="O1130" s="5" t="str">
        <f ca="1">IF(P1130&lt;&gt;"EXPEDIÇÃO","Expedido",IF(NETWORKDAYS(C1130,TODAY())&gt;=5,"Risco Alto",IF(NETWORKDAYS(C1130,TODAY())&gt;=3,IF(NETWORKDAYS(C1130,TODAY())&lt;5,"Risco Médio",""),IF(NETWORKDAYS(C1130,TODAY())&lt;=2,"Risco Baixo",""))))</f>
        <v>Expedido</v>
      </c>
      <c r="P1130" s="5" t="s">
        <v>25</v>
      </c>
      <c r="S1130" s="7">
        <f>IF(ISBLANK(M1130),"Aguardando Previsão/Data",NETWORKDAYS(L1130,M1130)-1)</f>
        <v>-4</v>
      </c>
      <c r="T1130" s="5" t="s">
        <v>942</v>
      </c>
    </row>
    <row r="1131" spans="1:20" x14ac:dyDescent="0.35">
      <c r="A1131" s="5">
        <v>8100273595</v>
      </c>
      <c r="B1131" s="5">
        <v>18991</v>
      </c>
      <c r="C1131" s="6">
        <v>45666</v>
      </c>
      <c r="D1131" s="5" t="s">
        <v>106</v>
      </c>
      <c r="E1131" s="5" t="s">
        <v>107</v>
      </c>
      <c r="F1131" s="5" t="s">
        <v>69</v>
      </c>
      <c r="G1131" s="5" t="s">
        <v>70</v>
      </c>
      <c r="H1131" s="5" t="s">
        <v>108</v>
      </c>
      <c r="I1131" s="5" t="s">
        <v>284</v>
      </c>
      <c r="J1131" s="5" t="s">
        <v>286</v>
      </c>
      <c r="K1131" s="5" t="s">
        <v>110</v>
      </c>
      <c r="L1131" s="6">
        <v>45673</v>
      </c>
      <c r="M1131" s="6">
        <v>45672</v>
      </c>
      <c r="N1131" s="6" t="s">
        <v>811</v>
      </c>
      <c r="O1131" s="5" t="str">
        <f ca="1">IF(P1131&lt;&gt;"EXPEDIÇÃO","Expedido",IF(NETWORKDAYS(C1131,TODAY())&gt;=5,"Risco Alto",IF(NETWORKDAYS(C1131,TODAY())&gt;=3,IF(NETWORKDAYS(C1131,TODAY())&lt;5,"Risco Médio",""),IF(NETWORKDAYS(C1131,TODAY())&lt;=2,"Risco Baixo",""))))</f>
        <v>Expedido</v>
      </c>
      <c r="P1131" s="5" t="s">
        <v>25</v>
      </c>
      <c r="S1131" s="7">
        <f>IF(ISBLANK(M1131),"Aguardando Previsão/Data",NETWORKDAYS(L1131,M1131)-1)</f>
        <v>-3</v>
      </c>
      <c r="T1131" s="5" t="s">
        <v>942</v>
      </c>
    </row>
    <row r="1132" spans="1:20" x14ac:dyDescent="0.35">
      <c r="A1132" s="5">
        <v>8100273596</v>
      </c>
      <c r="B1132" s="5">
        <v>18987</v>
      </c>
      <c r="C1132" s="6">
        <v>45666</v>
      </c>
      <c r="D1132" s="5" t="s">
        <v>106</v>
      </c>
      <c r="E1132" s="5" t="s">
        <v>107</v>
      </c>
      <c r="F1132" s="5" t="s">
        <v>69</v>
      </c>
      <c r="G1132" s="5" t="s">
        <v>70</v>
      </c>
      <c r="H1132" s="5" t="s">
        <v>108</v>
      </c>
      <c r="I1132" s="5" t="s">
        <v>284</v>
      </c>
      <c r="J1132" s="5" t="s">
        <v>285</v>
      </c>
      <c r="K1132" s="5" t="s">
        <v>110</v>
      </c>
      <c r="L1132" s="6">
        <v>45673</v>
      </c>
      <c r="M1132" s="6">
        <v>45673</v>
      </c>
      <c r="N1132" s="6" t="s">
        <v>811</v>
      </c>
      <c r="O1132" s="5" t="str">
        <f ca="1">IF(P1132&lt;&gt;"EXPEDIÇÃO","Expedido",IF(NETWORKDAYS(C1132,TODAY())&gt;=5,"Risco Alto",IF(NETWORKDAYS(C1132,TODAY())&gt;=3,IF(NETWORKDAYS(C1132,TODAY())&lt;5,"Risco Médio",""),IF(NETWORKDAYS(C1132,TODAY())&lt;=2,"Risco Baixo",""))))</f>
        <v>Expedido</v>
      </c>
      <c r="P1132" s="5" t="s">
        <v>25</v>
      </c>
      <c r="S1132" s="7">
        <f>IF(ISBLANK(M1132),"Aguardando Previsão/Data",NETWORKDAYS(L1132,M1132)-1)</f>
        <v>0</v>
      </c>
      <c r="T1132" s="5" t="s">
        <v>942</v>
      </c>
    </row>
    <row r="1133" spans="1:20" x14ac:dyDescent="0.35">
      <c r="A1133" s="5">
        <v>8100273753</v>
      </c>
      <c r="B1133" s="5">
        <v>19017</v>
      </c>
      <c r="C1133" s="6">
        <v>45666</v>
      </c>
      <c r="D1133" s="5" t="s">
        <v>106</v>
      </c>
      <c r="E1133" s="5" t="s">
        <v>107</v>
      </c>
      <c r="F1133" s="5" t="s">
        <v>111</v>
      </c>
      <c r="G1133" s="5" t="s">
        <v>112</v>
      </c>
      <c r="H1133" s="5" t="s">
        <v>108</v>
      </c>
      <c r="I1133" s="5" t="s">
        <v>115</v>
      </c>
      <c r="J1133" s="5" t="s">
        <v>345</v>
      </c>
      <c r="K1133" s="5" t="s">
        <v>110</v>
      </c>
      <c r="L1133" s="6">
        <v>45674</v>
      </c>
      <c r="M1133" s="6">
        <v>45672</v>
      </c>
      <c r="N1133" s="6" t="s">
        <v>811</v>
      </c>
      <c r="O1133" s="5" t="str">
        <f ca="1">IF(P1133&lt;&gt;"EXPEDIÇÃO","Expedido",IF(NETWORKDAYS(C1133,TODAY())&gt;=5,"Risco Alto",IF(NETWORKDAYS(C1133,TODAY())&gt;=3,IF(NETWORKDAYS(C1133,TODAY())&lt;5,"Risco Médio",""),IF(NETWORKDAYS(C1133,TODAY())&lt;=2,"Risco Baixo",""))))</f>
        <v>Expedido</v>
      </c>
      <c r="P1133" s="5" t="s">
        <v>25</v>
      </c>
      <c r="S1133" s="7">
        <f>IF(ISBLANK(M1133),"Aguardando Previsão/Data",NETWORKDAYS(L1133,M1133)-1)</f>
        <v>-4</v>
      </c>
      <c r="T1133" s="5" t="s">
        <v>942</v>
      </c>
    </row>
    <row r="1134" spans="1:20" x14ac:dyDescent="0.35">
      <c r="A1134" s="5">
        <v>8100273793</v>
      </c>
      <c r="B1134" s="5">
        <v>19046</v>
      </c>
      <c r="C1134" s="6">
        <v>45666</v>
      </c>
      <c r="D1134" s="5" t="s">
        <v>106</v>
      </c>
      <c r="E1134" s="5" t="s">
        <v>107</v>
      </c>
      <c r="F1134" s="5" t="s">
        <v>111</v>
      </c>
      <c r="G1134" s="5" t="s">
        <v>112</v>
      </c>
      <c r="H1134" s="5" t="s">
        <v>108</v>
      </c>
      <c r="I1134" s="5" t="s">
        <v>115</v>
      </c>
      <c r="J1134" s="5" t="s">
        <v>345</v>
      </c>
      <c r="K1134" s="5" t="s">
        <v>110</v>
      </c>
      <c r="L1134" s="6">
        <v>45674</v>
      </c>
      <c r="M1134" s="6">
        <v>45672</v>
      </c>
      <c r="N1134" s="6" t="s">
        <v>811</v>
      </c>
      <c r="O1134" s="5" t="str">
        <f ca="1">IF(P1134&lt;&gt;"EXPEDIÇÃO","Expedido",IF(NETWORKDAYS(C1134,TODAY())&gt;=5,"Risco Alto",IF(NETWORKDAYS(C1134,TODAY())&gt;=3,IF(NETWORKDAYS(C1134,TODAY())&lt;5,"Risco Médio",""),IF(NETWORKDAYS(C1134,TODAY())&lt;=2,"Risco Baixo",""))))</f>
        <v>Expedido</v>
      </c>
      <c r="P1134" s="5" t="s">
        <v>25</v>
      </c>
      <c r="S1134" s="7">
        <f>IF(ISBLANK(M1134),"Aguardando Previsão/Data",NETWORKDAYS(L1134,M1134)-1)</f>
        <v>-4</v>
      </c>
      <c r="T1134" s="5" t="s">
        <v>942</v>
      </c>
    </row>
    <row r="1135" spans="1:20" x14ac:dyDescent="0.35">
      <c r="A1135" s="5">
        <v>8100273797</v>
      </c>
      <c r="B1135" s="5">
        <v>19048</v>
      </c>
      <c r="C1135" s="6">
        <v>45666</v>
      </c>
      <c r="D1135" s="5" t="s">
        <v>106</v>
      </c>
      <c r="E1135" s="5" t="s">
        <v>107</v>
      </c>
      <c r="F1135" s="5" t="s">
        <v>111</v>
      </c>
      <c r="G1135" s="5" t="s">
        <v>112</v>
      </c>
      <c r="H1135" s="5" t="s">
        <v>108</v>
      </c>
      <c r="I1135" s="5" t="s">
        <v>115</v>
      </c>
      <c r="J1135" s="5" t="s">
        <v>116</v>
      </c>
      <c r="K1135" s="5" t="s">
        <v>110</v>
      </c>
      <c r="L1135" s="6">
        <v>45673</v>
      </c>
      <c r="M1135" s="6">
        <v>45673</v>
      </c>
      <c r="N1135" s="6" t="s">
        <v>811</v>
      </c>
      <c r="O1135" s="5" t="str">
        <f ca="1">IF(P1135&lt;&gt;"EXPEDIÇÃO","Expedido",IF(NETWORKDAYS(C1135,TODAY())&gt;=5,"Risco Alto",IF(NETWORKDAYS(C1135,TODAY())&gt;=3,IF(NETWORKDAYS(C1135,TODAY())&lt;5,"Risco Médio",""),IF(NETWORKDAYS(C1135,TODAY())&lt;=2,"Risco Baixo",""))))</f>
        <v>Expedido</v>
      </c>
      <c r="P1135" s="5" t="s">
        <v>25</v>
      </c>
      <c r="S1135" s="7">
        <f>IF(ISBLANK(M1135),"Aguardando Previsão/Data",NETWORKDAYS(L1135,M1135)-1)</f>
        <v>0</v>
      </c>
      <c r="T1135" s="5" t="s">
        <v>942</v>
      </c>
    </row>
    <row r="1136" spans="1:20" x14ac:dyDescent="0.35">
      <c r="A1136" s="5">
        <v>8100273809</v>
      </c>
      <c r="B1136" s="5">
        <v>19047</v>
      </c>
      <c r="C1136" s="6">
        <v>45666</v>
      </c>
      <c r="D1136" s="5" t="s">
        <v>106</v>
      </c>
      <c r="E1136" s="5" t="s">
        <v>107</v>
      </c>
      <c r="F1136" s="5" t="s">
        <v>111</v>
      </c>
      <c r="G1136" s="5" t="s">
        <v>112</v>
      </c>
      <c r="H1136" s="5" t="s">
        <v>108</v>
      </c>
      <c r="I1136" s="5" t="s">
        <v>115</v>
      </c>
      <c r="J1136" s="5" t="s">
        <v>143</v>
      </c>
      <c r="K1136" s="5" t="s">
        <v>110</v>
      </c>
      <c r="L1136" s="6">
        <v>45673</v>
      </c>
      <c r="M1136" s="6">
        <v>45672</v>
      </c>
      <c r="N1136" s="6" t="s">
        <v>811</v>
      </c>
      <c r="O1136" s="5" t="str">
        <f ca="1">IF(P1136&lt;&gt;"EXPEDIÇÃO","Expedido",IF(NETWORKDAYS(C1136,TODAY())&gt;=5,"Risco Alto",IF(NETWORKDAYS(C1136,TODAY())&gt;=3,IF(NETWORKDAYS(C1136,TODAY())&lt;5,"Risco Médio",""),IF(NETWORKDAYS(C1136,TODAY())&lt;=2,"Risco Baixo",""))))</f>
        <v>Expedido</v>
      </c>
      <c r="P1136" s="5" t="s">
        <v>25</v>
      </c>
      <c r="Q1136" s="5" t="s">
        <v>897</v>
      </c>
      <c r="S1136" s="7">
        <f>IF(ISBLANK(M1136),"Aguardando Previsão/Data",NETWORKDAYS(L1136,M1136)-1)</f>
        <v>-3</v>
      </c>
      <c r="T1136" s="5" t="s">
        <v>942</v>
      </c>
    </row>
    <row r="1137" spans="1:20" x14ac:dyDescent="0.35">
      <c r="A1137" s="5">
        <v>8100273883</v>
      </c>
      <c r="B1137" s="5">
        <v>19024</v>
      </c>
      <c r="C1137" s="6">
        <v>45666</v>
      </c>
      <c r="D1137" s="5" t="s">
        <v>106</v>
      </c>
      <c r="E1137" s="5" t="s">
        <v>107</v>
      </c>
      <c r="F1137" s="5" t="s">
        <v>58</v>
      </c>
      <c r="G1137" s="5" t="s">
        <v>59</v>
      </c>
      <c r="H1137" s="5" t="s">
        <v>108</v>
      </c>
      <c r="I1137" s="5" t="s">
        <v>140</v>
      </c>
      <c r="J1137" s="5" t="s">
        <v>141</v>
      </c>
      <c r="K1137" s="5" t="s">
        <v>110</v>
      </c>
      <c r="L1137" s="6">
        <v>45670</v>
      </c>
      <c r="M1137" s="6">
        <v>45666</v>
      </c>
      <c r="N1137" s="6" t="s">
        <v>811</v>
      </c>
      <c r="O1137" s="5" t="str">
        <f ca="1">IF(P1137&lt;&gt;"EXPEDIÇÃO","Expedido",IF(NETWORKDAYS(C1137,TODAY())&gt;=5,"Risco Alto",IF(NETWORKDAYS(C1137,TODAY())&gt;=3,IF(NETWORKDAYS(C1137,TODAY())&lt;5,"Risco Médio",""),IF(NETWORKDAYS(C1137,TODAY())&lt;=2,"Risco Baixo",""))))</f>
        <v>Expedido</v>
      </c>
      <c r="P1137" s="5" t="s">
        <v>25</v>
      </c>
      <c r="Q1137" s="5" t="s">
        <v>900</v>
      </c>
      <c r="S1137" s="7">
        <f>IF(ISBLANK(M1137),"Aguardando Previsão/Data",NETWORKDAYS(L1137,M1137)-1)</f>
        <v>-4</v>
      </c>
      <c r="T1137" s="5" t="s">
        <v>942</v>
      </c>
    </row>
    <row r="1138" spans="1:20" x14ac:dyDescent="0.35">
      <c r="A1138" s="5">
        <v>8100273884</v>
      </c>
      <c r="B1138" s="5">
        <v>19019</v>
      </c>
      <c r="C1138" s="6">
        <v>45666</v>
      </c>
      <c r="D1138" s="5" t="s">
        <v>106</v>
      </c>
      <c r="E1138" s="5" t="s">
        <v>107</v>
      </c>
      <c r="F1138" s="5" t="s">
        <v>69</v>
      </c>
      <c r="G1138" s="5" t="s">
        <v>70</v>
      </c>
      <c r="H1138" s="5" t="s">
        <v>108</v>
      </c>
      <c r="I1138" s="5" t="s">
        <v>118</v>
      </c>
      <c r="J1138" s="5" t="s">
        <v>114</v>
      </c>
      <c r="K1138" s="5" t="s">
        <v>110</v>
      </c>
      <c r="L1138" s="6">
        <v>45674</v>
      </c>
      <c r="M1138" s="6">
        <v>45678</v>
      </c>
      <c r="N1138" s="6" t="s">
        <v>811</v>
      </c>
      <c r="O1138" s="5" t="str">
        <f ca="1">IF(P1138&lt;&gt;"EXPEDIÇÃO","Expedido",IF(NETWORKDAYS(C1138,TODAY())&gt;=5,"Risco Alto",IF(NETWORKDAYS(C1138,TODAY())&gt;=3,IF(NETWORKDAYS(C1138,TODAY())&lt;5,"Risco Médio",""),IF(NETWORKDAYS(C1138,TODAY())&lt;=2,"Risco Baixo",""))))</f>
        <v>Expedido</v>
      </c>
      <c r="P1138" s="5" t="s">
        <v>25</v>
      </c>
      <c r="Q1138" s="5" t="s">
        <v>897</v>
      </c>
      <c r="R1138" s="5" t="s">
        <v>1423</v>
      </c>
      <c r="S1138" s="7">
        <f>IF(ISBLANK(M1138),"Aguardando Previsão/Data",NETWORKDAYS(L1138,M1138)-1)</f>
        <v>2</v>
      </c>
      <c r="T1138" s="5" t="s">
        <v>942</v>
      </c>
    </row>
    <row r="1139" spans="1:20" x14ac:dyDescent="0.35">
      <c r="A1139" s="5">
        <v>8100273886</v>
      </c>
      <c r="B1139" s="5">
        <v>19012</v>
      </c>
      <c r="C1139" s="6">
        <v>45666</v>
      </c>
      <c r="D1139" s="5" t="s">
        <v>106</v>
      </c>
      <c r="E1139" s="5" t="s">
        <v>107</v>
      </c>
      <c r="F1139" s="5" t="s">
        <v>58</v>
      </c>
      <c r="G1139" s="5" t="s">
        <v>59</v>
      </c>
      <c r="H1139" s="5" t="s">
        <v>108</v>
      </c>
      <c r="I1139" s="5" t="s">
        <v>115</v>
      </c>
      <c r="J1139" s="5" t="s">
        <v>125</v>
      </c>
      <c r="K1139" s="5" t="s">
        <v>110</v>
      </c>
      <c r="L1139" s="6">
        <v>45672</v>
      </c>
      <c r="M1139" s="6">
        <v>45670</v>
      </c>
      <c r="N1139" s="6" t="s">
        <v>811</v>
      </c>
      <c r="O1139" s="5" t="str">
        <f ca="1">IF(P1139&lt;&gt;"EXPEDIÇÃO","Expedido",IF(NETWORKDAYS(C1139,TODAY())&gt;=5,"Risco Alto",IF(NETWORKDAYS(C1139,TODAY())&gt;=3,IF(NETWORKDAYS(C1139,TODAY())&lt;5,"Risco Médio",""),IF(NETWORKDAYS(C1139,TODAY())&lt;=2,"Risco Baixo",""))))</f>
        <v>Expedido</v>
      </c>
      <c r="P1139" s="5" t="s">
        <v>25</v>
      </c>
      <c r="S1139" s="7">
        <f>IF(ISBLANK(M1139),"Aguardando Previsão/Data",NETWORKDAYS(L1139,M1139)-1)</f>
        <v>-4</v>
      </c>
      <c r="T1139" s="5" t="s">
        <v>942</v>
      </c>
    </row>
    <row r="1140" spans="1:20" x14ac:dyDescent="0.35">
      <c r="A1140" s="5">
        <v>8100273887</v>
      </c>
      <c r="B1140" s="5">
        <v>19013</v>
      </c>
      <c r="C1140" s="6">
        <v>45666</v>
      </c>
      <c r="D1140" s="5" t="s">
        <v>106</v>
      </c>
      <c r="E1140" s="5" t="s">
        <v>107</v>
      </c>
      <c r="F1140" s="5" t="s">
        <v>58</v>
      </c>
      <c r="G1140" s="5" t="s">
        <v>59</v>
      </c>
      <c r="H1140" s="5" t="s">
        <v>108</v>
      </c>
      <c r="I1140" s="5" t="s">
        <v>115</v>
      </c>
      <c r="J1140" s="5" t="s">
        <v>125</v>
      </c>
      <c r="K1140" s="5" t="s">
        <v>110</v>
      </c>
      <c r="L1140" s="6">
        <v>45672</v>
      </c>
      <c r="M1140" s="6">
        <v>45670</v>
      </c>
      <c r="N1140" s="6" t="s">
        <v>811</v>
      </c>
      <c r="O1140" s="5" t="str">
        <f ca="1">IF(P1140&lt;&gt;"EXPEDIÇÃO","Expedido",IF(NETWORKDAYS(C1140,TODAY())&gt;=5,"Risco Alto",IF(NETWORKDAYS(C1140,TODAY())&gt;=3,IF(NETWORKDAYS(C1140,TODAY())&lt;5,"Risco Médio",""),IF(NETWORKDAYS(C1140,TODAY())&lt;=2,"Risco Baixo",""))))</f>
        <v>Expedido</v>
      </c>
      <c r="P1140" s="5" t="s">
        <v>25</v>
      </c>
      <c r="S1140" s="7">
        <f>IF(ISBLANK(M1140),"Aguardando Previsão/Data",NETWORKDAYS(L1140,M1140)-1)</f>
        <v>-4</v>
      </c>
      <c r="T1140" s="5" t="s">
        <v>942</v>
      </c>
    </row>
    <row r="1141" spans="1:20" x14ac:dyDescent="0.35">
      <c r="A1141" s="5">
        <v>8100273888</v>
      </c>
      <c r="B1141" s="5">
        <v>19016</v>
      </c>
      <c r="C1141" s="6">
        <v>45666</v>
      </c>
      <c r="D1141" s="5" t="s">
        <v>106</v>
      </c>
      <c r="E1141" s="5" t="s">
        <v>107</v>
      </c>
      <c r="F1141" s="5" t="s">
        <v>69</v>
      </c>
      <c r="G1141" s="5" t="s">
        <v>70</v>
      </c>
      <c r="H1141" s="5" t="s">
        <v>108</v>
      </c>
      <c r="I1141" s="5" t="s">
        <v>115</v>
      </c>
      <c r="J1141" s="5" t="s">
        <v>143</v>
      </c>
      <c r="K1141" s="5" t="s">
        <v>110</v>
      </c>
      <c r="L1141" s="6">
        <v>45673</v>
      </c>
      <c r="M1141" s="6">
        <v>45672</v>
      </c>
      <c r="N1141" s="6" t="s">
        <v>811</v>
      </c>
      <c r="O1141" s="5" t="str">
        <f ca="1">IF(P1141&lt;&gt;"EXPEDIÇÃO","Expedido",IF(NETWORKDAYS(C1141,TODAY())&gt;=5,"Risco Alto",IF(NETWORKDAYS(C1141,TODAY())&gt;=3,IF(NETWORKDAYS(C1141,TODAY())&lt;5,"Risco Médio",""),IF(NETWORKDAYS(C1141,TODAY())&lt;=2,"Risco Baixo",""))))</f>
        <v>Expedido</v>
      </c>
      <c r="P1141" s="5" t="s">
        <v>25</v>
      </c>
      <c r="Q1141" s="5" t="s">
        <v>897</v>
      </c>
      <c r="S1141" s="7">
        <f>IF(ISBLANK(M1141),"Aguardando Previsão/Data",NETWORKDAYS(L1141,M1141)-1)</f>
        <v>-3</v>
      </c>
      <c r="T1141" s="5" t="s">
        <v>942</v>
      </c>
    </row>
    <row r="1142" spans="1:20" x14ac:dyDescent="0.35">
      <c r="A1142" s="5">
        <v>8100273889</v>
      </c>
      <c r="B1142" s="5">
        <v>19014</v>
      </c>
      <c r="C1142" s="6">
        <v>45666</v>
      </c>
      <c r="D1142" s="5" t="s">
        <v>106</v>
      </c>
      <c r="E1142" s="5" t="s">
        <v>107</v>
      </c>
      <c r="F1142" s="5" t="s">
        <v>58</v>
      </c>
      <c r="G1142" s="5" t="s">
        <v>59</v>
      </c>
      <c r="H1142" s="5" t="s">
        <v>108</v>
      </c>
      <c r="I1142" s="5" t="s">
        <v>394</v>
      </c>
      <c r="J1142" s="5" t="s">
        <v>395</v>
      </c>
      <c r="K1142" s="5" t="s">
        <v>110</v>
      </c>
      <c r="L1142" s="6">
        <v>45673</v>
      </c>
      <c r="M1142" s="6">
        <v>45670</v>
      </c>
      <c r="N1142" s="6" t="s">
        <v>811</v>
      </c>
      <c r="O1142" s="5" t="str">
        <f ca="1">IF(P1142&lt;&gt;"EXPEDIÇÃO","Expedido",IF(NETWORKDAYS(C1142,TODAY())&gt;=5,"Risco Alto",IF(NETWORKDAYS(C1142,TODAY())&gt;=3,IF(NETWORKDAYS(C1142,TODAY())&lt;5,"Risco Médio",""),IF(NETWORKDAYS(C1142,TODAY())&lt;=2,"Risco Baixo",""))))</f>
        <v>Expedido</v>
      </c>
      <c r="P1142" s="5" t="s">
        <v>25</v>
      </c>
      <c r="S1142" s="7">
        <f>IF(ISBLANK(M1142),"Aguardando Previsão/Data",NETWORKDAYS(L1142,M1142)-1)</f>
        <v>-5</v>
      </c>
      <c r="T1142" s="5" t="s">
        <v>942</v>
      </c>
    </row>
    <row r="1143" spans="1:20" x14ac:dyDescent="0.35">
      <c r="A1143" s="5">
        <v>8100273890</v>
      </c>
      <c r="B1143" s="5">
        <v>19015</v>
      </c>
      <c r="C1143" s="6">
        <v>45666</v>
      </c>
      <c r="D1143" s="5" t="s">
        <v>106</v>
      </c>
      <c r="E1143" s="5" t="s">
        <v>107</v>
      </c>
      <c r="F1143" s="5" t="s">
        <v>58</v>
      </c>
      <c r="G1143" s="5" t="s">
        <v>59</v>
      </c>
      <c r="H1143" s="5" t="s">
        <v>108</v>
      </c>
      <c r="I1143" s="5" t="s">
        <v>394</v>
      </c>
      <c r="J1143" s="5" t="s">
        <v>395</v>
      </c>
      <c r="K1143" s="5" t="s">
        <v>110</v>
      </c>
      <c r="L1143" s="6">
        <v>45673</v>
      </c>
      <c r="M1143" s="6">
        <v>45670</v>
      </c>
      <c r="N1143" s="6" t="s">
        <v>811</v>
      </c>
      <c r="O1143" s="5" t="str">
        <f ca="1">IF(P1143&lt;&gt;"EXPEDIÇÃO","Expedido",IF(NETWORKDAYS(C1143,TODAY())&gt;=5,"Risco Alto",IF(NETWORKDAYS(C1143,TODAY())&gt;=3,IF(NETWORKDAYS(C1143,TODAY())&lt;5,"Risco Médio",""),IF(NETWORKDAYS(C1143,TODAY())&lt;=2,"Risco Baixo",""))))</f>
        <v>Expedido</v>
      </c>
      <c r="P1143" s="5" t="s">
        <v>25</v>
      </c>
      <c r="S1143" s="7">
        <f>IF(ISBLANK(M1143),"Aguardando Previsão/Data",NETWORKDAYS(L1143,M1143)-1)</f>
        <v>-5</v>
      </c>
      <c r="T1143" s="5" t="s">
        <v>942</v>
      </c>
    </row>
    <row r="1144" spans="1:20" x14ac:dyDescent="0.35">
      <c r="A1144" s="5">
        <v>8100273894</v>
      </c>
      <c r="B1144" s="5">
        <v>19025</v>
      </c>
      <c r="C1144" s="6">
        <v>45666</v>
      </c>
      <c r="D1144" s="5" t="s">
        <v>106</v>
      </c>
      <c r="E1144" s="5" t="s">
        <v>107</v>
      </c>
      <c r="F1144" s="5" t="s">
        <v>58</v>
      </c>
      <c r="G1144" s="5" t="s">
        <v>59</v>
      </c>
      <c r="H1144" s="5" t="s">
        <v>108</v>
      </c>
      <c r="I1144" s="5" t="s">
        <v>140</v>
      </c>
      <c r="J1144" s="5" t="s">
        <v>141</v>
      </c>
      <c r="K1144" s="5" t="s">
        <v>110</v>
      </c>
      <c r="L1144" s="6">
        <v>45670</v>
      </c>
      <c r="M1144" s="6">
        <v>45666</v>
      </c>
      <c r="N1144" s="6" t="s">
        <v>811</v>
      </c>
      <c r="O1144" s="5" t="str">
        <f ca="1">IF(P1144&lt;&gt;"EXPEDIÇÃO","Expedido",IF(NETWORKDAYS(C1144,TODAY())&gt;=5,"Risco Alto",IF(NETWORKDAYS(C1144,TODAY())&gt;=3,IF(NETWORKDAYS(C1144,TODAY())&lt;5,"Risco Médio",""),IF(NETWORKDAYS(C1144,TODAY())&lt;=2,"Risco Baixo",""))))</f>
        <v>Expedido</v>
      </c>
      <c r="P1144" s="5" t="s">
        <v>25</v>
      </c>
      <c r="Q1144" s="5" t="s">
        <v>900</v>
      </c>
      <c r="S1144" s="7">
        <f>IF(ISBLANK(M1144),"Aguardando Previsão/Data",NETWORKDAYS(L1144,M1144)-1)</f>
        <v>-4</v>
      </c>
      <c r="T1144" s="5" t="s">
        <v>942</v>
      </c>
    </row>
    <row r="1145" spans="1:20" x14ac:dyDescent="0.35">
      <c r="A1145" s="5">
        <v>8100273895</v>
      </c>
      <c r="B1145" s="5">
        <v>19026</v>
      </c>
      <c r="C1145" s="6">
        <v>45666</v>
      </c>
      <c r="D1145" s="5" t="s">
        <v>106</v>
      </c>
      <c r="E1145" s="5" t="s">
        <v>107</v>
      </c>
      <c r="F1145" s="5" t="s">
        <v>58</v>
      </c>
      <c r="G1145" s="5" t="s">
        <v>59</v>
      </c>
      <c r="H1145" s="5" t="s">
        <v>108</v>
      </c>
      <c r="I1145" s="5" t="s">
        <v>140</v>
      </c>
      <c r="J1145" s="5" t="s">
        <v>141</v>
      </c>
      <c r="K1145" s="5" t="s">
        <v>110</v>
      </c>
      <c r="L1145" s="6">
        <v>45670</v>
      </c>
      <c r="M1145" s="6">
        <v>45666</v>
      </c>
      <c r="N1145" s="6" t="s">
        <v>811</v>
      </c>
      <c r="O1145" s="5" t="str">
        <f ca="1">IF(P1145&lt;&gt;"EXPEDIÇÃO","Expedido",IF(NETWORKDAYS(C1145,TODAY())&gt;=5,"Risco Alto",IF(NETWORKDAYS(C1145,TODAY())&gt;=3,IF(NETWORKDAYS(C1145,TODAY())&lt;5,"Risco Médio",""),IF(NETWORKDAYS(C1145,TODAY())&lt;=2,"Risco Baixo",""))))</f>
        <v>Expedido</v>
      </c>
      <c r="P1145" s="5" t="s">
        <v>25</v>
      </c>
      <c r="Q1145" s="5" t="s">
        <v>900</v>
      </c>
      <c r="S1145" s="7">
        <f>IF(ISBLANK(M1145),"Aguardando Previsão/Data",NETWORKDAYS(L1145,M1145)-1)</f>
        <v>-4</v>
      </c>
      <c r="T1145" s="5" t="s">
        <v>942</v>
      </c>
    </row>
    <row r="1146" spans="1:20" x14ac:dyDescent="0.35">
      <c r="A1146" s="5">
        <v>8100273896</v>
      </c>
      <c r="B1146" s="5">
        <v>19027</v>
      </c>
      <c r="C1146" s="6">
        <v>45666</v>
      </c>
      <c r="D1146" s="5" t="s">
        <v>106</v>
      </c>
      <c r="E1146" s="5" t="s">
        <v>107</v>
      </c>
      <c r="F1146" s="5" t="s">
        <v>58</v>
      </c>
      <c r="G1146" s="5" t="s">
        <v>59</v>
      </c>
      <c r="H1146" s="5" t="s">
        <v>108</v>
      </c>
      <c r="I1146" s="5" t="s">
        <v>140</v>
      </c>
      <c r="J1146" s="5" t="s">
        <v>141</v>
      </c>
      <c r="K1146" s="5" t="s">
        <v>110</v>
      </c>
      <c r="L1146" s="6">
        <v>45670</v>
      </c>
      <c r="M1146" s="6">
        <v>45666</v>
      </c>
      <c r="N1146" s="6" t="s">
        <v>811</v>
      </c>
      <c r="O1146" s="5" t="str">
        <f ca="1">IF(P1146&lt;&gt;"EXPEDIÇÃO","Expedido",IF(NETWORKDAYS(C1146,TODAY())&gt;=5,"Risco Alto",IF(NETWORKDAYS(C1146,TODAY())&gt;=3,IF(NETWORKDAYS(C1146,TODAY())&lt;5,"Risco Médio",""),IF(NETWORKDAYS(C1146,TODAY())&lt;=2,"Risco Baixo",""))))</f>
        <v>Expedido</v>
      </c>
      <c r="P1146" s="5" t="s">
        <v>25</v>
      </c>
      <c r="Q1146" s="5" t="s">
        <v>900</v>
      </c>
      <c r="S1146" s="7">
        <f>IF(ISBLANK(M1146),"Aguardando Previsão/Data",NETWORKDAYS(L1146,M1146)-1)</f>
        <v>-4</v>
      </c>
      <c r="T1146" s="5" t="s">
        <v>942</v>
      </c>
    </row>
    <row r="1147" spans="1:20" x14ac:dyDescent="0.35">
      <c r="A1147" s="5">
        <v>8100274108</v>
      </c>
      <c r="B1147" s="5">
        <v>19036</v>
      </c>
      <c r="C1147" s="6">
        <v>45666</v>
      </c>
      <c r="D1147" s="5" t="s">
        <v>106</v>
      </c>
      <c r="E1147" s="5" t="s">
        <v>107</v>
      </c>
      <c r="F1147" s="5" t="s">
        <v>58</v>
      </c>
      <c r="G1147" s="5" t="s">
        <v>59</v>
      </c>
      <c r="H1147" s="5" t="s">
        <v>108</v>
      </c>
      <c r="I1147" s="5" t="s">
        <v>585</v>
      </c>
      <c r="J1147" s="5" t="s">
        <v>586</v>
      </c>
      <c r="K1147" s="5" t="s">
        <v>110</v>
      </c>
      <c r="L1147" s="6">
        <v>45673</v>
      </c>
      <c r="O1147" s="5" t="str">
        <f ca="1">IF(P1147&lt;&gt;"EXPEDIÇÃO","Expedido",IF(NETWORKDAYS(C1147,TODAY())&gt;=5,"Risco Alto",IF(NETWORKDAYS(C1147,TODAY())&gt;=3,IF(NETWORKDAYS(C1147,TODAY())&lt;5,"Risco Médio",""),IF(NETWORKDAYS(C1147,TODAY())&lt;=2,"Risco Baixo",""))))</f>
        <v>Expedido</v>
      </c>
      <c r="P1147" s="5" t="s">
        <v>145</v>
      </c>
      <c r="Q1147" s="5" t="s">
        <v>363</v>
      </c>
      <c r="R1147" s="5">
        <v>3079124</v>
      </c>
      <c r="S1147" s="7" t="str">
        <f>IF(ISBLANK(M1147),"Aguardando Previsão/Data",NETWORKDAYS(L1147,M1147)-1)</f>
        <v>Aguardando Previsão/Data</v>
      </c>
      <c r="T1147" s="5" t="s">
        <v>942</v>
      </c>
    </row>
    <row r="1148" spans="1:20" x14ac:dyDescent="0.35">
      <c r="A1148" s="5">
        <v>8100274109</v>
      </c>
      <c r="B1148" s="5">
        <v>19037</v>
      </c>
      <c r="C1148" s="6">
        <v>45666</v>
      </c>
      <c r="D1148" s="5" t="s">
        <v>106</v>
      </c>
      <c r="E1148" s="5" t="s">
        <v>107</v>
      </c>
      <c r="F1148" s="5" t="s">
        <v>58</v>
      </c>
      <c r="G1148" s="5" t="s">
        <v>59</v>
      </c>
      <c r="H1148" s="5" t="s">
        <v>108</v>
      </c>
      <c r="I1148" s="5" t="s">
        <v>585</v>
      </c>
      <c r="J1148" s="5" t="s">
        <v>586</v>
      </c>
      <c r="K1148" s="5" t="s">
        <v>110</v>
      </c>
      <c r="L1148" s="6">
        <v>45673</v>
      </c>
      <c r="O1148" s="5" t="str">
        <f ca="1">IF(P1148&lt;&gt;"EXPEDIÇÃO","Expedido",IF(NETWORKDAYS(C1148,TODAY())&gt;=5,"Risco Alto",IF(NETWORKDAYS(C1148,TODAY())&gt;=3,IF(NETWORKDAYS(C1148,TODAY())&lt;5,"Risco Médio",""),IF(NETWORKDAYS(C1148,TODAY())&lt;=2,"Risco Baixo",""))))</f>
        <v>Expedido</v>
      </c>
      <c r="P1148" s="5" t="s">
        <v>145</v>
      </c>
      <c r="Q1148" s="5" t="s">
        <v>363</v>
      </c>
      <c r="R1148" s="5">
        <v>3079124</v>
      </c>
      <c r="S1148" s="7" t="str">
        <f>IF(ISBLANK(M1148),"Aguardando Previsão/Data",NETWORKDAYS(L1148,M1148)-1)</f>
        <v>Aguardando Previsão/Data</v>
      </c>
      <c r="T1148" s="5" t="s">
        <v>942</v>
      </c>
    </row>
    <row r="1149" spans="1:20" x14ac:dyDescent="0.35">
      <c r="A1149" s="5">
        <v>8100274110</v>
      </c>
      <c r="B1149" s="5">
        <v>19039</v>
      </c>
      <c r="C1149" s="6">
        <v>45666</v>
      </c>
      <c r="D1149" s="5" t="s">
        <v>106</v>
      </c>
      <c r="E1149" s="5" t="s">
        <v>107</v>
      </c>
      <c r="F1149" s="5" t="s">
        <v>53</v>
      </c>
      <c r="G1149" s="5" t="s">
        <v>54</v>
      </c>
      <c r="H1149" s="5" t="s">
        <v>108</v>
      </c>
      <c r="I1149" s="5" t="s">
        <v>128</v>
      </c>
      <c r="J1149" s="5" t="s">
        <v>1057</v>
      </c>
      <c r="K1149" s="5" t="s">
        <v>110</v>
      </c>
      <c r="L1149" s="6">
        <v>45674</v>
      </c>
      <c r="M1149" s="6">
        <v>45671</v>
      </c>
      <c r="N1149" s="6" t="s">
        <v>811</v>
      </c>
      <c r="O1149" s="5" t="str">
        <f ca="1">IF(P1149&lt;&gt;"EXPEDIÇÃO","Expedido",IF(NETWORKDAYS(C1149,TODAY())&gt;=5,"Risco Alto",IF(NETWORKDAYS(C1149,TODAY())&gt;=3,IF(NETWORKDAYS(C1149,TODAY())&lt;5,"Risco Médio",""),IF(NETWORKDAYS(C1149,TODAY())&lt;=2,"Risco Baixo",""))))</f>
        <v>Expedido</v>
      </c>
      <c r="P1149" s="5" t="s">
        <v>25</v>
      </c>
      <c r="Q1149" s="5" t="s">
        <v>897</v>
      </c>
      <c r="S1149" s="7">
        <f>IF(ISBLANK(M1149),"Aguardando Previsão/Data",NETWORKDAYS(L1149,M1149)-1)</f>
        <v>-5</v>
      </c>
      <c r="T1149" s="5" t="s">
        <v>942</v>
      </c>
    </row>
    <row r="1150" spans="1:20" x14ac:dyDescent="0.35">
      <c r="A1150" s="5">
        <v>8100274111</v>
      </c>
      <c r="B1150" s="5">
        <v>19035</v>
      </c>
      <c r="C1150" s="6">
        <v>45666</v>
      </c>
      <c r="D1150" s="5" t="s">
        <v>106</v>
      </c>
      <c r="E1150" s="5" t="s">
        <v>107</v>
      </c>
      <c r="F1150" s="5" t="s">
        <v>69</v>
      </c>
      <c r="G1150" s="5" t="s">
        <v>70</v>
      </c>
      <c r="H1150" s="5" t="s">
        <v>108</v>
      </c>
      <c r="I1150" s="5" t="s">
        <v>129</v>
      </c>
      <c r="J1150" s="5" t="s">
        <v>124</v>
      </c>
      <c r="K1150" s="5" t="s">
        <v>110</v>
      </c>
      <c r="L1150" s="6">
        <v>45674</v>
      </c>
      <c r="M1150" s="6">
        <v>45672</v>
      </c>
      <c r="N1150" s="6" t="s">
        <v>811</v>
      </c>
      <c r="O1150" s="5" t="str">
        <f ca="1">IF(P1150&lt;&gt;"EXPEDIÇÃO","Expedido",IF(NETWORKDAYS(C1150,TODAY())&gt;=5,"Risco Alto",IF(NETWORKDAYS(C1150,TODAY())&gt;=3,IF(NETWORKDAYS(C1150,TODAY())&lt;5,"Risco Médio",""),IF(NETWORKDAYS(C1150,TODAY())&lt;=2,"Risco Baixo",""))))</f>
        <v>Expedido</v>
      </c>
      <c r="P1150" s="5" t="s">
        <v>25</v>
      </c>
      <c r="Q1150" s="5" t="s">
        <v>897</v>
      </c>
      <c r="S1150" s="7">
        <f>IF(ISBLANK(M1150),"Aguardando Previsão/Data",NETWORKDAYS(L1150,M1150)-1)</f>
        <v>-4</v>
      </c>
      <c r="T1150" s="5" t="s">
        <v>942</v>
      </c>
    </row>
    <row r="1151" spans="1:20" x14ac:dyDescent="0.35">
      <c r="A1151" s="5">
        <v>8100274112</v>
      </c>
      <c r="B1151" s="5">
        <v>19038</v>
      </c>
      <c r="C1151" s="6">
        <v>45666</v>
      </c>
      <c r="D1151" s="5" t="s">
        <v>106</v>
      </c>
      <c r="E1151" s="5" t="s">
        <v>107</v>
      </c>
      <c r="F1151" s="5" t="s">
        <v>69</v>
      </c>
      <c r="G1151" s="5" t="s">
        <v>70</v>
      </c>
      <c r="H1151" s="5" t="s">
        <v>108</v>
      </c>
      <c r="I1151" s="5" t="s">
        <v>118</v>
      </c>
      <c r="J1151" s="5" t="s">
        <v>114</v>
      </c>
      <c r="K1151" s="5" t="s">
        <v>110</v>
      </c>
      <c r="L1151" s="6">
        <v>45674</v>
      </c>
      <c r="M1151" s="6">
        <v>45678</v>
      </c>
      <c r="N1151" s="6" t="s">
        <v>811</v>
      </c>
      <c r="O1151" s="5" t="str">
        <f ca="1">IF(P1151&lt;&gt;"EXPEDIÇÃO","Expedido",IF(NETWORKDAYS(C1151,TODAY())&gt;=5,"Risco Alto",IF(NETWORKDAYS(C1151,TODAY())&gt;=3,IF(NETWORKDAYS(C1151,TODAY())&lt;5,"Risco Médio",""),IF(NETWORKDAYS(C1151,TODAY())&lt;=2,"Risco Baixo",""))))</f>
        <v>Expedido</v>
      </c>
      <c r="P1151" s="5" t="s">
        <v>25</v>
      </c>
      <c r="Q1151" s="5" t="s">
        <v>897</v>
      </c>
      <c r="R1151" s="5" t="s">
        <v>1423</v>
      </c>
      <c r="S1151" s="7">
        <f>IF(ISBLANK(M1151),"Aguardando Previsão/Data",NETWORKDAYS(L1151,M1151)-1)</f>
        <v>2</v>
      </c>
      <c r="T1151" s="5" t="s">
        <v>942</v>
      </c>
    </row>
    <row r="1152" spans="1:20" x14ac:dyDescent="0.35">
      <c r="A1152" s="5">
        <v>8100274114</v>
      </c>
      <c r="B1152" s="5">
        <v>19041</v>
      </c>
      <c r="C1152" s="6">
        <v>45666</v>
      </c>
      <c r="D1152" s="5" t="s">
        <v>106</v>
      </c>
      <c r="E1152" s="5" t="s">
        <v>107</v>
      </c>
      <c r="F1152" s="5" t="s">
        <v>69</v>
      </c>
      <c r="G1152" s="5" t="s">
        <v>70</v>
      </c>
      <c r="H1152" s="5" t="s">
        <v>108</v>
      </c>
      <c r="I1152" s="5" t="s">
        <v>278</v>
      </c>
      <c r="J1152" s="5" t="s">
        <v>279</v>
      </c>
      <c r="K1152" s="5" t="s">
        <v>110</v>
      </c>
      <c r="L1152" s="6">
        <v>45673</v>
      </c>
      <c r="M1152" s="6">
        <v>45672</v>
      </c>
      <c r="N1152" s="6" t="s">
        <v>811</v>
      </c>
      <c r="O1152" s="5" t="str">
        <f ca="1">IF(P1152&lt;&gt;"EXPEDIÇÃO","Expedido",IF(NETWORKDAYS(C1152,TODAY())&gt;=5,"Risco Alto",IF(NETWORKDAYS(C1152,TODAY())&gt;=3,IF(NETWORKDAYS(C1152,TODAY())&lt;5,"Risco Médio",""),IF(NETWORKDAYS(C1152,TODAY())&lt;=2,"Risco Baixo",""))))</f>
        <v>Expedido</v>
      </c>
      <c r="P1152" s="5" t="s">
        <v>25</v>
      </c>
      <c r="Q1152" s="5" t="s">
        <v>897</v>
      </c>
      <c r="S1152" s="7">
        <f>IF(ISBLANK(M1152),"Aguardando Previsão/Data",NETWORKDAYS(L1152,M1152)-1)</f>
        <v>-3</v>
      </c>
      <c r="T1152" s="5" t="s">
        <v>942</v>
      </c>
    </row>
    <row r="1153" spans="1:20" x14ac:dyDescent="0.35">
      <c r="A1153" s="5">
        <v>8100274115</v>
      </c>
      <c r="B1153" s="5">
        <v>19042</v>
      </c>
      <c r="C1153" s="6">
        <v>45666</v>
      </c>
      <c r="D1153" s="5" t="s">
        <v>106</v>
      </c>
      <c r="E1153" s="5" t="s">
        <v>107</v>
      </c>
      <c r="F1153" s="5" t="s">
        <v>69</v>
      </c>
      <c r="G1153" s="5" t="s">
        <v>70</v>
      </c>
      <c r="H1153" s="5" t="s">
        <v>108</v>
      </c>
      <c r="I1153" s="5" t="s">
        <v>278</v>
      </c>
      <c r="J1153" s="5" t="s">
        <v>279</v>
      </c>
      <c r="K1153" s="5" t="s">
        <v>110</v>
      </c>
      <c r="L1153" s="6">
        <v>45673</v>
      </c>
      <c r="M1153" s="6">
        <v>45672</v>
      </c>
      <c r="N1153" s="6" t="s">
        <v>811</v>
      </c>
      <c r="O1153" s="5" t="str">
        <f ca="1">IF(P1153&lt;&gt;"EXPEDIÇÃO","Expedido",IF(NETWORKDAYS(C1153,TODAY())&gt;=5,"Risco Alto",IF(NETWORKDAYS(C1153,TODAY())&gt;=3,IF(NETWORKDAYS(C1153,TODAY())&lt;5,"Risco Médio",""),IF(NETWORKDAYS(C1153,TODAY())&lt;=2,"Risco Baixo",""))))</f>
        <v>Expedido</v>
      </c>
      <c r="P1153" s="5" t="s">
        <v>25</v>
      </c>
      <c r="Q1153" s="5" t="s">
        <v>897</v>
      </c>
      <c r="S1153" s="7">
        <f>IF(ISBLANK(M1153),"Aguardando Previsão/Data",NETWORKDAYS(L1153,M1153)-1)</f>
        <v>-3</v>
      </c>
      <c r="T1153" s="5" t="s">
        <v>942</v>
      </c>
    </row>
    <row r="1154" spans="1:20" x14ac:dyDescent="0.35">
      <c r="A1154" s="5">
        <v>8100274116</v>
      </c>
      <c r="B1154" s="5">
        <v>19043</v>
      </c>
      <c r="C1154" s="6">
        <v>45666</v>
      </c>
      <c r="D1154" s="5" t="s">
        <v>106</v>
      </c>
      <c r="E1154" s="5" t="s">
        <v>107</v>
      </c>
      <c r="F1154" s="5" t="s">
        <v>69</v>
      </c>
      <c r="G1154" s="5" t="s">
        <v>70</v>
      </c>
      <c r="H1154" s="5" t="s">
        <v>108</v>
      </c>
      <c r="I1154" s="5" t="s">
        <v>278</v>
      </c>
      <c r="J1154" s="5" t="s">
        <v>279</v>
      </c>
      <c r="K1154" s="5" t="s">
        <v>110</v>
      </c>
      <c r="L1154" s="6">
        <v>45673</v>
      </c>
      <c r="M1154" s="6">
        <v>45672</v>
      </c>
      <c r="N1154" s="6" t="s">
        <v>811</v>
      </c>
      <c r="O1154" s="5" t="str">
        <f ca="1">IF(P1154&lt;&gt;"EXPEDIÇÃO","Expedido",IF(NETWORKDAYS(C1154,TODAY())&gt;=5,"Risco Alto",IF(NETWORKDAYS(C1154,TODAY())&gt;=3,IF(NETWORKDAYS(C1154,TODAY())&lt;5,"Risco Médio",""),IF(NETWORKDAYS(C1154,TODAY())&lt;=2,"Risco Baixo",""))))</f>
        <v>Expedido</v>
      </c>
      <c r="P1154" s="5" t="s">
        <v>25</v>
      </c>
      <c r="Q1154" s="5" t="s">
        <v>897</v>
      </c>
      <c r="S1154" s="7">
        <f>IF(ISBLANK(M1154),"Aguardando Previsão/Data",NETWORKDAYS(L1154,M1154)-1)</f>
        <v>-3</v>
      </c>
      <c r="T1154" s="5" t="s">
        <v>942</v>
      </c>
    </row>
    <row r="1155" spans="1:20" x14ac:dyDescent="0.35">
      <c r="A1155" s="5">
        <v>8100274117</v>
      </c>
      <c r="B1155" s="5">
        <v>19040</v>
      </c>
      <c r="C1155" s="6">
        <v>45666</v>
      </c>
      <c r="D1155" s="5" t="s">
        <v>106</v>
      </c>
      <c r="E1155" s="5" t="s">
        <v>107</v>
      </c>
      <c r="F1155" s="5" t="s">
        <v>147</v>
      </c>
      <c r="G1155" s="5" t="s">
        <v>148</v>
      </c>
      <c r="H1155" s="5" t="s">
        <v>108</v>
      </c>
      <c r="I1155" s="5" t="s">
        <v>82</v>
      </c>
      <c r="J1155" s="5" t="s">
        <v>1149</v>
      </c>
      <c r="K1155" s="5" t="s">
        <v>110</v>
      </c>
      <c r="L1155" s="6">
        <v>45674</v>
      </c>
      <c r="M1155" s="6">
        <v>45674</v>
      </c>
      <c r="N1155" s="6" t="s">
        <v>811</v>
      </c>
      <c r="O1155" s="5" t="str">
        <f ca="1">IF(P1155&lt;&gt;"EXPEDIÇÃO","Expedido",IF(NETWORKDAYS(C1155,TODAY())&gt;=5,"Risco Alto",IF(NETWORKDAYS(C1155,TODAY())&gt;=3,IF(NETWORKDAYS(C1155,TODAY())&lt;5,"Risco Médio",""),IF(NETWORKDAYS(C1155,TODAY())&lt;=2,"Risco Baixo",""))))</f>
        <v>Expedido</v>
      </c>
      <c r="P1155" s="5" t="s">
        <v>25</v>
      </c>
      <c r="S1155" s="7">
        <f>IF(ISBLANK(M1155),"Aguardando Previsão/Data",NETWORKDAYS(L1155,M1155)-1)</f>
        <v>0</v>
      </c>
      <c r="T1155" s="5" t="s">
        <v>942</v>
      </c>
    </row>
    <row r="1156" spans="1:20" x14ac:dyDescent="0.35">
      <c r="A1156" s="5">
        <v>8100274118</v>
      </c>
      <c r="B1156" s="5">
        <v>19044</v>
      </c>
      <c r="C1156" s="6">
        <v>45666</v>
      </c>
      <c r="D1156" s="5" t="s">
        <v>106</v>
      </c>
      <c r="E1156" s="5" t="s">
        <v>107</v>
      </c>
      <c r="F1156" s="5" t="s">
        <v>53</v>
      </c>
      <c r="G1156" s="5" t="s">
        <v>54</v>
      </c>
      <c r="H1156" s="5" t="s">
        <v>108</v>
      </c>
      <c r="I1156" s="5" t="s">
        <v>123</v>
      </c>
      <c r="J1156" s="5" t="s">
        <v>124</v>
      </c>
      <c r="K1156" s="5" t="s">
        <v>110</v>
      </c>
      <c r="L1156" s="6">
        <v>45674</v>
      </c>
      <c r="M1156" s="6">
        <v>45671</v>
      </c>
      <c r="N1156" s="6" t="s">
        <v>811</v>
      </c>
      <c r="O1156" s="5" t="str">
        <f ca="1">IF(P1156&lt;&gt;"EXPEDIÇÃO","Expedido",IF(NETWORKDAYS(C1156,TODAY())&gt;=5,"Risco Alto",IF(NETWORKDAYS(C1156,TODAY())&gt;=3,IF(NETWORKDAYS(C1156,TODAY())&lt;5,"Risco Médio",""),IF(NETWORKDAYS(C1156,TODAY())&lt;=2,"Risco Baixo",""))))</f>
        <v>Expedido</v>
      </c>
      <c r="P1156" s="5" t="s">
        <v>25</v>
      </c>
      <c r="S1156" s="7">
        <f>IF(ISBLANK(M1156),"Aguardando Previsão/Data",NETWORKDAYS(L1156,M1156)-1)</f>
        <v>-5</v>
      </c>
      <c r="T1156" s="5" t="s">
        <v>942</v>
      </c>
    </row>
    <row r="1157" spans="1:20" x14ac:dyDescent="0.35">
      <c r="A1157" s="5">
        <v>8100274119</v>
      </c>
      <c r="B1157" s="5">
        <v>19045</v>
      </c>
      <c r="C1157" s="6">
        <v>45666</v>
      </c>
      <c r="D1157" s="5" t="s">
        <v>106</v>
      </c>
      <c r="E1157" s="5" t="s">
        <v>107</v>
      </c>
      <c r="F1157" s="5" t="s">
        <v>53</v>
      </c>
      <c r="G1157" s="5" t="s">
        <v>54</v>
      </c>
      <c r="H1157" s="5" t="s">
        <v>108</v>
      </c>
      <c r="I1157" s="5" t="s">
        <v>123</v>
      </c>
      <c r="J1157" s="5" t="s">
        <v>124</v>
      </c>
      <c r="K1157" s="5" t="s">
        <v>110</v>
      </c>
      <c r="L1157" s="6">
        <v>45674</v>
      </c>
      <c r="M1157" s="6">
        <v>45671</v>
      </c>
      <c r="N1157" s="6" t="s">
        <v>811</v>
      </c>
      <c r="O1157" s="5" t="str">
        <f ca="1">IF(P1157&lt;&gt;"EXPEDIÇÃO","Expedido",IF(NETWORKDAYS(C1157,TODAY())&gt;=5,"Risco Alto",IF(NETWORKDAYS(C1157,TODAY())&gt;=3,IF(NETWORKDAYS(C1157,TODAY())&lt;5,"Risco Médio",""),IF(NETWORKDAYS(C1157,TODAY())&lt;=2,"Risco Baixo",""))))</f>
        <v>Expedido</v>
      </c>
      <c r="P1157" s="5" t="s">
        <v>25</v>
      </c>
      <c r="S1157" s="7">
        <f>IF(ISBLANK(M1157),"Aguardando Previsão/Data",NETWORKDAYS(L1157,M1157)-1)</f>
        <v>-5</v>
      </c>
      <c r="T1157" s="5" t="s">
        <v>942</v>
      </c>
    </row>
    <row r="1158" spans="1:20" x14ac:dyDescent="0.35">
      <c r="A1158" s="5">
        <v>8100273514</v>
      </c>
      <c r="B1158" s="5">
        <v>7098</v>
      </c>
      <c r="C1158" s="6">
        <v>45666</v>
      </c>
      <c r="D1158" s="5" t="s">
        <v>194</v>
      </c>
      <c r="E1158" s="5" t="s">
        <v>195</v>
      </c>
      <c r="F1158" s="5" t="s">
        <v>196</v>
      </c>
      <c r="G1158" s="5" t="s">
        <v>197</v>
      </c>
      <c r="H1158" s="5" t="s">
        <v>108</v>
      </c>
      <c r="I1158" s="5" t="s">
        <v>1053</v>
      </c>
      <c r="J1158" s="5" t="s">
        <v>699</v>
      </c>
      <c r="K1158" s="5" t="s">
        <v>198</v>
      </c>
      <c r="L1158" s="6">
        <v>45677</v>
      </c>
      <c r="M1158" s="6">
        <v>45680</v>
      </c>
      <c r="N1158" s="6" t="s">
        <v>812</v>
      </c>
      <c r="O1158" s="5" t="str">
        <f ca="1">IF(P1158&lt;&gt;"EXPEDIÇÃO","Expedido",IF(NETWORKDAYS(C1158,TODAY())&gt;=5,"Risco Alto",IF(NETWORKDAYS(C1158,TODAY())&gt;=3,IF(NETWORKDAYS(C1158,TODAY())&lt;5,"Risco Médio",""),IF(NETWORKDAYS(C1158,TODAY())&lt;=2,"Risco Baixo",""))))</f>
        <v>Expedido</v>
      </c>
      <c r="P1158" s="5" t="s">
        <v>25</v>
      </c>
      <c r="Q1158" s="5" t="s">
        <v>899</v>
      </c>
      <c r="S1158" s="7">
        <f>IF(ISBLANK(M1158),"Aguardando Previsão/Data",NETWORKDAYS(L1158,M1158)-1)</f>
        <v>3</v>
      </c>
      <c r="T1158" s="5" t="s">
        <v>942</v>
      </c>
    </row>
    <row r="1159" spans="1:20" x14ac:dyDescent="0.35">
      <c r="A1159" s="5">
        <v>8100270008</v>
      </c>
      <c r="B1159" s="5">
        <v>7089</v>
      </c>
      <c r="C1159" s="6">
        <v>45666</v>
      </c>
      <c r="D1159" s="5" t="s">
        <v>194</v>
      </c>
      <c r="E1159" s="5" t="s">
        <v>195</v>
      </c>
      <c r="F1159" s="5" t="s">
        <v>406</v>
      </c>
      <c r="G1159" s="5" t="s">
        <v>407</v>
      </c>
      <c r="H1159" s="5" t="s">
        <v>108</v>
      </c>
      <c r="I1159" s="5" t="s">
        <v>1248</v>
      </c>
      <c r="J1159" s="5" t="s">
        <v>588</v>
      </c>
      <c r="K1159" s="5" t="s">
        <v>198</v>
      </c>
      <c r="L1159" s="6">
        <v>45673</v>
      </c>
      <c r="M1159" s="6">
        <v>45672</v>
      </c>
      <c r="N1159" s="6" t="s">
        <v>811</v>
      </c>
      <c r="O1159" s="5" t="str">
        <f ca="1">IF(P1159&lt;&gt;"EXPEDIÇÃO","Expedido",IF(NETWORKDAYS(C1159,TODAY())&gt;=5,"Risco Alto",IF(NETWORKDAYS(C1159,TODAY())&gt;=3,IF(NETWORKDAYS(C1159,TODAY())&lt;5,"Risco Médio",""),IF(NETWORKDAYS(C1159,TODAY())&lt;=2,"Risco Baixo",""))))</f>
        <v>Expedido</v>
      </c>
      <c r="P1159" s="5" t="s">
        <v>25</v>
      </c>
      <c r="Q1159" s="5" t="s">
        <v>899</v>
      </c>
      <c r="S1159" s="7">
        <f>IF(ISBLANK(M1159),"Aguardando Previsão/Data",NETWORKDAYS(L1159,M1159)-1)</f>
        <v>-3</v>
      </c>
      <c r="T1159" s="5" t="s">
        <v>942</v>
      </c>
    </row>
    <row r="1160" spans="1:20" x14ac:dyDescent="0.35">
      <c r="A1160" s="5">
        <v>8100271397</v>
      </c>
      <c r="B1160" s="5">
        <v>7097</v>
      </c>
      <c r="C1160" s="6">
        <v>45666</v>
      </c>
      <c r="D1160" s="5" t="s">
        <v>194</v>
      </c>
      <c r="E1160" s="5" t="s">
        <v>195</v>
      </c>
      <c r="F1160" s="5" t="s">
        <v>199</v>
      </c>
      <c r="G1160" s="5" t="s">
        <v>200</v>
      </c>
      <c r="H1160" s="5" t="s">
        <v>108</v>
      </c>
      <c r="I1160" s="5" t="s">
        <v>1173</v>
      </c>
      <c r="J1160" s="5" t="s">
        <v>205</v>
      </c>
      <c r="K1160" s="5" t="s">
        <v>198</v>
      </c>
      <c r="L1160" s="6">
        <v>45674</v>
      </c>
      <c r="M1160" s="6">
        <v>45675</v>
      </c>
      <c r="N1160" s="6" t="s">
        <v>811</v>
      </c>
      <c r="O1160" s="5" t="str">
        <f ca="1">IF(P1160&lt;&gt;"EXPEDIÇÃO","Expedido",IF(NETWORKDAYS(C1160,TODAY())&gt;=5,"Risco Alto",IF(NETWORKDAYS(C1160,TODAY())&gt;=3,IF(NETWORKDAYS(C1160,TODAY())&lt;5,"Risco Médio",""),IF(NETWORKDAYS(C1160,TODAY())&lt;=2,"Risco Baixo",""))))</f>
        <v>Expedido</v>
      </c>
      <c r="P1160" s="5" t="s">
        <v>25</v>
      </c>
      <c r="Q1160" s="5" t="s">
        <v>899</v>
      </c>
      <c r="S1160" s="7">
        <f>IF(ISBLANK(M1160),"Aguardando Previsão/Data",NETWORKDAYS(L1160,M1160)-1)</f>
        <v>0</v>
      </c>
      <c r="T1160" s="5" t="s">
        <v>942</v>
      </c>
    </row>
    <row r="1161" spans="1:20" x14ac:dyDescent="0.35">
      <c r="A1161" s="5">
        <v>8100271690</v>
      </c>
      <c r="B1161" s="5">
        <v>7085</v>
      </c>
      <c r="C1161" s="6">
        <v>45666</v>
      </c>
      <c r="D1161" s="5" t="s">
        <v>194</v>
      </c>
      <c r="E1161" s="5" t="s">
        <v>195</v>
      </c>
      <c r="F1161" s="5" t="s">
        <v>199</v>
      </c>
      <c r="G1161" s="5" t="s">
        <v>200</v>
      </c>
      <c r="H1161" s="5" t="s">
        <v>108</v>
      </c>
      <c r="I1161" s="5" t="s">
        <v>816</v>
      </c>
      <c r="J1161" s="5" t="s">
        <v>543</v>
      </c>
      <c r="K1161" s="5" t="s">
        <v>198</v>
      </c>
      <c r="L1161" s="6">
        <v>45674</v>
      </c>
      <c r="M1161" s="6">
        <v>45679</v>
      </c>
      <c r="N1161" s="6" t="s">
        <v>812</v>
      </c>
      <c r="O1161" s="5" t="str">
        <f ca="1">IF(P1161&lt;&gt;"EXPEDIÇÃO","Expedido",IF(NETWORKDAYS(C1161,TODAY())&gt;=5,"Risco Alto",IF(NETWORKDAYS(C1161,TODAY())&gt;=3,IF(NETWORKDAYS(C1161,TODAY())&lt;5,"Risco Médio",""),IF(NETWORKDAYS(C1161,TODAY())&lt;=2,"Risco Baixo",""))))</f>
        <v>Expedido</v>
      </c>
      <c r="P1161" s="5" t="s">
        <v>25</v>
      </c>
      <c r="Q1161" s="5" t="s">
        <v>899</v>
      </c>
      <c r="S1161" s="7">
        <f>IF(ISBLANK(M1161),"Aguardando Previsão/Data",NETWORKDAYS(L1161,M1161)-1)</f>
        <v>3</v>
      </c>
      <c r="T1161" s="5" t="s">
        <v>942</v>
      </c>
    </row>
    <row r="1162" spans="1:20" x14ac:dyDescent="0.35">
      <c r="A1162" s="5">
        <v>8100271710</v>
      </c>
      <c r="B1162" s="5">
        <v>7086</v>
      </c>
      <c r="C1162" s="6">
        <v>45666</v>
      </c>
      <c r="D1162" s="5" t="s">
        <v>194</v>
      </c>
      <c r="E1162" s="5" t="s">
        <v>195</v>
      </c>
      <c r="F1162" s="5" t="s">
        <v>199</v>
      </c>
      <c r="G1162" s="5" t="s">
        <v>200</v>
      </c>
      <c r="H1162" s="5" t="s">
        <v>108</v>
      </c>
      <c r="I1162" s="5" t="s">
        <v>1173</v>
      </c>
      <c r="J1162" s="5" t="s">
        <v>205</v>
      </c>
      <c r="K1162" s="5" t="s">
        <v>198</v>
      </c>
      <c r="L1162" s="6">
        <v>45674</v>
      </c>
      <c r="M1162" s="6">
        <v>45675</v>
      </c>
      <c r="N1162" s="6" t="s">
        <v>811</v>
      </c>
      <c r="O1162" s="5" t="str">
        <f ca="1">IF(P1162&lt;&gt;"EXPEDIÇÃO","Expedido",IF(NETWORKDAYS(C1162,TODAY())&gt;=5,"Risco Alto",IF(NETWORKDAYS(C1162,TODAY())&gt;=3,IF(NETWORKDAYS(C1162,TODAY())&lt;5,"Risco Médio",""),IF(NETWORKDAYS(C1162,TODAY())&lt;=2,"Risco Baixo",""))))</f>
        <v>Expedido</v>
      </c>
      <c r="P1162" s="5" t="s">
        <v>25</v>
      </c>
      <c r="Q1162" s="5" t="s">
        <v>899</v>
      </c>
      <c r="S1162" s="7">
        <f>IF(ISBLANK(M1162),"Aguardando Previsão/Data",NETWORKDAYS(L1162,M1162)-1)</f>
        <v>0</v>
      </c>
      <c r="T1162" s="5" t="s">
        <v>942</v>
      </c>
    </row>
    <row r="1163" spans="1:20" x14ac:dyDescent="0.35">
      <c r="A1163" s="5">
        <v>8100272832</v>
      </c>
      <c r="B1163" s="5">
        <v>7088</v>
      </c>
      <c r="C1163" s="6">
        <v>45666</v>
      </c>
      <c r="D1163" s="5" t="s">
        <v>194</v>
      </c>
      <c r="E1163" s="5" t="s">
        <v>195</v>
      </c>
      <c r="F1163" s="5" t="s">
        <v>199</v>
      </c>
      <c r="G1163" s="5" t="s">
        <v>200</v>
      </c>
      <c r="H1163" s="5" t="s">
        <v>108</v>
      </c>
      <c r="I1163" s="5" t="s">
        <v>1251</v>
      </c>
      <c r="J1163" s="5" t="s">
        <v>516</v>
      </c>
      <c r="K1163" s="5" t="s">
        <v>198</v>
      </c>
      <c r="L1163" s="6">
        <v>45673</v>
      </c>
      <c r="M1163" s="6">
        <v>45674</v>
      </c>
      <c r="N1163" s="6" t="s">
        <v>812</v>
      </c>
      <c r="O1163" s="5" t="str">
        <f ca="1">IF(P1163&lt;&gt;"EXPEDIÇÃO","Expedido",IF(NETWORKDAYS(C1163,TODAY())&gt;=5,"Risco Alto",IF(NETWORKDAYS(C1163,TODAY())&gt;=3,IF(NETWORKDAYS(C1163,TODAY())&lt;5,"Risco Médio",""),IF(NETWORKDAYS(C1163,TODAY())&lt;=2,"Risco Baixo",""))))</f>
        <v>Expedido</v>
      </c>
      <c r="P1163" s="5" t="s">
        <v>25</v>
      </c>
      <c r="Q1163" s="5" t="s">
        <v>899</v>
      </c>
      <c r="S1163" s="7">
        <f>IF(ISBLANK(M1163),"Aguardando Previsão/Data",NETWORKDAYS(L1163,M1163)-1)</f>
        <v>1</v>
      </c>
      <c r="T1163" s="5" t="s">
        <v>942</v>
      </c>
    </row>
    <row r="1164" spans="1:20" x14ac:dyDescent="0.35">
      <c r="A1164" s="5">
        <v>8100272833</v>
      </c>
      <c r="B1164" s="5">
        <v>7092</v>
      </c>
      <c r="C1164" s="6">
        <v>45666</v>
      </c>
      <c r="D1164" s="5" t="s">
        <v>194</v>
      </c>
      <c r="E1164" s="5" t="s">
        <v>195</v>
      </c>
      <c r="F1164" s="5" t="s">
        <v>406</v>
      </c>
      <c r="G1164" s="5" t="s">
        <v>407</v>
      </c>
      <c r="H1164" s="5" t="s">
        <v>108</v>
      </c>
      <c r="I1164" s="5" t="s">
        <v>950</v>
      </c>
      <c r="J1164" s="5" t="s">
        <v>616</v>
      </c>
      <c r="K1164" s="5" t="s">
        <v>198</v>
      </c>
      <c r="L1164" s="6">
        <v>45672</v>
      </c>
      <c r="M1164" s="6">
        <v>45670</v>
      </c>
      <c r="N1164" s="6" t="s">
        <v>811</v>
      </c>
      <c r="O1164" s="5" t="str">
        <f ca="1">IF(P1164&lt;&gt;"EXPEDIÇÃO","Expedido",IF(NETWORKDAYS(C1164,TODAY())&gt;=5,"Risco Alto",IF(NETWORKDAYS(C1164,TODAY())&gt;=3,IF(NETWORKDAYS(C1164,TODAY())&lt;5,"Risco Médio",""),IF(NETWORKDAYS(C1164,TODAY())&lt;=2,"Risco Baixo",""))))</f>
        <v>Expedido</v>
      </c>
      <c r="P1164" s="5" t="s">
        <v>25</v>
      </c>
      <c r="S1164" s="7">
        <f>IF(ISBLANK(M1164),"Aguardando Previsão/Data",NETWORKDAYS(L1164,M1164)-1)</f>
        <v>-4</v>
      </c>
      <c r="T1164" s="5" t="s">
        <v>942</v>
      </c>
    </row>
    <row r="1165" spans="1:20" x14ac:dyDescent="0.35">
      <c r="A1165" s="5">
        <v>8100272834</v>
      </c>
      <c r="B1165" s="5">
        <v>7084</v>
      </c>
      <c r="C1165" s="6">
        <v>45666</v>
      </c>
      <c r="D1165" s="5" t="s">
        <v>194</v>
      </c>
      <c r="E1165" s="5" t="s">
        <v>195</v>
      </c>
      <c r="F1165" s="5" t="s">
        <v>406</v>
      </c>
      <c r="G1165" s="5" t="s">
        <v>407</v>
      </c>
      <c r="H1165" s="5" t="s">
        <v>108</v>
      </c>
      <c r="I1165" s="5" t="s">
        <v>950</v>
      </c>
      <c r="J1165" s="5" t="s">
        <v>616</v>
      </c>
      <c r="K1165" s="5" t="s">
        <v>198</v>
      </c>
      <c r="L1165" s="6">
        <v>45672</v>
      </c>
      <c r="M1165" s="6">
        <v>45670</v>
      </c>
      <c r="N1165" s="6" t="s">
        <v>811</v>
      </c>
      <c r="O1165" s="5" t="str">
        <f ca="1">IF(P1165&lt;&gt;"EXPEDIÇÃO","Expedido",IF(NETWORKDAYS(C1165,TODAY())&gt;=5,"Risco Alto",IF(NETWORKDAYS(C1165,TODAY())&gt;=3,IF(NETWORKDAYS(C1165,TODAY())&lt;5,"Risco Médio",""),IF(NETWORKDAYS(C1165,TODAY())&lt;=2,"Risco Baixo",""))))</f>
        <v>Expedido</v>
      </c>
      <c r="P1165" s="5" t="s">
        <v>25</v>
      </c>
      <c r="S1165" s="7">
        <f>IF(ISBLANK(M1165),"Aguardando Previsão/Data",NETWORKDAYS(L1165,M1165)-1)</f>
        <v>-4</v>
      </c>
      <c r="T1165" s="5" t="s">
        <v>942</v>
      </c>
    </row>
    <row r="1166" spans="1:20" x14ac:dyDescent="0.35">
      <c r="A1166" s="5">
        <v>8100273152</v>
      </c>
      <c r="B1166" s="5">
        <v>7087</v>
      </c>
      <c r="C1166" s="6">
        <v>45666</v>
      </c>
      <c r="D1166" s="5" t="s">
        <v>194</v>
      </c>
      <c r="E1166" s="5" t="s">
        <v>195</v>
      </c>
      <c r="F1166" s="5" t="s">
        <v>58</v>
      </c>
      <c r="G1166" s="5" t="s">
        <v>59</v>
      </c>
      <c r="H1166" s="5" t="s">
        <v>108</v>
      </c>
      <c r="I1166" s="5" t="s">
        <v>209</v>
      </c>
      <c r="J1166" s="5" t="s">
        <v>210</v>
      </c>
      <c r="K1166" s="5" t="s">
        <v>198</v>
      </c>
      <c r="L1166" s="6">
        <v>45673</v>
      </c>
      <c r="M1166" s="6">
        <v>45671</v>
      </c>
      <c r="N1166" s="6" t="s">
        <v>811</v>
      </c>
      <c r="O1166" s="5" t="str">
        <f ca="1">IF(P1166&lt;&gt;"EXPEDIÇÃO","Expedido",IF(NETWORKDAYS(C1166,TODAY())&gt;=5,"Risco Alto",IF(NETWORKDAYS(C1166,TODAY())&gt;=3,IF(NETWORKDAYS(C1166,TODAY())&lt;5,"Risco Médio",""),IF(NETWORKDAYS(C1166,TODAY())&lt;=2,"Risco Baixo",""))))</f>
        <v>Expedido</v>
      </c>
      <c r="P1166" s="5" t="s">
        <v>25</v>
      </c>
      <c r="S1166" s="7">
        <f>IF(ISBLANK(M1166),"Aguardando Previsão/Data",NETWORKDAYS(L1166,M1166)-1)</f>
        <v>-4</v>
      </c>
      <c r="T1166" s="5" t="s">
        <v>942</v>
      </c>
    </row>
    <row r="1167" spans="1:20" x14ac:dyDescent="0.35">
      <c r="A1167" s="5">
        <v>8100273153</v>
      </c>
      <c r="B1167" s="5">
        <v>7083</v>
      </c>
      <c r="C1167" s="6">
        <v>45666</v>
      </c>
      <c r="D1167" s="5" t="s">
        <v>194</v>
      </c>
      <c r="E1167" s="5" t="s">
        <v>195</v>
      </c>
      <c r="F1167" s="5" t="s">
        <v>69</v>
      </c>
      <c r="G1167" s="5" t="s">
        <v>70</v>
      </c>
      <c r="H1167" s="5" t="s">
        <v>108</v>
      </c>
      <c r="I1167" s="5" t="s">
        <v>311</v>
      </c>
      <c r="J1167" s="5" t="s">
        <v>202</v>
      </c>
      <c r="K1167" s="5" t="s">
        <v>198</v>
      </c>
      <c r="L1167" s="6">
        <v>45673</v>
      </c>
      <c r="M1167" s="6">
        <v>45674</v>
      </c>
      <c r="N1167" s="6" t="s">
        <v>812</v>
      </c>
      <c r="O1167" s="5" t="str">
        <f ca="1">IF(P1167&lt;&gt;"EXPEDIÇÃO","Expedido",IF(NETWORKDAYS(C1167,TODAY())&gt;=5,"Risco Alto",IF(NETWORKDAYS(C1167,TODAY())&gt;=3,IF(NETWORKDAYS(C1167,TODAY())&lt;5,"Risco Médio",""),IF(NETWORKDAYS(C1167,TODAY())&lt;=2,"Risco Baixo",""))))</f>
        <v>Expedido</v>
      </c>
      <c r="P1167" s="5" t="s">
        <v>25</v>
      </c>
      <c r="Q1167" s="5" t="s">
        <v>1362</v>
      </c>
      <c r="S1167" s="7">
        <f>IF(ISBLANK(M1167),"Aguardando Previsão/Data",NETWORKDAYS(L1167,M1167)-1)</f>
        <v>1</v>
      </c>
      <c r="T1167" s="5" t="s">
        <v>942</v>
      </c>
    </row>
    <row r="1168" spans="1:20" x14ac:dyDescent="0.35">
      <c r="A1168" s="5">
        <v>8100273318</v>
      </c>
      <c r="B1168" s="5">
        <v>7090</v>
      </c>
      <c r="C1168" s="6">
        <v>45666</v>
      </c>
      <c r="D1168" s="5" t="s">
        <v>194</v>
      </c>
      <c r="E1168" s="5" t="s">
        <v>195</v>
      </c>
      <c r="F1168" s="5" t="s">
        <v>199</v>
      </c>
      <c r="G1168" s="5" t="s">
        <v>200</v>
      </c>
      <c r="H1168" s="5" t="s">
        <v>108</v>
      </c>
      <c r="I1168" s="5" t="s">
        <v>1256</v>
      </c>
      <c r="J1168" s="5" t="s">
        <v>543</v>
      </c>
      <c r="K1168" s="5" t="s">
        <v>198</v>
      </c>
      <c r="L1168" s="6">
        <v>45674</v>
      </c>
      <c r="M1168" s="6">
        <v>45679</v>
      </c>
      <c r="N1168" s="6" t="s">
        <v>812</v>
      </c>
      <c r="O1168" s="5" t="str">
        <f ca="1">IF(P1168&lt;&gt;"EXPEDIÇÃO","Expedido",IF(NETWORKDAYS(C1168,TODAY())&gt;=5,"Risco Alto",IF(NETWORKDAYS(C1168,TODAY())&gt;=3,IF(NETWORKDAYS(C1168,TODAY())&lt;5,"Risco Médio",""),IF(NETWORKDAYS(C1168,TODAY())&lt;=2,"Risco Baixo",""))))</f>
        <v>Expedido</v>
      </c>
      <c r="P1168" s="5" t="s">
        <v>25</v>
      </c>
      <c r="Q1168" s="5" t="s">
        <v>899</v>
      </c>
      <c r="S1168" s="7">
        <f>IF(ISBLANK(M1168),"Aguardando Previsão/Data",NETWORKDAYS(L1168,M1168)-1)</f>
        <v>3</v>
      </c>
      <c r="T1168" s="5" t="s">
        <v>942</v>
      </c>
    </row>
    <row r="1169" spans="1:20" x14ac:dyDescent="0.35">
      <c r="A1169" s="5">
        <v>8100273515</v>
      </c>
      <c r="B1169" s="5">
        <v>7095</v>
      </c>
      <c r="C1169" s="6">
        <v>45666</v>
      </c>
      <c r="D1169" s="5" t="s">
        <v>194</v>
      </c>
      <c r="E1169" s="5" t="s">
        <v>195</v>
      </c>
      <c r="F1169" s="5" t="s">
        <v>406</v>
      </c>
      <c r="G1169" s="5" t="s">
        <v>407</v>
      </c>
      <c r="H1169" s="5" t="s">
        <v>108</v>
      </c>
      <c r="I1169" s="5" t="s">
        <v>633</v>
      </c>
      <c r="J1169" s="5" t="s">
        <v>407</v>
      </c>
      <c r="K1169" s="5" t="s">
        <v>198</v>
      </c>
      <c r="L1169" s="6">
        <v>45672</v>
      </c>
      <c r="M1169" s="6">
        <v>45670</v>
      </c>
      <c r="N1169" s="6" t="s">
        <v>811</v>
      </c>
      <c r="O1169" s="5" t="str">
        <f ca="1">IF(P1169&lt;&gt;"EXPEDIÇÃO","Expedido",IF(NETWORKDAYS(C1169,TODAY())&gt;=5,"Risco Alto",IF(NETWORKDAYS(C1169,TODAY())&gt;=3,IF(NETWORKDAYS(C1169,TODAY())&lt;5,"Risco Médio",""),IF(NETWORKDAYS(C1169,TODAY())&lt;=2,"Risco Baixo",""))))</f>
        <v>Expedido</v>
      </c>
      <c r="P1169" s="5" t="s">
        <v>25</v>
      </c>
      <c r="S1169" s="7">
        <f>IF(ISBLANK(M1169),"Aguardando Previsão/Data",NETWORKDAYS(L1169,M1169)-1)</f>
        <v>-4</v>
      </c>
      <c r="T1169" s="5" t="s">
        <v>942</v>
      </c>
    </row>
    <row r="1170" spans="1:20" x14ac:dyDescent="0.35">
      <c r="A1170" s="5">
        <v>8100273516</v>
      </c>
      <c r="B1170" s="5">
        <v>7099</v>
      </c>
      <c r="C1170" s="6">
        <v>45666</v>
      </c>
      <c r="D1170" s="5" t="s">
        <v>194</v>
      </c>
      <c r="E1170" s="5" t="s">
        <v>195</v>
      </c>
      <c r="F1170" s="5" t="s">
        <v>406</v>
      </c>
      <c r="G1170" s="5" t="s">
        <v>407</v>
      </c>
      <c r="H1170" s="5" t="s">
        <v>108</v>
      </c>
      <c r="I1170" s="5" t="s">
        <v>633</v>
      </c>
      <c r="J1170" s="5" t="s">
        <v>407</v>
      </c>
      <c r="K1170" s="5" t="s">
        <v>198</v>
      </c>
      <c r="L1170" s="6">
        <v>45672</v>
      </c>
      <c r="M1170" s="6">
        <v>45670</v>
      </c>
      <c r="N1170" s="6" t="s">
        <v>811</v>
      </c>
      <c r="O1170" s="5" t="str">
        <f ca="1">IF(P1170&lt;&gt;"EXPEDIÇÃO","Expedido",IF(NETWORKDAYS(C1170,TODAY())&gt;=5,"Risco Alto",IF(NETWORKDAYS(C1170,TODAY())&gt;=3,IF(NETWORKDAYS(C1170,TODAY())&lt;5,"Risco Médio",""),IF(NETWORKDAYS(C1170,TODAY())&lt;=2,"Risco Baixo",""))))</f>
        <v>Expedido</v>
      </c>
      <c r="P1170" s="5" t="s">
        <v>25</v>
      </c>
      <c r="S1170" s="7">
        <f>IF(ISBLANK(M1170),"Aguardando Previsão/Data",NETWORKDAYS(L1170,M1170)-1)</f>
        <v>-4</v>
      </c>
      <c r="T1170" s="5" t="s">
        <v>942</v>
      </c>
    </row>
    <row r="1171" spans="1:20" x14ac:dyDescent="0.35">
      <c r="A1171" s="5">
        <v>8100273517</v>
      </c>
      <c r="B1171" s="5">
        <v>7096</v>
      </c>
      <c r="C1171" s="6">
        <v>45666</v>
      </c>
      <c r="D1171" s="5" t="s">
        <v>194</v>
      </c>
      <c r="E1171" s="5" t="s">
        <v>195</v>
      </c>
      <c r="F1171" s="5" t="s">
        <v>406</v>
      </c>
      <c r="G1171" s="5" t="s">
        <v>407</v>
      </c>
      <c r="H1171" s="5" t="s">
        <v>108</v>
      </c>
      <c r="I1171" s="5" t="s">
        <v>1260</v>
      </c>
      <c r="J1171" s="5" t="s">
        <v>671</v>
      </c>
      <c r="K1171" s="5" t="s">
        <v>198</v>
      </c>
      <c r="L1171" s="6">
        <v>45673</v>
      </c>
      <c r="M1171" s="6">
        <v>45670</v>
      </c>
      <c r="N1171" s="6" t="s">
        <v>811</v>
      </c>
      <c r="O1171" s="5" t="str">
        <f ca="1">IF(P1171&lt;&gt;"EXPEDIÇÃO","Expedido",IF(NETWORKDAYS(C1171,TODAY())&gt;=5,"Risco Alto",IF(NETWORKDAYS(C1171,TODAY())&gt;=3,IF(NETWORKDAYS(C1171,TODAY())&lt;5,"Risco Médio",""),IF(NETWORKDAYS(C1171,TODAY())&lt;=2,"Risco Baixo",""))))</f>
        <v>Expedido</v>
      </c>
      <c r="P1171" s="5" t="s">
        <v>25</v>
      </c>
      <c r="S1171" s="7">
        <f>IF(ISBLANK(M1171),"Aguardando Previsão/Data",NETWORKDAYS(L1171,M1171)-1)</f>
        <v>-5</v>
      </c>
      <c r="T1171" s="5" t="s">
        <v>942</v>
      </c>
    </row>
    <row r="1172" spans="1:20" x14ac:dyDescent="0.35">
      <c r="A1172" s="5">
        <v>8100273532</v>
      </c>
      <c r="B1172" s="5">
        <v>7091</v>
      </c>
      <c r="C1172" s="6">
        <v>45666</v>
      </c>
      <c r="D1172" s="5" t="s">
        <v>194</v>
      </c>
      <c r="E1172" s="5" t="s">
        <v>195</v>
      </c>
      <c r="F1172" s="5" t="s">
        <v>406</v>
      </c>
      <c r="G1172" s="5" t="s">
        <v>407</v>
      </c>
      <c r="H1172" s="5" t="s">
        <v>108</v>
      </c>
      <c r="I1172" s="5" t="s">
        <v>201</v>
      </c>
      <c r="J1172" s="5" t="s">
        <v>202</v>
      </c>
      <c r="K1172" s="5" t="s">
        <v>198</v>
      </c>
      <c r="L1172" s="6">
        <v>45673</v>
      </c>
      <c r="M1172" s="6">
        <v>45677</v>
      </c>
      <c r="N1172" s="6" t="s">
        <v>812</v>
      </c>
      <c r="O1172" s="5" t="str">
        <f ca="1">IF(P1172&lt;&gt;"EXPEDIÇÃO","Expedido",IF(NETWORKDAYS(C1172,TODAY())&gt;=5,"Risco Alto",IF(NETWORKDAYS(C1172,TODAY())&gt;=3,IF(NETWORKDAYS(C1172,TODAY())&lt;5,"Risco Médio",""),IF(NETWORKDAYS(C1172,TODAY())&lt;=2,"Risco Baixo",""))))</f>
        <v>Expedido</v>
      </c>
      <c r="P1172" s="5" t="s">
        <v>25</v>
      </c>
      <c r="S1172" s="7">
        <f>IF(ISBLANK(M1172),"Aguardando Previsão/Data",NETWORKDAYS(L1172,M1172)-1)</f>
        <v>2</v>
      </c>
      <c r="T1172" s="5" t="s">
        <v>942</v>
      </c>
    </row>
    <row r="1173" spans="1:20" x14ac:dyDescent="0.35">
      <c r="A1173" s="5">
        <v>8100273799</v>
      </c>
      <c r="B1173" s="5">
        <v>7094</v>
      </c>
      <c r="C1173" s="6">
        <v>45666</v>
      </c>
      <c r="D1173" s="5" t="s">
        <v>194</v>
      </c>
      <c r="E1173" s="5" t="s">
        <v>195</v>
      </c>
      <c r="F1173" s="5" t="s">
        <v>406</v>
      </c>
      <c r="G1173" s="5" t="s">
        <v>407</v>
      </c>
      <c r="H1173" s="5" t="s">
        <v>108</v>
      </c>
      <c r="I1173" s="5" t="s">
        <v>788</v>
      </c>
      <c r="J1173" s="5" t="s">
        <v>407</v>
      </c>
      <c r="K1173" s="5" t="s">
        <v>198</v>
      </c>
      <c r="L1173" s="6">
        <v>45672</v>
      </c>
      <c r="M1173" s="6">
        <v>45670</v>
      </c>
      <c r="N1173" s="6" t="s">
        <v>811</v>
      </c>
      <c r="O1173" s="5" t="str">
        <f ca="1">IF(P1173&lt;&gt;"EXPEDIÇÃO","Expedido",IF(NETWORKDAYS(C1173,TODAY())&gt;=5,"Risco Alto",IF(NETWORKDAYS(C1173,TODAY())&gt;=3,IF(NETWORKDAYS(C1173,TODAY())&lt;5,"Risco Médio",""),IF(NETWORKDAYS(C1173,TODAY())&lt;=2,"Risco Baixo",""))))</f>
        <v>Expedido</v>
      </c>
      <c r="P1173" s="5" t="s">
        <v>25</v>
      </c>
      <c r="S1173" s="7">
        <f>IF(ISBLANK(M1173),"Aguardando Previsão/Data",NETWORKDAYS(L1173,M1173)-1)</f>
        <v>-4</v>
      </c>
      <c r="T1173" s="5" t="s">
        <v>942</v>
      </c>
    </row>
    <row r="1174" spans="1:20" x14ac:dyDescent="0.35">
      <c r="A1174" s="5">
        <v>8100273800</v>
      </c>
      <c r="B1174" s="5">
        <v>7093</v>
      </c>
      <c r="C1174" s="6">
        <v>45666</v>
      </c>
      <c r="D1174" s="5" t="s">
        <v>194</v>
      </c>
      <c r="E1174" s="5" t="s">
        <v>195</v>
      </c>
      <c r="F1174" s="5" t="s">
        <v>199</v>
      </c>
      <c r="G1174" s="5" t="s">
        <v>200</v>
      </c>
      <c r="H1174" s="5" t="s">
        <v>108</v>
      </c>
      <c r="I1174" s="5" t="s">
        <v>1267</v>
      </c>
      <c r="J1174" s="5" t="s">
        <v>858</v>
      </c>
      <c r="K1174" s="5" t="s">
        <v>198</v>
      </c>
      <c r="L1174" s="6">
        <v>45674</v>
      </c>
      <c r="M1174" s="6">
        <v>45674</v>
      </c>
      <c r="N1174" s="6" t="s">
        <v>811</v>
      </c>
      <c r="O1174" s="5" t="str">
        <f ca="1">IF(P1174&lt;&gt;"EXPEDIÇÃO","Expedido",IF(NETWORKDAYS(C1174,TODAY())&gt;=5,"Risco Alto",IF(NETWORKDAYS(C1174,TODAY())&gt;=3,IF(NETWORKDAYS(C1174,TODAY())&lt;5,"Risco Médio",""),IF(NETWORKDAYS(C1174,TODAY())&lt;=2,"Risco Baixo",""))))</f>
        <v>Expedido</v>
      </c>
      <c r="P1174" s="5" t="s">
        <v>25</v>
      </c>
      <c r="Q1174" s="5" t="s">
        <v>1365</v>
      </c>
      <c r="R1174" s="5">
        <v>3087600</v>
      </c>
      <c r="S1174" s="7">
        <f>IF(ISBLANK(M1174),"Aguardando Previsão/Data",NETWORKDAYS(L1174,M1174)-1)</f>
        <v>0</v>
      </c>
      <c r="T1174" s="5" t="s">
        <v>942</v>
      </c>
    </row>
    <row r="1175" spans="1:20" x14ac:dyDescent="0.35">
      <c r="A1175" s="5">
        <v>8100274028</v>
      </c>
      <c r="B1175" s="5">
        <v>7104</v>
      </c>
      <c r="C1175" s="6">
        <v>45666</v>
      </c>
      <c r="D1175" s="5" t="s">
        <v>194</v>
      </c>
      <c r="E1175" s="5" t="s">
        <v>195</v>
      </c>
      <c r="F1175" s="5" t="s">
        <v>58</v>
      </c>
      <c r="G1175" s="5" t="s">
        <v>59</v>
      </c>
      <c r="H1175" s="5" t="s">
        <v>108</v>
      </c>
      <c r="I1175" s="5" t="s">
        <v>410</v>
      </c>
      <c r="J1175" s="5" t="s">
        <v>411</v>
      </c>
      <c r="K1175" s="5" t="s">
        <v>198</v>
      </c>
      <c r="L1175" s="6">
        <v>45673</v>
      </c>
      <c r="M1175" s="6">
        <v>45671</v>
      </c>
      <c r="N1175" s="6" t="s">
        <v>811</v>
      </c>
      <c r="O1175" s="5" t="str">
        <f ca="1">IF(P1175&lt;&gt;"EXPEDIÇÃO","Expedido",IF(NETWORKDAYS(C1175,TODAY())&gt;=5,"Risco Alto",IF(NETWORKDAYS(C1175,TODAY())&gt;=3,IF(NETWORKDAYS(C1175,TODAY())&lt;5,"Risco Médio",""),IF(NETWORKDAYS(C1175,TODAY())&lt;=2,"Risco Baixo",""))))</f>
        <v>Expedido</v>
      </c>
      <c r="P1175" s="5" t="s">
        <v>25</v>
      </c>
      <c r="S1175" s="7">
        <f>IF(ISBLANK(M1175),"Aguardando Previsão/Data",NETWORKDAYS(L1175,M1175)-1)</f>
        <v>-4</v>
      </c>
      <c r="T1175" s="5" t="s">
        <v>942</v>
      </c>
    </row>
    <row r="1176" spans="1:20" x14ac:dyDescent="0.35">
      <c r="A1176" s="5">
        <v>8100274134</v>
      </c>
      <c r="B1176" s="5">
        <v>7102</v>
      </c>
      <c r="C1176" s="6">
        <v>45666</v>
      </c>
      <c r="D1176" s="5" t="s">
        <v>194</v>
      </c>
      <c r="E1176" s="5" t="s">
        <v>195</v>
      </c>
      <c r="F1176" s="5" t="s">
        <v>69</v>
      </c>
      <c r="G1176" s="5" t="s">
        <v>70</v>
      </c>
      <c r="H1176" s="5" t="s">
        <v>108</v>
      </c>
      <c r="I1176" s="5" t="s">
        <v>335</v>
      </c>
      <c r="J1176" s="5" t="s">
        <v>336</v>
      </c>
      <c r="K1176" s="5" t="s">
        <v>198</v>
      </c>
      <c r="L1176" s="6">
        <v>45673</v>
      </c>
      <c r="M1176" s="6">
        <v>45673</v>
      </c>
      <c r="N1176" s="6" t="s">
        <v>811</v>
      </c>
      <c r="O1176" s="5" t="str">
        <f ca="1">IF(P1176&lt;&gt;"EXPEDIÇÃO","Expedido",IF(NETWORKDAYS(C1176,TODAY())&gt;=5,"Risco Alto",IF(NETWORKDAYS(C1176,TODAY())&gt;=3,IF(NETWORKDAYS(C1176,TODAY())&lt;5,"Risco Médio",""),IF(NETWORKDAYS(C1176,TODAY())&lt;=2,"Risco Baixo",""))))</f>
        <v>Expedido</v>
      </c>
      <c r="P1176" s="5" t="s">
        <v>25</v>
      </c>
      <c r="Q1176" s="5" t="s">
        <v>1363</v>
      </c>
      <c r="S1176" s="7">
        <f>IF(ISBLANK(M1176),"Aguardando Previsão/Data",NETWORKDAYS(L1176,M1176)-1)</f>
        <v>0</v>
      </c>
      <c r="T1176" s="5" t="s">
        <v>942</v>
      </c>
    </row>
    <row r="1177" spans="1:20" x14ac:dyDescent="0.35">
      <c r="A1177" s="5">
        <v>8100274135</v>
      </c>
      <c r="B1177" s="5">
        <v>7101</v>
      </c>
      <c r="C1177" s="6">
        <v>45666</v>
      </c>
      <c r="D1177" s="5" t="s">
        <v>194</v>
      </c>
      <c r="E1177" s="5" t="s">
        <v>195</v>
      </c>
      <c r="F1177" s="5" t="s">
        <v>69</v>
      </c>
      <c r="G1177" s="5" t="s">
        <v>70</v>
      </c>
      <c r="H1177" s="5" t="s">
        <v>108</v>
      </c>
      <c r="I1177" s="5" t="s">
        <v>128</v>
      </c>
      <c r="J1177" s="5" t="s">
        <v>291</v>
      </c>
      <c r="K1177" s="5" t="s">
        <v>198</v>
      </c>
      <c r="L1177" s="6">
        <v>45673</v>
      </c>
      <c r="M1177" s="6">
        <v>45674</v>
      </c>
      <c r="N1177" s="6" t="s">
        <v>812</v>
      </c>
      <c r="O1177" s="5" t="str">
        <f ca="1">IF(P1177&lt;&gt;"EXPEDIÇÃO","Expedido",IF(NETWORKDAYS(C1177,TODAY())&gt;=5,"Risco Alto",IF(NETWORKDAYS(C1177,TODAY())&gt;=3,IF(NETWORKDAYS(C1177,TODAY())&lt;5,"Risco Médio",""),IF(NETWORKDAYS(C1177,TODAY())&lt;=2,"Risco Baixo",""))))</f>
        <v>Expedido</v>
      </c>
      <c r="P1177" s="5" t="s">
        <v>25</v>
      </c>
      <c r="Q1177" s="5" t="s">
        <v>1364</v>
      </c>
      <c r="S1177" s="7">
        <f>IF(ISBLANK(M1177),"Aguardando Previsão/Data",NETWORKDAYS(L1177,M1177)-1)</f>
        <v>1</v>
      </c>
      <c r="T1177" s="5" t="s">
        <v>942</v>
      </c>
    </row>
    <row r="1178" spans="1:20" x14ac:dyDescent="0.35">
      <c r="A1178" s="5">
        <v>8100274136</v>
      </c>
      <c r="B1178" s="5">
        <v>7105</v>
      </c>
      <c r="C1178" s="6">
        <v>45666</v>
      </c>
      <c r="D1178" s="5" t="s">
        <v>194</v>
      </c>
      <c r="E1178" s="5" t="s">
        <v>195</v>
      </c>
      <c r="F1178" s="5" t="s">
        <v>69</v>
      </c>
      <c r="G1178" s="5" t="s">
        <v>70</v>
      </c>
      <c r="H1178" s="5" t="s">
        <v>108</v>
      </c>
      <c r="I1178" s="5" t="s">
        <v>128</v>
      </c>
      <c r="J1178" s="5" t="s">
        <v>290</v>
      </c>
      <c r="K1178" s="5" t="s">
        <v>198</v>
      </c>
      <c r="L1178" s="6">
        <v>45672</v>
      </c>
      <c r="M1178" s="6">
        <v>45671</v>
      </c>
      <c r="N1178" s="6" t="s">
        <v>811</v>
      </c>
      <c r="O1178" s="5" t="str">
        <f ca="1">IF(P1178&lt;&gt;"EXPEDIÇÃO","Expedido",IF(NETWORKDAYS(C1178,TODAY())&gt;=5,"Risco Alto",IF(NETWORKDAYS(C1178,TODAY())&gt;=3,IF(NETWORKDAYS(C1178,TODAY())&lt;5,"Risco Médio",""),IF(NETWORKDAYS(C1178,TODAY())&lt;=2,"Risco Baixo",""))))</f>
        <v>Expedido</v>
      </c>
      <c r="P1178" s="5" t="s">
        <v>25</v>
      </c>
      <c r="S1178" s="7">
        <f>IF(ISBLANK(M1178),"Aguardando Previsão/Data",NETWORKDAYS(L1178,M1178)-1)</f>
        <v>-3</v>
      </c>
      <c r="T1178" s="5" t="s">
        <v>942</v>
      </c>
    </row>
    <row r="1179" spans="1:20" x14ac:dyDescent="0.35">
      <c r="A1179" s="5">
        <v>8100274137</v>
      </c>
      <c r="B1179" s="5">
        <v>7103</v>
      </c>
      <c r="C1179" s="6">
        <v>45666</v>
      </c>
      <c r="D1179" s="5" t="s">
        <v>194</v>
      </c>
      <c r="E1179" s="5" t="s">
        <v>195</v>
      </c>
      <c r="F1179" s="5" t="s">
        <v>69</v>
      </c>
      <c r="G1179" s="5" t="s">
        <v>70</v>
      </c>
      <c r="H1179" s="5" t="s">
        <v>108</v>
      </c>
      <c r="I1179" s="5" t="s">
        <v>335</v>
      </c>
      <c r="J1179" s="5" t="s">
        <v>336</v>
      </c>
      <c r="K1179" s="5" t="s">
        <v>198</v>
      </c>
      <c r="L1179" s="6">
        <v>45673</v>
      </c>
      <c r="M1179" s="6">
        <v>45673</v>
      </c>
      <c r="N1179" s="6" t="s">
        <v>811</v>
      </c>
      <c r="O1179" s="5" t="str">
        <f ca="1">IF(P1179&lt;&gt;"EXPEDIÇÃO","Expedido",IF(NETWORKDAYS(C1179,TODAY())&gt;=5,"Risco Alto",IF(NETWORKDAYS(C1179,TODAY())&gt;=3,IF(NETWORKDAYS(C1179,TODAY())&lt;5,"Risco Médio",""),IF(NETWORKDAYS(C1179,TODAY())&lt;=2,"Risco Baixo",""))))</f>
        <v>Expedido</v>
      </c>
      <c r="P1179" s="5" t="s">
        <v>25</v>
      </c>
      <c r="Q1179" s="5" t="s">
        <v>1363</v>
      </c>
      <c r="S1179" s="7">
        <f>IF(ISBLANK(M1179),"Aguardando Previsão/Data",NETWORKDAYS(L1179,M1179)-1)</f>
        <v>0</v>
      </c>
      <c r="T1179" s="5" t="s">
        <v>942</v>
      </c>
    </row>
    <row r="1180" spans="1:20" x14ac:dyDescent="0.35">
      <c r="A1180" s="5">
        <v>8100274197</v>
      </c>
      <c r="B1180" s="5">
        <v>7100</v>
      </c>
      <c r="C1180" s="6">
        <v>45666</v>
      </c>
      <c r="D1180" s="5" t="s">
        <v>723</v>
      </c>
      <c r="E1180" s="5" t="s">
        <v>195</v>
      </c>
      <c r="F1180" s="5" t="s">
        <v>724</v>
      </c>
      <c r="G1180" s="5" t="s">
        <v>725</v>
      </c>
      <c r="H1180" s="5" t="s">
        <v>108</v>
      </c>
      <c r="I1180" s="5" t="s">
        <v>992</v>
      </c>
      <c r="J1180" s="5" t="s">
        <v>993</v>
      </c>
      <c r="K1180" s="5" t="s">
        <v>198</v>
      </c>
      <c r="L1180" s="6">
        <v>45673</v>
      </c>
      <c r="M1180" s="6">
        <v>45666</v>
      </c>
      <c r="N1180" s="6" t="s">
        <v>811</v>
      </c>
      <c r="O1180" s="5" t="str">
        <f ca="1">IF(P1180&lt;&gt;"EXPEDIÇÃO","Expedido",IF(NETWORKDAYS(C1180,TODAY())&gt;=5,"Risco Alto",IF(NETWORKDAYS(C1180,TODAY())&gt;=3,IF(NETWORKDAYS(C1180,TODAY())&lt;5,"Risco Médio",""),IF(NETWORKDAYS(C1180,TODAY())&lt;=2,"Risco Baixo",""))))</f>
        <v>Expedido</v>
      </c>
      <c r="P1180" s="5" t="s">
        <v>25</v>
      </c>
      <c r="S1180" s="7">
        <f>IF(ISBLANK(M1180),"Aguardando Previsão/Data",NETWORKDAYS(L1180,M1180)-1)</f>
        <v>-7</v>
      </c>
      <c r="T1180" s="5" t="s">
        <v>942</v>
      </c>
    </row>
    <row r="1181" spans="1:20" x14ac:dyDescent="0.35">
      <c r="A1181" s="5">
        <v>8100273083</v>
      </c>
      <c r="B1181" s="5">
        <v>14278</v>
      </c>
      <c r="C1181" s="6">
        <v>45666</v>
      </c>
      <c r="D1181" s="5" t="s">
        <v>211</v>
      </c>
      <c r="E1181" s="5" t="s">
        <v>212</v>
      </c>
      <c r="F1181" s="5" t="s">
        <v>66</v>
      </c>
      <c r="G1181" s="5" t="s">
        <v>67</v>
      </c>
      <c r="H1181" s="5" t="s">
        <v>108</v>
      </c>
      <c r="I1181" s="5" t="s">
        <v>154</v>
      </c>
      <c r="J1181" s="5" t="s">
        <v>155</v>
      </c>
      <c r="K1181" s="5" t="s">
        <v>156</v>
      </c>
      <c r="L1181" s="6">
        <v>45677</v>
      </c>
      <c r="M1181" s="6">
        <v>45670</v>
      </c>
      <c r="N1181" s="6" t="s">
        <v>811</v>
      </c>
      <c r="O1181" s="5" t="str">
        <f ca="1">IF(P1181&lt;&gt;"EXPEDIÇÃO","Expedido",IF(NETWORKDAYS(C1181,TODAY())&gt;=5,"Risco Alto",IF(NETWORKDAYS(C1181,TODAY())&gt;=3,IF(NETWORKDAYS(C1181,TODAY())&lt;5,"Risco Médio",""),IF(NETWORKDAYS(C1181,TODAY())&lt;=2,"Risco Baixo",""))))</f>
        <v>Expedido</v>
      </c>
      <c r="P1181" s="5" t="s">
        <v>25</v>
      </c>
      <c r="S1181" s="7">
        <f>IF(ISBLANK(M1181),"Aguardando Previsão/Data",NETWORKDAYS(L1181,M1181)-1)</f>
        <v>-7</v>
      </c>
      <c r="T1181" s="5" t="s">
        <v>942</v>
      </c>
    </row>
    <row r="1182" spans="1:20" x14ac:dyDescent="0.35">
      <c r="A1182" s="5">
        <v>8100273173</v>
      </c>
      <c r="B1182" s="5">
        <v>14279</v>
      </c>
      <c r="C1182" s="6">
        <v>45666</v>
      </c>
      <c r="D1182" s="5" t="s">
        <v>211</v>
      </c>
      <c r="E1182" s="5" t="s">
        <v>212</v>
      </c>
      <c r="F1182" s="5" t="s">
        <v>66</v>
      </c>
      <c r="G1182" s="5" t="s">
        <v>67</v>
      </c>
      <c r="H1182" s="5" t="s">
        <v>108</v>
      </c>
      <c r="I1182" s="5" t="s">
        <v>154</v>
      </c>
      <c r="J1182" s="5" t="s">
        <v>155</v>
      </c>
      <c r="K1182" s="5" t="s">
        <v>156</v>
      </c>
      <c r="L1182" s="6">
        <v>45677</v>
      </c>
      <c r="M1182" s="6">
        <v>45670</v>
      </c>
      <c r="N1182" s="6" t="s">
        <v>811</v>
      </c>
      <c r="O1182" s="5" t="str">
        <f ca="1">IF(P1182&lt;&gt;"EXPEDIÇÃO","Expedido",IF(NETWORKDAYS(C1182,TODAY())&gt;=5,"Risco Alto",IF(NETWORKDAYS(C1182,TODAY())&gt;=3,IF(NETWORKDAYS(C1182,TODAY())&lt;5,"Risco Médio",""),IF(NETWORKDAYS(C1182,TODAY())&lt;=2,"Risco Baixo",""))))</f>
        <v>Expedido</v>
      </c>
      <c r="P1182" s="5" t="s">
        <v>25</v>
      </c>
      <c r="S1182" s="7">
        <f>IF(ISBLANK(M1182),"Aguardando Previsão/Data",NETWORKDAYS(L1182,M1182)-1)</f>
        <v>-7</v>
      </c>
      <c r="T1182" s="5" t="s">
        <v>942</v>
      </c>
    </row>
    <row r="1183" spans="1:20" x14ac:dyDescent="0.35">
      <c r="A1183" s="5">
        <v>8100273174</v>
      </c>
      <c r="B1183" s="5">
        <v>14280</v>
      </c>
      <c r="C1183" s="6">
        <v>45666</v>
      </c>
      <c r="D1183" s="5" t="s">
        <v>211</v>
      </c>
      <c r="E1183" s="5" t="s">
        <v>212</v>
      </c>
      <c r="F1183" s="5" t="s">
        <v>66</v>
      </c>
      <c r="G1183" s="5" t="s">
        <v>67</v>
      </c>
      <c r="H1183" s="5" t="s">
        <v>108</v>
      </c>
      <c r="I1183" s="5" t="s">
        <v>154</v>
      </c>
      <c r="J1183" s="5" t="s">
        <v>155</v>
      </c>
      <c r="K1183" s="5" t="s">
        <v>156</v>
      </c>
      <c r="L1183" s="6">
        <v>45677</v>
      </c>
      <c r="M1183" s="6">
        <v>45670</v>
      </c>
      <c r="N1183" s="6" t="s">
        <v>811</v>
      </c>
      <c r="O1183" s="5" t="str">
        <f ca="1">IF(P1183&lt;&gt;"EXPEDIÇÃO","Expedido",IF(NETWORKDAYS(C1183,TODAY())&gt;=5,"Risco Alto",IF(NETWORKDAYS(C1183,TODAY())&gt;=3,IF(NETWORKDAYS(C1183,TODAY())&lt;5,"Risco Médio",""),IF(NETWORKDAYS(C1183,TODAY())&lt;=2,"Risco Baixo",""))))</f>
        <v>Expedido</v>
      </c>
      <c r="P1183" s="5" t="s">
        <v>25</v>
      </c>
      <c r="S1183" s="7">
        <f>IF(ISBLANK(M1183),"Aguardando Previsão/Data",NETWORKDAYS(L1183,M1183)-1)</f>
        <v>-7</v>
      </c>
      <c r="T1183" s="5" t="s">
        <v>942</v>
      </c>
    </row>
    <row r="1184" spans="1:20" x14ac:dyDescent="0.35">
      <c r="A1184" s="5">
        <v>8100273564</v>
      </c>
      <c r="B1184" s="5">
        <v>14281</v>
      </c>
      <c r="C1184" s="6">
        <v>45666</v>
      </c>
      <c r="D1184" s="5" t="s">
        <v>211</v>
      </c>
      <c r="E1184" s="5" t="s">
        <v>212</v>
      </c>
      <c r="F1184" s="5" t="s">
        <v>171</v>
      </c>
      <c r="G1184" s="5" t="s">
        <v>172</v>
      </c>
      <c r="H1184" s="5" t="s">
        <v>108</v>
      </c>
      <c r="I1184" s="5" t="s">
        <v>456</v>
      </c>
      <c r="J1184" s="5" t="s">
        <v>172</v>
      </c>
      <c r="K1184" s="5" t="s">
        <v>170</v>
      </c>
      <c r="L1184" s="6">
        <v>45678</v>
      </c>
      <c r="M1184" s="6">
        <v>45671</v>
      </c>
      <c r="N1184" s="6" t="s">
        <v>811</v>
      </c>
      <c r="O1184" s="5" t="str">
        <f ca="1">IF(P1184&lt;&gt;"EXPEDIÇÃO","Expedido",IF(NETWORKDAYS(C1184,TODAY())&gt;=5,"Risco Alto",IF(NETWORKDAYS(C1184,TODAY())&gt;=3,IF(NETWORKDAYS(C1184,TODAY())&lt;5,"Risco Médio",""),IF(NETWORKDAYS(C1184,TODAY())&lt;=2,"Risco Baixo",""))))</f>
        <v>Expedido</v>
      </c>
      <c r="P1184" s="5" t="s">
        <v>25</v>
      </c>
      <c r="S1184" s="7">
        <f>IF(ISBLANK(M1184),"Aguardando Previsão/Data",NETWORKDAYS(L1184,M1184)-1)</f>
        <v>-7</v>
      </c>
      <c r="T1184" s="5" t="s">
        <v>942</v>
      </c>
    </row>
    <row r="1185" spans="1:20" x14ac:dyDescent="0.35">
      <c r="A1185" s="5">
        <v>8100273875</v>
      </c>
      <c r="B1185" s="5">
        <v>14300</v>
      </c>
      <c r="C1185" s="6">
        <v>45666</v>
      </c>
      <c r="D1185" s="5" t="s">
        <v>211</v>
      </c>
      <c r="E1185" s="5" t="s">
        <v>212</v>
      </c>
      <c r="F1185" s="5" t="s">
        <v>58</v>
      </c>
      <c r="G1185" s="5" t="s">
        <v>59</v>
      </c>
      <c r="H1185" s="5" t="s">
        <v>108</v>
      </c>
      <c r="I1185" s="5" t="s">
        <v>484</v>
      </c>
      <c r="J1185" s="5" t="s">
        <v>485</v>
      </c>
      <c r="K1185" s="5" t="s">
        <v>119</v>
      </c>
      <c r="L1185" s="6">
        <v>45672</v>
      </c>
      <c r="M1185" s="6">
        <v>45674</v>
      </c>
      <c r="N1185" s="6" t="s">
        <v>812</v>
      </c>
      <c r="O1185" s="5" t="str">
        <f ca="1">IF(P1185&lt;&gt;"EXPEDIÇÃO","Expedido",IF(NETWORKDAYS(C1185,TODAY())&gt;=5,"Risco Alto",IF(NETWORKDAYS(C1185,TODAY())&gt;=3,IF(NETWORKDAYS(C1185,TODAY())&lt;5,"Risco Médio",""),IF(NETWORKDAYS(C1185,TODAY())&lt;=2,"Risco Baixo",""))))</f>
        <v>Expedido</v>
      </c>
      <c r="P1185" s="5" t="s">
        <v>25</v>
      </c>
      <c r="Q1185" s="5" t="s">
        <v>914</v>
      </c>
      <c r="R1185" s="5" t="s">
        <v>1098</v>
      </c>
      <c r="S1185" s="7">
        <f>IF(ISBLANK(M1185),"Aguardando Previsão/Data",NETWORKDAYS(L1185,M1185)-1)</f>
        <v>2</v>
      </c>
      <c r="T1185" s="5" t="s">
        <v>942</v>
      </c>
    </row>
    <row r="1186" spans="1:20" x14ac:dyDescent="0.35">
      <c r="A1186" s="5">
        <v>8100273876</v>
      </c>
      <c r="B1186" s="5">
        <v>14301</v>
      </c>
      <c r="C1186" s="6">
        <v>45666</v>
      </c>
      <c r="D1186" s="5" t="s">
        <v>211</v>
      </c>
      <c r="E1186" s="5" t="s">
        <v>212</v>
      </c>
      <c r="F1186" s="5" t="s">
        <v>58</v>
      </c>
      <c r="G1186" s="5" t="s">
        <v>59</v>
      </c>
      <c r="H1186" s="5" t="s">
        <v>108</v>
      </c>
      <c r="I1186" s="5" t="s">
        <v>1268</v>
      </c>
      <c r="J1186" s="5" t="s">
        <v>1269</v>
      </c>
      <c r="K1186" s="5" t="s">
        <v>119</v>
      </c>
      <c r="L1186" s="6">
        <v>45672</v>
      </c>
      <c r="M1186" s="6">
        <v>45670</v>
      </c>
      <c r="N1186" s="6" t="s">
        <v>811</v>
      </c>
      <c r="O1186" s="5" t="str">
        <f ca="1">IF(P1186&lt;&gt;"EXPEDIÇÃO","Expedido",IF(NETWORKDAYS(C1186,TODAY())&gt;=5,"Risco Alto",IF(NETWORKDAYS(C1186,TODAY())&gt;=3,IF(NETWORKDAYS(C1186,TODAY())&lt;5,"Risco Médio",""),IF(NETWORKDAYS(C1186,TODAY())&lt;=2,"Risco Baixo",""))))</f>
        <v>Expedido</v>
      </c>
      <c r="P1186" s="5" t="s">
        <v>25</v>
      </c>
      <c r="S1186" s="7">
        <f>IF(ISBLANK(M1186),"Aguardando Previsão/Data",NETWORKDAYS(L1186,M1186)-1)</f>
        <v>-4</v>
      </c>
      <c r="T1186" s="5" t="s">
        <v>942</v>
      </c>
    </row>
    <row r="1187" spans="1:20" x14ac:dyDescent="0.35">
      <c r="A1187" s="8">
        <v>8100272225</v>
      </c>
      <c r="B1187" s="5">
        <v>12204</v>
      </c>
      <c r="C1187" s="6">
        <v>45666</v>
      </c>
      <c r="D1187" s="5" t="s">
        <v>158</v>
      </c>
      <c r="E1187" s="5" t="s">
        <v>159</v>
      </c>
      <c r="F1187" s="5" t="s">
        <v>147</v>
      </c>
      <c r="G1187" s="5" t="s">
        <v>148</v>
      </c>
      <c r="H1187" s="5" t="s">
        <v>108</v>
      </c>
      <c r="I1187" s="5" t="s">
        <v>1249</v>
      </c>
      <c r="J1187" s="5" t="s">
        <v>1250</v>
      </c>
      <c r="K1187" s="5" t="s">
        <v>170</v>
      </c>
      <c r="L1187" s="6">
        <v>45672</v>
      </c>
      <c r="M1187" s="6">
        <v>45673</v>
      </c>
      <c r="N1187" s="6" t="s">
        <v>812</v>
      </c>
      <c r="O1187" s="5" t="str">
        <f ca="1">IF(P1187&lt;&gt;"EXPEDIÇÃO","Expedido",IF(NETWORKDAYS(C1187,TODAY())&gt;=5,"Risco Alto",IF(NETWORKDAYS(C1187,TODAY())&gt;=3,IF(NETWORKDAYS(C1187,TODAY())&lt;5,"Risco Médio",""),IF(NETWORKDAYS(C1187,TODAY())&lt;=2,"Risco Baixo",""))))</f>
        <v>Expedido</v>
      </c>
      <c r="P1187" s="5" t="s">
        <v>25</v>
      </c>
      <c r="Q1187" s="5" t="s">
        <v>820</v>
      </c>
      <c r="S1187" s="7">
        <f>IF(ISBLANK(M1187),"Aguardando Previsão/Data",NETWORKDAYS(L1187,M1187)-1)</f>
        <v>1</v>
      </c>
      <c r="T1187" s="5" t="s">
        <v>942</v>
      </c>
    </row>
    <row r="1188" spans="1:20" x14ac:dyDescent="0.35">
      <c r="A1188" s="5">
        <v>8100272975</v>
      </c>
      <c r="B1188" s="5">
        <v>12202</v>
      </c>
      <c r="C1188" s="6">
        <v>45666</v>
      </c>
      <c r="D1188" s="5" t="s">
        <v>158</v>
      </c>
      <c r="E1188" s="5" t="s">
        <v>159</v>
      </c>
      <c r="F1188" s="5" t="s">
        <v>136</v>
      </c>
      <c r="G1188" s="5" t="s">
        <v>137</v>
      </c>
      <c r="H1188" s="5" t="s">
        <v>108</v>
      </c>
      <c r="I1188" s="5" t="s">
        <v>404</v>
      </c>
      <c r="J1188" s="5" t="s">
        <v>405</v>
      </c>
      <c r="K1188" s="5" t="s">
        <v>170</v>
      </c>
      <c r="L1188" s="6">
        <v>45673</v>
      </c>
      <c r="M1188" s="6">
        <v>45672</v>
      </c>
      <c r="N1188" s="6" t="s">
        <v>811</v>
      </c>
      <c r="O1188" s="5" t="str">
        <f ca="1">IF(P1188&lt;&gt;"EXPEDIÇÃO","Expedido",IF(NETWORKDAYS(C1188,TODAY())&gt;=5,"Risco Alto",IF(NETWORKDAYS(C1188,TODAY())&gt;=3,IF(NETWORKDAYS(C1188,TODAY())&lt;5,"Risco Médio",""),IF(NETWORKDAYS(C1188,TODAY())&lt;=2,"Risco Baixo",""))))</f>
        <v>Expedido</v>
      </c>
      <c r="P1188" s="5" t="s">
        <v>25</v>
      </c>
      <c r="S1188" s="7">
        <f>IF(ISBLANK(M1188),"Aguardando Previsão/Data",NETWORKDAYS(L1188,M1188)-1)</f>
        <v>-3</v>
      </c>
      <c r="T1188" s="5" t="s">
        <v>942</v>
      </c>
    </row>
    <row r="1189" spans="1:20" x14ac:dyDescent="0.35">
      <c r="A1189" s="5">
        <v>8100273523</v>
      </c>
      <c r="B1189" s="5">
        <v>12203</v>
      </c>
      <c r="C1189" s="6">
        <v>45666</v>
      </c>
      <c r="D1189" s="5" t="s">
        <v>158</v>
      </c>
      <c r="E1189" s="5" t="s">
        <v>159</v>
      </c>
      <c r="F1189" s="5" t="s">
        <v>176</v>
      </c>
      <c r="G1189" s="5" t="s">
        <v>177</v>
      </c>
      <c r="H1189" s="5" t="s">
        <v>108</v>
      </c>
      <c r="I1189" s="5" t="s">
        <v>989</v>
      </c>
      <c r="J1189" s="5" t="s">
        <v>309</v>
      </c>
      <c r="K1189" s="5" t="s">
        <v>175</v>
      </c>
      <c r="L1189" s="6">
        <v>45677</v>
      </c>
      <c r="M1189" s="6">
        <v>45672</v>
      </c>
      <c r="N1189" s="6" t="s">
        <v>811</v>
      </c>
      <c r="O1189" s="5" t="str">
        <f ca="1">IF(P1189&lt;&gt;"EXPEDIÇÃO","Expedido",IF(NETWORKDAYS(C1189,TODAY())&gt;=5,"Risco Alto",IF(NETWORKDAYS(C1189,TODAY())&gt;=3,IF(NETWORKDAYS(C1189,TODAY())&lt;5,"Risco Médio",""),IF(NETWORKDAYS(C1189,TODAY())&lt;=2,"Risco Baixo",""))))</f>
        <v>Expedido</v>
      </c>
      <c r="P1189" s="5" t="s">
        <v>25</v>
      </c>
      <c r="S1189" s="7">
        <f>IF(ISBLANK(M1189),"Aguardando Previsão/Data",NETWORKDAYS(L1189,M1189)-1)</f>
        <v>-5</v>
      </c>
      <c r="T1189" s="5" t="s">
        <v>942</v>
      </c>
    </row>
    <row r="1190" spans="1:20" x14ac:dyDescent="0.35">
      <c r="A1190" s="5">
        <v>8100273524</v>
      </c>
      <c r="B1190" s="5">
        <v>12201</v>
      </c>
      <c r="C1190" s="6">
        <v>45666</v>
      </c>
      <c r="D1190" s="5" t="s">
        <v>158</v>
      </c>
      <c r="E1190" s="5" t="s">
        <v>159</v>
      </c>
      <c r="F1190" s="5" t="s">
        <v>171</v>
      </c>
      <c r="G1190" s="5" t="s">
        <v>172</v>
      </c>
      <c r="H1190" s="5" t="s">
        <v>108</v>
      </c>
      <c r="I1190" s="5" t="s">
        <v>510</v>
      </c>
      <c r="J1190" s="5" t="s">
        <v>172</v>
      </c>
      <c r="K1190" s="5" t="s">
        <v>170</v>
      </c>
      <c r="L1190" s="6">
        <v>45673</v>
      </c>
      <c r="M1190" s="6">
        <v>45671</v>
      </c>
      <c r="N1190" s="6" t="s">
        <v>811</v>
      </c>
      <c r="O1190" s="5" t="str">
        <f ca="1">IF(P1190&lt;&gt;"EXPEDIÇÃO","Expedido",IF(NETWORKDAYS(C1190,TODAY())&gt;=5,"Risco Alto",IF(NETWORKDAYS(C1190,TODAY())&gt;=3,IF(NETWORKDAYS(C1190,TODAY())&lt;5,"Risco Médio",""),IF(NETWORKDAYS(C1190,TODAY())&lt;=2,"Risco Baixo",""))))</f>
        <v>Expedido</v>
      </c>
      <c r="P1190" s="5" t="s">
        <v>25</v>
      </c>
      <c r="S1190" s="7">
        <f>IF(ISBLANK(M1190),"Aguardando Previsão/Data",NETWORKDAYS(L1190,M1190)-1)</f>
        <v>-4</v>
      </c>
      <c r="T1190" s="5" t="s">
        <v>942</v>
      </c>
    </row>
    <row r="1191" spans="1:20" x14ac:dyDescent="0.35">
      <c r="A1191" s="5">
        <v>8100273722</v>
      </c>
      <c r="B1191" s="5">
        <v>12205</v>
      </c>
      <c r="C1191" s="6">
        <v>45666</v>
      </c>
      <c r="D1191" s="5" t="s">
        <v>158</v>
      </c>
      <c r="E1191" s="5" t="s">
        <v>159</v>
      </c>
      <c r="F1191" s="5" t="s">
        <v>171</v>
      </c>
      <c r="G1191" s="5" t="s">
        <v>172</v>
      </c>
      <c r="H1191" s="5" t="s">
        <v>108</v>
      </c>
      <c r="I1191" s="5" t="s">
        <v>510</v>
      </c>
      <c r="J1191" s="5" t="s">
        <v>172</v>
      </c>
      <c r="K1191" s="5" t="s">
        <v>170</v>
      </c>
      <c r="L1191" s="6">
        <v>45673</v>
      </c>
      <c r="M1191" s="6">
        <v>45671</v>
      </c>
      <c r="N1191" s="6" t="s">
        <v>811</v>
      </c>
      <c r="O1191" s="5" t="str">
        <f ca="1">IF(P1191&lt;&gt;"EXPEDIÇÃO","Expedido",IF(NETWORKDAYS(C1191,TODAY())&gt;=5,"Risco Alto",IF(NETWORKDAYS(C1191,TODAY())&gt;=3,IF(NETWORKDAYS(C1191,TODAY())&lt;5,"Risco Médio",""),IF(NETWORKDAYS(C1191,TODAY())&lt;=2,"Risco Baixo",""))))</f>
        <v>Expedido</v>
      </c>
      <c r="P1191" s="5" t="s">
        <v>25</v>
      </c>
      <c r="S1191" s="7">
        <f>IF(ISBLANK(M1191),"Aguardando Previsão/Data",NETWORKDAYS(L1191,M1191)-1)</f>
        <v>-4</v>
      </c>
      <c r="T1191" s="5" t="s">
        <v>942</v>
      </c>
    </row>
    <row r="1192" spans="1:20" x14ac:dyDescent="0.35">
      <c r="A1192" s="5">
        <v>8100273811</v>
      </c>
      <c r="B1192" s="5">
        <v>12207</v>
      </c>
      <c r="C1192" s="6">
        <v>45666</v>
      </c>
      <c r="D1192" s="5" t="s">
        <v>158</v>
      </c>
      <c r="E1192" s="5" t="s">
        <v>159</v>
      </c>
      <c r="F1192" s="5" t="s">
        <v>136</v>
      </c>
      <c r="G1192" s="5" t="s">
        <v>137</v>
      </c>
      <c r="H1192" s="5" t="s">
        <v>108</v>
      </c>
      <c r="I1192" s="5" t="s">
        <v>404</v>
      </c>
      <c r="J1192" s="5" t="s">
        <v>405</v>
      </c>
      <c r="K1192" s="5" t="s">
        <v>170</v>
      </c>
      <c r="L1192" s="6">
        <v>45673</v>
      </c>
      <c r="M1192" s="6">
        <v>45672</v>
      </c>
      <c r="N1192" s="6" t="s">
        <v>811</v>
      </c>
      <c r="O1192" s="5" t="str">
        <f ca="1">IF(P1192&lt;&gt;"EXPEDIÇÃO","Expedido",IF(NETWORKDAYS(C1192,TODAY())&gt;=5,"Risco Alto",IF(NETWORKDAYS(C1192,TODAY())&gt;=3,IF(NETWORKDAYS(C1192,TODAY())&lt;5,"Risco Médio",""),IF(NETWORKDAYS(C1192,TODAY())&lt;=2,"Risco Baixo",""))))</f>
        <v>Expedido</v>
      </c>
      <c r="P1192" s="5" t="s">
        <v>25</v>
      </c>
      <c r="S1192" s="7">
        <f>IF(ISBLANK(M1192),"Aguardando Previsão/Data",NETWORKDAYS(L1192,M1192)-1)</f>
        <v>-3</v>
      </c>
      <c r="T1192" s="5" t="s">
        <v>942</v>
      </c>
    </row>
    <row r="1193" spans="1:20" x14ac:dyDescent="0.35">
      <c r="A1193" s="5">
        <v>8100273812</v>
      </c>
      <c r="B1193" s="5">
        <v>12206</v>
      </c>
      <c r="C1193" s="6">
        <v>45666</v>
      </c>
      <c r="D1193" s="5" t="s">
        <v>158</v>
      </c>
      <c r="E1193" s="5" t="s">
        <v>159</v>
      </c>
      <c r="F1193" s="5" t="s">
        <v>171</v>
      </c>
      <c r="G1193" s="5" t="s">
        <v>172</v>
      </c>
      <c r="H1193" s="5" t="s">
        <v>108</v>
      </c>
      <c r="I1193" s="5" t="s">
        <v>510</v>
      </c>
      <c r="J1193" s="5" t="s">
        <v>172</v>
      </c>
      <c r="K1193" s="5" t="s">
        <v>170</v>
      </c>
      <c r="L1193" s="6">
        <v>45673</v>
      </c>
      <c r="M1193" s="6">
        <v>45671</v>
      </c>
      <c r="N1193" s="6" t="s">
        <v>811</v>
      </c>
      <c r="O1193" s="5" t="str">
        <f ca="1">IF(P1193&lt;&gt;"EXPEDIÇÃO","Expedido",IF(NETWORKDAYS(C1193,TODAY())&gt;=5,"Risco Alto",IF(NETWORKDAYS(C1193,TODAY())&gt;=3,IF(NETWORKDAYS(C1193,TODAY())&lt;5,"Risco Médio",""),IF(NETWORKDAYS(C1193,TODAY())&lt;=2,"Risco Baixo",""))))</f>
        <v>Expedido</v>
      </c>
      <c r="P1193" s="5" t="s">
        <v>25</v>
      </c>
      <c r="S1193" s="7">
        <f>IF(ISBLANK(M1193),"Aguardando Previsão/Data",NETWORKDAYS(L1193,M1193)-1)</f>
        <v>-4</v>
      </c>
      <c r="T1193" s="5" t="s">
        <v>942</v>
      </c>
    </row>
    <row r="1194" spans="1:20" x14ac:dyDescent="0.35">
      <c r="A1194" s="5">
        <v>8100273813</v>
      </c>
      <c r="B1194" s="5">
        <v>12208</v>
      </c>
      <c r="C1194" s="6">
        <v>45666</v>
      </c>
      <c r="D1194" s="5" t="s">
        <v>158</v>
      </c>
      <c r="E1194" s="5" t="s">
        <v>159</v>
      </c>
      <c r="F1194" s="5" t="s">
        <v>160</v>
      </c>
      <c r="G1194" s="5" t="s">
        <v>161</v>
      </c>
      <c r="H1194" s="5" t="s">
        <v>108</v>
      </c>
      <c r="I1194" s="5" t="s">
        <v>347</v>
      </c>
      <c r="J1194" s="5" t="s">
        <v>310</v>
      </c>
      <c r="K1194" s="5" t="s">
        <v>175</v>
      </c>
      <c r="L1194" s="6">
        <v>45677</v>
      </c>
      <c r="M1194" s="6">
        <v>45673</v>
      </c>
      <c r="N1194" s="6" t="s">
        <v>811</v>
      </c>
      <c r="O1194" s="5" t="str">
        <f ca="1">IF(P1194&lt;&gt;"EXPEDIÇÃO","Expedido",IF(NETWORKDAYS(C1194,TODAY())&gt;=5,"Risco Alto",IF(NETWORKDAYS(C1194,TODAY())&gt;=3,IF(NETWORKDAYS(C1194,TODAY())&lt;5,"Risco Médio",""),IF(NETWORKDAYS(C1194,TODAY())&lt;=2,"Risco Baixo",""))))</f>
        <v>Expedido</v>
      </c>
      <c r="P1194" s="5" t="s">
        <v>25</v>
      </c>
      <c r="S1194" s="7">
        <f>IF(ISBLANK(M1194),"Aguardando Previsão/Data",NETWORKDAYS(L1194,M1194)-1)</f>
        <v>-4</v>
      </c>
      <c r="T1194" s="5" t="s">
        <v>942</v>
      </c>
    </row>
    <row r="1195" spans="1:20" x14ac:dyDescent="0.35">
      <c r="A1195" s="5">
        <v>8100273440</v>
      </c>
      <c r="B1195" s="5">
        <v>18978</v>
      </c>
      <c r="C1195" s="6">
        <v>45666</v>
      </c>
      <c r="D1195" s="5" t="s">
        <v>106</v>
      </c>
      <c r="E1195" s="5" t="s">
        <v>107</v>
      </c>
      <c r="F1195" s="5" t="s">
        <v>103</v>
      </c>
      <c r="G1195" s="5" t="s">
        <v>104</v>
      </c>
      <c r="H1195" s="5" t="s">
        <v>548</v>
      </c>
      <c r="I1195" s="5" t="s">
        <v>1170</v>
      </c>
      <c r="J1195" s="5" t="s">
        <v>273</v>
      </c>
      <c r="K1195" s="5" t="s">
        <v>274</v>
      </c>
      <c r="L1195" s="6">
        <v>45670</v>
      </c>
      <c r="M1195" s="6">
        <v>45670</v>
      </c>
      <c r="N1195" s="5" t="s">
        <v>811</v>
      </c>
      <c r="O1195" s="5" t="str">
        <f ca="1">IF(P1195&lt;&gt;"EXPEDIÇÃO","Expedido",IF(NETWORKDAYS(C1195,TODAY())&gt;=5,"Risco Alto",IF(NETWORKDAYS(C1195,TODAY())&gt;=3,IF(NETWORKDAYS(C1195,TODAY())&lt;5,"Risco Médio",""),IF(NETWORKDAYS(C1195,TODAY())&lt;=2,"Risco Baixo",""))))</f>
        <v>Expedido</v>
      </c>
      <c r="P1195" s="5" t="s">
        <v>25</v>
      </c>
      <c r="Q1195" s="5" t="s">
        <v>926</v>
      </c>
      <c r="S1195" s="7">
        <f>IF(ISBLANK(M1195),"Aguardando Previsão/Data",NETWORKDAYS(L1195,M1195)-1)</f>
        <v>0</v>
      </c>
      <c r="T1195" s="5" t="s">
        <v>942</v>
      </c>
    </row>
    <row r="1196" spans="1:20" x14ac:dyDescent="0.35">
      <c r="A1196" s="5">
        <v>8100274452</v>
      </c>
      <c r="B1196" s="5">
        <v>17305</v>
      </c>
      <c r="C1196" s="6">
        <v>45667</v>
      </c>
      <c r="D1196" s="5" t="s">
        <v>51</v>
      </c>
      <c r="E1196" s="5" t="s">
        <v>52</v>
      </c>
      <c r="F1196" s="5" t="s">
        <v>69</v>
      </c>
      <c r="G1196" s="5" t="s">
        <v>70</v>
      </c>
      <c r="H1196" s="5" t="s">
        <v>21</v>
      </c>
      <c r="I1196" s="5" t="s">
        <v>1277</v>
      </c>
      <c r="J1196" s="5" t="s">
        <v>467</v>
      </c>
      <c r="K1196" s="5" t="s">
        <v>57</v>
      </c>
      <c r="L1196" s="6">
        <v>45674</v>
      </c>
      <c r="M1196" s="6">
        <v>45672</v>
      </c>
      <c r="N1196" s="6" t="s">
        <v>811</v>
      </c>
      <c r="O1196" s="5" t="str">
        <f ca="1">IF(P1196&lt;&gt;"EXPEDIÇÃO","Expedido",IF(NETWORKDAYS(C1196,TODAY())&gt;=5,"Risco Alto",IF(NETWORKDAYS(C1196,TODAY())&gt;=3,IF(NETWORKDAYS(C1196,TODAY())&lt;5,"Risco Médio",""),IF(NETWORKDAYS(C1196,TODAY())&lt;=2,"Risco Baixo",""))))</f>
        <v>Expedido</v>
      </c>
      <c r="P1196" s="5" t="s">
        <v>25</v>
      </c>
      <c r="S1196" s="7">
        <f>IF(ISBLANK(M1196),"Aguardando Previsão/Data",NETWORKDAYS(L1196,M1196)-1)</f>
        <v>-4</v>
      </c>
      <c r="T1196" s="5" t="s">
        <v>942</v>
      </c>
    </row>
    <row r="1197" spans="1:20" x14ac:dyDescent="0.35">
      <c r="A1197" s="5">
        <v>8100274453</v>
      </c>
      <c r="B1197" s="5">
        <v>17301</v>
      </c>
      <c r="C1197" s="6">
        <v>45667</v>
      </c>
      <c r="D1197" s="5" t="s">
        <v>51</v>
      </c>
      <c r="E1197" s="5" t="s">
        <v>52</v>
      </c>
      <c r="F1197" s="5" t="s">
        <v>66</v>
      </c>
      <c r="G1197" s="5" t="s">
        <v>67</v>
      </c>
      <c r="H1197" s="5" t="s">
        <v>21</v>
      </c>
      <c r="I1197" s="5" t="s">
        <v>508</v>
      </c>
      <c r="J1197" s="5" t="s">
        <v>714</v>
      </c>
      <c r="K1197" s="5" t="s">
        <v>57</v>
      </c>
      <c r="L1197" s="6">
        <v>45673</v>
      </c>
      <c r="M1197" s="6">
        <v>45671</v>
      </c>
      <c r="N1197" s="6" t="s">
        <v>811</v>
      </c>
      <c r="O1197" s="5" t="str">
        <f ca="1">IF(P1197&lt;&gt;"EXPEDIÇÃO","Expedido",IF(NETWORKDAYS(C1197,TODAY())&gt;=5,"Risco Alto",IF(NETWORKDAYS(C1197,TODAY())&gt;=3,IF(NETWORKDAYS(C1197,TODAY())&lt;5,"Risco Médio",""),IF(NETWORKDAYS(C1197,TODAY())&lt;=2,"Risco Baixo",""))))</f>
        <v>Expedido</v>
      </c>
      <c r="P1197" s="5" t="s">
        <v>25</v>
      </c>
      <c r="S1197" s="7">
        <f>IF(ISBLANK(M1197),"Aguardando Previsão/Data",NETWORKDAYS(L1197,M1197)-1)</f>
        <v>-4</v>
      </c>
      <c r="T1197" s="5" t="s">
        <v>942</v>
      </c>
    </row>
    <row r="1198" spans="1:20" x14ac:dyDescent="0.35">
      <c r="A1198" s="5">
        <v>8100274454</v>
      </c>
      <c r="B1198" s="5">
        <v>17304</v>
      </c>
      <c r="C1198" s="6">
        <v>45667</v>
      </c>
      <c r="D1198" s="5" t="s">
        <v>51</v>
      </c>
      <c r="E1198" s="5" t="s">
        <v>52</v>
      </c>
      <c r="F1198" s="5" t="s">
        <v>329</v>
      </c>
      <c r="G1198" s="5" t="s">
        <v>330</v>
      </c>
      <c r="H1198" s="5" t="s">
        <v>21</v>
      </c>
      <c r="I1198" s="5" t="s">
        <v>1278</v>
      </c>
      <c r="J1198" s="5" t="s">
        <v>529</v>
      </c>
      <c r="K1198" s="5" t="s">
        <v>57</v>
      </c>
      <c r="L1198" s="6">
        <v>45674</v>
      </c>
      <c r="M1198" s="6">
        <v>45672</v>
      </c>
      <c r="N1198" s="6" t="s">
        <v>811</v>
      </c>
      <c r="O1198" s="5" t="str">
        <f ca="1">IF(P1198&lt;&gt;"EXPEDIÇÃO","Expedido",IF(NETWORKDAYS(C1198,TODAY())&gt;=5,"Risco Alto",IF(NETWORKDAYS(C1198,TODAY())&gt;=3,IF(NETWORKDAYS(C1198,TODAY())&lt;5,"Risco Médio",""),IF(NETWORKDAYS(C1198,TODAY())&lt;=2,"Risco Baixo",""))))</f>
        <v>Expedido</v>
      </c>
      <c r="P1198" s="5" t="s">
        <v>25</v>
      </c>
      <c r="S1198" s="7">
        <f>IF(ISBLANK(M1198),"Aguardando Previsão/Data",NETWORKDAYS(L1198,M1198)-1)</f>
        <v>-4</v>
      </c>
      <c r="T1198" s="5" t="s">
        <v>942</v>
      </c>
    </row>
    <row r="1199" spans="1:20" x14ac:dyDescent="0.35">
      <c r="A1199" s="5">
        <v>8100274456</v>
      </c>
      <c r="B1199" s="5">
        <v>17300</v>
      </c>
      <c r="C1199" s="6">
        <v>45667</v>
      </c>
      <c r="D1199" s="5" t="s">
        <v>51</v>
      </c>
      <c r="E1199" s="5" t="s">
        <v>52</v>
      </c>
      <c r="F1199" s="5" t="s">
        <v>329</v>
      </c>
      <c r="G1199" s="5" t="s">
        <v>330</v>
      </c>
      <c r="H1199" s="5" t="s">
        <v>21</v>
      </c>
      <c r="I1199" s="5" t="s">
        <v>1110</v>
      </c>
      <c r="J1199" s="5" t="s">
        <v>378</v>
      </c>
      <c r="K1199" s="5" t="s">
        <v>57</v>
      </c>
      <c r="L1199" s="6">
        <v>45674</v>
      </c>
      <c r="M1199" s="6">
        <v>45672</v>
      </c>
      <c r="N1199" s="6" t="s">
        <v>811</v>
      </c>
      <c r="O1199" s="5" t="str">
        <f ca="1">IF(P1199&lt;&gt;"EXPEDIÇÃO","Expedido",IF(NETWORKDAYS(C1199,TODAY())&gt;=5,"Risco Alto",IF(NETWORKDAYS(C1199,TODAY())&gt;=3,IF(NETWORKDAYS(C1199,TODAY())&lt;5,"Risco Médio",""),IF(NETWORKDAYS(C1199,TODAY())&lt;=2,"Risco Baixo",""))))</f>
        <v>Expedido</v>
      </c>
      <c r="P1199" s="5" t="s">
        <v>25</v>
      </c>
      <c r="S1199" s="7">
        <f>IF(ISBLANK(M1199),"Aguardando Previsão/Data",NETWORKDAYS(L1199,M1199)-1)</f>
        <v>-4</v>
      </c>
      <c r="T1199" s="5" t="s">
        <v>942</v>
      </c>
    </row>
    <row r="1200" spans="1:20" x14ac:dyDescent="0.35">
      <c r="A1200" s="5">
        <v>8100274522</v>
      </c>
      <c r="B1200" s="5">
        <v>17308</v>
      </c>
      <c r="C1200" s="6">
        <v>45667</v>
      </c>
      <c r="D1200" s="5" t="s">
        <v>51</v>
      </c>
      <c r="E1200" s="5" t="s">
        <v>52</v>
      </c>
      <c r="F1200" s="5" t="s">
        <v>329</v>
      </c>
      <c r="G1200" s="5" t="s">
        <v>330</v>
      </c>
      <c r="H1200" s="5" t="s">
        <v>21</v>
      </c>
      <c r="I1200" s="5" t="s">
        <v>1278</v>
      </c>
      <c r="J1200" s="5" t="s">
        <v>529</v>
      </c>
      <c r="K1200" s="5" t="s">
        <v>57</v>
      </c>
      <c r="L1200" s="6">
        <v>45674</v>
      </c>
      <c r="M1200" s="6">
        <v>45672</v>
      </c>
      <c r="N1200" s="6" t="s">
        <v>811</v>
      </c>
      <c r="O1200" s="5" t="str">
        <f ca="1">IF(P1200&lt;&gt;"EXPEDIÇÃO","Expedido",IF(NETWORKDAYS(C1200,TODAY())&gt;=5,"Risco Alto",IF(NETWORKDAYS(C1200,TODAY())&gt;=3,IF(NETWORKDAYS(C1200,TODAY())&lt;5,"Risco Médio",""),IF(NETWORKDAYS(C1200,TODAY())&lt;=2,"Risco Baixo",""))))</f>
        <v>Expedido</v>
      </c>
      <c r="P1200" s="5" t="s">
        <v>25</v>
      </c>
      <c r="S1200" s="7">
        <f>IF(ISBLANK(M1200),"Aguardando Previsão/Data",NETWORKDAYS(L1200,M1200)-1)</f>
        <v>-4</v>
      </c>
      <c r="T1200" s="5" t="s">
        <v>942</v>
      </c>
    </row>
    <row r="1201" spans="1:20" x14ac:dyDescent="0.35">
      <c r="A1201" s="5">
        <v>8100274523</v>
      </c>
      <c r="B1201" s="5">
        <v>17307</v>
      </c>
      <c r="C1201" s="6">
        <v>45667</v>
      </c>
      <c r="D1201" s="5" t="s">
        <v>51</v>
      </c>
      <c r="E1201" s="5" t="s">
        <v>52</v>
      </c>
      <c r="F1201" s="5" t="s">
        <v>329</v>
      </c>
      <c r="G1201" s="5" t="s">
        <v>330</v>
      </c>
      <c r="H1201" s="5" t="s">
        <v>21</v>
      </c>
      <c r="I1201" s="5" t="s">
        <v>1279</v>
      </c>
      <c r="J1201" s="5" t="s">
        <v>1280</v>
      </c>
      <c r="K1201" s="5" t="s">
        <v>57</v>
      </c>
      <c r="L1201" s="6">
        <v>45674</v>
      </c>
      <c r="M1201" s="6">
        <v>45670</v>
      </c>
      <c r="N1201" s="6" t="s">
        <v>811</v>
      </c>
      <c r="O1201" s="5" t="str">
        <f ca="1">IF(P1201&lt;&gt;"EXPEDIÇÃO","Expedido",IF(NETWORKDAYS(C1201,TODAY())&gt;=5,"Risco Alto",IF(NETWORKDAYS(C1201,TODAY())&gt;=3,IF(NETWORKDAYS(C1201,TODAY())&lt;5,"Risco Médio",""),IF(NETWORKDAYS(C1201,TODAY())&lt;=2,"Risco Baixo",""))))</f>
        <v>Expedido</v>
      </c>
      <c r="P1201" s="5" t="s">
        <v>25</v>
      </c>
      <c r="S1201" s="7">
        <f>IF(ISBLANK(M1201),"Aguardando Previsão/Data",NETWORKDAYS(L1201,M1201)-1)</f>
        <v>-6</v>
      </c>
      <c r="T1201" s="5" t="s">
        <v>942</v>
      </c>
    </row>
    <row r="1202" spans="1:20" x14ac:dyDescent="0.35">
      <c r="A1202" s="5">
        <v>8100274584</v>
      </c>
      <c r="B1202" s="5">
        <v>17299</v>
      </c>
      <c r="C1202" s="6">
        <v>45667</v>
      </c>
      <c r="D1202" s="5" t="s">
        <v>51</v>
      </c>
      <c r="E1202" s="5" t="s">
        <v>52</v>
      </c>
      <c r="F1202" s="5" t="s">
        <v>329</v>
      </c>
      <c r="G1202" s="5" t="s">
        <v>330</v>
      </c>
      <c r="H1202" s="5" t="s">
        <v>21</v>
      </c>
      <c r="I1202" s="5" t="s">
        <v>22</v>
      </c>
      <c r="J1202" s="5" t="s">
        <v>65</v>
      </c>
      <c r="K1202" s="5" t="s">
        <v>57</v>
      </c>
      <c r="L1202" s="6">
        <v>45672</v>
      </c>
      <c r="M1202" s="6">
        <v>45671</v>
      </c>
      <c r="N1202" s="6" t="s">
        <v>811</v>
      </c>
      <c r="O1202" s="5" t="str">
        <f ca="1">IF(P1202&lt;&gt;"EXPEDIÇÃO","Expedido",IF(NETWORKDAYS(C1202,TODAY())&gt;=5,"Risco Alto",IF(NETWORKDAYS(C1202,TODAY())&gt;=3,IF(NETWORKDAYS(C1202,TODAY())&lt;5,"Risco Médio",""),IF(NETWORKDAYS(C1202,TODAY())&lt;=2,"Risco Baixo",""))))</f>
        <v>Expedido</v>
      </c>
      <c r="P1202" s="5" t="s">
        <v>25</v>
      </c>
      <c r="Q1202" s="5" t="s">
        <v>900</v>
      </c>
      <c r="S1202" s="7">
        <f>IF(ISBLANK(M1202),"Aguardando Previsão/Data",NETWORKDAYS(L1202,M1202)-1)</f>
        <v>-3</v>
      </c>
      <c r="T1202" s="5" t="s">
        <v>942</v>
      </c>
    </row>
    <row r="1203" spans="1:20" x14ac:dyDescent="0.35">
      <c r="A1203" s="5">
        <v>8100274700</v>
      </c>
      <c r="B1203" s="5">
        <v>17309</v>
      </c>
      <c r="C1203" s="6">
        <v>45667</v>
      </c>
      <c r="D1203" s="5" t="s">
        <v>51</v>
      </c>
      <c r="E1203" s="5" t="s">
        <v>52</v>
      </c>
      <c r="F1203" s="5" t="s">
        <v>69</v>
      </c>
      <c r="G1203" s="5" t="s">
        <v>70</v>
      </c>
      <c r="H1203" s="5" t="s">
        <v>21</v>
      </c>
      <c r="I1203" s="5" t="s">
        <v>527</v>
      </c>
      <c r="J1203" s="5" t="s">
        <v>65</v>
      </c>
      <c r="K1203" s="5" t="s">
        <v>57</v>
      </c>
      <c r="L1203" s="6">
        <v>45672</v>
      </c>
      <c r="M1203" s="6">
        <v>45671</v>
      </c>
      <c r="N1203" s="6" t="s">
        <v>811</v>
      </c>
      <c r="O1203" s="5" t="str">
        <f ca="1">IF(P1203&lt;&gt;"EXPEDIÇÃO","Expedido",IF(NETWORKDAYS(C1203,TODAY())&gt;=5,"Risco Alto",IF(NETWORKDAYS(C1203,TODAY())&gt;=3,IF(NETWORKDAYS(C1203,TODAY())&lt;5,"Risco Médio",""),IF(NETWORKDAYS(C1203,TODAY())&lt;=2,"Risco Baixo",""))))</f>
        <v>Expedido</v>
      </c>
      <c r="P1203" s="5" t="s">
        <v>25</v>
      </c>
      <c r="Q1203" s="5" t="s">
        <v>900</v>
      </c>
      <c r="S1203" s="7">
        <f>IF(ISBLANK(M1203),"Aguardando Previsão/Data",NETWORKDAYS(L1203,M1203)-1)</f>
        <v>-3</v>
      </c>
      <c r="T1203" s="5" t="s">
        <v>942</v>
      </c>
    </row>
    <row r="1204" spans="1:20" x14ac:dyDescent="0.35">
      <c r="A1204" s="5">
        <v>8100274701</v>
      </c>
      <c r="B1204" s="5">
        <v>17306</v>
      </c>
      <c r="C1204" s="6">
        <v>45667</v>
      </c>
      <c r="D1204" s="5" t="s">
        <v>51</v>
      </c>
      <c r="E1204" s="5" t="s">
        <v>52</v>
      </c>
      <c r="F1204" s="5" t="s">
        <v>69</v>
      </c>
      <c r="G1204" s="5" t="s">
        <v>70</v>
      </c>
      <c r="H1204" s="5" t="s">
        <v>21</v>
      </c>
      <c r="I1204" s="5" t="s">
        <v>647</v>
      </c>
      <c r="J1204" s="5" t="s">
        <v>65</v>
      </c>
      <c r="K1204" s="5" t="s">
        <v>57</v>
      </c>
      <c r="L1204" s="6">
        <v>45672</v>
      </c>
      <c r="M1204" s="6">
        <v>45671</v>
      </c>
      <c r="N1204" s="6" t="s">
        <v>811</v>
      </c>
      <c r="O1204" s="5" t="str">
        <f ca="1">IF(P1204&lt;&gt;"EXPEDIÇÃO","Expedido",IF(NETWORKDAYS(C1204,TODAY())&gt;=5,"Risco Alto",IF(NETWORKDAYS(C1204,TODAY())&gt;=3,IF(NETWORKDAYS(C1204,TODAY())&lt;5,"Risco Médio",""),IF(NETWORKDAYS(C1204,TODAY())&lt;=2,"Risco Baixo",""))))</f>
        <v>Expedido</v>
      </c>
      <c r="P1204" s="5" t="s">
        <v>25</v>
      </c>
      <c r="Q1204" s="5" t="s">
        <v>900</v>
      </c>
      <c r="S1204" s="7">
        <f>IF(ISBLANK(M1204),"Aguardando Previsão/Data",NETWORKDAYS(L1204,M1204)-1)</f>
        <v>-3</v>
      </c>
      <c r="T1204" s="5" t="s">
        <v>942</v>
      </c>
    </row>
    <row r="1205" spans="1:20" x14ac:dyDescent="0.35">
      <c r="A1205" s="5">
        <v>8100274818</v>
      </c>
      <c r="B1205" s="5">
        <v>17313</v>
      </c>
      <c r="C1205" s="6">
        <v>45667</v>
      </c>
      <c r="D1205" s="5" t="s">
        <v>51</v>
      </c>
      <c r="E1205" s="5" t="s">
        <v>52</v>
      </c>
      <c r="F1205" s="5" t="s">
        <v>69</v>
      </c>
      <c r="G1205" s="5" t="s">
        <v>70</v>
      </c>
      <c r="H1205" s="5" t="s">
        <v>21</v>
      </c>
      <c r="I1205" s="5" t="s">
        <v>128</v>
      </c>
      <c r="J1205" s="5" t="s">
        <v>65</v>
      </c>
      <c r="K1205" s="5" t="s">
        <v>57</v>
      </c>
      <c r="L1205" s="6">
        <v>45672</v>
      </c>
      <c r="M1205" s="6">
        <v>45670</v>
      </c>
      <c r="N1205" s="6" t="s">
        <v>811</v>
      </c>
      <c r="O1205" s="5" t="str">
        <f ca="1">IF(P1205&lt;&gt;"EXPEDIÇÃO","Expedido",IF(NETWORKDAYS(C1205,TODAY())&gt;=5,"Risco Alto",IF(NETWORKDAYS(C1205,TODAY())&gt;=3,IF(NETWORKDAYS(C1205,TODAY())&lt;5,"Risco Médio",""),IF(NETWORKDAYS(C1205,TODAY())&lt;=2,"Risco Baixo",""))))</f>
        <v>Expedido</v>
      </c>
      <c r="P1205" s="5" t="s">
        <v>25</v>
      </c>
      <c r="S1205" s="7">
        <f>IF(ISBLANK(M1205),"Aguardando Previsão/Data",NETWORKDAYS(L1205,M1205)-1)</f>
        <v>-4</v>
      </c>
      <c r="T1205" s="5" t="s">
        <v>942</v>
      </c>
    </row>
    <row r="1206" spans="1:20" x14ac:dyDescent="0.35">
      <c r="A1206" s="5">
        <v>8100274819</v>
      </c>
      <c r="B1206" s="5">
        <v>17315</v>
      </c>
      <c r="C1206" s="6">
        <v>45667</v>
      </c>
      <c r="D1206" s="5" t="s">
        <v>51</v>
      </c>
      <c r="E1206" s="5" t="s">
        <v>52</v>
      </c>
      <c r="F1206" s="5" t="s">
        <v>53</v>
      </c>
      <c r="G1206" s="5" t="s">
        <v>54</v>
      </c>
      <c r="H1206" s="5" t="s">
        <v>21</v>
      </c>
      <c r="I1206" s="5" t="s">
        <v>976</v>
      </c>
      <c r="J1206" s="5" t="s">
        <v>271</v>
      </c>
      <c r="K1206" s="5" t="s">
        <v>57</v>
      </c>
      <c r="L1206" s="6">
        <v>45673</v>
      </c>
      <c r="M1206" s="6">
        <v>45671</v>
      </c>
      <c r="N1206" s="6" t="s">
        <v>811</v>
      </c>
      <c r="O1206" s="5" t="str">
        <f ca="1">IF(P1206&lt;&gt;"EXPEDIÇÃO","Expedido",IF(NETWORKDAYS(C1206,TODAY())&gt;=5,"Risco Alto",IF(NETWORKDAYS(C1206,TODAY())&gt;=3,IF(NETWORKDAYS(C1206,TODAY())&lt;5,"Risco Médio",""),IF(NETWORKDAYS(C1206,TODAY())&lt;=2,"Risco Baixo",""))))</f>
        <v>Expedido</v>
      </c>
      <c r="P1206" s="5" t="s">
        <v>25</v>
      </c>
      <c r="S1206" s="7">
        <f>IF(ISBLANK(M1206),"Aguardando Previsão/Data",NETWORKDAYS(L1206,M1206)-1)</f>
        <v>-4</v>
      </c>
      <c r="T1206" s="5" t="s">
        <v>942</v>
      </c>
    </row>
    <row r="1207" spans="1:20" x14ac:dyDescent="0.35">
      <c r="A1207" s="5">
        <v>8100274820</v>
      </c>
      <c r="B1207" s="5">
        <v>17312</v>
      </c>
      <c r="C1207" s="6">
        <v>45667</v>
      </c>
      <c r="D1207" s="5" t="s">
        <v>51</v>
      </c>
      <c r="E1207" s="5" t="s">
        <v>52</v>
      </c>
      <c r="F1207" s="5" t="s">
        <v>66</v>
      </c>
      <c r="G1207" s="5" t="s">
        <v>67</v>
      </c>
      <c r="H1207" s="5" t="s">
        <v>21</v>
      </c>
      <c r="I1207" s="5" t="s">
        <v>1174</v>
      </c>
      <c r="J1207" s="5" t="s">
        <v>1055</v>
      </c>
      <c r="K1207" s="5" t="s">
        <v>57</v>
      </c>
      <c r="L1207" s="6">
        <v>45677</v>
      </c>
      <c r="M1207" s="6">
        <v>45670</v>
      </c>
      <c r="N1207" s="6" t="s">
        <v>811</v>
      </c>
      <c r="O1207" s="5" t="str">
        <f ca="1">IF(P1207&lt;&gt;"EXPEDIÇÃO","Expedido",IF(NETWORKDAYS(C1207,TODAY())&gt;=5,"Risco Alto",IF(NETWORKDAYS(C1207,TODAY())&gt;=3,IF(NETWORKDAYS(C1207,TODAY())&lt;5,"Risco Médio",""),IF(NETWORKDAYS(C1207,TODAY())&lt;=2,"Risco Baixo",""))))</f>
        <v>Expedido</v>
      </c>
      <c r="P1207" s="5" t="s">
        <v>25</v>
      </c>
      <c r="S1207" s="7">
        <f>IF(ISBLANK(M1207),"Aguardando Previsão/Data",NETWORKDAYS(L1207,M1207)-1)</f>
        <v>-7</v>
      </c>
      <c r="T1207" s="5" t="s">
        <v>942</v>
      </c>
    </row>
    <row r="1208" spans="1:20" x14ac:dyDescent="0.35">
      <c r="A1208" s="5">
        <v>8100274821</v>
      </c>
      <c r="B1208" s="5">
        <v>17310</v>
      </c>
      <c r="C1208" s="6">
        <v>45667</v>
      </c>
      <c r="D1208" s="5" t="s">
        <v>51</v>
      </c>
      <c r="E1208" s="5" t="s">
        <v>52</v>
      </c>
      <c r="F1208" s="5" t="s">
        <v>58</v>
      </c>
      <c r="G1208" s="5" t="s">
        <v>59</v>
      </c>
      <c r="H1208" s="5" t="s">
        <v>21</v>
      </c>
      <c r="I1208" s="5" t="s">
        <v>269</v>
      </c>
      <c r="J1208" s="5" t="s">
        <v>270</v>
      </c>
      <c r="K1208" s="5" t="s">
        <v>57</v>
      </c>
      <c r="L1208" s="6">
        <v>45677</v>
      </c>
      <c r="M1208" s="6">
        <v>45671</v>
      </c>
      <c r="N1208" s="6" t="s">
        <v>811</v>
      </c>
      <c r="O1208" s="5" t="str">
        <f ca="1">IF(P1208&lt;&gt;"EXPEDIÇÃO","Expedido",IF(NETWORKDAYS(C1208,TODAY())&gt;=5,"Risco Alto",IF(NETWORKDAYS(C1208,TODAY())&gt;=3,IF(NETWORKDAYS(C1208,TODAY())&lt;5,"Risco Médio",""),IF(NETWORKDAYS(C1208,TODAY())&lt;=2,"Risco Baixo",""))))</f>
        <v>Expedido</v>
      </c>
      <c r="P1208" s="5" t="s">
        <v>25</v>
      </c>
      <c r="S1208" s="7">
        <f>IF(ISBLANK(M1208),"Aguardando Previsão/Data",NETWORKDAYS(L1208,M1208)-1)</f>
        <v>-6</v>
      </c>
      <c r="T1208" s="5" t="s">
        <v>942</v>
      </c>
    </row>
    <row r="1209" spans="1:20" x14ac:dyDescent="0.35">
      <c r="A1209" s="5">
        <v>8100274822</v>
      </c>
      <c r="B1209" s="5">
        <v>17316</v>
      </c>
      <c r="C1209" s="6">
        <v>45667</v>
      </c>
      <c r="D1209" s="5" t="s">
        <v>51</v>
      </c>
      <c r="E1209" s="5" t="s">
        <v>52</v>
      </c>
      <c r="F1209" s="5" t="s">
        <v>69</v>
      </c>
      <c r="G1209" s="5" t="s">
        <v>70</v>
      </c>
      <c r="H1209" s="5" t="s">
        <v>21</v>
      </c>
      <c r="I1209" s="5" t="s">
        <v>527</v>
      </c>
      <c r="J1209" s="5" t="s">
        <v>65</v>
      </c>
      <c r="K1209" s="5" t="s">
        <v>57</v>
      </c>
      <c r="L1209" s="6">
        <v>45672</v>
      </c>
      <c r="M1209" s="6">
        <v>45671</v>
      </c>
      <c r="N1209" s="6" t="s">
        <v>811</v>
      </c>
      <c r="O1209" s="5" t="str">
        <f ca="1">IF(P1209&lt;&gt;"EXPEDIÇÃO","Expedido",IF(NETWORKDAYS(C1209,TODAY())&gt;=5,"Risco Alto",IF(NETWORKDAYS(C1209,TODAY())&gt;=3,IF(NETWORKDAYS(C1209,TODAY())&lt;5,"Risco Médio",""),IF(NETWORKDAYS(C1209,TODAY())&lt;=2,"Risco Baixo",""))))</f>
        <v>Expedido</v>
      </c>
      <c r="P1209" s="5" t="s">
        <v>25</v>
      </c>
      <c r="Q1209" s="5" t="s">
        <v>900</v>
      </c>
      <c r="S1209" s="7">
        <f>IF(ISBLANK(M1209),"Aguardando Previsão/Data",NETWORKDAYS(L1209,M1209)-1)</f>
        <v>-3</v>
      </c>
      <c r="T1209" s="5" t="s">
        <v>942</v>
      </c>
    </row>
    <row r="1210" spans="1:20" x14ac:dyDescent="0.35">
      <c r="A1210" s="5">
        <v>8100274823</v>
      </c>
      <c r="B1210" s="5">
        <v>17311</v>
      </c>
      <c r="C1210" s="6">
        <v>45667</v>
      </c>
      <c r="D1210" s="5" t="s">
        <v>51</v>
      </c>
      <c r="E1210" s="5" t="s">
        <v>52</v>
      </c>
      <c r="F1210" s="5" t="s">
        <v>53</v>
      </c>
      <c r="G1210" s="5" t="s">
        <v>54</v>
      </c>
      <c r="H1210" s="5" t="s">
        <v>21</v>
      </c>
      <c r="I1210" s="5" t="s">
        <v>649</v>
      </c>
      <c r="J1210" s="5" t="s">
        <v>650</v>
      </c>
      <c r="K1210" s="5" t="s">
        <v>57</v>
      </c>
      <c r="L1210" s="6">
        <v>45677</v>
      </c>
      <c r="M1210" s="6">
        <v>45670</v>
      </c>
      <c r="N1210" s="6" t="s">
        <v>811</v>
      </c>
      <c r="O1210" s="5" t="str">
        <f ca="1">IF(P1210&lt;&gt;"EXPEDIÇÃO","Expedido",IF(NETWORKDAYS(C1210,TODAY())&gt;=5,"Risco Alto",IF(NETWORKDAYS(C1210,TODAY())&gt;=3,IF(NETWORKDAYS(C1210,TODAY())&lt;5,"Risco Médio",""),IF(NETWORKDAYS(C1210,TODAY())&lt;=2,"Risco Baixo",""))))</f>
        <v>Expedido</v>
      </c>
      <c r="P1210" s="5" t="s">
        <v>25</v>
      </c>
      <c r="S1210" s="7">
        <f>IF(ISBLANK(M1210),"Aguardando Previsão/Data",NETWORKDAYS(L1210,M1210)-1)</f>
        <v>-7</v>
      </c>
      <c r="T1210" s="5" t="s">
        <v>942</v>
      </c>
    </row>
    <row r="1211" spans="1:20" x14ac:dyDescent="0.35">
      <c r="A1211" s="5">
        <v>8100274824</v>
      </c>
      <c r="B1211" s="5">
        <v>17318</v>
      </c>
      <c r="C1211" s="6">
        <v>45667</v>
      </c>
      <c r="D1211" s="5" t="s">
        <v>51</v>
      </c>
      <c r="E1211" s="5" t="s">
        <v>52</v>
      </c>
      <c r="F1211" s="5" t="s">
        <v>329</v>
      </c>
      <c r="G1211" s="5" t="s">
        <v>330</v>
      </c>
      <c r="H1211" s="5" t="s">
        <v>21</v>
      </c>
      <c r="I1211" s="5" t="s">
        <v>1278</v>
      </c>
      <c r="J1211" s="5" t="s">
        <v>529</v>
      </c>
      <c r="K1211" s="5" t="s">
        <v>57</v>
      </c>
      <c r="L1211" s="6">
        <v>45674</v>
      </c>
      <c r="M1211" s="6">
        <v>45672</v>
      </c>
      <c r="N1211" s="6" t="s">
        <v>811</v>
      </c>
      <c r="O1211" s="5" t="str">
        <f ca="1">IF(P1211&lt;&gt;"EXPEDIÇÃO","Expedido",IF(NETWORKDAYS(C1211,TODAY())&gt;=5,"Risco Alto",IF(NETWORKDAYS(C1211,TODAY())&gt;=3,IF(NETWORKDAYS(C1211,TODAY())&lt;5,"Risco Médio",""),IF(NETWORKDAYS(C1211,TODAY())&lt;=2,"Risco Baixo",""))))</f>
        <v>Expedido</v>
      </c>
      <c r="P1211" s="5" t="s">
        <v>25</v>
      </c>
      <c r="S1211" s="7">
        <f>IF(ISBLANK(M1211),"Aguardando Previsão/Data",NETWORKDAYS(L1211,M1211)-1)</f>
        <v>-4</v>
      </c>
      <c r="T1211" s="5" t="s">
        <v>942</v>
      </c>
    </row>
    <row r="1212" spans="1:20" x14ac:dyDescent="0.35">
      <c r="A1212" s="5">
        <v>8100274825</v>
      </c>
      <c r="B1212" s="5">
        <v>17317</v>
      </c>
      <c r="C1212" s="6">
        <v>45667</v>
      </c>
      <c r="D1212" s="5" t="s">
        <v>51</v>
      </c>
      <c r="E1212" s="5" t="s">
        <v>52</v>
      </c>
      <c r="F1212" s="5" t="s">
        <v>329</v>
      </c>
      <c r="G1212" s="5" t="s">
        <v>330</v>
      </c>
      <c r="H1212" s="5" t="s">
        <v>21</v>
      </c>
      <c r="I1212" s="5" t="s">
        <v>1279</v>
      </c>
      <c r="J1212" s="5" t="s">
        <v>1280</v>
      </c>
      <c r="K1212" s="5" t="s">
        <v>57</v>
      </c>
      <c r="L1212" s="6">
        <v>45674</v>
      </c>
      <c r="M1212" s="6">
        <v>45672</v>
      </c>
      <c r="N1212" s="6" t="s">
        <v>811</v>
      </c>
      <c r="O1212" s="5" t="str">
        <f ca="1">IF(P1212&lt;&gt;"EXPEDIÇÃO","Expedido",IF(NETWORKDAYS(C1212,TODAY())&gt;=5,"Risco Alto",IF(NETWORKDAYS(C1212,TODAY())&gt;=3,IF(NETWORKDAYS(C1212,TODAY())&lt;5,"Risco Médio",""),IF(NETWORKDAYS(C1212,TODAY())&lt;=2,"Risco Baixo",""))))</f>
        <v>Expedido</v>
      </c>
      <c r="P1212" s="5" t="s">
        <v>25</v>
      </c>
      <c r="S1212" s="7">
        <f>IF(ISBLANK(M1212),"Aguardando Previsão/Data",NETWORKDAYS(L1212,M1212)-1)</f>
        <v>-4</v>
      </c>
      <c r="T1212" s="5" t="s">
        <v>942</v>
      </c>
    </row>
    <row r="1213" spans="1:20" x14ac:dyDescent="0.35">
      <c r="A1213" s="5">
        <v>8100271163</v>
      </c>
      <c r="B1213" s="5">
        <v>21187</v>
      </c>
      <c r="C1213" s="6">
        <v>45667</v>
      </c>
      <c r="D1213" s="5" t="s">
        <v>17</v>
      </c>
      <c r="E1213" s="5" t="s">
        <v>18</v>
      </c>
      <c r="F1213" s="5" t="s">
        <v>84</v>
      </c>
      <c r="G1213" s="5" t="s">
        <v>85</v>
      </c>
      <c r="H1213" s="5" t="s">
        <v>21</v>
      </c>
      <c r="I1213" s="5" t="s">
        <v>418</v>
      </c>
      <c r="J1213" s="5" t="s">
        <v>419</v>
      </c>
      <c r="K1213" s="5" t="s">
        <v>36</v>
      </c>
      <c r="L1213" s="6">
        <v>45679</v>
      </c>
      <c r="M1213" s="6">
        <v>45670</v>
      </c>
      <c r="N1213" s="6" t="s">
        <v>811</v>
      </c>
      <c r="O1213" s="5" t="str">
        <f ca="1">IF(P1213&lt;&gt;"EXPEDIÇÃO","Expedido",IF(NETWORKDAYS(C1213,TODAY())&gt;=5,"Risco Alto",IF(NETWORKDAYS(C1213,TODAY())&gt;=3,IF(NETWORKDAYS(C1213,TODAY())&lt;5,"Risco Médio",""),IF(NETWORKDAYS(C1213,TODAY())&lt;=2,"Risco Baixo",""))))</f>
        <v>Expedido</v>
      </c>
      <c r="P1213" s="5" t="s">
        <v>25</v>
      </c>
      <c r="S1213" s="7">
        <f>IF(ISBLANK(M1213),"Aguardando Previsão/Data",NETWORKDAYS(L1213,M1213)-1)</f>
        <v>-9</v>
      </c>
      <c r="T1213" s="5" t="s">
        <v>942</v>
      </c>
    </row>
    <row r="1214" spans="1:20" x14ac:dyDescent="0.35">
      <c r="A1214" s="5">
        <v>8100273142</v>
      </c>
      <c r="B1214" s="5">
        <v>21176</v>
      </c>
      <c r="C1214" s="6">
        <v>45667</v>
      </c>
      <c r="D1214" s="5" t="s">
        <v>17</v>
      </c>
      <c r="E1214" s="5" t="s">
        <v>18</v>
      </c>
      <c r="F1214" s="5" t="s">
        <v>32</v>
      </c>
      <c r="G1214" s="5" t="s">
        <v>33</v>
      </c>
      <c r="H1214" s="5" t="s">
        <v>21</v>
      </c>
      <c r="I1214" s="5" t="s">
        <v>1103</v>
      </c>
      <c r="J1214" s="5" t="s">
        <v>368</v>
      </c>
      <c r="K1214" s="5" t="s">
        <v>24</v>
      </c>
      <c r="L1214" s="6">
        <v>45677</v>
      </c>
      <c r="M1214" s="6">
        <v>45674</v>
      </c>
      <c r="N1214" s="6" t="s">
        <v>811</v>
      </c>
      <c r="O1214" s="5" t="str">
        <f ca="1">IF(P1214&lt;&gt;"EXPEDIÇÃO","Expedido",IF(NETWORKDAYS(C1214,TODAY())&gt;=5,"Risco Alto",IF(NETWORKDAYS(C1214,TODAY())&gt;=3,IF(NETWORKDAYS(C1214,TODAY())&lt;5,"Risco Médio",""),IF(NETWORKDAYS(C1214,TODAY())&lt;=2,"Risco Baixo",""))))</f>
        <v>Expedido</v>
      </c>
      <c r="P1214" s="5" t="s">
        <v>25</v>
      </c>
      <c r="S1214" s="7">
        <f>IF(ISBLANK(M1214),"Aguardando Previsão/Data",NETWORKDAYS(L1214,M1214)-1)</f>
        <v>-3</v>
      </c>
      <c r="T1214" s="5" t="s">
        <v>942</v>
      </c>
    </row>
    <row r="1215" spans="1:20" x14ac:dyDescent="0.35">
      <c r="A1215" s="5">
        <v>8100274239</v>
      </c>
      <c r="B1215" s="5">
        <v>21165</v>
      </c>
      <c r="C1215" s="6">
        <v>45667</v>
      </c>
      <c r="D1215" s="5" t="s">
        <v>17</v>
      </c>
      <c r="E1215" s="5" t="s">
        <v>18</v>
      </c>
      <c r="F1215" s="5" t="s">
        <v>84</v>
      </c>
      <c r="G1215" s="5" t="s">
        <v>85</v>
      </c>
      <c r="H1215" s="5" t="s">
        <v>21</v>
      </c>
      <c r="I1215" s="5" t="s">
        <v>952</v>
      </c>
      <c r="J1215" s="5" t="s">
        <v>857</v>
      </c>
      <c r="K1215" s="5" t="s">
        <v>24</v>
      </c>
      <c r="L1215" s="6">
        <v>45677</v>
      </c>
      <c r="M1215" s="6">
        <v>45673</v>
      </c>
      <c r="N1215" s="6" t="s">
        <v>811</v>
      </c>
      <c r="O1215" s="5" t="str">
        <f ca="1">IF(P1215&lt;&gt;"EXPEDIÇÃO","Expedido",IF(NETWORKDAYS(C1215,TODAY())&gt;=5,"Risco Alto",IF(NETWORKDAYS(C1215,TODAY())&gt;=3,IF(NETWORKDAYS(C1215,TODAY())&lt;5,"Risco Médio",""),IF(NETWORKDAYS(C1215,TODAY())&lt;=2,"Risco Baixo",""))))</f>
        <v>Expedido</v>
      </c>
      <c r="P1215" s="5" t="s">
        <v>25</v>
      </c>
      <c r="S1215" s="7">
        <f>IF(ISBLANK(M1215),"Aguardando Previsão/Data",NETWORKDAYS(L1215,M1215)-1)</f>
        <v>-4</v>
      </c>
      <c r="T1215" s="5" t="s">
        <v>942</v>
      </c>
    </row>
    <row r="1216" spans="1:20" x14ac:dyDescent="0.35">
      <c r="A1216" s="5">
        <v>8100274240</v>
      </c>
      <c r="B1216" s="5">
        <v>21158</v>
      </c>
      <c r="C1216" s="6">
        <v>45667</v>
      </c>
      <c r="D1216" s="5" t="s">
        <v>17</v>
      </c>
      <c r="E1216" s="5" t="s">
        <v>18</v>
      </c>
      <c r="F1216" s="5" t="s">
        <v>84</v>
      </c>
      <c r="G1216" s="5" t="s">
        <v>85</v>
      </c>
      <c r="H1216" s="5" t="s">
        <v>21</v>
      </c>
      <c r="I1216" s="5" t="s">
        <v>1087</v>
      </c>
      <c r="J1216" s="5" t="s">
        <v>495</v>
      </c>
      <c r="K1216" s="5" t="s">
        <v>24</v>
      </c>
      <c r="L1216" s="6">
        <v>45681</v>
      </c>
      <c r="M1216" s="6">
        <v>45679</v>
      </c>
      <c r="N1216" s="6" t="s">
        <v>811</v>
      </c>
      <c r="O1216" s="5" t="str">
        <f ca="1">IF(P1216&lt;&gt;"EXPEDIÇÃO","Expedido",IF(NETWORKDAYS(C1216,TODAY())&gt;=5,"Risco Alto",IF(NETWORKDAYS(C1216,TODAY())&gt;=3,IF(NETWORKDAYS(C1216,TODAY())&lt;5,"Risco Médio",""),IF(NETWORKDAYS(C1216,TODAY())&lt;=2,"Risco Baixo",""))))</f>
        <v>Expedido</v>
      </c>
      <c r="P1216" s="5" t="s">
        <v>25</v>
      </c>
      <c r="S1216" s="7">
        <f>IF(ISBLANK(M1216),"Aguardando Previsão/Data",NETWORKDAYS(L1216,M1216)-1)</f>
        <v>-4</v>
      </c>
      <c r="T1216" s="5" t="s">
        <v>942</v>
      </c>
    </row>
    <row r="1217" spans="1:20" x14ac:dyDescent="0.35">
      <c r="A1217" s="5">
        <v>8100274241</v>
      </c>
      <c r="B1217" s="5">
        <v>21159</v>
      </c>
      <c r="C1217" s="6">
        <v>45667</v>
      </c>
      <c r="D1217" s="5" t="s">
        <v>17</v>
      </c>
      <c r="E1217" s="5" t="s">
        <v>18</v>
      </c>
      <c r="F1217" s="5" t="s">
        <v>84</v>
      </c>
      <c r="G1217" s="5" t="s">
        <v>85</v>
      </c>
      <c r="H1217" s="5" t="s">
        <v>21</v>
      </c>
      <c r="I1217" s="5" t="s">
        <v>1273</v>
      </c>
      <c r="J1217" s="5" t="s">
        <v>38</v>
      </c>
      <c r="K1217" s="5" t="s">
        <v>24</v>
      </c>
      <c r="L1217" s="6">
        <v>45677</v>
      </c>
      <c r="M1217" s="6">
        <v>45676</v>
      </c>
      <c r="N1217" s="6" t="s">
        <v>811</v>
      </c>
      <c r="O1217" s="5" t="str">
        <f ca="1">IF(P1217&lt;&gt;"EXPEDIÇÃO","Expedido",IF(NETWORKDAYS(C1217,TODAY())&gt;=5,"Risco Alto",IF(NETWORKDAYS(C1217,TODAY())&gt;=3,IF(NETWORKDAYS(C1217,TODAY())&lt;5,"Risco Médio",""),IF(NETWORKDAYS(C1217,TODAY())&lt;=2,"Risco Baixo",""))))</f>
        <v>Expedido</v>
      </c>
      <c r="P1217" s="5" t="s">
        <v>25</v>
      </c>
      <c r="S1217" s="7">
        <f>IF(ISBLANK(M1217),"Aguardando Previsão/Data",NETWORKDAYS(L1217,M1217)-1)</f>
        <v>-2</v>
      </c>
      <c r="T1217" s="5" t="s">
        <v>942</v>
      </c>
    </row>
    <row r="1218" spans="1:20" x14ac:dyDescent="0.35">
      <c r="A1218" s="5">
        <v>8100274433</v>
      </c>
      <c r="B1218" s="5">
        <v>21177</v>
      </c>
      <c r="C1218" s="6">
        <v>45667</v>
      </c>
      <c r="D1218" s="5" t="s">
        <v>17</v>
      </c>
      <c r="E1218" s="5" t="s">
        <v>18</v>
      </c>
      <c r="F1218" s="5" t="s">
        <v>84</v>
      </c>
      <c r="G1218" s="5" t="s">
        <v>85</v>
      </c>
      <c r="H1218" s="5" t="s">
        <v>21</v>
      </c>
      <c r="I1218" s="5" t="s">
        <v>822</v>
      </c>
      <c r="J1218" s="5" t="s">
        <v>28</v>
      </c>
      <c r="K1218" s="5" t="s">
        <v>24</v>
      </c>
      <c r="L1218" s="6">
        <v>45674</v>
      </c>
      <c r="M1218" s="6">
        <v>45670</v>
      </c>
      <c r="N1218" s="6" t="s">
        <v>811</v>
      </c>
      <c r="O1218" s="5" t="str">
        <f ca="1">IF(P1218&lt;&gt;"EXPEDIÇÃO","Expedido",IF(NETWORKDAYS(C1218,TODAY())&gt;=5,"Risco Alto",IF(NETWORKDAYS(C1218,TODAY())&gt;=3,IF(NETWORKDAYS(C1218,TODAY())&lt;5,"Risco Médio",""),IF(NETWORKDAYS(C1218,TODAY())&lt;=2,"Risco Baixo",""))))</f>
        <v>Expedido</v>
      </c>
      <c r="P1218" s="5" t="s">
        <v>25</v>
      </c>
      <c r="S1218" s="7">
        <f>IF(ISBLANK(M1218),"Aguardando Previsão/Data",NETWORKDAYS(L1218,M1218)-1)</f>
        <v>-6</v>
      </c>
      <c r="T1218" s="5" t="s">
        <v>942</v>
      </c>
    </row>
    <row r="1219" spans="1:20" x14ac:dyDescent="0.35">
      <c r="A1219" s="5">
        <v>8100274434</v>
      </c>
      <c r="B1219" s="5">
        <v>21170</v>
      </c>
      <c r="C1219" s="6">
        <v>45667</v>
      </c>
      <c r="D1219" s="5" t="s">
        <v>17</v>
      </c>
      <c r="E1219" s="5" t="s">
        <v>18</v>
      </c>
      <c r="F1219" s="5" t="s">
        <v>84</v>
      </c>
      <c r="G1219" s="5" t="s">
        <v>85</v>
      </c>
      <c r="H1219" s="5" t="s">
        <v>21</v>
      </c>
      <c r="I1219" s="5" t="s">
        <v>822</v>
      </c>
      <c r="J1219" s="5" t="s">
        <v>28</v>
      </c>
      <c r="K1219" s="5" t="s">
        <v>24</v>
      </c>
      <c r="L1219" s="6">
        <v>45674</v>
      </c>
      <c r="M1219" s="6">
        <v>45670</v>
      </c>
      <c r="N1219" s="6" t="s">
        <v>811</v>
      </c>
      <c r="O1219" s="5" t="str">
        <f ca="1">IF(P1219&lt;&gt;"EXPEDIÇÃO","Expedido",IF(NETWORKDAYS(C1219,TODAY())&gt;=5,"Risco Alto",IF(NETWORKDAYS(C1219,TODAY())&gt;=3,IF(NETWORKDAYS(C1219,TODAY())&lt;5,"Risco Médio",""),IF(NETWORKDAYS(C1219,TODAY())&lt;=2,"Risco Baixo",""))))</f>
        <v>Expedido</v>
      </c>
      <c r="P1219" s="5" t="s">
        <v>25</v>
      </c>
      <c r="S1219" s="7">
        <f>IF(ISBLANK(M1219),"Aguardando Previsão/Data",NETWORKDAYS(L1219,M1219)-1)</f>
        <v>-6</v>
      </c>
      <c r="T1219" s="5" t="s">
        <v>942</v>
      </c>
    </row>
    <row r="1220" spans="1:20" x14ac:dyDescent="0.35">
      <c r="A1220" s="5">
        <v>8100274435</v>
      </c>
      <c r="B1220" s="5">
        <v>21166</v>
      </c>
      <c r="C1220" s="6">
        <v>45667</v>
      </c>
      <c r="D1220" s="5" t="s">
        <v>17</v>
      </c>
      <c r="E1220" s="5" t="s">
        <v>18</v>
      </c>
      <c r="F1220" s="5" t="s">
        <v>84</v>
      </c>
      <c r="G1220" s="5" t="s">
        <v>85</v>
      </c>
      <c r="H1220" s="5" t="s">
        <v>21</v>
      </c>
      <c r="I1220" s="5" t="s">
        <v>969</v>
      </c>
      <c r="J1220" s="5" t="s">
        <v>857</v>
      </c>
      <c r="K1220" s="5" t="s">
        <v>24</v>
      </c>
      <c r="L1220" s="6">
        <v>45677</v>
      </c>
      <c r="M1220" s="6">
        <v>45673</v>
      </c>
      <c r="N1220" s="6" t="s">
        <v>811</v>
      </c>
      <c r="O1220" s="5" t="str">
        <f ca="1">IF(P1220&lt;&gt;"EXPEDIÇÃO","Expedido",IF(NETWORKDAYS(C1220,TODAY())&gt;=5,"Risco Alto",IF(NETWORKDAYS(C1220,TODAY())&gt;=3,IF(NETWORKDAYS(C1220,TODAY())&lt;5,"Risco Médio",""),IF(NETWORKDAYS(C1220,TODAY())&lt;=2,"Risco Baixo",""))))</f>
        <v>Expedido</v>
      </c>
      <c r="P1220" s="5" t="s">
        <v>25</v>
      </c>
      <c r="S1220" s="7">
        <f>IF(ISBLANK(M1220),"Aguardando Previsão/Data",NETWORKDAYS(L1220,M1220)-1)</f>
        <v>-4</v>
      </c>
      <c r="T1220" s="5" t="s">
        <v>942</v>
      </c>
    </row>
    <row r="1221" spans="1:20" x14ac:dyDescent="0.35">
      <c r="A1221" s="5">
        <v>8100274436</v>
      </c>
      <c r="B1221" s="5">
        <v>21172</v>
      </c>
      <c r="C1221" s="6">
        <v>45667</v>
      </c>
      <c r="D1221" s="5" t="s">
        <v>17</v>
      </c>
      <c r="E1221" s="5" t="s">
        <v>18</v>
      </c>
      <c r="F1221" s="5" t="s">
        <v>84</v>
      </c>
      <c r="G1221" s="5" t="s">
        <v>85</v>
      </c>
      <c r="H1221" s="5" t="s">
        <v>21</v>
      </c>
      <c r="I1221" s="5" t="s">
        <v>954</v>
      </c>
      <c r="J1221" s="5" t="s">
        <v>857</v>
      </c>
      <c r="K1221" s="5" t="s">
        <v>24</v>
      </c>
      <c r="L1221" s="6">
        <v>45677</v>
      </c>
      <c r="M1221" s="6">
        <v>45670</v>
      </c>
      <c r="N1221" s="6" t="s">
        <v>811</v>
      </c>
      <c r="O1221" s="5" t="str">
        <f ca="1">IF(P1221&lt;&gt;"EXPEDIÇÃO","Expedido",IF(NETWORKDAYS(C1221,TODAY())&gt;=5,"Risco Alto",IF(NETWORKDAYS(C1221,TODAY())&gt;=3,IF(NETWORKDAYS(C1221,TODAY())&lt;5,"Risco Médio",""),IF(NETWORKDAYS(C1221,TODAY())&lt;=2,"Risco Baixo",""))))</f>
        <v>Expedido</v>
      </c>
      <c r="P1221" s="5" t="s">
        <v>25</v>
      </c>
      <c r="S1221" s="7">
        <f>IF(ISBLANK(M1221),"Aguardando Previsão/Data",NETWORKDAYS(L1221,M1221)-1)</f>
        <v>-7</v>
      </c>
      <c r="T1221" s="5" t="s">
        <v>942</v>
      </c>
    </row>
    <row r="1222" spans="1:20" x14ac:dyDescent="0.35">
      <c r="A1222" s="5">
        <v>8100274437</v>
      </c>
      <c r="B1222" s="5">
        <v>21169</v>
      </c>
      <c r="C1222" s="6">
        <v>45667</v>
      </c>
      <c r="D1222" s="5" t="s">
        <v>17</v>
      </c>
      <c r="E1222" s="5" t="s">
        <v>18</v>
      </c>
      <c r="F1222" s="5" t="s">
        <v>84</v>
      </c>
      <c r="G1222" s="5" t="s">
        <v>85</v>
      </c>
      <c r="H1222" s="5" t="s">
        <v>21</v>
      </c>
      <c r="I1222" s="5" t="s">
        <v>952</v>
      </c>
      <c r="J1222" s="5" t="s">
        <v>857</v>
      </c>
      <c r="K1222" s="5" t="s">
        <v>24</v>
      </c>
      <c r="L1222" s="6">
        <v>45677</v>
      </c>
      <c r="M1222" s="6">
        <v>45673</v>
      </c>
      <c r="N1222" s="6" t="s">
        <v>811</v>
      </c>
      <c r="O1222" s="5" t="str">
        <f ca="1">IF(P1222&lt;&gt;"EXPEDIÇÃO","Expedido",IF(NETWORKDAYS(C1222,TODAY())&gt;=5,"Risco Alto",IF(NETWORKDAYS(C1222,TODAY())&gt;=3,IF(NETWORKDAYS(C1222,TODAY())&lt;5,"Risco Médio",""),IF(NETWORKDAYS(C1222,TODAY())&lt;=2,"Risco Baixo",""))))</f>
        <v>Expedido</v>
      </c>
      <c r="P1222" s="5" t="s">
        <v>25</v>
      </c>
      <c r="S1222" s="7">
        <f>IF(ISBLANK(M1222),"Aguardando Previsão/Data",NETWORKDAYS(L1222,M1222)-1)</f>
        <v>-4</v>
      </c>
      <c r="T1222" s="5" t="s">
        <v>942</v>
      </c>
    </row>
    <row r="1223" spans="1:20" x14ac:dyDescent="0.35">
      <c r="A1223" s="5">
        <v>8100274438</v>
      </c>
      <c r="B1223" s="5">
        <v>21167</v>
      </c>
      <c r="C1223" s="6">
        <v>45667</v>
      </c>
      <c r="D1223" s="5" t="s">
        <v>17</v>
      </c>
      <c r="E1223" s="5" t="s">
        <v>18</v>
      </c>
      <c r="F1223" s="5" t="s">
        <v>84</v>
      </c>
      <c r="G1223" s="5" t="s">
        <v>85</v>
      </c>
      <c r="H1223" s="5" t="s">
        <v>21</v>
      </c>
      <c r="I1223" s="5" t="s">
        <v>952</v>
      </c>
      <c r="J1223" s="5" t="s">
        <v>857</v>
      </c>
      <c r="K1223" s="5" t="s">
        <v>24</v>
      </c>
      <c r="L1223" s="6">
        <v>45677</v>
      </c>
      <c r="M1223" s="6">
        <v>45673</v>
      </c>
      <c r="N1223" s="6" t="s">
        <v>811</v>
      </c>
      <c r="O1223" s="5" t="str">
        <f ca="1">IF(P1223&lt;&gt;"EXPEDIÇÃO","Expedido",IF(NETWORKDAYS(C1223,TODAY())&gt;=5,"Risco Alto",IF(NETWORKDAYS(C1223,TODAY())&gt;=3,IF(NETWORKDAYS(C1223,TODAY())&lt;5,"Risco Médio",""),IF(NETWORKDAYS(C1223,TODAY())&lt;=2,"Risco Baixo",""))))</f>
        <v>Expedido</v>
      </c>
      <c r="P1223" s="5" t="s">
        <v>25</v>
      </c>
      <c r="S1223" s="7">
        <f>IF(ISBLANK(M1223),"Aguardando Previsão/Data",NETWORKDAYS(L1223,M1223)-1)</f>
        <v>-4</v>
      </c>
      <c r="T1223" s="5" t="s">
        <v>942</v>
      </c>
    </row>
    <row r="1224" spans="1:20" x14ac:dyDescent="0.35">
      <c r="A1224" s="5">
        <v>8100274439</v>
      </c>
      <c r="B1224" s="5">
        <v>21173</v>
      </c>
      <c r="C1224" s="6">
        <v>45667</v>
      </c>
      <c r="D1224" s="5" t="s">
        <v>17</v>
      </c>
      <c r="E1224" s="5" t="s">
        <v>18</v>
      </c>
      <c r="F1224" s="5" t="s">
        <v>84</v>
      </c>
      <c r="G1224" s="5" t="s">
        <v>85</v>
      </c>
      <c r="H1224" s="5" t="s">
        <v>21</v>
      </c>
      <c r="I1224" s="5" t="s">
        <v>952</v>
      </c>
      <c r="J1224" s="5" t="s">
        <v>857</v>
      </c>
      <c r="K1224" s="5" t="s">
        <v>24</v>
      </c>
      <c r="L1224" s="6">
        <v>45677</v>
      </c>
      <c r="M1224" s="6">
        <v>45673</v>
      </c>
      <c r="N1224" s="6" t="s">
        <v>811</v>
      </c>
      <c r="O1224" s="5" t="str">
        <f ca="1">IF(P1224&lt;&gt;"EXPEDIÇÃO","Expedido",IF(NETWORKDAYS(C1224,TODAY())&gt;=5,"Risco Alto",IF(NETWORKDAYS(C1224,TODAY())&gt;=3,IF(NETWORKDAYS(C1224,TODAY())&lt;5,"Risco Médio",""),IF(NETWORKDAYS(C1224,TODAY())&lt;=2,"Risco Baixo",""))))</f>
        <v>Expedido</v>
      </c>
      <c r="P1224" s="5" t="s">
        <v>25</v>
      </c>
      <c r="S1224" s="7">
        <f>IF(ISBLANK(M1224),"Aguardando Previsão/Data",NETWORKDAYS(L1224,M1224)-1)</f>
        <v>-4</v>
      </c>
      <c r="T1224" s="5" t="s">
        <v>942</v>
      </c>
    </row>
    <row r="1225" spans="1:20" x14ac:dyDescent="0.35">
      <c r="A1225" s="5">
        <v>8100274440</v>
      </c>
      <c r="B1225" s="5">
        <v>21171</v>
      </c>
      <c r="C1225" s="6">
        <v>45667</v>
      </c>
      <c r="D1225" s="5" t="s">
        <v>17</v>
      </c>
      <c r="E1225" s="5" t="s">
        <v>18</v>
      </c>
      <c r="F1225" s="5" t="s">
        <v>44</v>
      </c>
      <c r="G1225" s="5" t="s">
        <v>45</v>
      </c>
      <c r="H1225" s="5" t="s">
        <v>21</v>
      </c>
      <c r="I1225" s="5" t="s">
        <v>814</v>
      </c>
      <c r="J1225" s="5" t="s">
        <v>256</v>
      </c>
      <c r="K1225" s="5" t="s">
        <v>24</v>
      </c>
      <c r="L1225" s="6">
        <v>45674</v>
      </c>
      <c r="M1225" s="6">
        <v>45673</v>
      </c>
      <c r="N1225" s="6" t="s">
        <v>811</v>
      </c>
      <c r="O1225" s="5" t="str">
        <f ca="1">IF(P1225&lt;&gt;"EXPEDIÇÃO","Expedido",IF(NETWORKDAYS(C1225,TODAY())&gt;=5,"Risco Alto",IF(NETWORKDAYS(C1225,TODAY())&gt;=3,IF(NETWORKDAYS(C1225,TODAY())&lt;5,"Risco Médio",""),IF(NETWORKDAYS(C1225,TODAY())&lt;=2,"Risco Baixo",""))))</f>
        <v>Expedido</v>
      </c>
      <c r="P1225" s="5" t="s">
        <v>25</v>
      </c>
      <c r="S1225" s="7">
        <f>IF(ISBLANK(M1225),"Aguardando Previsão/Data",NETWORKDAYS(L1225,M1225)-1)</f>
        <v>-3</v>
      </c>
      <c r="T1225" s="5" t="s">
        <v>942</v>
      </c>
    </row>
    <row r="1226" spans="1:20" x14ac:dyDescent="0.35">
      <c r="A1226" s="5">
        <v>8100274510</v>
      </c>
      <c r="B1226" s="5">
        <v>21174</v>
      </c>
      <c r="C1226" s="6">
        <v>45667</v>
      </c>
      <c r="D1226" s="5" t="s">
        <v>17</v>
      </c>
      <c r="E1226" s="5" t="s">
        <v>18</v>
      </c>
      <c r="F1226" s="5" t="s">
        <v>84</v>
      </c>
      <c r="G1226" s="5" t="s">
        <v>85</v>
      </c>
      <c r="H1226" s="5" t="s">
        <v>21</v>
      </c>
      <c r="I1226" s="5" t="s">
        <v>823</v>
      </c>
      <c r="J1226" s="5" t="s">
        <v>28</v>
      </c>
      <c r="K1226" s="5" t="s">
        <v>24</v>
      </c>
      <c r="L1226" s="6">
        <v>45674</v>
      </c>
      <c r="M1226" s="6">
        <v>45671</v>
      </c>
      <c r="N1226" s="6" t="s">
        <v>811</v>
      </c>
      <c r="O1226" s="5" t="str">
        <f ca="1">IF(P1226&lt;&gt;"EXPEDIÇÃO","Expedido",IF(NETWORKDAYS(C1226,TODAY())&gt;=5,"Risco Alto",IF(NETWORKDAYS(C1226,TODAY())&gt;=3,IF(NETWORKDAYS(C1226,TODAY())&lt;5,"Risco Médio",""),IF(NETWORKDAYS(C1226,TODAY())&lt;=2,"Risco Baixo",""))))</f>
        <v>Expedido</v>
      </c>
      <c r="P1226" s="5" t="s">
        <v>25</v>
      </c>
      <c r="S1226" s="7">
        <f>IF(ISBLANK(M1226),"Aguardando Previsão/Data",NETWORKDAYS(L1226,M1226)-1)</f>
        <v>-5</v>
      </c>
      <c r="T1226" s="5" t="s">
        <v>942</v>
      </c>
    </row>
    <row r="1227" spans="1:20" x14ac:dyDescent="0.35">
      <c r="A1227" s="5">
        <v>8100274511</v>
      </c>
      <c r="B1227" s="5">
        <v>21175</v>
      </c>
      <c r="C1227" s="6">
        <v>45667</v>
      </c>
      <c r="D1227" s="5" t="s">
        <v>17</v>
      </c>
      <c r="E1227" s="5" t="s">
        <v>18</v>
      </c>
      <c r="F1227" s="5" t="s">
        <v>84</v>
      </c>
      <c r="G1227" s="5" t="s">
        <v>85</v>
      </c>
      <c r="H1227" s="5" t="s">
        <v>21</v>
      </c>
      <c r="I1227" s="5" t="s">
        <v>593</v>
      </c>
      <c r="J1227" s="5" t="s">
        <v>28</v>
      </c>
      <c r="K1227" s="5" t="s">
        <v>24</v>
      </c>
      <c r="L1227" s="6">
        <v>45674</v>
      </c>
      <c r="M1227" s="6">
        <v>45674</v>
      </c>
      <c r="N1227" s="6" t="s">
        <v>811</v>
      </c>
      <c r="O1227" s="5" t="str">
        <f ca="1">IF(P1227&lt;&gt;"EXPEDIÇÃO","Expedido",IF(NETWORKDAYS(C1227,TODAY())&gt;=5,"Risco Alto",IF(NETWORKDAYS(C1227,TODAY())&gt;=3,IF(NETWORKDAYS(C1227,TODAY())&lt;5,"Risco Médio",""),IF(NETWORKDAYS(C1227,TODAY())&lt;=2,"Risco Baixo",""))))</f>
        <v>Expedido</v>
      </c>
      <c r="P1227" s="5" t="s">
        <v>25</v>
      </c>
      <c r="Q1227" s="5" t="s">
        <v>897</v>
      </c>
      <c r="S1227" s="7">
        <f>IF(ISBLANK(M1227),"Aguardando Previsão/Data",NETWORKDAYS(L1227,M1227)-1)</f>
        <v>0</v>
      </c>
      <c r="T1227" s="5" t="s">
        <v>942</v>
      </c>
    </row>
    <row r="1228" spans="1:20" x14ac:dyDescent="0.35">
      <c r="A1228" s="5">
        <v>8100274512</v>
      </c>
      <c r="B1228" s="5">
        <v>21178</v>
      </c>
      <c r="C1228" s="6">
        <v>45667</v>
      </c>
      <c r="D1228" s="5" t="s">
        <v>17</v>
      </c>
      <c r="E1228" s="5" t="s">
        <v>18</v>
      </c>
      <c r="F1228" s="5" t="s">
        <v>84</v>
      </c>
      <c r="G1228" s="5" t="s">
        <v>85</v>
      </c>
      <c r="H1228" s="5" t="s">
        <v>21</v>
      </c>
      <c r="I1228" s="5" t="s">
        <v>822</v>
      </c>
      <c r="J1228" s="5" t="s">
        <v>28</v>
      </c>
      <c r="K1228" s="5" t="s">
        <v>24</v>
      </c>
      <c r="L1228" s="6">
        <v>45674</v>
      </c>
      <c r="M1228" s="6">
        <v>45670</v>
      </c>
      <c r="N1228" s="6" t="s">
        <v>811</v>
      </c>
      <c r="O1228" s="5" t="str">
        <f ca="1">IF(P1228&lt;&gt;"EXPEDIÇÃO","Expedido",IF(NETWORKDAYS(C1228,TODAY())&gt;=5,"Risco Alto",IF(NETWORKDAYS(C1228,TODAY())&gt;=3,IF(NETWORKDAYS(C1228,TODAY())&lt;5,"Risco Médio",""),IF(NETWORKDAYS(C1228,TODAY())&lt;=2,"Risco Baixo",""))))</f>
        <v>Expedido</v>
      </c>
      <c r="P1228" s="5" t="s">
        <v>25</v>
      </c>
      <c r="S1228" s="7">
        <f>IF(ISBLANK(M1228),"Aguardando Previsão/Data",NETWORKDAYS(L1228,M1228)-1)</f>
        <v>-6</v>
      </c>
      <c r="T1228" s="5" t="s">
        <v>942</v>
      </c>
    </row>
    <row r="1229" spans="1:20" x14ac:dyDescent="0.35">
      <c r="A1229" s="5">
        <v>8100274513</v>
      </c>
      <c r="B1229" s="5">
        <v>21179</v>
      </c>
      <c r="C1229" s="6">
        <v>45667</v>
      </c>
      <c r="D1229" s="5" t="s">
        <v>17</v>
      </c>
      <c r="E1229" s="5" t="s">
        <v>18</v>
      </c>
      <c r="F1229" s="5" t="s">
        <v>84</v>
      </c>
      <c r="G1229" s="5" t="s">
        <v>85</v>
      </c>
      <c r="H1229" s="5" t="s">
        <v>21</v>
      </c>
      <c r="I1229" s="5" t="s">
        <v>593</v>
      </c>
      <c r="J1229" s="5" t="s">
        <v>28</v>
      </c>
      <c r="K1229" s="5" t="s">
        <v>24</v>
      </c>
      <c r="L1229" s="6">
        <v>45674</v>
      </c>
      <c r="M1229" s="6">
        <v>45674</v>
      </c>
      <c r="N1229" s="6" t="s">
        <v>811</v>
      </c>
      <c r="O1229" s="5" t="str">
        <f ca="1">IF(P1229&lt;&gt;"EXPEDIÇÃO","Expedido",IF(NETWORKDAYS(C1229,TODAY())&gt;=5,"Risco Alto",IF(NETWORKDAYS(C1229,TODAY())&gt;=3,IF(NETWORKDAYS(C1229,TODAY())&lt;5,"Risco Médio",""),IF(NETWORKDAYS(C1229,TODAY())&lt;=2,"Risco Baixo",""))))</f>
        <v>Expedido</v>
      </c>
      <c r="P1229" s="5" t="s">
        <v>25</v>
      </c>
      <c r="Q1229" s="5" t="s">
        <v>897</v>
      </c>
      <c r="S1229" s="7">
        <f>IF(ISBLANK(M1229),"Aguardando Previsão/Data",NETWORKDAYS(L1229,M1229)-1)</f>
        <v>0</v>
      </c>
      <c r="T1229" s="5" t="s">
        <v>942</v>
      </c>
    </row>
    <row r="1230" spans="1:20" x14ac:dyDescent="0.35">
      <c r="A1230" s="5">
        <v>8100274515</v>
      </c>
      <c r="B1230" s="5">
        <v>21180</v>
      </c>
      <c r="C1230" s="6">
        <v>45667</v>
      </c>
      <c r="D1230" s="5" t="s">
        <v>17</v>
      </c>
      <c r="E1230" s="5" t="s">
        <v>18</v>
      </c>
      <c r="F1230" s="5" t="s">
        <v>84</v>
      </c>
      <c r="G1230" s="5" t="s">
        <v>85</v>
      </c>
      <c r="H1230" s="5" t="s">
        <v>21</v>
      </c>
      <c r="I1230" s="5" t="s">
        <v>593</v>
      </c>
      <c r="J1230" s="5" t="s">
        <v>28</v>
      </c>
      <c r="K1230" s="5" t="s">
        <v>24</v>
      </c>
      <c r="L1230" s="6">
        <v>45674</v>
      </c>
      <c r="M1230" s="6">
        <v>45673</v>
      </c>
      <c r="N1230" s="6" t="s">
        <v>811</v>
      </c>
      <c r="O1230" s="5" t="str">
        <f ca="1">IF(P1230&lt;&gt;"EXPEDIÇÃO","Expedido",IF(NETWORKDAYS(C1230,TODAY())&gt;=5,"Risco Alto",IF(NETWORKDAYS(C1230,TODAY())&gt;=3,IF(NETWORKDAYS(C1230,TODAY())&lt;5,"Risco Médio",""),IF(NETWORKDAYS(C1230,TODAY())&lt;=2,"Risco Baixo",""))))</f>
        <v>Expedido</v>
      </c>
      <c r="P1230" s="5" t="s">
        <v>25</v>
      </c>
      <c r="Q1230" s="5" t="s">
        <v>897</v>
      </c>
      <c r="S1230" s="7">
        <f>IF(ISBLANK(M1230),"Aguardando Previsão/Data",NETWORKDAYS(L1230,M1230)-1)</f>
        <v>-3</v>
      </c>
      <c r="T1230" s="5" t="s">
        <v>942</v>
      </c>
    </row>
    <row r="1231" spans="1:20" x14ac:dyDescent="0.35">
      <c r="A1231" s="5">
        <v>8100274520</v>
      </c>
      <c r="B1231" s="5">
        <v>21185</v>
      </c>
      <c r="C1231" s="6">
        <v>45667</v>
      </c>
      <c r="D1231" s="5" t="s">
        <v>17</v>
      </c>
      <c r="E1231" s="5" t="s">
        <v>18</v>
      </c>
      <c r="F1231" s="5" t="s">
        <v>19</v>
      </c>
      <c r="G1231" s="5" t="s">
        <v>20</v>
      </c>
      <c r="H1231" s="5" t="s">
        <v>21</v>
      </c>
      <c r="I1231" s="5" t="s">
        <v>697</v>
      </c>
      <c r="J1231" s="5" t="s">
        <v>41</v>
      </c>
      <c r="K1231" s="5" t="s">
        <v>24</v>
      </c>
      <c r="L1231" s="6">
        <v>45679</v>
      </c>
      <c r="M1231" s="6">
        <v>45684</v>
      </c>
      <c r="N1231" s="6" t="s">
        <v>812</v>
      </c>
      <c r="O1231" s="5" t="str">
        <f ca="1">IF(P1231&lt;&gt;"EXPEDIÇÃO","Expedido",IF(NETWORKDAYS(C1231,TODAY())&gt;=5,"Risco Alto",IF(NETWORKDAYS(C1231,TODAY())&gt;=3,IF(NETWORKDAYS(C1231,TODAY())&lt;5,"Risco Médio",""),IF(NETWORKDAYS(C1231,TODAY())&lt;=2,"Risco Baixo",""))))</f>
        <v>Expedido</v>
      </c>
      <c r="P1231" s="5" t="s">
        <v>25</v>
      </c>
      <c r="Q1231" s="5" t="s">
        <v>937</v>
      </c>
      <c r="S1231" s="7">
        <f>IF(ISBLANK(M1231),"Aguardando Previsão/Data",NETWORKDAYS(L1231,M1231)-1)</f>
        <v>3</v>
      </c>
      <c r="T1231" s="5" t="s">
        <v>942</v>
      </c>
    </row>
    <row r="1232" spans="1:20" x14ac:dyDescent="0.35">
      <c r="A1232" s="5">
        <v>8100274538</v>
      </c>
      <c r="B1232" s="5">
        <v>21181</v>
      </c>
      <c r="C1232" s="6">
        <v>45667</v>
      </c>
      <c r="D1232" s="5" t="s">
        <v>17</v>
      </c>
      <c r="E1232" s="5" t="s">
        <v>18</v>
      </c>
      <c r="F1232" s="5" t="s">
        <v>84</v>
      </c>
      <c r="G1232" s="5" t="s">
        <v>85</v>
      </c>
      <c r="H1232" s="5" t="s">
        <v>21</v>
      </c>
      <c r="I1232" s="5" t="s">
        <v>822</v>
      </c>
      <c r="J1232" s="5" t="s">
        <v>28</v>
      </c>
      <c r="K1232" s="5" t="s">
        <v>24</v>
      </c>
      <c r="L1232" s="6">
        <v>45674</v>
      </c>
      <c r="M1232" s="6">
        <v>45670</v>
      </c>
      <c r="N1232" s="6" t="s">
        <v>811</v>
      </c>
      <c r="O1232" s="5" t="str">
        <f ca="1">IF(P1232&lt;&gt;"EXPEDIÇÃO","Expedido",IF(NETWORKDAYS(C1232,TODAY())&gt;=5,"Risco Alto",IF(NETWORKDAYS(C1232,TODAY())&gt;=3,IF(NETWORKDAYS(C1232,TODAY())&lt;5,"Risco Médio",""),IF(NETWORKDAYS(C1232,TODAY())&lt;=2,"Risco Baixo",""))))</f>
        <v>Expedido</v>
      </c>
      <c r="P1232" s="5" t="s">
        <v>25</v>
      </c>
      <c r="S1232" s="7">
        <f>IF(ISBLANK(M1232),"Aguardando Previsão/Data",NETWORKDAYS(L1232,M1232)-1)</f>
        <v>-6</v>
      </c>
      <c r="T1232" s="5" t="s">
        <v>942</v>
      </c>
    </row>
    <row r="1233" spans="1:20" x14ac:dyDescent="0.35">
      <c r="A1233" s="5">
        <v>8100274568</v>
      </c>
      <c r="B1233" s="5">
        <v>21188</v>
      </c>
      <c r="C1233" s="6">
        <v>45667</v>
      </c>
      <c r="D1233" s="5" t="s">
        <v>17</v>
      </c>
      <c r="E1233" s="5" t="s">
        <v>18</v>
      </c>
      <c r="F1233" s="5" t="s">
        <v>84</v>
      </c>
      <c r="G1233" s="5" t="s">
        <v>85</v>
      </c>
      <c r="H1233" s="5" t="s">
        <v>21</v>
      </c>
      <c r="I1233" s="5" t="s">
        <v>432</v>
      </c>
      <c r="J1233" s="5" t="s">
        <v>259</v>
      </c>
      <c r="K1233" s="5" t="s">
        <v>24</v>
      </c>
      <c r="L1233" s="6">
        <v>45677</v>
      </c>
      <c r="M1233" s="6">
        <v>45673</v>
      </c>
      <c r="N1233" s="6" t="s">
        <v>811</v>
      </c>
      <c r="O1233" s="5" t="str">
        <f ca="1">IF(P1233&lt;&gt;"EXPEDIÇÃO","Expedido",IF(NETWORKDAYS(C1233,TODAY())&gt;=5,"Risco Alto",IF(NETWORKDAYS(C1233,TODAY())&gt;=3,IF(NETWORKDAYS(C1233,TODAY())&lt;5,"Risco Médio",""),IF(NETWORKDAYS(C1233,TODAY())&lt;=2,"Risco Baixo",""))))</f>
        <v>Expedido</v>
      </c>
      <c r="P1233" s="5" t="s">
        <v>25</v>
      </c>
      <c r="S1233" s="7">
        <f>IF(ISBLANK(M1233),"Aguardando Previsão/Data",NETWORKDAYS(L1233,M1233)-1)</f>
        <v>-4</v>
      </c>
      <c r="T1233" s="5" t="s">
        <v>942</v>
      </c>
    </row>
    <row r="1234" spans="1:20" x14ac:dyDescent="0.35">
      <c r="A1234" s="5">
        <v>8100274569</v>
      </c>
      <c r="B1234" s="5">
        <v>21183</v>
      </c>
      <c r="C1234" s="6">
        <v>45667</v>
      </c>
      <c r="D1234" s="5" t="s">
        <v>17</v>
      </c>
      <c r="E1234" s="5" t="s">
        <v>18</v>
      </c>
      <c r="F1234" s="5" t="s">
        <v>32</v>
      </c>
      <c r="G1234" s="5" t="s">
        <v>33</v>
      </c>
      <c r="H1234" s="5" t="s">
        <v>21</v>
      </c>
      <c r="I1234" s="5" t="s">
        <v>830</v>
      </c>
      <c r="J1234" s="5" t="s">
        <v>368</v>
      </c>
      <c r="K1234" s="5" t="s">
        <v>24</v>
      </c>
      <c r="L1234" s="6">
        <v>45677</v>
      </c>
      <c r="M1234" s="6">
        <v>45673</v>
      </c>
      <c r="N1234" s="6" t="s">
        <v>811</v>
      </c>
      <c r="O1234" s="5" t="str">
        <f ca="1">IF(P1234&lt;&gt;"EXPEDIÇÃO","Expedido",IF(NETWORKDAYS(C1234,TODAY())&gt;=5,"Risco Alto",IF(NETWORKDAYS(C1234,TODAY())&gt;=3,IF(NETWORKDAYS(C1234,TODAY())&lt;5,"Risco Médio",""),IF(NETWORKDAYS(C1234,TODAY())&lt;=2,"Risco Baixo",""))))</f>
        <v>Expedido</v>
      </c>
      <c r="P1234" s="5" t="s">
        <v>25</v>
      </c>
      <c r="Q1234" s="5" t="s">
        <v>897</v>
      </c>
      <c r="S1234" s="7">
        <f>IF(ISBLANK(M1234),"Aguardando Previsão/Data",NETWORKDAYS(L1234,M1234)-1)</f>
        <v>-4</v>
      </c>
      <c r="T1234" s="5" t="s">
        <v>942</v>
      </c>
    </row>
    <row r="1235" spans="1:20" x14ac:dyDescent="0.35">
      <c r="A1235" s="5">
        <v>8100274570</v>
      </c>
      <c r="B1235" s="5">
        <v>21189</v>
      </c>
      <c r="C1235" s="6">
        <v>45667</v>
      </c>
      <c r="D1235" s="5" t="s">
        <v>17</v>
      </c>
      <c r="E1235" s="5" t="s">
        <v>18</v>
      </c>
      <c r="F1235" s="5" t="s">
        <v>84</v>
      </c>
      <c r="G1235" s="5" t="s">
        <v>85</v>
      </c>
      <c r="H1235" s="5" t="s">
        <v>21</v>
      </c>
      <c r="I1235" s="5" t="s">
        <v>432</v>
      </c>
      <c r="J1235" s="5" t="s">
        <v>259</v>
      </c>
      <c r="K1235" s="5" t="s">
        <v>24</v>
      </c>
      <c r="L1235" s="6">
        <v>45677</v>
      </c>
      <c r="M1235" s="6">
        <v>45673</v>
      </c>
      <c r="N1235" s="6" t="s">
        <v>811</v>
      </c>
      <c r="O1235" s="5" t="str">
        <f ca="1">IF(P1235&lt;&gt;"EXPEDIÇÃO","Expedido",IF(NETWORKDAYS(C1235,TODAY())&gt;=5,"Risco Alto",IF(NETWORKDAYS(C1235,TODAY())&gt;=3,IF(NETWORKDAYS(C1235,TODAY())&lt;5,"Risco Médio",""),IF(NETWORKDAYS(C1235,TODAY())&lt;=2,"Risco Baixo",""))))</f>
        <v>Expedido</v>
      </c>
      <c r="P1235" s="5" t="s">
        <v>25</v>
      </c>
      <c r="S1235" s="7">
        <f>IF(ISBLANK(M1235),"Aguardando Previsão/Data",NETWORKDAYS(L1235,M1235)-1)</f>
        <v>-4</v>
      </c>
      <c r="T1235" s="5" t="s">
        <v>942</v>
      </c>
    </row>
    <row r="1236" spans="1:20" x14ac:dyDescent="0.35">
      <c r="A1236" s="5">
        <v>8100274571</v>
      </c>
      <c r="B1236" s="5">
        <v>21190</v>
      </c>
      <c r="C1236" s="6">
        <v>45667</v>
      </c>
      <c r="D1236" s="5" t="s">
        <v>17</v>
      </c>
      <c r="E1236" s="5" t="s">
        <v>18</v>
      </c>
      <c r="F1236" s="5" t="s">
        <v>32</v>
      </c>
      <c r="G1236" s="5" t="s">
        <v>33</v>
      </c>
      <c r="H1236" s="5" t="s">
        <v>21</v>
      </c>
      <c r="I1236" s="5" t="s">
        <v>830</v>
      </c>
      <c r="J1236" s="5" t="s">
        <v>368</v>
      </c>
      <c r="K1236" s="5" t="s">
        <v>24</v>
      </c>
      <c r="L1236" s="6">
        <v>45677</v>
      </c>
      <c r="M1236" s="6">
        <v>45674</v>
      </c>
      <c r="N1236" s="6" t="s">
        <v>811</v>
      </c>
      <c r="O1236" s="5" t="str">
        <f ca="1">IF(P1236&lt;&gt;"EXPEDIÇÃO","Expedido",IF(NETWORKDAYS(C1236,TODAY())&gt;=5,"Risco Alto",IF(NETWORKDAYS(C1236,TODAY())&gt;=3,IF(NETWORKDAYS(C1236,TODAY())&lt;5,"Risco Médio",""),IF(NETWORKDAYS(C1236,TODAY())&lt;=2,"Risco Baixo",""))))</f>
        <v>Expedido</v>
      </c>
      <c r="P1236" s="5" t="s">
        <v>25</v>
      </c>
      <c r="Q1236" s="5" t="s">
        <v>897</v>
      </c>
      <c r="S1236" s="7">
        <f>IF(ISBLANK(M1236),"Aguardando Previsão/Data",NETWORKDAYS(L1236,M1236)-1)</f>
        <v>-3</v>
      </c>
      <c r="T1236" s="5" t="s">
        <v>942</v>
      </c>
    </row>
    <row r="1237" spans="1:20" x14ac:dyDescent="0.35">
      <c r="A1237" s="5">
        <v>8100274572</v>
      </c>
      <c r="B1237" s="5">
        <v>21182</v>
      </c>
      <c r="C1237" s="6">
        <v>45667</v>
      </c>
      <c r="D1237" s="5" t="s">
        <v>17</v>
      </c>
      <c r="E1237" s="5" t="s">
        <v>18</v>
      </c>
      <c r="F1237" s="5" t="s">
        <v>84</v>
      </c>
      <c r="G1237" s="5" t="s">
        <v>85</v>
      </c>
      <c r="H1237" s="5" t="s">
        <v>21</v>
      </c>
      <c r="I1237" s="5" t="s">
        <v>952</v>
      </c>
      <c r="J1237" s="5" t="s">
        <v>857</v>
      </c>
      <c r="K1237" s="5" t="s">
        <v>24</v>
      </c>
      <c r="L1237" s="6">
        <v>45677</v>
      </c>
      <c r="M1237" s="6">
        <v>45673</v>
      </c>
      <c r="N1237" s="6" t="s">
        <v>811</v>
      </c>
      <c r="O1237" s="5" t="str">
        <f ca="1">IF(P1237&lt;&gt;"EXPEDIÇÃO","Expedido",IF(NETWORKDAYS(C1237,TODAY())&gt;=5,"Risco Alto",IF(NETWORKDAYS(C1237,TODAY())&gt;=3,IF(NETWORKDAYS(C1237,TODAY())&lt;5,"Risco Médio",""),IF(NETWORKDAYS(C1237,TODAY())&lt;=2,"Risco Baixo",""))))</f>
        <v>Expedido</v>
      </c>
      <c r="P1237" s="5" t="s">
        <v>25</v>
      </c>
      <c r="S1237" s="7">
        <f>IF(ISBLANK(M1237),"Aguardando Previsão/Data",NETWORKDAYS(L1237,M1237)-1)</f>
        <v>-4</v>
      </c>
      <c r="T1237" s="5" t="s">
        <v>942</v>
      </c>
    </row>
    <row r="1238" spans="1:20" x14ac:dyDescent="0.35">
      <c r="A1238" s="5">
        <v>8100274573</v>
      </c>
      <c r="B1238" s="5">
        <v>21168</v>
      </c>
      <c r="C1238" s="6">
        <v>45667</v>
      </c>
      <c r="D1238" s="5" t="s">
        <v>17</v>
      </c>
      <c r="E1238" s="5" t="s">
        <v>18</v>
      </c>
      <c r="F1238" s="5" t="s">
        <v>32</v>
      </c>
      <c r="G1238" s="5" t="s">
        <v>33</v>
      </c>
      <c r="H1238" s="5" t="s">
        <v>21</v>
      </c>
      <c r="I1238" s="5" t="s">
        <v>366</v>
      </c>
      <c r="J1238" s="5" t="s">
        <v>23</v>
      </c>
      <c r="K1238" s="5" t="s">
        <v>24</v>
      </c>
      <c r="L1238" s="6">
        <v>45673</v>
      </c>
      <c r="M1238" s="6">
        <v>45671</v>
      </c>
      <c r="N1238" s="6" t="s">
        <v>811</v>
      </c>
      <c r="O1238" s="5" t="str">
        <f ca="1">IF(P1238&lt;&gt;"EXPEDIÇÃO","Expedido",IF(NETWORKDAYS(C1238,TODAY())&gt;=5,"Risco Alto",IF(NETWORKDAYS(C1238,TODAY())&gt;=3,IF(NETWORKDAYS(C1238,TODAY())&lt;5,"Risco Médio",""),IF(NETWORKDAYS(C1238,TODAY())&lt;=2,"Risco Baixo",""))))</f>
        <v>Expedido</v>
      </c>
      <c r="P1238" s="5" t="s">
        <v>25</v>
      </c>
      <c r="S1238" s="7">
        <f>IF(ISBLANK(M1238),"Aguardando Previsão/Data",NETWORKDAYS(L1238,M1238)-1)</f>
        <v>-4</v>
      </c>
      <c r="T1238" s="5" t="s">
        <v>942</v>
      </c>
    </row>
    <row r="1239" spans="1:20" x14ac:dyDescent="0.35">
      <c r="A1239" s="5">
        <v>8100274574</v>
      </c>
      <c r="B1239" s="5">
        <v>21186</v>
      </c>
      <c r="C1239" s="6">
        <v>45667</v>
      </c>
      <c r="D1239" s="5" t="s">
        <v>17</v>
      </c>
      <c r="E1239" s="5" t="s">
        <v>18</v>
      </c>
      <c r="F1239" s="5" t="s">
        <v>39</v>
      </c>
      <c r="G1239" s="5" t="s">
        <v>40</v>
      </c>
      <c r="H1239" s="5" t="s">
        <v>21</v>
      </c>
      <c r="I1239" s="5" t="s">
        <v>1281</v>
      </c>
      <c r="J1239" s="5" t="s">
        <v>466</v>
      </c>
      <c r="K1239" s="5" t="s">
        <v>24</v>
      </c>
      <c r="L1239" s="6">
        <v>45679</v>
      </c>
      <c r="M1239" s="6">
        <v>45681</v>
      </c>
      <c r="N1239" s="6" t="s">
        <v>811</v>
      </c>
      <c r="O1239" s="5" t="str">
        <f ca="1">IF(P1239&lt;&gt;"EXPEDIÇÃO","Expedido",IF(NETWORKDAYS(C1239,TODAY())&gt;=5,"Risco Alto",IF(NETWORKDAYS(C1239,TODAY())&gt;=3,IF(NETWORKDAYS(C1239,TODAY())&lt;5,"Risco Médio",""),IF(NETWORKDAYS(C1239,TODAY())&lt;=2,"Risco Baixo",""))))</f>
        <v>Expedido</v>
      </c>
      <c r="P1239" s="5" t="s">
        <v>25</v>
      </c>
      <c r="Q1239" s="5" t="s">
        <v>897</v>
      </c>
      <c r="R1239" s="5">
        <v>1694760</v>
      </c>
      <c r="S1239" s="7">
        <f>IF(ISBLANK(M1239),"Aguardando Previsão/Data",NETWORKDAYS(L1239,M1239)-1)</f>
        <v>2</v>
      </c>
      <c r="T1239" s="5" t="s">
        <v>942</v>
      </c>
    </row>
    <row r="1240" spans="1:20" x14ac:dyDescent="0.35">
      <c r="A1240" s="5">
        <v>8100274575</v>
      </c>
      <c r="B1240" s="5">
        <v>21184</v>
      </c>
      <c r="C1240" s="6">
        <v>45667</v>
      </c>
      <c r="D1240" s="5" t="s">
        <v>17</v>
      </c>
      <c r="E1240" s="5" t="s">
        <v>18</v>
      </c>
      <c r="F1240" s="5" t="s">
        <v>32</v>
      </c>
      <c r="G1240" s="5" t="s">
        <v>33</v>
      </c>
      <c r="H1240" s="5" t="s">
        <v>21</v>
      </c>
      <c r="I1240" s="5" t="s">
        <v>830</v>
      </c>
      <c r="J1240" s="5" t="s">
        <v>368</v>
      </c>
      <c r="K1240" s="5" t="s">
        <v>24</v>
      </c>
      <c r="L1240" s="6">
        <v>45677</v>
      </c>
      <c r="M1240" s="6">
        <v>45673</v>
      </c>
      <c r="N1240" s="6" t="s">
        <v>811</v>
      </c>
      <c r="O1240" s="5" t="str">
        <f ca="1">IF(P1240&lt;&gt;"EXPEDIÇÃO","Expedido",IF(NETWORKDAYS(C1240,TODAY())&gt;=5,"Risco Alto",IF(NETWORKDAYS(C1240,TODAY())&gt;=3,IF(NETWORKDAYS(C1240,TODAY())&lt;5,"Risco Médio",""),IF(NETWORKDAYS(C1240,TODAY())&lt;=2,"Risco Baixo",""))))</f>
        <v>Expedido</v>
      </c>
      <c r="P1240" s="5" t="s">
        <v>25</v>
      </c>
      <c r="Q1240" s="5" t="s">
        <v>897</v>
      </c>
      <c r="S1240" s="7">
        <f>IF(ISBLANK(M1240),"Aguardando Previsão/Data",NETWORKDAYS(L1240,M1240)-1)</f>
        <v>-4</v>
      </c>
      <c r="T1240" s="5" t="s">
        <v>942</v>
      </c>
    </row>
    <row r="1241" spans="1:20" x14ac:dyDescent="0.35">
      <c r="A1241" s="5">
        <v>8100274071</v>
      </c>
      <c r="B1241" s="5">
        <v>13168</v>
      </c>
      <c r="C1241" s="6">
        <v>45667</v>
      </c>
      <c r="D1241" s="5" t="s">
        <v>91</v>
      </c>
      <c r="E1241" s="5" t="s">
        <v>92</v>
      </c>
      <c r="F1241" s="5" t="s">
        <v>96</v>
      </c>
      <c r="G1241" s="5" t="s">
        <v>97</v>
      </c>
      <c r="H1241" s="5" t="s">
        <v>21</v>
      </c>
      <c r="I1241" s="5" t="s">
        <v>1272</v>
      </c>
      <c r="J1241" s="5" t="s">
        <v>470</v>
      </c>
      <c r="K1241" s="5" t="s">
        <v>101</v>
      </c>
      <c r="L1241" s="6">
        <v>45678</v>
      </c>
      <c r="M1241" s="6">
        <v>45671</v>
      </c>
      <c r="N1241" s="6" t="s">
        <v>811</v>
      </c>
      <c r="O1241" s="5" t="str">
        <f ca="1">IF(P1241&lt;&gt;"EXPEDIÇÃO","Expedido",IF(NETWORKDAYS(C1241,TODAY())&gt;=5,"Risco Alto",IF(NETWORKDAYS(C1241,TODAY())&gt;=3,IF(NETWORKDAYS(C1241,TODAY())&lt;5,"Risco Médio",""),IF(NETWORKDAYS(C1241,TODAY())&lt;=2,"Risco Baixo",""))))</f>
        <v>Expedido</v>
      </c>
      <c r="P1241" s="5" t="s">
        <v>25</v>
      </c>
      <c r="S1241" s="7">
        <f>IF(ISBLANK(M1241),"Aguardando Previsão/Data",NETWORKDAYS(L1241,M1241)-1)</f>
        <v>-7</v>
      </c>
      <c r="T1241" s="5" t="s">
        <v>942</v>
      </c>
    </row>
    <row r="1242" spans="1:20" x14ac:dyDescent="0.35">
      <c r="A1242" s="5">
        <v>8100274332</v>
      </c>
      <c r="B1242" s="5">
        <v>13176</v>
      </c>
      <c r="C1242" s="6">
        <v>45667</v>
      </c>
      <c r="D1242" s="5" t="s">
        <v>91</v>
      </c>
      <c r="E1242" s="5" t="s">
        <v>92</v>
      </c>
      <c r="F1242" s="5" t="s">
        <v>96</v>
      </c>
      <c r="G1242" s="5" t="s">
        <v>97</v>
      </c>
      <c r="H1242" s="5" t="s">
        <v>21</v>
      </c>
      <c r="I1242" s="5" t="s">
        <v>1011</v>
      </c>
      <c r="J1242" s="5" t="s">
        <v>472</v>
      </c>
      <c r="K1242" s="5" t="s">
        <v>95</v>
      </c>
      <c r="L1242" s="6">
        <v>45674</v>
      </c>
      <c r="M1242" s="6">
        <v>45672</v>
      </c>
      <c r="N1242" s="6" t="s">
        <v>811</v>
      </c>
      <c r="O1242" s="5" t="str">
        <f ca="1">IF(P1242&lt;&gt;"EXPEDIÇÃO","Expedido",IF(NETWORKDAYS(C1242,TODAY())&gt;=5,"Risco Alto",IF(NETWORKDAYS(C1242,TODAY())&gt;=3,IF(NETWORKDAYS(C1242,TODAY())&lt;5,"Risco Médio",""),IF(NETWORKDAYS(C1242,TODAY())&lt;=2,"Risco Baixo",""))))</f>
        <v>Expedido</v>
      </c>
      <c r="P1242" s="5" t="s">
        <v>25</v>
      </c>
      <c r="S1242" s="7">
        <f>IF(ISBLANK(M1242),"Aguardando Previsão/Data",NETWORKDAYS(L1242,M1242)-1)</f>
        <v>-4</v>
      </c>
      <c r="T1242" s="5" t="s">
        <v>942</v>
      </c>
    </row>
    <row r="1243" spans="1:20" x14ac:dyDescent="0.35">
      <c r="A1243" s="5">
        <v>8100274336</v>
      </c>
      <c r="B1243" s="5">
        <v>13172</v>
      </c>
      <c r="C1243" s="6">
        <v>45667</v>
      </c>
      <c r="D1243" s="5" t="s">
        <v>91</v>
      </c>
      <c r="E1243" s="5" t="s">
        <v>92</v>
      </c>
      <c r="F1243" s="5" t="s">
        <v>66</v>
      </c>
      <c r="G1243" s="5" t="s">
        <v>67</v>
      </c>
      <c r="H1243" s="5" t="s">
        <v>21</v>
      </c>
      <c r="I1243" s="5" t="s">
        <v>384</v>
      </c>
      <c r="J1243" s="5" t="s">
        <v>385</v>
      </c>
      <c r="K1243" s="5" t="s">
        <v>95</v>
      </c>
      <c r="L1243" s="6">
        <v>45680</v>
      </c>
      <c r="M1243" s="6">
        <v>45672</v>
      </c>
      <c r="N1243" s="6" t="s">
        <v>811</v>
      </c>
      <c r="O1243" s="5" t="str">
        <f ca="1">IF(P1243&lt;&gt;"EXPEDIÇÃO","Expedido",IF(NETWORKDAYS(C1243,TODAY())&gt;=5,"Risco Alto",IF(NETWORKDAYS(C1243,TODAY())&gt;=3,IF(NETWORKDAYS(C1243,TODAY())&lt;5,"Risco Médio",""),IF(NETWORKDAYS(C1243,TODAY())&lt;=2,"Risco Baixo",""))))</f>
        <v>Expedido</v>
      </c>
      <c r="P1243" s="5" t="s">
        <v>25</v>
      </c>
      <c r="S1243" s="7">
        <f>IF(ISBLANK(M1243),"Aguardando Previsão/Data",NETWORKDAYS(L1243,M1243)-1)</f>
        <v>-8</v>
      </c>
      <c r="T1243" s="5" t="s">
        <v>942</v>
      </c>
    </row>
    <row r="1244" spans="1:20" x14ac:dyDescent="0.35">
      <c r="A1244" s="5">
        <v>8100274337</v>
      </c>
      <c r="B1244" s="5">
        <v>13178</v>
      </c>
      <c r="C1244" s="6">
        <v>45667</v>
      </c>
      <c r="D1244" s="5" t="s">
        <v>91</v>
      </c>
      <c r="E1244" s="5" t="s">
        <v>92</v>
      </c>
      <c r="F1244" s="5" t="s">
        <v>96</v>
      </c>
      <c r="G1244" s="5" t="s">
        <v>97</v>
      </c>
      <c r="H1244" s="5" t="s">
        <v>21</v>
      </c>
      <c r="I1244" s="5" t="s">
        <v>1274</v>
      </c>
      <c r="J1244" s="5" t="s">
        <v>99</v>
      </c>
      <c r="K1244" s="5" t="s">
        <v>95</v>
      </c>
      <c r="L1244" s="6">
        <v>45673</v>
      </c>
      <c r="M1244" s="6">
        <v>45671</v>
      </c>
      <c r="N1244" s="6" t="s">
        <v>811</v>
      </c>
      <c r="O1244" s="5" t="str">
        <f ca="1">IF(P1244&lt;&gt;"EXPEDIÇÃO","Expedido",IF(NETWORKDAYS(C1244,TODAY())&gt;=5,"Risco Alto",IF(NETWORKDAYS(C1244,TODAY())&gt;=3,IF(NETWORKDAYS(C1244,TODAY())&lt;5,"Risco Médio",""),IF(NETWORKDAYS(C1244,TODAY())&lt;=2,"Risco Baixo",""))))</f>
        <v>Expedido</v>
      </c>
      <c r="P1244" s="5" t="s">
        <v>25</v>
      </c>
      <c r="S1244" s="7">
        <f>IF(ISBLANK(M1244),"Aguardando Previsão/Data",NETWORKDAYS(L1244,M1244)-1)</f>
        <v>-4</v>
      </c>
      <c r="T1244" s="5" t="s">
        <v>942</v>
      </c>
    </row>
    <row r="1245" spans="1:20" x14ac:dyDescent="0.35">
      <c r="A1245" s="5">
        <v>8100274338</v>
      </c>
      <c r="B1245" s="5">
        <v>13173</v>
      </c>
      <c r="C1245" s="6">
        <v>45667</v>
      </c>
      <c r="D1245" s="5" t="s">
        <v>91</v>
      </c>
      <c r="E1245" s="5" t="s">
        <v>92</v>
      </c>
      <c r="F1245" s="5" t="s">
        <v>66</v>
      </c>
      <c r="G1245" s="5" t="s">
        <v>67</v>
      </c>
      <c r="H1245" s="5" t="s">
        <v>21</v>
      </c>
      <c r="I1245" s="5" t="s">
        <v>384</v>
      </c>
      <c r="J1245" s="5" t="s">
        <v>385</v>
      </c>
      <c r="K1245" s="5" t="s">
        <v>95</v>
      </c>
      <c r="L1245" s="6">
        <v>45680</v>
      </c>
      <c r="M1245" s="6">
        <v>45672</v>
      </c>
      <c r="N1245" s="6" t="s">
        <v>811</v>
      </c>
      <c r="O1245" s="5" t="str">
        <f ca="1">IF(P1245&lt;&gt;"EXPEDIÇÃO","Expedido",IF(NETWORKDAYS(C1245,TODAY())&gt;=5,"Risco Alto",IF(NETWORKDAYS(C1245,TODAY())&gt;=3,IF(NETWORKDAYS(C1245,TODAY())&lt;5,"Risco Médio",""),IF(NETWORKDAYS(C1245,TODAY())&lt;=2,"Risco Baixo",""))))</f>
        <v>Expedido</v>
      </c>
      <c r="P1245" s="5" t="s">
        <v>25</v>
      </c>
      <c r="S1245" s="7">
        <f>IF(ISBLANK(M1245),"Aguardando Previsão/Data",NETWORKDAYS(L1245,M1245)-1)</f>
        <v>-8</v>
      </c>
      <c r="T1245" s="5" t="s">
        <v>942</v>
      </c>
    </row>
    <row r="1246" spans="1:20" x14ac:dyDescent="0.35">
      <c r="A1246" s="5">
        <v>8100274339</v>
      </c>
      <c r="B1246" s="5">
        <v>13179</v>
      </c>
      <c r="C1246" s="6">
        <v>45667</v>
      </c>
      <c r="D1246" s="5" t="s">
        <v>91</v>
      </c>
      <c r="E1246" s="5" t="s">
        <v>92</v>
      </c>
      <c r="F1246" s="5" t="s">
        <v>96</v>
      </c>
      <c r="G1246" s="5" t="s">
        <v>97</v>
      </c>
      <c r="H1246" s="5" t="s">
        <v>21</v>
      </c>
      <c r="I1246" s="5" t="s">
        <v>1025</v>
      </c>
      <c r="J1246" s="5" t="s">
        <v>636</v>
      </c>
      <c r="K1246" s="5" t="s">
        <v>95</v>
      </c>
      <c r="L1246" s="6">
        <v>45674</v>
      </c>
      <c r="M1246" s="6">
        <v>45671</v>
      </c>
      <c r="N1246" s="6" t="s">
        <v>811</v>
      </c>
      <c r="O1246" s="5" t="str">
        <f ca="1">IF(P1246&lt;&gt;"EXPEDIÇÃO","Expedido",IF(NETWORKDAYS(C1246,TODAY())&gt;=5,"Risco Alto",IF(NETWORKDAYS(C1246,TODAY())&gt;=3,IF(NETWORKDAYS(C1246,TODAY())&lt;5,"Risco Médio",""),IF(NETWORKDAYS(C1246,TODAY())&lt;=2,"Risco Baixo",""))))</f>
        <v>Expedido</v>
      </c>
      <c r="P1246" s="5" t="s">
        <v>25</v>
      </c>
      <c r="S1246" s="7">
        <f>IF(ISBLANK(M1246),"Aguardando Previsão/Data",NETWORKDAYS(L1246,M1246)-1)</f>
        <v>-5</v>
      </c>
      <c r="T1246" s="5" t="s">
        <v>942</v>
      </c>
    </row>
    <row r="1247" spans="1:20" x14ac:dyDescent="0.35">
      <c r="A1247" s="5">
        <v>8100274368</v>
      </c>
      <c r="B1247" s="5">
        <v>13174</v>
      </c>
      <c r="C1247" s="6">
        <v>45667</v>
      </c>
      <c r="D1247" s="5" t="s">
        <v>91</v>
      </c>
      <c r="E1247" s="5" t="s">
        <v>92</v>
      </c>
      <c r="F1247" s="5" t="s">
        <v>58</v>
      </c>
      <c r="G1247" s="5" t="s">
        <v>59</v>
      </c>
      <c r="H1247" s="5" t="s">
        <v>21</v>
      </c>
      <c r="I1247" s="5" t="s">
        <v>384</v>
      </c>
      <c r="J1247" s="5" t="s">
        <v>385</v>
      </c>
      <c r="K1247" s="5" t="s">
        <v>95</v>
      </c>
      <c r="L1247" s="6">
        <v>45680</v>
      </c>
      <c r="M1247" s="6">
        <v>45672</v>
      </c>
      <c r="N1247" s="6" t="s">
        <v>811</v>
      </c>
      <c r="O1247" s="5" t="str">
        <f ca="1">IF(P1247&lt;&gt;"EXPEDIÇÃO","Expedido",IF(NETWORKDAYS(C1247,TODAY())&gt;=5,"Risco Alto",IF(NETWORKDAYS(C1247,TODAY())&gt;=3,IF(NETWORKDAYS(C1247,TODAY())&lt;5,"Risco Médio",""),IF(NETWORKDAYS(C1247,TODAY())&lt;=2,"Risco Baixo",""))))</f>
        <v>Expedido</v>
      </c>
      <c r="P1247" s="5" t="s">
        <v>25</v>
      </c>
      <c r="S1247" s="7">
        <f>IF(ISBLANK(M1247),"Aguardando Previsão/Data",NETWORKDAYS(L1247,M1247)-1)</f>
        <v>-8</v>
      </c>
      <c r="T1247" s="5" t="s">
        <v>942</v>
      </c>
    </row>
    <row r="1248" spans="1:20" x14ac:dyDescent="0.35">
      <c r="A1248" s="5">
        <v>8100274369</v>
      </c>
      <c r="B1248" s="5">
        <v>13169</v>
      </c>
      <c r="C1248" s="6">
        <v>45667</v>
      </c>
      <c r="D1248" s="5" t="s">
        <v>91</v>
      </c>
      <c r="E1248" s="5" t="s">
        <v>92</v>
      </c>
      <c r="F1248" s="5" t="s">
        <v>66</v>
      </c>
      <c r="G1248" s="5" t="s">
        <v>67</v>
      </c>
      <c r="H1248" s="5" t="s">
        <v>21</v>
      </c>
      <c r="I1248" s="5" t="s">
        <v>559</v>
      </c>
      <c r="J1248" s="5" t="s">
        <v>385</v>
      </c>
      <c r="K1248" s="5" t="s">
        <v>95</v>
      </c>
      <c r="L1248" s="6">
        <v>45680</v>
      </c>
      <c r="M1248" s="6">
        <v>45672</v>
      </c>
      <c r="N1248" s="6" t="s">
        <v>811</v>
      </c>
      <c r="O1248" s="5" t="str">
        <f ca="1">IF(P1248&lt;&gt;"EXPEDIÇÃO","Expedido",IF(NETWORKDAYS(C1248,TODAY())&gt;=5,"Risco Alto",IF(NETWORKDAYS(C1248,TODAY())&gt;=3,IF(NETWORKDAYS(C1248,TODAY())&lt;5,"Risco Médio",""),IF(NETWORKDAYS(C1248,TODAY())&lt;=2,"Risco Baixo",""))))</f>
        <v>Expedido</v>
      </c>
      <c r="P1248" s="5" t="s">
        <v>25</v>
      </c>
      <c r="S1248" s="7">
        <f>IF(ISBLANK(M1248),"Aguardando Previsão/Data",NETWORKDAYS(L1248,M1248)-1)</f>
        <v>-8</v>
      </c>
      <c r="T1248" s="5" t="s">
        <v>942</v>
      </c>
    </row>
    <row r="1249" spans="1:20" x14ac:dyDescent="0.35">
      <c r="A1249" s="5">
        <v>8100274518</v>
      </c>
      <c r="B1249" s="5">
        <v>13171</v>
      </c>
      <c r="C1249" s="6">
        <v>45667</v>
      </c>
      <c r="D1249" s="5" t="s">
        <v>91</v>
      </c>
      <c r="E1249" s="5" t="s">
        <v>92</v>
      </c>
      <c r="F1249" s="5" t="s">
        <v>58</v>
      </c>
      <c r="G1249" s="5" t="s">
        <v>59</v>
      </c>
      <c r="H1249" s="5" t="s">
        <v>21</v>
      </c>
      <c r="I1249" s="5" t="s">
        <v>559</v>
      </c>
      <c r="J1249" s="5" t="s">
        <v>560</v>
      </c>
      <c r="K1249" s="5" t="s">
        <v>95</v>
      </c>
      <c r="L1249" s="6">
        <v>45680</v>
      </c>
      <c r="M1249" s="6">
        <v>45671</v>
      </c>
      <c r="N1249" s="6" t="s">
        <v>811</v>
      </c>
      <c r="O1249" s="5" t="str">
        <f ca="1">IF(P1249&lt;&gt;"EXPEDIÇÃO","Expedido",IF(NETWORKDAYS(C1249,TODAY())&gt;=5,"Risco Alto",IF(NETWORKDAYS(C1249,TODAY())&gt;=3,IF(NETWORKDAYS(C1249,TODAY())&lt;5,"Risco Médio",""),IF(NETWORKDAYS(C1249,TODAY())&lt;=2,"Risco Baixo",""))))</f>
        <v>Expedido</v>
      </c>
      <c r="P1249" s="5" t="s">
        <v>25</v>
      </c>
      <c r="S1249" s="7">
        <f>IF(ISBLANK(M1249),"Aguardando Previsão/Data",NETWORKDAYS(L1249,M1249)-1)</f>
        <v>-9</v>
      </c>
      <c r="T1249" s="5" t="s">
        <v>942</v>
      </c>
    </row>
    <row r="1250" spans="1:20" x14ac:dyDescent="0.35">
      <c r="A1250" s="5">
        <v>8100274519</v>
      </c>
      <c r="B1250" s="5">
        <v>13170</v>
      </c>
      <c r="C1250" s="6">
        <v>45667</v>
      </c>
      <c r="D1250" s="5" t="s">
        <v>91</v>
      </c>
      <c r="E1250" s="5" t="s">
        <v>92</v>
      </c>
      <c r="F1250" s="5" t="s">
        <v>58</v>
      </c>
      <c r="G1250" s="5" t="s">
        <v>59</v>
      </c>
      <c r="H1250" s="5" t="s">
        <v>21</v>
      </c>
      <c r="I1250" s="5" t="s">
        <v>534</v>
      </c>
      <c r="J1250" s="5" t="s">
        <v>535</v>
      </c>
      <c r="K1250" s="5" t="s">
        <v>95</v>
      </c>
      <c r="L1250" s="6">
        <v>45680</v>
      </c>
      <c r="M1250" s="6">
        <v>45670</v>
      </c>
      <c r="N1250" s="6" t="s">
        <v>811</v>
      </c>
      <c r="O1250" s="5" t="str">
        <f ca="1">IF(P1250&lt;&gt;"EXPEDIÇÃO","Expedido",IF(NETWORKDAYS(C1250,TODAY())&gt;=5,"Risco Alto",IF(NETWORKDAYS(C1250,TODAY())&gt;=3,IF(NETWORKDAYS(C1250,TODAY())&lt;5,"Risco Médio",""),IF(NETWORKDAYS(C1250,TODAY())&lt;=2,"Risco Baixo",""))))</f>
        <v>Expedido</v>
      </c>
      <c r="P1250" s="5" t="s">
        <v>25</v>
      </c>
      <c r="S1250" s="7">
        <f>IF(ISBLANK(M1250),"Aguardando Previsão/Data",NETWORKDAYS(L1250,M1250)-1)</f>
        <v>-10</v>
      </c>
      <c r="T1250" s="5" t="s">
        <v>942</v>
      </c>
    </row>
    <row r="1251" spans="1:20" x14ac:dyDescent="0.35">
      <c r="A1251" s="5">
        <v>8100274531</v>
      </c>
      <c r="B1251" s="5">
        <v>13177</v>
      </c>
      <c r="C1251" s="6">
        <v>45667</v>
      </c>
      <c r="D1251" s="5" t="s">
        <v>91</v>
      </c>
      <c r="E1251" s="5" t="s">
        <v>92</v>
      </c>
      <c r="F1251" s="5" t="s">
        <v>96</v>
      </c>
      <c r="G1251" s="5" t="s">
        <v>97</v>
      </c>
      <c r="H1251" s="5" t="s">
        <v>21</v>
      </c>
      <c r="I1251" s="5" t="s">
        <v>819</v>
      </c>
      <c r="J1251" s="5" t="s">
        <v>426</v>
      </c>
      <c r="K1251" s="5" t="s">
        <v>95</v>
      </c>
      <c r="L1251" s="6">
        <v>45674</v>
      </c>
      <c r="M1251" s="6">
        <v>45671</v>
      </c>
      <c r="N1251" s="6" t="s">
        <v>811</v>
      </c>
      <c r="O1251" s="5" t="str">
        <f ca="1">IF(P1251&lt;&gt;"EXPEDIÇÃO","Expedido",IF(NETWORKDAYS(C1251,TODAY())&gt;=5,"Risco Alto",IF(NETWORKDAYS(C1251,TODAY())&gt;=3,IF(NETWORKDAYS(C1251,TODAY())&lt;5,"Risco Médio",""),IF(NETWORKDAYS(C1251,TODAY())&lt;=2,"Risco Baixo",""))))</f>
        <v>Expedido</v>
      </c>
      <c r="P1251" s="5" t="s">
        <v>25</v>
      </c>
      <c r="S1251" s="7">
        <f>IF(ISBLANK(M1251),"Aguardando Previsão/Data",NETWORKDAYS(L1251,M1251)-1)</f>
        <v>-5</v>
      </c>
      <c r="T1251" s="5" t="s">
        <v>942</v>
      </c>
    </row>
    <row r="1252" spans="1:20" x14ac:dyDescent="0.35">
      <c r="A1252" s="5">
        <v>8100274636</v>
      </c>
      <c r="B1252" s="5">
        <v>13175</v>
      </c>
      <c r="C1252" s="6">
        <v>45667</v>
      </c>
      <c r="D1252" s="5" t="s">
        <v>91</v>
      </c>
      <c r="E1252" s="5" t="s">
        <v>92</v>
      </c>
      <c r="F1252" s="5" t="s">
        <v>103</v>
      </c>
      <c r="G1252" s="5" t="s">
        <v>104</v>
      </c>
      <c r="H1252" s="5" t="s">
        <v>21</v>
      </c>
      <c r="I1252" s="5" t="s">
        <v>1282</v>
      </c>
      <c r="J1252" s="5" t="s">
        <v>273</v>
      </c>
      <c r="K1252" s="5" t="s">
        <v>274</v>
      </c>
      <c r="L1252" s="6">
        <v>45678</v>
      </c>
      <c r="M1252" s="6">
        <v>45678</v>
      </c>
      <c r="N1252" s="6" t="s">
        <v>811</v>
      </c>
      <c r="O1252" s="5" t="str">
        <f ca="1">IF(P1252&lt;&gt;"EXPEDIÇÃO","Expedido",IF(NETWORKDAYS(C1252,TODAY())&gt;=5,"Risco Alto",IF(NETWORKDAYS(C1252,TODAY())&gt;=3,IF(NETWORKDAYS(C1252,TODAY())&lt;5,"Risco Médio",""),IF(NETWORKDAYS(C1252,TODAY())&lt;=2,"Risco Baixo",""))))</f>
        <v>Expedido</v>
      </c>
      <c r="P1252" s="5" t="s">
        <v>25</v>
      </c>
      <c r="S1252" s="7">
        <f>IF(ISBLANK(M1252),"Aguardando Previsão/Data",NETWORKDAYS(L1252,M1252)-1)</f>
        <v>0</v>
      </c>
      <c r="T1252" s="5" t="s">
        <v>942</v>
      </c>
    </row>
    <row r="1253" spans="1:20" x14ac:dyDescent="0.35">
      <c r="A1253" s="5">
        <v>8100272652</v>
      </c>
      <c r="B1253" s="5">
        <v>21191</v>
      </c>
      <c r="C1253" s="6">
        <v>45667</v>
      </c>
      <c r="D1253" s="5" t="s">
        <v>836</v>
      </c>
      <c r="E1253" s="5" t="s">
        <v>837</v>
      </c>
      <c r="F1253" s="5" t="s">
        <v>39</v>
      </c>
      <c r="G1253" s="5" t="s">
        <v>40</v>
      </c>
      <c r="H1253" s="5" t="s">
        <v>21</v>
      </c>
      <c r="I1253" s="5" t="s">
        <v>918</v>
      </c>
      <c r="J1253" s="5" t="s">
        <v>736</v>
      </c>
      <c r="K1253" s="5" t="s">
        <v>24</v>
      </c>
      <c r="L1253" s="6">
        <v>45677</v>
      </c>
      <c r="M1253" s="6">
        <v>45674</v>
      </c>
      <c r="N1253" s="6" t="s">
        <v>811</v>
      </c>
      <c r="O1253" s="5" t="str">
        <f ca="1">IF(P1253&lt;&gt;"EXPEDIÇÃO","Expedido",IF(NETWORKDAYS(C1253,TODAY())&gt;=5,"Risco Alto",IF(NETWORKDAYS(C1253,TODAY())&gt;=3,IF(NETWORKDAYS(C1253,TODAY())&lt;5,"Risco Médio",""),IF(NETWORKDAYS(C1253,TODAY())&lt;=2,"Risco Baixo",""))))</f>
        <v>Expedido</v>
      </c>
      <c r="P1253" s="5" t="s">
        <v>25</v>
      </c>
      <c r="S1253" s="7">
        <f>IF(ISBLANK(M1253),"Aguardando Previsão/Data",NETWORKDAYS(L1253,M1253)-1)</f>
        <v>-3</v>
      </c>
      <c r="T1253" s="5" t="s">
        <v>942</v>
      </c>
    </row>
    <row r="1254" spans="1:20" x14ac:dyDescent="0.35">
      <c r="A1254" s="5">
        <v>8100274229</v>
      </c>
      <c r="B1254" s="5">
        <v>10647</v>
      </c>
      <c r="C1254" s="6">
        <v>45667</v>
      </c>
      <c r="D1254" s="5" t="s">
        <v>239</v>
      </c>
      <c r="E1254" s="5" t="s">
        <v>240</v>
      </c>
      <c r="F1254" s="5" t="s">
        <v>242</v>
      </c>
      <c r="G1254" s="5" t="s">
        <v>243</v>
      </c>
      <c r="H1254" s="5" t="s">
        <v>218</v>
      </c>
      <c r="I1254" s="5" t="s">
        <v>488</v>
      </c>
      <c r="J1254" s="5" t="s">
        <v>489</v>
      </c>
      <c r="K1254" s="5" t="s">
        <v>241</v>
      </c>
      <c r="L1254" s="6">
        <v>45673</v>
      </c>
      <c r="M1254" s="6">
        <v>45673</v>
      </c>
      <c r="N1254" s="6" t="s">
        <v>811</v>
      </c>
      <c r="O1254" s="5" t="str">
        <f ca="1">IF(P1254&lt;&gt;"EXPEDIÇÃO","Expedido",IF(NETWORKDAYS(C1254,TODAY())&gt;=5,"Risco Alto",IF(NETWORKDAYS(C1254,TODAY())&gt;=3,IF(NETWORKDAYS(C1254,TODAY())&lt;5,"Risco Médio",""),IF(NETWORKDAYS(C1254,TODAY())&lt;=2,"Risco Baixo",""))))</f>
        <v>Expedido</v>
      </c>
      <c r="P1254" s="5" t="s">
        <v>25</v>
      </c>
      <c r="Q1254" s="5" t="s">
        <v>793</v>
      </c>
      <c r="S1254" s="7">
        <f>IF(ISBLANK(M1254),"Aguardando Previsão/Data",NETWORKDAYS(L1254,M1254)-1)</f>
        <v>0</v>
      </c>
      <c r="T1254" s="5" t="s">
        <v>942</v>
      </c>
    </row>
    <row r="1255" spans="1:20" x14ac:dyDescent="0.35">
      <c r="A1255" s="5">
        <v>8100274230</v>
      </c>
      <c r="B1255" s="5">
        <v>10648</v>
      </c>
      <c r="C1255" s="6">
        <v>45667</v>
      </c>
      <c r="D1255" s="5" t="s">
        <v>239</v>
      </c>
      <c r="E1255" s="5" t="s">
        <v>240</v>
      </c>
      <c r="F1255" s="5" t="s">
        <v>242</v>
      </c>
      <c r="G1255" s="5" t="s">
        <v>243</v>
      </c>
      <c r="H1255" s="5" t="s">
        <v>218</v>
      </c>
      <c r="I1255" s="5" t="s">
        <v>488</v>
      </c>
      <c r="J1255" s="5" t="s">
        <v>489</v>
      </c>
      <c r="K1255" s="5" t="s">
        <v>241</v>
      </c>
      <c r="L1255" s="6">
        <v>45673</v>
      </c>
      <c r="M1255" s="6">
        <v>45673</v>
      </c>
      <c r="N1255" s="6" t="s">
        <v>811</v>
      </c>
      <c r="O1255" s="5" t="str">
        <f ca="1">IF(P1255&lt;&gt;"EXPEDIÇÃO","Expedido",IF(NETWORKDAYS(C1255,TODAY())&gt;=5,"Risco Alto",IF(NETWORKDAYS(C1255,TODAY())&gt;=3,IF(NETWORKDAYS(C1255,TODAY())&lt;5,"Risco Médio",""),IF(NETWORKDAYS(C1255,TODAY())&lt;=2,"Risco Baixo",""))))</f>
        <v>Expedido</v>
      </c>
      <c r="P1255" s="5" t="s">
        <v>25</v>
      </c>
      <c r="Q1255" s="5" t="s">
        <v>793</v>
      </c>
      <c r="S1255" s="7">
        <f>IF(ISBLANK(M1255),"Aguardando Previsão/Data",NETWORKDAYS(L1255,M1255)-1)</f>
        <v>0</v>
      </c>
      <c r="T1255" s="5" t="s">
        <v>942</v>
      </c>
    </row>
    <row r="1256" spans="1:20" x14ac:dyDescent="0.35">
      <c r="A1256" s="5">
        <v>8100274231</v>
      </c>
      <c r="B1256" s="5">
        <v>10649</v>
      </c>
      <c r="C1256" s="6">
        <v>45667</v>
      </c>
      <c r="D1256" s="5" t="s">
        <v>239</v>
      </c>
      <c r="E1256" s="5" t="s">
        <v>240</v>
      </c>
      <c r="F1256" s="5" t="s">
        <v>242</v>
      </c>
      <c r="G1256" s="5" t="s">
        <v>243</v>
      </c>
      <c r="H1256" s="5" t="s">
        <v>218</v>
      </c>
      <c r="I1256" s="5" t="s">
        <v>488</v>
      </c>
      <c r="J1256" s="5" t="s">
        <v>489</v>
      </c>
      <c r="K1256" s="5" t="s">
        <v>241</v>
      </c>
      <c r="L1256" s="6">
        <v>45673</v>
      </c>
      <c r="M1256" s="6">
        <v>45673</v>
      </c>
      <c r="N1256" s="6" t="s">
        <v>811</v>
      </c>
      <c r="O1256" s="5" t="str">
        <f ca="1">IF(P1256&lt;&gt;"EXPEDIÇÃO","Expedido",IF(NETWORKDAYS(C1256,TODAY())&gt;=5,"Risco Alto",IF(NETWORKDAYS(C1256,TODAY())&gt;=3,IF(NETWORKDAYS(C1256,TODAY())&lt;5,"Risco Médio",""),IF(NETWORKDAYS(C1256,TODAY())&lt;=2,"Risco Baixo",""))))</f>
        <v>Expedido</v>
      </c>
      <c r="P1256" s="5" t="s">
        <v>25</v>
      </c>
      <c r="Q1256" s="5" t="s">
        <v>793</v>
      </c>
      <c r="S1256" s="7">
        <f>IF(ISBLANK(M1256),"Aguardando Previsão/Data",NETWORKDAYS(L1256,M1256)-1)</f>
        <v>0</v>
      </c>
      <c r="T1256" s="5" t="s">
        <v>942</v>
      </c>
    </row>
    <row r="1257" spans="1:20" x14ac:dyDescent="0.35">
      <c r="A1257" s="5">
        <v>8100274232</v>
      </c>
      <c r="B1257" s="5">
        <v>10650</v>
      </c>
      <c r="C1257" s="6">
        <v>45667</v>
      </c>
      <c r="D1257" s="5" t="s">
        <v>239</v>
      </c>
      <c r="E1257" s="5" t="s">
        <v>240</v>
      </c>
      <c r="F1257" s="5" t="s">
        <v>242</v>
      </c>
      <c r="G1257" s="5" t="s">
        <v>243</v>
      </c>
      <c r="H1257" s="5" t="s">
        <v>218</v>
      </c>
      <c r="I1257" s="5" t="s">
        <v>488</v>
      </c>
      <c r="J1257" s="5" t="s">
        <v>489</v>
      </c>
      <c r="K1257" s="5" t="s">
        <v>241</v>
      </c>
      <c r="L1257" s="6">
        <v>45673</v>
      </c>
      <c r="M1257" s="6">
        <v>45673</v>
      </c>
      <c r="N1257" s="6" t="s">
        <v>811</v>
      </c>
      <c r="O1257" s="5" t="str">
        <f ca="1">IF(P1257&lt;&gt;"EXPEDIÇÃO","Expedido",IF(NETWORKDAYS(C1257,TODAY())&gt;=5,"Risco Alto",IF(NETWORKDAYS(C1257,TODAY())&gt;=3,IF(NETWORKDAYS(C1257,TODAY())&lt;5,"Risco Médio",""),IF(NETWORKDAYS(C1257,TODAY())&lt;=2,"Risco Baixo",""))))</f>
        <v>Expedido</v>
      </c>
      <c r="P1257" s="5" t="s">
        <v>25</v>
      </c>
      <c r="Q1257" s="5" t="s">
        <v>793</v>
      </c>
      <c r="S1257" s="7">
        <f>IF(ISBLANK(M1257),"Aguardando Previsão/Data",NETWORKDAYS(L1257,M1257)-1)</f>
        <v>0</v>
      </c>
      <c r="T1257" s="5" t="s">
        <v>942</v>
      </c>
    </row>
    <row r="1258" spans="1:20" x14ac:dyDescent="0.35">
      <c r="A1258" s="5">
        <v>8100274236</v>
      </c>
      <c r="B1258" s="5">
        <v>10651</v>
      </c>
      <c r="C1258" s="6">
        <v>45667</v>
      </c>
      <c r="D1258" s="5" t="s">
        <v>239</v>
      </c>
      <c r="E1258" s="5" t="s">
        <v>240</v>
      </c>
      <c r="F1258" s="5" t="s">
        <v>242</v>
      </c>
      <c r="G1258" s="5" t="s">
        <v>243</v>
      </c>
      <c r="H1258" s="5" t="s">
        <v>218</v>
      </c>
      <c r="I1258" s="5" t="s">
        <v>488</v>
      </c>
      <c r="J1258" s="5" t="s">
        <v>489</v>
      </c>
      <c r="K1258" s="5" t="s">
        <v>241</v>
      </c>
      <c r="L1258" s="6">
        <v>45673</v>
      </c>
      <c r="M1258" s="6">
        <v>45673</v>
      </c>
      <c r="N1258" s="6" t="s">
        <v>811</v>
      </c>
      <c r="O1258" s="5" t="str">
        <f ca="1">IF(P1258&lt;&gt;"EXPEDIÇÃO","Expedido",IF(NETWORKDAYS(C1258,TODAY())&gt;=5,"Risco Alto",IF(NETWORKDAYS(C1258,TODAY())&gt;=3,IF(NETWORKDAYS(C1258,TODAY())&lt;5,"Risco Médio",""),IF(NETWORKDAYS(C1258,TODAY())&lt;=2,"Risco Baixo",""))))</f>
        <v>Expedido</v>
      </c>
      <c r="P1258" s="5" t="s">
        <v>25</v>
      </c>
      <c r="Q1258" s="5" t="s">
        <v>793</v>
      </c>
      <c r="S1258" s="7">
        <f>IF(ISBLANK(M1258),"Aguardando Previsão/Data",NETWORKDAYS(L1258,M1258)-1)</f>
        <v>0</v>
      </c>
      <c r="T1258" s="5" t="s">
        <v>942</v>
      </c>
    </row>
    <row r="1259" spans="1:20" x14ac:dyDescent="0.35">
      <c r="A1259" s="5">
        <v>8100274279</v>
      </c>
      <c r="B1259" s="5">
        <v>10652</v>
      </c>
      <c r="C1259" s="6">
        <v>45667</v>
      </c>
      <c r="D1259" s="5" t="s">
        <v>239</v>
      </c>
      <c r="E1259" s="5" t="s">
        <v>240</v>
      </c>
      <c r="F1259" s="5" t="s">
        <v>176</v>
      </c>
      <c r="G1259" s="5" t="s">
        <v>177</v>
      </c>
      <c r="H1259" s="5" t="s">
        <v>218</v>
      </c>
      <c r="I1259" s="5" t="s">
        <v>429</v>
      </c>
      <c r="J1259" s="5" t="s">
        <v>430</v>
      </c>
      <c r="K1259" s="5" t="s">
        <v>241</v>
      </c>
      <c r="L1259" s="6">
        <v>45674</v>
      </c>
      <c r="M1259" s="6">
        <v>45673</v>
      </c>
      <c r="N1259" s="6" t="s">
        <v>811</v>
      </c>
      <c r="O1259" s="5" t="str">
        <f ca="1">IF(P1259&lt;&gt;"EXPEDIÇÃO","Expedido",IF(NETWORKDAYS(C1259,TODAY())&gt;=5,"Risco Alto",IF(NETWORKDAYS(C1259,TODAY())&gt;=3,IF(NETWORKDAYS(C1259,TODAY())&lt;5,"Risco Médio",""),IF(NETWORKDAYS(C1259,TODAY())&lt;=2,"Risco Baixo",""))))</f>
        <v>Expedido</v>
      </c>
      <c r="P1259" s="5" t="s">
        <v>25</v>
      </c>
      <c r="Q1259" s="5" t="s">
        <v>793</v>
      </c>
      <c r="S1259" s="7">
        <f>IF(ISBLANK(M1259),"Aguardando Previsão/Data",NETWORKDAYS(L1259,M1259)-1)</f>
        <v>-3</v>
      </c>
      <c r="T1259" s="5" t="s">
        <v>942</v>
      </c>
    </row>
    <row r="1260" spans="1:20" x14ac:dyDescent="0.35">
      <c r="A1260" s="5">
        <v>8100274333</v>
      </c>
      <c r="B1260" s="5">
        <v>10653</v>
      </c>
      <c r="C1260" s="6">
        <v>45667</v>
      </c>
      <c r="D1260" s="5" t="s">
        <v>239</v>
      </c>
      <c r="E1260" s="5" t="s">
        <v>240</v>
      </c>
      <c r="F1260" s="5" t="s">
        <v>176</v>
      </c>
      <c r="G1260" s="5" t="s">
        <v>177</v>
      </c>
      <c r="H1260" s="5" t="s">
        <v>218</v>
      </c>
      <c r="I1260" s="5" t="s">
        <v>429</v>
      </c>
      <c r="J1260" s="5" t="s">
        <v>430</v>
      </c>
      <c r="K1260" s="5" t="s">
        <v>241</v>
      </c>
      <c r="L1260" s="6">
        <v>45674</v>
      </c>
      <c r="M1260" s="6">
        <v>45673</v>
      </c>
      <c r="N1260" s="6" t="s">
        <v>811</v>
      </c>
      <c r="O1260" s="5" t="str">
        <f ca="1">IF(P1260&lt;&gt;"EXPEDIÇÃO","Expedido",IF(NETWORKDAYS(C1260,TODAY())&gt;=5,"Risco Alto",IF(NETWORKDAYS(C1260,TODAY())&gt;=3,IF(NETWORKDAYS(C1260,TODAY())&lt;5,"Risco Médio",""),IF(NETWORKDAYS(C1260,TODAY())&lt;=2,"Risco Baixo",""))))</f>
        <v>Expedido</v>
      </c>
      <c r="P1260" s="5" t="s">
        <v>25</v>
      </c>
      <c r="Q1260" s="5" t="s">
        <v>793</v>
      </c>
      <c r="S1260" s="7">
        <f>IF(ISBLANK(M1260),"Aguardando Previsão/Data",NETWORKDAYS(L1260,M1260)-1)</f>
        <v>-3</v>
      </c>
      <c r="T1260" s="5" t="s">
        <v>942</v>
      </c>
    </row>
    <row r="1261" spans="1:20" x14ac:dyDescent="0.35">
      <c r="A1261" s="5">
        <v>8100274334</v>
      </c>
      <c r="B1261" s="5">
        <v>10654</v>
      </c>
      <c r="C1261" s="6">
        <v>45667</v>
      </c>
      <c r="D1261" s="5" t="s">
        <v>239</v>
      </c>
      <c r="E1261" s="5" t="s">
        <v>240</v>
      </c>
      <c r="F1261" s="5" t="s">
        <v>176</v>
      </c>
      <c r="G1261" s="5" t="s">
        <v>177</v>
      </c>
      <c r="H1261" s="5" t="s">
        <v>218</v>
      </c>
      <c r="I1261" s="5" t="s">
        <v>429</v>
      </c>
      <c r="J1261" s="5" t="s">
        <v>430</v>
      </c>
      <c r="K1261" s="5" t="s">
        <v>241</v>
      </c>
      <c r="L1261" s="6">
        <v>45674</v>
      </c>
      <c r="M1261" s="6">
        <v>45673</v>
      </c>
      <c r="N1261" s="6" t="s">
        <v>811</v>
      </c>
      <c r="O1261" s="5" t="str">
        <f ca="1">IF(P1261&lt;&gt;"EXPEDIÇÃO","Expedido",IF(NETWORKDAYS(C1261,TODAY())&gt;=5,"Risco Alto",IF(NETWORKDAYS(C1261,TODAY())&gt;=3,IF(NETWORKDAYS(C1261,TODAY())&lt;5,"Risco Médio",""),IF(NETWORKDAYS(C1261,TODAY())&lt;=2,"Risco Baixo",""))))</f>
        <v>Expedido</v>
      </c>
      <c r="P1261" s="5" t="s">
        <v>25</v>
      </c>
      <c r="Q1261" s="5" t="s">
        <v>793</v>
      </c>
      <c r="S1261" s="7">
        <f>IF(ISBLANK(M1261),"Aguardando Previsão/Data",NETWORKDAYS(L1261,M1261)-1)</f>
        <v>-3</v>
      </c>
      <c r="T1261" s="5" t="s">
        <v>942</v>
      </c>
    </row>
    <row r="1262" spans="1:20" x14ac:dyDescent="0.35">
      <c r="A1262" s="5">
        <v>8100274335</v>
      </c>
      <c r="B1262" s="5">
        <v>10655</v>
      </c>
      <c r="C1262" s="6">
        <v>45667</v>
      </c>
      <c r="D1262" s="5" t="s">
        <v>239</v>
      </c>
      <c r="E1262" s="5" t="s">
        <v>240</v>
      </c>
      <c r="F1262" s="5" t="s">
        <v>242</v>
      </c>
      <c r="G1262" s="5" t="s">
        <v>243</v>
      </c>
      <c r="H1262" s="5" t="s">
        <v>218</v>
      </c>
      <c r="I1262" s="5" t="s">
        <v>488</v>
      </c>
      <c r="J1262" s="5" t="s">
        <v>489</v>
      </c>
      <c r="K1262" s="5" t="s">
        <v>241</v>
      </c>
      <c r="L1262" s="6">
        <v>45673</v>
      </c>
      <c r="M1262" s="6">
        <v>45671</v>
      </c>
      <c r="N1262" s="6" t="s">
        <v>811</v>
      </c>
      <c r="O1262" s="5" t="str">
        <f ca="1">IF(P1262&lt;&gt;"EXPEDIÇÃO","Expedido",IF(NETWORKDAYS(C1262,TODAY())&gt;=5,"Risco Alto",IF(NETWORKDAYS(C1262,TODAY())&gt;=3,IF(NETWORKDAYS(C1262,TODAY())&lt;5,"Risco Médio",""),IF(NETWORKDAYS(C1262,TODAY())&lt;=2,"Risco Baixo",""))))</f>
        <v>Expedido</v>
      </c>
      <c r="P1262" s="5" t="s">
        <v>25</v>
      </c>
      <c r="Q1262" s="5" t="s">
        <v>793</v>
      </c>
      <c r="S1262" s="7">
        <f>IF(ISBLANK(M1262),"Aguardando Previsão/Data",NETWORKDAYS(L1262,M1262)-1)</f>
        <v>-4</v>
      </c>
      <c r="T1262" s="5" t="s">
        <v>942</v>
      </c>
    </row>
    <row r="1263" spans="1:20" x14ac:dyDescent="0.35">
      <c r="A1263" s="5">
        <v>8100274516</v>
      </c>
      <c r="B1263" s="5">
        <v>10656</v>
      </c>
      <c r="C1263" s="6">
        <v>45667</v>
      </c>
      <c r="D1263" s="5" t="s">
        <v>239</v>
      </c>
      <c r="E1263" s="5" t="s">
        <v>240</v>
      </c>
      <c r="F1263" s="5" t="s">
        <v>160</v>
      </c>
      <c r="G1263" s="5" t="s">
        <v>161</v>
      </c>
      <c r="H1263" s="5" t="s">
        <v>218</v>
      </c>
      <c r="I1263" s="5" t="s">
        <v>354</v>
      </c>
      <c r="J1263" s="5" t="s">
        <v>355</v>
      </c>
      <c r="K1263" s="5" t="s">
        <v>241</v>
      </c>
      <c r="L1263" s="6">
        <v>45673</v>
      </c>
      <c r="M1263" s="6">
        <v>45673</v>
      </c>
      <c r="N1263" s="6" t="s">
        <v>811</v>
      </c>
      <c r="O1263" s="5" t="str">
        <f ca="1">IF(P1263&lt;&gt;"EXPEDIÇÃO","Expedido",IF(NETWORKDAYS(C1263,TODAY())&gt;=5,"Risco Alto",IF(NETWORKDAYS(C1263,TODAY())&gt;=3,IF(NETWORKDAYS(C1263,TODAY())&lt;5,"Risco Médio",""),IF(NETWORKDAYS(C1263,TODAY())&lt;=2,"Risco Baixo",""))))</f>
        <v>Expedido</v>
      </c>
      <c r="P1263" s="5" t="s">
        <v>25</v>
      </c>
      <c r="Q1263" s="5" t="s">
        <v>793</v>
      </c>
      <c r="S1263" s="7">
        <f>IF(ISBLANK(M1263),"Aguardando Previsão/Data",NETWORKDAYS(L1263,M1263)-1)</f>
        <v>0</v>
      </c>
      <c r="T1263" s="5" t="s">
        <v>942</v>
      </c>
    </row>
    <row r="1264" spans="1:20" x14ac:dyDescent="0.35">
      <c r="A1264" s="5">
        <v>8100274517</v>
      </c>
      <c r="B1264" s="5">
        <v>10657</v>
      </c>
      <c r="C1264" s="6">
        <v>45667</v>
      </c>
      <c r="D1264" s="5" t="s">
        <v>239</v>
      </c>
      <c r="E1264" s="5" t="s">
        <v>240</v>
      </c>
      <c r="F1264" s="5" t="s">
        <v>242</v>
      </c>
      <c r="G1264" s="5" t="s">
        <v>243</v>
      </c>
      <c r="H1264" s="5" t="s">
        <v>218</v>
      </c>
      <c r="I1264" s="5" t="s">
        <v>354</v>
      </c>
      <c r="J1264" s="5" t="s">
        <v>355</v>
      </c>
      <c r="K1264" s="5" t="s">
        <v>241</v>
      </c>
      <c r="L1264" s="6">
        <v>45673</v>
      </c>
      <c r="M1264" s="6">
        <v>45673</v>
      </c>
      <c r="N1264" s="6" t="s">
        <v>811</v>
      </c>
      <c r="O1264" s="5" t="str">
        <f ca="1">IF(P1264&lt;&gt;"EXPEDIÇÃO","Expedido",IF(NETWORKDAYS(C1264,TODAY())&gt;=5,"Risco Alto",IF(NETWORKDAYS(C1264,TODAY())&gt;=3,IF(NETWORKDAYS(C1264,TODAY())&lt;5,"Risco Médio",""),IF(NETWORKDAYS(C1264,TODAY())&lt;=2,"Risco Baixo",""))))</f>
        <v>Expedido</v>
      </c>
      <c r="P1264" s="5" t="s">
        <v>25</v>
      </c>
      <c r="Q1264" s="5" t="s">
        <v>793</v>
      </c>
      <c r="S1264" s="7">
        <f>IF(ISBLANK(M1264),"Aguardando Previsão/Data",NETWORKDAYS(L1264,M1264)-1)</f>
        <v>0</v>
      </c>
      <c r="T1264" s="5" t="s">
        <v>942</v>
      </c>
    </row>
    <row r="1265" spans="1:20" x14ac:dyDescent="0.35">
      <c r="A1265" s="5">
        <v>8100274923</v>
      </c>
      <c r="B1265" s="5">
        <v>10658</v>
      </c>
      <c r="C1265" s="6">
        <v>45667</v>
      </c>
      <c r="D1265" s="5" t="s">
        <v>239</v>
      </c>
      <c r="E1265" s="5" t="s">
        <v>240</v>
      </c>
      <c r="F1265" s="5" t="s">
        <v>242</v>
      </c>
      <c r="G1265" s="5" t="s">
        <v>243</v>
      </c>
      <c r="H1265" s="5" t="s">
        <v>218</v>
      </c>
      <c r="I1265" s="5" t="s">
        <v>546</v>
      </c>
      <c r="J1265" s="5" t="s">
        <v>355</v>
      </c>
      <c r="K1265" s="5" t="s">
        <v>241</v>
      </c>
      <c r="L1265" s="6">
        <v>45673</v>
      </c>
      <c r="M1265" s="6">
        <v>45667</v>
      </c>
      <c r="N1265" s="6" t="s">
        <v>811</v>
      </c>
      <c r="O1265" s="5" t="str">
        <f ca="1">IF(P1265&lt;&gt;"EXPEDIÇÃO","Expedido",IF(NETWORKDAYS(C1265,TODAY())&gt;=5,"Risco Alto",IF(NETWORKDAYS(C1265,TODAY())&gt;=3,IF(NETWORKDAYS(C1265,TODAY())&lt;5,"Risco Médio",""),IF(NETWORKDAYS(C1265,TODAY())&lt;=2,"Risco Baixo",""))))</f>
        <v>Expedido</v>
      </c>
      <c r="P1265" s="5" t="s">
        <v>25</v>
      </c>
      <c r="Q1265" s="5" t="s">
        <v>26</v>
      </c>
      <c r="S1265" s="7">
        <f>IF(ISBLANK(M1265),"Aguardando Previsão/Data",NETWORKDAYS(L1265,M1265)-1)</f>
        <v>-6</v>
      </c>
      <c r="T1265" s="5" t="s">
        <v>942</v>
      </c>
    </row>
    <row r="1266" spans="1:20" x14ac:dyDescent="0.35">
      <c r="A1266" s="5">
        <v>8100274924</v>
      </c>
      <c r="B1266" s="5">
        <v>10660</v>
      </c>
      <c r="C1266" s="6">
        <v>45667</v>
      </c>
      <c r="D1266" s="5" t="s">
        <v>239</v>
      </c>
      <c r="E1266" s="5" t="s">
        <v>240</v>
      </c>
      <c r="F1266" s="5" t="s">
        <v>176</v>
      </c>
      <c r="G1266" s="5" t="s">
        <v>177</v>
      </c>
      <c r="H1266" s="5" t="s">
        <v>218</v>
      </c>
      <c r="I1266" s="5" t="s">
        <v>546</v>
      </c>
      <c r="J1266" s="5" t="s">
        <v>1286</v>
      </c>
      <c r="K1266" s="5" t="s">
        <v>241</v>
      </c>
      <c r="L1266" s="6">
        <v>45677</v>
      </c>
      <c r="M1266" s="6">
        <v>45674</v>
      </c>
      <c r="N1266" s="6" t="s">
        <v>811</v>
      </c>
      <c r="O1266" s="5" t="str">
        <f ca="1">IF(P1266&lt;&gt;"EXPEDIÇÃO","Expedido",IF(NETWORKDAYS(C1266,TODAY())&gt;=5,"Risco Alto",IF(NETWORKDAYS(C1266,TODAY())&gt;=3,IF(NETWORKDAYS(C1266,TODAY())&lt;5,"Risco Médio",""),IF(NETWORKDAYS(C1266,TODAY())&lt;=2,"Risco Baixo",""))))</f>
        <v>Expedido</v>
      </c>
      <c r="P1266" s="5" t="s">
        <v>25</v>
      </c>
      <c r="Q1266" s="5" t="s">
        <v>793</v>
      </c>
      <c r="S1266" s="7">
        <f>IF(ISBLANK(M1266),"Aguardando Previsão/Data",NETWORKDAYS(L1266,M1266)-1)</f>
        <v>-3</v>
      </c>
      <c r="T1266" s="5" t="s">
        <v>942</v>
      </c>
    </row>
    <row r="1267" spans="1:20" x14ac:dyDescent="0.35">
      <c r="A1267" s="5">
        <v>8100274925</v>
      </c>
      <c r="B1267" s="5">
        <v>10661</v>
      </c>
      <c r="C1267" s="6">
        <v>45667</v>
      </c>
      <c r="D1267" s="5" t="s">
        <v>239</v>
      </c>
      <c r="E1267" s="5" t="s">
        <v>240</v>
      </c>
      <c r="F1267" s="5" t="s">
        <v>176</v>
      </c>
      <c r="G1267" s="5" t="s">
        <v>177</v>
      </c>
      <c r="H1267" s="5" t="s">
        <v>218</v>
      </c>
      <c r="I1267" s="5" t="s">
        <v>546</v>
      </c>
      <c r="J1267" s="5" t="s">
        <v>668</v>
      </c>
      <c r="K1267" s="5" t="s">
        <v>241</v>
      </c>
      <c r="L1267" s="6">
        <v>45673</v>
      </c>
      <c r="M1267" s="6">
        <v>45673</v>
      </c>
      <c r="N1267" s="6" t="s">
        <v>811</v>
      </c>
      <c r="O1267" s="5" t="str">
        <f ca="1">IF(P1267&lt;&gt;"EXPEDIÇÃO","Expedido",IF(NETWORKDAYS(C1267,TODAY())&gt;=5,"Risco Alto",IF(NETWORKDAYS(C1267,TODAY())&gt;=3,IF(NETWORKDAYS(C1267,TODAY())&lt;5,"Risco Médio",""),IF(NETWORKDAYS(C1267,TODAY())&lt;=2,"Risco Baixo",""))))</f>
        <v>Expedido</v>
      </c>
      <c r="P1267" s="5" t="s">
        <v>25</v>
      </c>
      <c r="Q1267" s="5" t="s">
        <v>793</v>
      </c>
      <c r="S1267" s="7">
        <f>IF(ISBLANK(M1267),"Aguardando Previsão/Data",NETWORKDAYS(L1267,M1267)-1)</f>
        <v>0</v>
      </c>
      <c r="T1267" s="5" t="s">
        <v>942</v>
      </c>
    </row>
    <row r="1268" spans="1:20" x14ac:dyDescent="0.35">
      <c r="A1268" s="5">
        <v>8100274929</v>
      </c>
      <c r="B1268" s="5">
        <v>10659</v>
      </c>
      <c r="C1268" s="6">
        <v>45667</v>
      </c>
      <c r="D1268" s="5" t="s">
        <v>239</v>
      </c>
      <c r="E1268" s="5" t="s">
        <v>240</v>
      </c>
      <c r="F1268" s="5" t="s">
        <v>242</v>
      </c>
      <c r="G1268" s="5" t="s">
        <v>243</v>
      </c>
      <c r="H1268" s="5" t="s">
        <v>218</v>
      </c>
      <c r="I1268" s="5" t="s">
        <v>546</v>
      </c>
      <c r="J1268" s="5" t="s">
        <v>355</v>
      </c>
      <c r="K1268" s="5" t="s">
        <v>241</v>
      </c>
      <c r="L1268" s="6">
        <v>45673</v>
      </c>
      <c r="M1268" s="6">
        <v>45667</v>
      </c>
      <c r="N1268" s="6" t="s">
        <v>811</v>
      </c>
      <c r="O1268" s="5" t="str">
        <f ca="1">IF(P1268&lt;&gt;"EXPEDIÇÃO","Expedido",IF(NETWORKDAYS(C1268,TODAY())&gt;=5,"Risco Alto",IF(NETWORKDAYS(C1268,TODAY())&gt;=3,IF(NETWORKDAYS(C1268,TODAY())&lt;5,"Risco Médio",""),IF(NETWORKDAYS(C1268,TODAY())&lt;=2,"Risco Baixo",""))))</f>
        <v>Expedido</v>
      </c>
      <c r="P1268" s="5" t="s">
        <v>25</v>
      </c>
      <c r="Q1268" s="5" t="s">
        <v>26</v>
      </c>
      <c r="S1268" s="7">
        <f>IF(ISBLANK(M1268),"Aguardando Previsão/Data",NETWORKDAYS(L1268,M1268)-1)</f>
        <v>-6</v>
      </c>
      <c r="T1268" s="5" t="s">
        <v>942</v>
      </c>
    </row>
    <row r="1269" spans="1:20" x14ac:dyDescent="0.35">
      <c r="A1269" s="5">
        <v>8100274383</v>
      </c>
      <c r="B1269" s="5">
        <v>19096</v>
      </c>
      <c r="C1269" s="6">
        <v>45667</v>
      </c>
      <c r="D1269" s="5" t="s">
        <v>106</v>
      </c>
      <c r="E1269" s="5" t="s">
        <v>107</v>
      </c>
      <c r="F1269" s="5" t="s">
        <v>58</v>
      </c>
      <c r="G1269" s="5" t="s">
        <v>59</v>
      </c>
      <c r="H1269" s="5" t="s">
        <v>218</v>
      </c>
      <c r="I1269" s="5" t="s">
        <v>219</v>
      </c>
      <c r="J1269" s="5" t="s">
        <v>220</v>
      </c>
      <c r="K1269" s="5" t="s">
        <v>221</v>
      </c>
      <c r="L1269" s="6">
        <v>45684</v>
      </c>
      <c r="M1269" s="6">
        <v>45681</v>
      </c>
      <c r="N1269" s="6" t="s">
        <v>811</v>
      </c>
      <c r="O1269" s="5" t="str">
        <f ca="1">IF(P1269&lt;&gt;"EXPEDIÇÃO","Expedido",IF(NETWORKDAYS(C1269,TODAY())&gt;=5,"Risco Alto",IF(NETWORKDAYS(C1269,TODAY())&gt;=3,IF(NETWORKDAYS(C1269,TODAY())&lt;5,"Risco Médio",""),IF(NETWORKDAYS(C1269,TODAY())&lt;=2,"Risco Baixo",""))))</f>
        <v>Expedido</v>
      </c>
      <c r="P1269" s="5" t="s">
        <v>25</v>
      </c>
      <c r="S1269" s="7">
        <f>IF(ISBLANK(M1269),"Aguardando Previsão/Data",NETWORKDAYS(L1269,M1269)-1)</f>
        <v>-3</v>
      </c>
      <c r="T1269" s="5" t="s">
        <v>942</v>
      </c>
    </row>
    <row r="1270" spans="1:20" x14ac:dyDescent="0.35">
      <c r="A1270" s="5">
        <v>8100274384</v>
      </c>
      <c r="B1270" s="5">
        <v>19097</v>
      </c>
      <c r="C1270" s="6">
        <v>45667</v>
      </c>
      <c r="D1270" s="5" t="s">
        <v>106</v>
      </c>
      <c r="E1270" s="5" t="s">
        <v>107</v>
      </c>
      <c r="F1270" s="5" t="s">
        <v>58</v>
      </c>
      <c r="G1270" s="5" t="s">
        <v>59</v>
      </c>
      <c r="H1270" s="5" t="s">
        <v>218</v>
      </c>
      <c r="I1270" s="5" t="s">
        <v>237</v>
      </c>
      <c r="J1270" s="5" t="s">
        <v>220</v>
      </c>
      <c r="K1270" s="5" t="s">
        <v>221</v>
      </c>
      <c r="L1270" s="6">
        <v>45684</v>
      </c>
      <c r="M1270" s="6">
        <v>45681</v>
      </c>
      <c r="N1270" s="6" t="s">
        <v>811</v>
      </c>
      <c r="O1270" s="5" t="str">
        <f ca="1">IF(P1270&lt;&gt;"EXPEDIÇÃO","Expedido",IF(NETWORKDAYS(C1270,TODAY())&gt;=5,"Risco Alto",IF(NETWORKDAYS(C1270,TODAY())&gt;=3,IF(NETWORKDAYS(C1270,TODAY())&lt;5,"Risco Médio",""),IF(NETWORKDAYS(C1270,TODAY())&lt;=2,"Risco Baixo",""))))</f>
        <v>Expedido</v>
      </c>
      <c r="P1270" s="5" t="s">
        <v>25</v>
      </c>
      <c r="S1270" s="7">
        <f>IF(ISBLANK(M1270),"Aguardando Previsão/Data",NETWORKDAYS(L1270,M1270)-1)</f>
        <v>-3</v>
      </c>
      <c r="T1270" s="5" t="s">
        <v>942</v>
      </c>
    </row>
    <row r="1271" spans="1:20" x14ac:dyDescent="0.35">
      <c r="A1271" s="5">
        <v>8100274387</v>
      </c>
      <c r="B1271" s="5">
        <v>19089</v>
      </c>
      <c r="C1271" s="6">
        <v>45667</v>
      </c>
      <c r="D1271" s="5" t="s">
        <v>106</v>
      </c>
      <c r="E1271" s="5" t="s">
        <v>107</v>
      </c>
      <c r="F1271" s="5" t="s">
        <v>58</v>
      </c>
      <c r="G1271" s="5" t="s">
        <v>59</v>
      </c>
      <c r="H1271" s="5" t="s">
        <v>218</v>
      </c>
      <c r="I1271" s="5" t="s">
        <v>222</v>
      </c>
      <c r="J1271" s="5" t="s">
        <v>220</v>
      </c>
      <c r="K1271" s="5" t="s">
        <v>221</v>
      </c>
      <c r="L1271" s="6">
        <v>45684</v>
      </c>
      <c r="M1271" s="6">
        <v>45681</v>
      </c>
      <c r="N1271" s="6" t="s">
        <v>811</v>
      </c>
      <c r="O1271" s="5" t="str">
        <f ca="1">IF(P1271&lt;&gt;"EXPEDIÇÃO","Expedido",IF(NETWORKDAYS(C1271,TODAY())&gt;=5,"Risco Alto",IF(NETWORKDAYS(C1271,TODAY())&gt;=3,IF(NETWORKDAYS(C1271,TODAY())&lt;5,"Risco Médio",""),IF(NETWORKDAYS(C1271,TODAY())&lt;=2,"Risco Baixo",""))))</f>
        <v>Expedido</v>
      </c>
      <c r="P1271" s="5" t="s">
        <v>25</v>
      </c>
      <c r="S1271" s="7">
        <f>IF(ISBLANK(M1271),"Aguardando Previsão/Data",NETWORKDAYS(L1271,M1271)-1)</f>
        <v>-3</v>
      </c>
      <c r="T1271" s="5" t="s">
        <v>942</v>
      </c>
    </row>
    <row r="1272" spans="1:20" x14ac:dyDescent="0.35">
      <c r="A1272" s="5">
        <v>8100274388</v>
      </c>
      <c r="B1272" s="5">
        <v>19090</v>
      </c>
      <c r="C1272" s="6">
        <v>45667</v>
      </c>
      <c r="D1272" s="5" t="s">
        <v>106</v>
      </c>
      <c r="E1272" s="5" t="s">
        <v>107</v>
      </c>
      <c r="F1272" s="5" t="s">
        <v>58</v>
      </c>
      <c r="G1272" s="5" t="s">
        <v>59</v>
      </c>
      <c r="H1272" s="5" t="s">
        <v>218</v>
      </c>
      <c r="I1272" s="5" t="s">
        <v>222</v>
      </c>
      <c r="J1272" s="5" t="s">
        <v>220</v>
      </c>
      <c r="K1272" s="5" t="s">
        <v>221</v>
      </c>
      <c r="L1272" s="6">
        <v>45684</v>
      </c>
      <c r="M1272" s="6">
        <v>45681</v>
      </c>
      <c r="N1272" s="6" t="s">
        <v>811</v>
      </c>
      <c r="O1272" s="5" t="str">
        <f ca="1">IF(P1272&lt;&gt;"EXPEDIÇÃO","Expedido",IF(NETWORKDAYS(C1272,TODAY())&gt;=5,"Risco Alto",IF(NETWORKDAYS(C1272,TODAY())&gt;=3,IF(NETWORKDAYS(C1272,TODAY())&lt;5,"Risco Médio",""),IF(NETWORKDAYS(C1272,TODAY())&lt;=2,"Risco Baixo",""))))</f>
        <v>Expedido</v>
      </c>
      <c r="P1272" s="5" t="s">
        <v>25</v>
      </c>
      <c r="S1272" s="7">
        <f>IF(ISBLANK(M1272),"Aguardando Previsão/Data",NETWORKDAYS(L1272,M1272)-1)</f>
        <v>-3</v>
      </c>
      <c r="T1272" s="5" t="s">
        <v>942</v>
      </c>
    </row>
    <row r="1273" spans="1:20" x14ac:dyDescent="0.35">
      <c r="A1273" s="5">
        <v>8100274389</v>
      </c>
      <c r="B1273" s="5">
        <v>19094</v>
      </c>
      <c r="C1273" s="6">
        <v>45667</v>
      </c>
      <c r="D1273" s="5" t="s">
        <v>106</v>
      </c>
      <c r="E1273" s="5" t="s">
        <v>107</v>
      </c>
      <c r="F1273" s="5" t="s">
        <v>58</v>
      </c>
      <c r="G1273" s="5" t="s">
        <v>59</v>
      </c>
      <c r="H1273" s="5" t="s">
        <v>218</v>
      </c>
      <c r="I1273" s="5" t="s">
        <v>230</v>
      </c>
      <c r="J1273" s="5" t="s">
        <v>231</v>
      </c>
      <c r="K1273" s="5" t="s">
        <v>232</v>
      </c>
      <c r="L1273" s="6">
        <v>45685</v>
      </c>
      <c r="M1273" s="6">
        <v>45684</v>
      </c>
      <c r="N1273" s="6" t="s">
        <v>811</v>
      </c>
      <c r="O1273" s="5" t="str">
        <f ca="1">IF(P1273&lt;&gt;"EXPEDIÇÃO","Expedido",IF(NETWORKDAYS(C1273,TODAY())&gt;=5,"Risco Alto",IF(NETWORKDAYS(C1273,TODAY())&gt;=3,IF(NETWORKDAYS(C1273,TODAY())&lt;5,"Risco Médio",""),IF(NETWORKDAYS(C1273,TODAY())&lt;=2,"Risco Baixo",""))))</f>
        <v>Expedido</v>
      </c>
      <c r="P1273" s="5" t="s">
        <v>25</v>
      </c>
      <c r="S1273" s="7">
        <f>IF(ISBLANK(M1273),"Aguardando Previsão/Data",NETWORKDAYS(L1273,M1273)-1)</f>
        <v>-3</v>
      </c>
      <c r="T1273" s="5" t="s">
        <v>942</v>
      </c>
    </row>
    <row r="1274" spans="1:20" x14ac:dyDescent="0.35">
      <c r="A1274" s="5">
        <v>8100274390</v>
      </c>
      <c r="B1274" s="5">
        <v>19091</v>
      </c>
      <c r="C1274" s="6">
        <v>45667</v>
      </c>
      <c r="D1274" s="5" t="s">
        <v>106</v>
      </c>
      <c r="E1274" s="5" t="s">
        <v>107</v>
      </c>
      <c r="F1274" s="5" t="s">
        <v>58</v>
      </c>
      <c r="G1274" s="5" t="s">
        <v>59</v>
      </c>
      <c r="H1274" s="5" t="s">
        <v>218</v>
      </c>
      <c r="I1274" s="5" t="s">
        <v>317</v>
      </c>
      <c r="J1274" s="5" t="s">
        <v>770</v>
      </c>
      <c r="K1274" s="5" t="s">
        <v>238</v>
      </c>
      <c r="L1274" s="6">
        <v>45686</v>
      </c>
      <c r="M1274" s="6">
        <v>45684</v>
      </c>
      <c r="N1274" s="6" t="s">
        <v>811</v>
      </c>
      <c r="O1274" s="5" t="str">
        <f ca="1">IF(P1274&lt;&gt;"EXPEDIÇÃO","Expedido",IF(NETWORKDAYS(C1274,TODAY())&gt;=5,"Risco Alto",IF(NETWORKDAYS(C1274,TODAY())&gt;=3,IF(NETWORKDAYS(C1274,TODAY())&lt;5,"Risco Médio",""),IF(NETWORKDAYS(C1274,TODAY())&lt;=2,"Risco Baixo",""))))</f>
        <v>Expedido</v>
      </c>
      <c r="P1274" s="5" t="s">
        <v>25</v>
      </c>
      <c r="S1274" s="7">
        <f>IF(ISBLANK(M1274),"Aguardando Previsão/Data",NETWORKDAYS(L1274,M1274)-1)</f>
        <v>-4</v>
      </c>
      <c r="T1274" s="5" t="s">
        <v>942</v>
      </c>
    </row>
    <row r="1275" spans="1:20" x14ac:dyDescent="0.35">
      <c r="A1275" s="5">
        <v>8100274400</v>
      </c>
      <c r="B1275" s="5">
        <v>19093</v>
      </c>
      <c r="C1275" s="6">
        <v>45667</v>
      </c>
      <c r="D1275" s="5" t="s">
        <v>106</v>
      </c>
      <c r="E1275" s="5" t="s">
        <v>107</v>
      </c>
      <c r="F1275" s="5" t="s">
        <v>58</v>
      </c>
      <c r="G1275" s="5" t="s">
        <v>59</v>
      </c>
      <c r="H1275" s="5" t="s">
        <v>218</v>
      </c>
      <c r="I1275" s="5" t="s">
        <v>317</v>
      </c>
      <c r="J1275" s="5" t="s">
        <v>1099</v>
      </c>
      <c r="K1275" s="5" t="s">
        <v>233</v>
      </c>
      <c r="L1275" s="6">
        <v>45686</v>
      </c>
      <c r="M1275" s="6">
        <v>45684</v>
      </c>
      <c r="N1275" s="6" t="s">
        <v>811</v>
      </c>
      <c r="O1275" s="5" t="str">
        <f ca="1">IF(P1275&lt;&gt;"EXPEDIÇÃO","Expedido",IF(NETWORKDAYS(C1275,TODAY())&gt;=5,"Risco Alto",IF(NETWORKDAYS(C1275,TODAY())&gt;=3,IF(NETWORKDAYS(C1275,TODAY())&lt;5,"Risco Médio",""),IF(NETWORKDAYS(C1275,TODAY())&lt;=2,"Risco Baixo",""))))</f>
        <v>Expedido</v>
      </c>
      <c r="P1275" s="5" t="s">
        <v>25</v>
      </c>
      <c r="S1275" s="7">
        <f>IF(ISBLANK(M1275),"Aguardando Previsão/Data",NETWORKDAYS(L1275,M1275)-1)</f>
        <v>-4</v>
      </c>
      <c r="T1275" s="5" t="s">
        <v>942</v>
      </c>
    </row>
    <row r="1276" spans="1:20" x14ac:dyDescent="0.35">
      <c r="A1276" s="5">
        <v>8100274416</v>
      </c>
      <c r="B1276" s="5">
        <v>19092</v>
      </c>
      <c r="C1276" s="6">
        <v>45667</v>
      </c>
      <c r="D1276" s="5" t="s">
        <v>106</v>
      </c>
      <c r="E1276" s="5" t="s">
        <v>107</v>
      </c>
      <c r="F1276" s="5" t="s">
        <v>69</v>
      </c>
      <c r="G1276" s="5" t="s">
        <v>70</v>
      </c>
      <c r="H1276" s="5" t="s">
        <v>218</v>
      </c>
      <c r="I1276" s="5" t="s">
        <v>333</v>
      </c>
      <c r="J1276" s="5" t="s">
        <v>234</v>
      </c>
      <c r="K1276" s="5" t="s">
        <v>221</v>
      </c>
      <c r="L1276" s="6">
        <v>45686</v>
      </c>
      <c r="M1276" s="6">
        <v>45684</v>
      </c>
      <c r="N1276" s="6" t="s">
        <v>811</v>
      </c>
      <c r="O1276" s="5" t="str">
        <f ca="1">IF(P1276&lt;&gt;"EXPEDIÇÃO","Expedido",IF(NETWORKDAYS(C1276,TODAY())&gt;=5,"Risco Alto",IF(NETWORKDAYS(C1276,TODAY())&gt;=3,IF(NETWORKDAYS(C1276,TODAY())&lt;5,"Risco Médio",""),IF(NETWORKDAYS(C1276,TODAY())&lt;=2,"Risco Baixo",""))))</f>
        <v>Expedido</v>
      </c>
      <c r="P1276" s="5" t="s">
        <v>25</v>
      </c>
      <c r="S1276" s="7">
        <f>IF(ISBLANK(M1276),"Aguardando Previsão/Data",NETWORKDAYS(L1276,M1276)-1)</f>
        <v>-4</v>
      </c>
      <c r="T1276" s="5" t="s">
        <v>942</v>
      </c>
    </row>
    <row r="1277" spans="1:20" x14ac:dyDescent="0.35">
      <c r="A1277" s="5">
        <v>8100274418</v>
      </c>
      <c r="B1277" s="5">
        <v>19095</v>
      </c>
      <c r="C1277" s="6">
        <v>45667</v>
      </c>
      <c r="D1277" s="5" t="s">
        <v>106</v>
      </c>
      <c r="E1277" s="5" t="s">
        <v>107</v>
      </c>
      <c r="F1277" s="5" t="s">
        <v>69</v>
      </c>
      <c r="G1277" s="5" t="s">
        <v>70</v>
      </c>
      <c r="H1277" s="5" t="s">
        <v>218</v>
      </c>
      <c r="I1277" s="5" t="s">
        <v>230</v>
      </c>
      <c r="J1277" s="5" t="s">
        <v>231</v>
      </c>
      <c r="K1277" s="5" t="s">
        <v>232</v>
      </c>
      <c r="L1277" s="6">
        <v>45685</v>
      </c>
      <c r="M1277" s="6">
        <v>45684</v>
      </c>
      <c r="N1277" s="6" t="s">
        <v>811</v>
      </c>
      <c r="O1277" s="5" t="str">
        <f ca="1">IF(P1277&lt;&gt;"EXPEDIÇÃO","Expedido",IF(NETWORKDAYS(C1277,TODAY())&gt;=5,"Risco Alto",IF(NETWORKDAYS(C1277,TODAY())&gt;=3,IF(NETWORKDAYS(C1277,TODAY())&lt;5,"Risco Médio",""),IF(NETWORKDAYS(C1277,TODAY())&lt;=2,"Risco Baixo",""))))</f>
        <v>Expedido</v>
      </c>
      <c r="P1277" s="5" t="s">
        <v>25</v>
      </c>
      <c r="S1277" s="7">
        <f>IF(ISBLANK(M1277),"Aguardando Previsão/Data",NETWORKDAYS(L1277,M1277)-1)</f>
        <v>-3</v>
      </c>
      <c r="T1277" s="5" t="s">
        <v>942</v>
      </c>
    </row>
    <row r="1278" spans="1:20" x14ac:dyDescent="0.35">
      <c r="A1278" s="5">
        <v>8100274850</v>
      </c>
      <c r="B1278" s="5">
        <v>19123</v>
      </c>
      <c r="C1278" s="6">
        <v>45667</v>
      </c>
      <c r="D1278" s="5" t="s">
        <v>106</v>
      </c>
      <c r="E1278" s="5" t="s">
        <v>107</v>
      </c>
      <c r="F1278" s="5" t="s">
        <v>69</v>
      </c>
      <c r="G1278" s="5" t="s">
        <v>70</v>
      </c>
      <c r="H1278" s="5" t="s">
        <v>218</v>
      </c>
      <c r="I1278" s="5" t="s">
        <v>230</v>
      </c>
      <c r="J1278" s="5" t="s">
        <v>231</v>
      </c>
      <c r="K1278" s="5" t="s">
        <v>232</v>
      </c>
      <c r="L1278" s="6">
        <v>45685</v>
      </c>
      <c r="M1278" s="6">
        <v>45684</v>
      </c>
      <c r="N1278" s="6" t="s">
        <v>811</v>
      </c>
      <c r="O1278" s="5" t="str">
        <f ca="1">IF(P1278&lt;&gt;"EXPEDIÇÃO","Expedido",IF(NETWORKDAYS(C1278,TODAY())&gt;=5,"Risco Alto",IF(NETWORKDAYS(C1278,TODAY())&gt;=3,IF(NETWORKDAYS(C1278,TODAY())&lt;5,"Risco Médio",""),IF(NETWORKDAYS(C1278,TODAY())&lt;=2,"Risco Baixo",""))))</f>
        <v>Expedido</v>
      </c>
      <c r="P1278" s="5" t="s">
        <v>25</v>
      </c>
      <c r="S1278" s="7">
        <f>IF(ISBLANK(M1278),"Aguardando Previsão/Data",NETWORKDAYS(L1278,M1278)-1)</f>
        <v>-3</v>
      </c>
      <c r="T1278" s="5" t="s">
        <v>942</v>
      </c>
    </row>
    <row r="1279" spans="1:20" x14ac:dyDescent="0.35">
      <c r="A1279" s="5">
        <v>8100274851</v>
      </c>
      <c r="B1279" s="5">
        <v>19121</v>
      </c>
      <c r="C1279" s="6">
        <v>45667</v>
      </c>
      <c r="D1279" s="5" t="s">
        <v>106</v>
      </c>
      <c r="E1279" s="5" t="s">
        <v>107</v>
      </c>
      <c r="F1279" s="5" t="s">
        <v>69</v>
      </c>
      <c r="G1279" s="5" t="s">
        <v>70</v>
      </c>
      <c r="H1279" s="5" t="s">
        <v>218</v>
      </c>
      <c r="I1279" s="5" t="s">
        <v>333</v>
      </c>
      <c r="J1279" s="5" t="s">
        <v>234</v>
      </c>
      <c r="K1279" s="5" t="s">
        <v>221</v>
      </c>
      <c r="L1279" s="6">
        <v>45686</v>
      </c>
      <c r="M1279" s="6">
        <v>45684</v>
      </c>
      <c r="N1279" s="6" t="s">
        <v>811</v>
      </c>
      <c r="O1279" s="5" t="str">
        <f ca="1">IF(P1279&lt;&gt;"EXPEDIÇÃO","Expedido",IF(NETWORKDAYS(C1279,TODAY())&gt;=5,"Risco Alto",IF(NETWORKDAYS(C1279,TODAY())&gt;=3,IF(NETWORKDAYS(C1279,TODAY())&lt;5,"Risco Médio",""),IF(NETWORKDAYS(C1279,TODAY())&lt;=2,"Risco Baixo",""))))</f>
        <v>Expedido</v>
      </c>
      <c r="P1279" s="5" t="s">
        <v>25</v>
      </c>
      <c r="S1279" s="7">
        <f>IF(ISBLANK(M1279),"Aguardando Previsão/Data",NETWORKDAYS(L1279,M1279)-1)</f>
        <v>-4</v>
      </c>
      <c r="T1279" s="5" t="s">
        <v>942</v>
      </c>
    </row>
    <row r="1280" spans="1:20" x14ac:dyDescent="0.35">
      <c r="A1280" s="5">
        <v>8100274852</v>
      </c>
      <c r="B1280" s="5">
        <v>19122</v>
      </c>
      <c r="C1280" s="6">
        <v>45667</v>
      </c>
      <c r="D1280" s="5" t="s">
        <v>106</v>
      </c>
      <c r="E1280" s="5" t="s">
        <v>107</v>
      </c>
      <c r="F1280" s="5" t="s">
        <v>69</v>
      </c>
      <c r="G1280" s="5" t="s">
        <v>70</v>
      </c>
      <c r="H1280" s="5" t="s">
        <v>218</v>
      </c>
      <c r="I1280" s="5" t="s">
        <v>333</v>
      </c>
      <c r="J1280" s="5" t="s">
        <v>234</v>
      </c>
      <c r="K1280" s="5" t="s">
        <v>221</v>
      </c>
      <c r="L1280" s="6">
        <v>45686</v>
      </c>
      <c r="M1280" s="6">
        <v>45684</v>
      </c>
      <c r="N1280" s="6" t="s">
        <v>811</v>
      </c>
      <c r="O1280" s="5" t="str">
        <f ca="1">IF(P1280&lt;&gt;"EXPEDIÇÃO","Expedido",IF(NETWORKDAYS(C1280,TODAY())&gt;=5,"Risco Alto",IF(NETWORKDAYS(C1280,TODAY())&gt;=3,IF(NETWORKDAYS(C1280,TODAY())&lt;5,"Risco Médio",""),IF(NETWORKDAYS(C1280,TODAY())&lt;=2,"Risco Baixo",""))))</f>
        <v>Expedido</v>
      </c>
      <c r="P1280" s="5" t="s">
        <v>25</v>
      </c>
      <c r="S1280" s="7">
        <f>IF(ISBLANK(M1280),"Aguardando Previsão/Data",NETWORKDAYS(L1280,M1280)-1)</f>
        <v>-4</v>
      </c>
      <c r="T1280" s="5" t="s">
        <v>942</v>
      </c>
    </row>
    <row r="1281" spans="1:20" x14ac:dyDescent="0.35">
      <c r="A1281" s="5">
        <v>8100274853</v>
      </c>
      <c r="B1281" s="5">
        <v>19124</v>
      </c>
      <c r="C1281" s="6">
        <v>45667</v>
      </c>
      <c r="D1281" s="5" t="s">
        <v>106</v>
      </c>
      <c r="E1281" s="5" t="s">
        <v>107</v>
      </c>
      <c r="F1281" s="5" t="s">
        <v>69</v>
      </c>
      <c r="G1281" s="5" t="s">
        <v>70</v>
      </c>
      <c r="H1281" s="5" t="s">
        <v>218</v>
      </c>
      <c r="I1281" s="5" t="s">
        <v>230</v>
      </c>
      <c r="J1281" s="5" t="s">
        <v>231</v>
      </c>
      <c r="K1281" s="5" t="s">
        <v>232</v>
      </c>
      <c r="L1281" s="6">
        <v>45685</v>
      </c>
      <c r="M1281" s="6">
        <v>45684</v>
      </c>
      <c r="N1281" s="6" t="s">
        <v>811</v>
      </c>
      <c r="O1281" s="5" t="str">
        <f ca="1">IF(P1281&lt;&gt;"EXPEDIÇÃO","Expedido",IF(NETWORKDAYS(C1281,TODAY())&gt;=5,"Risco Alto",IF(NETWORKDAYS(C1281,TODAY())&gt;=3,IF(NETWORKDAYS(C1281,TODAY())&lt;5,"Risco Médio",""),IF(NETWORKDAYS(C1281,TODAY())&lt;=2,"Risco Baixo",""))))</f>
        <v>Expedido</v>
      </c>
      <c r="P1281" s="5" t="s">
        <v>25</v>
      </c>
      <c r="S1281" s="7">
        <f>IF(ISBLANK(M1281),"Aguardando Previsão/Data",NETWORKDAYS(L1281,M1281)-1)</f>
        <v>-3</v>
      </c>
      <c r="T1281" s="5" t="s">
        <v>942</v>
      </c>
    </row>
    <row r="1282" spans="1:20" x14ac:dyDescent="0.35">
      <c r="A1282" s="5">
        <v>8100274113</v>
      </c>
      <c r="B1282" s="5">
        <v>19059</v>
      </c>
      <c r="C1282" s="6">
        <v>45667</v>
      </c>
      <c r="D1282" s="5" t="s">
        <v>106</v>
      </c>
      <c r="E1282" s="5" t="s">
        <v>107</v>
      </c>
      <c r="F1282" s="5" t="s">
        <v>69</v>
      </c>
      <c r="G1282" s="5" t="s">
        <v>70</v>
      </c>
      <c r="H1282" s="5" t="s">
        <v>108</v>
      </c>
      <c r="I1282" s="5" t="s">
        <v>144</v>
      </c>
      <c r="J1282" s="5" t="s">
        <v>141</v>
      </c>
      <c r="K1282" s="5" t="s">
        <v>110</v>
      </c>
      <c r="L1282" s="6">
        <v>45671</v>
      </c>
      <c r="M1282" s="6">
        <v>45667</v>
      </c>
      <c r="N1282" s="6" t="s">
        <v>811</v>
      </c>
      <c r="O1282" s="5" t="str">
        <f ca="1">IF(P1282&lt;&gt;"EXPEDIÇÃO","Expedido",IF(NETWORKDAYS(C1282,TODAY())&gt;=5,"Risco Alto",IF(NETWORKDAYS(C1282,TODAY())&gt;=3,IF(NETWORKDAYS(C1282,TODAY())&lt;5,"Risco Médio",""),IF(NETWORKDAYS(C1282,TODAY())&lt;=2,"Risco Baixo",""))))</f>
        <v>Expedido</v>
      </c>
      <c r="P1282" s="5" t="s">
        <v>25</v>
      </c>
      <c r="Q1282" s="5" t="s">
        <v>900</v>
      </c>
      <c r="S1282" s="7">
        <f>IF(ISBLANK(M1282),"Aguardando Previsão/Data",NETWORKDAYS(L1282,M1282)-1)</f>
        <v>-4</v>
      </c>
      <c r="T1282" s="5" t="s">
        <v>942</v>
      </c>
    </row>
    <row r="1283" spans="1:20" x14ac:dyDescent="0.35">
      <c r="A1283" s="5">
        <v>8100274238</v>
      </c>
      <c r="B1283" s="5">
        <v>19060</v>
      </c>
      <c r="C1283" s="6">
        <v>45667</v>
      </c>
      <c r="D1283" s="5" t="s">
        <v>106</v>
      </c>
      <c r="E1283" s="5" t="s">
        <v>107</v>
      </c>
      <c r="F1283" s="5" t="s">
        <v>69</v>
      </c>
      <c r="G1283" s="5" t="s">
        <v>70</v>
      </c>
      <c r="H1283" s="5" t="s">
        <v>108</v>
      </c>
      <c r="I1283" s="5" t="s">
        <v>144</v>
      </c>
      <c r="J1283" s="5" t="s">
        <v>141</v>
      </c>
      <c r="K1283" s="5" t="s">
        <v>110</v>
      </c>
      <c r="L1283" s="6">
        <v>45671</v>
      </c>
      <c r="M1283" s="6">
        <v>45667</v>
      </c>
      <c r="N1283" s="6" t="s">
        <v>811</v>
      </c>
      <c r="O1283" s="5" t="str">
        <f ca="1">IF(P1283&lt;&gt;"EXPEDIÇÃO","Expedido",IF(NETWORKDAYS(C1283,TODAY())&gt;=5,"Risco Alto",IF(NETWORKDAYS(C1283,TODAY())&gt;=3,IF(NETWORKDAYS(C1283,TODAY())&lt;5,"Risco Médio",""),IF(NETWORKDAYS(C1283,TODAY())&lt;=2,"Risco Baixo",""))))</f>
        <v>Expedido</v>
      </c>
      <c r="P1283" s="5" t="s">
        <v>25</v>
      </c>
      <c r="Q1283" s="5" t="s">
        <v>900</v>
      </c>
      <c r="S1283" s="7">
        <f>IF(ISBLANK(M1283),"Aguardando Previsão/Data",NETWORKDAYS(L1283,M1283)-1)</f>
        <v>-4</v>
      </c>
      <c r="T1283" s="5" t="s">
        <v>942</v>
      </c>
    </row>
    <row r="1284" spans="1:20" x14ac:dyDescent="0.35">
      <c r="A1284" s="5">
        <v>8100274391</v>
      </c>
      <c r="B1284" s="5">
        <v>19085</v>
      </c>
      <c r="C1284" s="6">
        <v>45667</v>
      </c>
      <c r="D1284" s="5" t="s">
        <v>106</v>
      </c>
      <c r="E1284" s="5" t="s">
        <v>107</v>
      </c>
      <c r="F1284" s="5" t="s">
        <v>58</v>
      </c>
      <c r="G1284" s="5" t="s">
        <v>59</v>
      </c>
      <c r="H1284" s="5" t="s">
        <v>108</v>
      </c>
      <c r="I1284" s="5" t="s">
        <v>130</v>
      </c>
      <c r="J1284" s="5" t="s">
        <v>131</v>
      </c>
      <c r="K1284" s="5" t="s">
        <v>110</v>
      </c>
      <c r="L1284" s="6">
        <v>45673</v>
      </c>
      <c r="M1284" s="6">
        <v>45671</v>
      </c>
      <c r="N1284" s="6" t="s">
        <v>811</v>
      </c>
      <c r="O1284" s="5" t="str">
        <f ca="1">IF(P1284&lt;&gt;"EXPEDIÇÃO","Expedido",IF(NETWORKDAYS(C1284,TODAY())&gt;=5,"Risco Alto",IF(NETWORKDAYS(C1284,TODAY())&gt;=3,IF(NETWORKDAYS(C1284,TODAY())&lt;5,"Risco Médio",""),IF(NETWORKDAYS(C1284,TODAY())&lt;=2,"Risco Baixo",""))))</f>
        <v>Expedido</v>
      </c>
      <c r="P1284" s="5" t="s">
        <v>25</v>
      </c>
      <c r="S1284" s="7">
        <f>IF(ISBLANK(M1284),"Aguardando Previsão/Data",NETWORKDAYS(L1284,M1284)-1)</f>
        <v>-4</v>
      </c>
      <c r="T1284" s="5" t="s">
        <v>942</v>
      </c>
    </row>
    <row r="1285" spans="1:20" x14ac:dyDescent="0.35">
      <c r="A1285" s="5">
        <v>8100274392</v>
      </c>
      <c r="B1285" s="5">
        <v>19050</v>
      </c>
      <c r="C1285" s="6">
        <v>45667</v>
      </c>
      <c r="D1285" s="5" t="s">
        <v>106</v>
      </c>
      <c r="E1285" s="5" t="s">
        <v>107</v>
      </c>
      <c r="F1285" s="5" t="s">
        <v>58</v>
      </c>
      <c r="G1285" s="5" t="s">
        <v>59</v>
      </c>
      <c r="H1285" s="5" t="s">
        <v>108</v>
      </c>
      <c r="I1285" s="5" t="s">
        <v>140</v>
      </c>
      <c r="J1285" s="5" t="s">
        <v>141</v>
      </c>
      <c r="K1285" s="5" t="s">
        <v>110</v>
      </c>
      <c r="L1285" s="6">
        <v>45671</v>
      </c>
      <c r="M1285" s="6">
        <v>45667</v>
      </c>
      <c r="N1285" s="6" t="s">
        <v>811</v>
      </c>
      <c r="O1285" s="5" t="str">
        <f ca="1">IF(P1285&lt;&gt;"EXPEDIÇÃO","Expedido",IF(NETWORKDAYS(C1285,TODAY())&gt;=5,"Risco Alto",IF(NETWORKDAYS(C1285,TODAY())&gt;=3,IF(NETWORKDAYS(C1285,TODAY())&lt;5,"Risco Médio",""),IF(NETWORKDAYS(C1285,TODAY())&lt;=2,"Risco Baixo",""))))</f>
        <v>Expedido</v>
      </c>
      <c r="P1285" s="5" t="s">
        <v>25</v>
      </c>
      <c r="Q1285" s="5" t="s">
        <v>900</v>
      </c>
      <c r="S1285" s="7">
        <f>IF(ISBLANK(M1285),"Aguardando Previsão/Data",NETWORKDAYS(L1285,M1285)-1)</f>
        <v>-4</v>
      </c>
      <c r="T1285" s="5" t="s">
        <v>942</v>
      </c>
    </row>
    <row r="1286" spans="1:20" x14ac:dyDescent="0.35">
      <c r="A1286" s="5">
        <v>8100274393</v>
      </c>
      <c r="B1286" s="5">
        <v>19051</v>
      </c>
      <c r="C1286" s="6">
        <v>45667</v>
      </c>
      <c r="D1286" s="5" t="s">
        <v>106</v>
      </c>
      <c r="E1286" s="5" t="s">
        <v>107</v>
      </c>
      <c r="F1286" s="5" t="s">
        <v>58</v>
      </c>
      <c r="G1286" s="5" t="s">
        <v>59</v>
      </c>
      <c r="H1286" s="5" t="s">
        <v>108</v>
      </c>
      <c r="I1286" s="5" t="s">
        <v>140</v>
      </c>
      <c r="J1286" s="5" t="s">
        <v>141</v>
      </c>
      <c r="K1286" s="5" t="s">
        <v>110</v>
      </c>
      <c r="L1286" s="6">
        <v>45671</v>
      </c>
      <c r="M1286" s="6">
        <v>45667</v>
      </c>
      <c r="N1286" s="6" t="s">
        <v>811</v>
      </c>
      <c r="O1286" s="5" t="str">
        <f ca="1">IF(P1286&lt;&gt;"EXPEDIÇÃO","Expedido",IF(NETWORKDAYS(C1286,TODAY())&gt;=5,"Risco Alto",IF(NETWORKDAYS(C1286,TODAY())&gt;=3,IF(NETWORKDAYS(C1286,TODAY())&lt;5,"Risco Médio",""),IF(NETWORKDAYS(C1286,TODAY())&lt;=2,"Risco Baixo",""))))</f>
        <v>Expedido</v>
      </c>
      <c r="P1286" s="5" t="s">
        <v>25</v>
      </c>
      <c r="Q1286" s="5" t="s">
        <v>900</v>
      </c>
      <c r="S1286" s="7">
        <f>IF(ISBLANK(M1286),"Aguardando Previsão/Data",NETWORKDAYS(L1286,M1286)-1)</f>
        <v>-4</v>
      </c>
      <c r="T1286" s="5" t="s">
        <v>942</v>
      </c>
    </row>
    <row r="1287" spans="1:20" x14ac:dyDescent="0.35">
      <c r="A1287" s="5">
        <v>8100274394</v>
      </c>
      <c r="B1287" s="5">
        <v>19052</v>
      </c>
      <c r="C1287" s="6">
        <v>45667</v>
      </c>
      <c r="D1287" s="5" t="s">
        <v>106</v>
      </c>
      <c r="E1287" s="5" t="s">
        <v>107</v>
      </c>
      <c r="F1287" s="5" t="s">
        <v>58</v>
      </c>
      <c r="G1287" s="5" t="s">
        <v>59</v>
      </c>
      <c r="H1287" s="5" t="s">
        <v>108</v>
      </c>
      <c r="I1287" s="5" t="s">
        <v>140</v>
      </c>
      <c r="J1287" s="5" t="s">
        <v>141</v>
      </c>
      <c r="K1287" s="5" t="s">
        <v>110</v>
      </c>
      <c r="L1287" s="6">
        <v>45671</v>
      </c>
      <c r="M1287" s="6">
        <v>45667</v>
      </c>
      <c r="N1287" s="6" t="s">
        <v>811</v>
      </c>
      <c r="O1287" s="5" t="str">
        <f ca="1">IF(P1287&lt;&gt;"EXPEDIÇÃO","Expedido",IF(NETWORKDAYS(C1287,TODAY())&gt;=5,"Risco Alto",IF(NETWORKDAYS(C1287,TODAY())&gt;=3,IF(NETWORKDAYS(C1287,TODAY())&lt;5,"Risco Médio",""),IF(NETWORKDAYS(C1287,TODAY())&lt;=2,"Risco Baixo",""))))</f>
        <v>Expedido</v>
      </c>
      <c r="P1287" s="5" t="s">
        <v>25</v>
      </c>
      <c r="Q1287" s="5" t="s">
        <v>900</v>
      </c>
      <c r="S1287" s="7">
        <f>IF(ISBLANK(M1287),"Aguardando Previsão/Data",NETWORKDAYS(L1287,M1287)-1)</f>
        <v>-4</v>
      </c>
      <c r="T1287" s="5" t="s">
        <v>942</v>
      </c>
    </row>
    <row r="1288" spans="1:20" x14ac:dyDescent="0.35">
      <c r="A1288" s="5">
        <v>8100274395</v>
      </c>
      <c r="B1288" s="5">
        <v>19053</v>
      </c>
      <c r="C1288" s="6">
        <v>45667</v>
      </c>
      <c r="D1288" s="5" t="s">
        <v>106</v>
      </c>
      <c r="E1288" s="5" t="s">
        <v>107</v>
      </c>
      <c r="F1288" s="5" t="s">
        <v>58</v>
      </c>
      <c r="G1288" s="5" t="s">
        <v>59</v>
      </c>
      <c r="H1288" s="5" t="s">
        <v>108</v>
      </c>
      <c r="I1288" s="5" t="s">
        <v>140</v>
      </c>
      <c r="J1288" s="5" t="s">
        <v>141</v>
      </c>
      <c r="K1288" s="5" t="s">
        <v>110</v>
      </c>
      <c r="L1288" s="6">
        <v>45671</v>
      </c>
      <c r="M1288" s="6">
        <v>45667</v>
      </c>
      <c r="N1288" s="6" t="s">
        <v>811</v>
      </c>
      <c r="O1288" s="5" t="str">
        <f ca="1">IF(P1288&lt;&gt;"EXPEDIÇÃO","Expedido",IF(NETWORKDAYS(C1288,TODAY())&gt;=5,"Risco Alto",IF(NETWORKDAYS(C1288,TODAY())&gt;=3,IF(NETWORKDAYS(C1288,TODAY())&lt;5,"Risco Médio",""),IF(NETWORKDAYS(C1288,TODAY())&lt;=2,"Risco Baixo",""))))</f>
        <v>Expedido</v>
      </c>
      <c r="P1288" s="5" t="s">
        <v>25</v>
      </c>
      <c r="Q1288" s="5" t="s">
        <v>900</v>
      </c>
      <c r="S1288" s="7">
        <f>IF(ISBLANK(M1288),"Aguardando Previsão/Data",NETWORKDAYS(L1288,M1288)-1)</f>
        <v>-4</v>
      </c>
      <c r="T1288" s="5" t="s">
        <v>942</v>
      </c>
    </row>
    <row r="1289" spans="1:20" x14ac:dyDescent="0.35">
      <c r="A1289" s="5">
        <v>8100274396</v>
      </c>
      <c r="B1289" s="5">
        <v>19054</v>
      </c>
      <c r="C1289" s="6">
        <v>45667</v>
      </c>
      <c r="D1289" s="5" t="s">
        <v>106</v>
      </c>
      <c r="E1289" s="5" t="s">
        <v>107</v>
      </c>
      <c r="F1289" s="5" t="s">
        <v>58</v>
      </c>
      <c r="G1289" s="5" t="s">
        <v>59</v>
      </c>
      <c r="H1289" s="5" t="s">
        <v>108</v>
      </c>
      <c r="I1289" s="5" t="s">
        <v>140</v>
      </c>
      <c r="J1289" s="5" t="s">
        <v>141</v>
      </c>
      <c r="K1289" s="5" t="s">
        <v>110</v>
      </c>
      <c r="L1289" s="6">
        <v>45671</v>
      </c>
      <c r="M1289" s="6">
        <v>45667</v>
      </c>
      <c r="N1289" s="6" t="s">
        <v>811</v>
      </c>
      <c r="O1289" s="5" t="str">
        <f ca="1">IF(P1289&lt;&gt;"EXPEDIÇÃO","Expedido",IF(NETWORKDAYS(C1289,TODAY())&gt;=5,"Risco Alto",IF(NETWORKDAYS(C1289,TODAY())&gt;=3,IF(NETWORKDAYS(C1289,TODAY())&lt;5,"Risco Médio",""),IF(NETWORKDAYS(C1289,TODAY())&lt;=2,"Risco Baixo",""))))</f>
        <v>Expedido</v>
      </c>
      <c r="P1289" s="5" t="s">
        <v>25</v>
      </c>
      <c r="Q1289" s="5" t="s">
        <v>900</v>
      </c>
      <c r="S1289" s="7">
        <f>IF(ISBLANK(M1289),"Aguardando Previsão/Data",NETWORKDAYS(L1289,M1289)-1)</f>
        <v>-4</v>
      </c>
      <c r="T1289" s="5" t="s">
        <v>942</v>
      </c>
    </row>
    <row r="1290" spans="1:20" x14ac:dyDescent="0.35">
      <c r="A1290" s="5">
        <v>8100274397</v>
      </c>
      <c r="B1290" s="5">
        <v>19055</v>
      </c>
      <c r="C1290" s="6">
        <v>45667</v>
      </c>
      <c r="D1290" s="5" t="s">
        <v>106</v>
      </c>
      <c r="E1290" s="5" t="s">
        <v>107</v>
      </c>
      <c r="F1290" s="5" t="s">
        <v>58</v>
      </c>
      <c r="G1290" s="5" t="s">
        <v>59</v>
      </c>
      <c r="H1290" s="5" t="s">
        <v>108</v>
      </c>
      <c r="I1290" s="5" t="s">
        <v>140</v>
      </c>
      <c r="J1290" s="5" t="s">
        <v>141</v>
      </c>
      <c r="K1290" s="5" t="s">
        <v>110</v>
      </c>
      <c r="L1290" s="6">
        <v>45671</v>
      </c>
      <c r="M1290" s="6">
        <v>45667</v>
      </c>
      <c r="N1290" s="6" t="s">
        <v>811</v>
      </c>
      <c r="O1290" s="5" t="str">
        <f ca="1">IF(P1290&lt;&gt;"EXPEDIÇÃO","Expedido",IF(NETWORKDAYS(C1290,TODAY())&gt;=5,"Risco Alto",IF(NETWORKDAYS(C1290,TODAY())&gt;=3,IF(NETWORKDAYS(C1290,TODAY())&lt;5,"Risco Médio",""),IF(NETWORKDAYS(C1290,TODAY())&lt;=2,"Risco Baixo",""))))</f>
        <v>Expedido</v>
      </c>
      <c r="P1290" s="5" t="s">
        <v>25</v>
      </c>
      <c r="Q1290" s="5" t="s">
        <v>900</v>
      </c>
      <c r="S1290" s="7">
        <f>IF(ISBLANK(M1290),"Aguardando Previsão/Data",NETWORKDAYS(L1290,M1290)-1)</f>
        <v>-4</v>
      </c>
      <c r="T1290" s="5" t="s">
        <v>942</v>
      </c>
    </row>
    <row r="1291" spans="1:20" x14ac:dyDescent="0.35">
      <c r="A1291" s="5">
        <v>8100274398</v>
      </c>
      <c r="B1291" s="5">
        <v>19062</v>
      </c>
      <c r="C1291" s="6">
        <v>45667</v>
      </c>
      <c r="D1291" s="5" t="s">
        <v>106</v>
      </c>
      <c r="E1291" s="5" t="s">
        <v>107</v>
      </c>
      <c r="F1291" s="5" t="s">
        <v>58</v>
      </c>
      <c r="G1291" s="5" t="s">
        <v>59</v>
      </c>
      <c r="H1291" s="5" t="s">
        <v>108</v>
      </c>
      <c r="I1291" s="5" t="s">
        <v>115</v>
      </c>
      <c r="J1291" s="5" t="s">
        <v>125</v>
      </c>
      <c r="K1291" s="5" t="s">
        <v>110</v>
      </c>
      <c r="L1291" s="6">
        <v>45673</v>
      </c>
      <c r="M1291" s="6">
        <v>45671</v>
      </c>
      <c r="N1291" s="6" t="s">
        <v>811</v>
      </c>
      <c r="O1291" s="5" t="str">
        <f ca="1">IF(P1291&lt;&gt;"EXPEDIÇÃO","Expedido",IF(NETWORKDAYS(C1291,TODAY())&gt;=5,"Risco Alto",IF(NETWORKDAYS(C1291,TODAY())&gt;=3,IF(NETWORKDAYS(C1291,TODAY())&lt;5,"Risco Médio",""),IF(NETWORKDAYS(C1291,TODAY())&lt;=2,"Risco Baixo",""))))</f>
        <v>Expedido</v>
      </c>
      <c r="P1291" s="5" t="s">
        <v>25</v>
      </c>
      <c r="S1291" s="7">
        <f>IF(ISBLANK(M1291),"Aguardando Previsão/Data",NETWORKDAYS(L1291,M1291)-1)</f>
        <v>-4</v>
      </c>
      <c r="T1291" s="5" t="s">
        <v>942</v>
      </c>
    </row>
    <row r="1292" spans="1:20" x14ac:dyDescent="0.35">
      <c r="A1292" s="5">
        <v>8100274401</v>
      </c>
      <c r="B1292" s="5">
        <v>19075</v>
      </c>
      <c r="C1292" s="6">
        <v>45667</v>
      </c>
      <c r="D1292" s="5" t="s">
        <v>106</v>
      </c>
      <c r="E1292" s="5" t="s">
        <v>107</v>
      </c>
      <c r="F1292" s="5" t="s">
        <v>167</v>
      </c>
      <c r="G1292" s="5" t="s">
        <v>168</v>
      </c>
      <c r="H1292" s="5" t="s">
        <v>108</v>
      </c>
      <c r="I1292" s="5" t="s">
        <v>709</v>
      </c>
      <c r="J1292" s="5" t="s">
        <v>710</v>
      </c>
      <c r="K1292" s="5" t="s">
        <v>170</v>
      </c>
      <c r="L1292" s="6">
        <v>45671</v>
      </c>
      <c r="M1292" s="6">
        <v>45673</v>
      </c>
      <c r="N1292" s="6" t="s">
        <v>812</v>
      </c>
      <c r="O1292" s="5" t="str">
        <f ca="1">IF(P1292&lt;&gt;"EXPEDIÇÃO","Expedido",IF(NETWORKDAYS(C1292,TODAY())&gt;=5,"Risco Alto",IF(NETWORKDAYS(C1292,TODAY())&gt;=3,IF(NETWORKDAYS(C1292,TODAY())&lt;5,"Risco Médio",""),IF(NETWORKDAYS(C1292,TODAY())&lt;=2,"Risco Baixo",""))))</f>
        <v>Expedido</v>
      </c>
      <c r="P1292" s="5" t="s">
        <v>25</v>
      </c>
      <c r="R1292" s="5" t="s">
        <v>1360</v>
      </c>
      <c r="S1292" s="7">
        <f>IF(ISBLANK(M1292),"Aguardando Previsão/Data",NETWORKDAYS(L1292,M1292)-1)</f>
        <v>2</v>
      </c>
      <c r="T1292" s="5" t="s">
        <v>942</v>
      </c>
    </row>
    <row r="1293" spans="1:20" x14ac:dyDescent="0.35">
      <c r="A1293" s="5">
        <v>8100274402</v>
      </c>
      <c r="B1293" s="5">
        <v>19070</v>
      </c>
      <c r="C1293" s="6">
        <v>45667</v>
      </c>
      <c r="D1293" s="5" t="s">
        <v>106</v>
      </c>
      <c r="E1293" s="5" t="s">
        <v>107</v>
      </c>
      <c r="F1293" s="5" t="s">
        <v>111</v>
      </c>
      <c r="G1293" s="5" t="s">
        <v>112</v>
      </c>
      <c r="H1293" s="5" t="s">
        <v>108</v>
      </c>
      <c r="I1293" s="5" t="s">
        <v>113</v>
      </c>
      <c r="J1293" s="5" t="s">
        <v>339</v>
      </c>
      <c r="K1293" s="5" t="s">
        <v>110</v>
      </c>
      <c r="L1293" s="6">
        <v>45674</v>
      </c>
      <c r="M1293" s="6">
        <v>45671</v>
      </c>
      <c r="N1293" s="6" t="s">
        <v>811</v>
      </c>
      <c r="O1293" s="5" t="str">
        <f ca="1">IF(P1293&lt;&gt;"EXPEDIÇÃO","Expedido",IF(NETWORKDAYS(C1293,TODAY())&gt;=5,"Risco Alto",IF(NETWORKDAYS(C1293,TODAY())&gt;=3,IF(NETWORKDAYS(C1293,TODAY())&lt;5,"Risco Médio",""),IF(NETWORKDAYS(C1293,TODAY())&lt;=2,"Risco Baixo",""))))</f>
        <v>Expedido</v>
      </c>
      <c r="P1293" s="5" t="s">
        <v>25</v>
      </c>
      <c r="S1293" s="7">
        <f>IF(ISBLANK(M1293),"Aguardando Previsão/Data",NETWORKDAYS(L1293,M1293)-1)</f>
        <v>-5</v>
      </c>
      <c r="T1293" s="5" t="s">
        <v>942</v>
      </c>
    </row>
    <row r="1294" spans="1:20" x14ac:dyDescent="0.35">
      <c r="A1294" s="5">
        <v>8100274403</v>
      </c>
      <c r="B1294" s="5">
        <v>19061</v>
      </c>
      <c r="C1294" s="6">
        <v>45667</v>
      </c>
      <c r="D1294" s="5" t="s">
        <v>106</v>
      </c>
      <c r="E1294" s="5" t="s">
        <v>107</v>
      </c>
      <c r="F1294" s="5" t="s">
        <v>111</v>
      </c>
      <c r="G1294" s="5" t="s">
        <v>112</v>
      </c>
      <c r="H1294" s="5" t="s">
        <v>108</v>
      </c>
      <c r="I1294" s="5" t="s">
        <v>113</v>
      </c>
      <c r="J1294" s="5" t="s">
        <v>392</v>
      </c>
      <c r="K1294" s="5" t="s">
        <v>110</v>
      </c>
      <c r="L1294" s="6">
        <v>45674</v>
      </c>
      <c r="M1294" s="6">
        <v>45673</v>
      </c>
      <c r="N1294" s="6" t="s">
        <v>811</v>
      </c>
      <c r="O1294" s="5" t="str">
        <f ca="1">IF(P1294&lt;&gt;"EXPEDIÇÃO","Expedido",IF(NETWORKDAYS(C1294,TODAY())&gt;=5,"Risco Alto",IF(NETWORKDAYS(C1294,TODAY())&gt;=3,IF(NETWORKDAYS(C1294,TODAY())&lt;5,"Risco Médio",""),IF(NETWORKDAYS(C1294,TODAY())&lt;=2,"Risco Baixo",""))))</f>
        <v>Expedido</v>
      </c>
      <c r="P1294" s="5" t="s">
        <v>25</v>
      </c>
      <c r="S1294" s="7">
        <f>IF(ISBLANK(M1294),"Aguardando Previsão/Data",NETWORKDAYS(L1294,M1294)-1)</f>
        <v>-3</v>
      </c>
      <c r="T1294" s="5" t="s">
        <v>942</v>
      </c>
    </row>
    <row r="1295" spans="1:20" x14ac:dyDescent="0.35">
      <c r="A1295" s="5">
        <v>8100274404</v>
      </c>
      <c r="B1295" s="5">
        <v>19071</v>
      </c>
      <c r="C1295" s="6">
        <v>45667</v>
      </c>
      <c r="D1295" s="5" t="s">
        <v>106</v>
      </c>
      <c r="E1295" s="5" t="s">
        <v>107</v>
      </c>
      <c r="F1295" s="5" t="s">
        <v>111</v>
      </c>
      <c r="G1295" s="5" t="s">
        <v>112</v>
      </c>
      <c r="H1295" s="5" t="s">
        <v>108</v>
      </c>
      <c r="I1295" s="5" t="s">
        <v>113</v>
      </c>
      <c r="J1295" s="5" t="s">
        <v>1275</v>
      </c>
      <c r="K1295" s="5" t="s">
        <v>110</v>
      </c>
      <c r="L1295" s="6">
        <v>45674</v>
      </c>
      <c r="M1295" s="6">
        <v>45677</v>
      </c>
      <c r="N1295" s="6" t="s">
        <v>812</v>
      </c>
      <c r="O1295" s="5" t="str">
        <f ca="1">IF(P1295&lt;&gt;"EXPEDIÇÃO","Expedido",IF(NETWORKDAYS(C1295,TODAY())&gt;=5,"Risco Alto",IF(NETWORKDAYS(C1295,TODAY())&gt;=3,IF(NETWORKDAYS(C1295,TODAY())&lt;5,"Risco Médio",""),IF(NETWORKDAYS(C1295,TODAY())&lt;=2,"Risco Baixo",""))))</f>
        <v>Expedido</v>
      </c>
      <c r="P1295" s="5" t="s">
        <v>25</v>
      </c>
      <c r="S1295" s="7">
        <f>IF(ISBLANK(M1295),"Aguardando Previsão/Data",NETWORKDAYS(L1295,M1295)-1)</f>
        <v>1</v>
      </c>
      <c r="T1295" s="5" t="s">
        <v>942</v>
      </c>
    </row>
    <row r="1296" spans="1:20" x14ac:dyDescent="0.35">
      <c r="A1296" s="5">
        <v>8100274405</v>
      </c>
      <c r="B1296" s="5">
        <v>19069</v>
      </c>
      <c r="C1296" s="6">
        <v>45667</v>
      </c>
      <c r="D1296" s="5" t="s">
        <v>106</v>
      </c>
      <c r="E1296" s="5" t="s">
        <v>107</v>
      </c>
      <c r="F1296" s="5" t="s">
        <v>111</v>
      </c>
      <c r="G1296" s="5" t="s">
        <v>112</v>
      </c>
      <c r="H1296" s="5" t="s">
        <v>108</v>
      </c>
      <c r="I1296" s="5" t="s">
        <v>113</v>
      </c>
      <c r="J1296" s="5" t="s">
        <v>537</v>
      </c>
      <c r="K1296" s="5" t="s">
        <v>110</v>
      </c>
      <c r="L1296" s="6">
        <v>45677</v>
      </c>
      <c r="M1296" s="6">
        <v>45672</v>
      </c>
      <c r="N1296" s="6" t="s">
        <v>811</v>
      </c>
      <c r="O1296" s="5" t="str">
        <f ca="1">IF(P1296&lt;&gt;"EXPEDIÇÃO","Expedido",IF(NETWORKDAYS(C1296,TODAY())&gt;=5,"Risco Alto",IF(NETWORKDAYS(C1296,TODAY())&gt;=3,IF(NETWORKDAYS(C1296,TODAY())&lt;5,"Risco Médio",""),IF(NETWORKDAYS(C1296,TODAY())&lt;=2,"Risco Baixo",""))))</f>
        <v>Expedido</v>
      </c>
      <c r="P1296" s="5" t="s">
        <v>25</v>
      </c>
      <c r="S1296" s="7">
        <f>IF(ISBLANK(M1296),"Aguardando Previsão/Data",NETWORKDAYS(L1296,M1296)-1)</f>
        <v>-5</v>
      </c>
      <c r="T1296" s="5" t="s">
        <v>942</v>
      </c>
    </row>
    <row r="1297" spans="1:20" x14ac:dyDescent="0.35">
      <c r="A1297" s="5">
        <v>8100274406</v>
      </c>
      <c r="B1297" s="5">
        <v>19066</v>
      </c>
      <c r="C1297" s="6">
        <v>45667</v>
      </c>
      <c r="D1297" s="5" t="s">
        <v>106</v>
      </c>
      <c r="E1297" s="5" t="s">
        <v>107</v>
      </c>
      <c r="F1297" s="5" t="s">
        <v>58</v>
      </c>
      <c r="G1297" s="5" t="s">
        <v>59</v>
      </c>
      <c r="H1297" s="5" t="s">
        <v>108</v>
      </c>
      <c r="I1297" s="5" t="s">
        <v>1054</v>
      </c>
      <c r="J1297" s="5" t="s">
        <v>503</v>
      </c>
      <c r="K1297" s="5" t="s">
        <v>110</v>
      </c>
      <c r="L1297" s="6">
        <v>45674</v>
      </c>
      <c r="M1297" s="6">
        <v>45672</v>
      </c>
      <c r="N1297" s="6" t="s">
        <v>811</v>
      </c>
      <c r="O1297" s="5" t="str">
        <f ca="1">IF(P1297&lt;&gt;"EXPEDIÇÃO","Expedido",IF(NETWORKDAYS(C1297,TODAY())&gt;=5,"Risco Alto",IF(NETWORKDAYS(C1297,TODAY())&gt;=3,IF(NETWORKDAYS(C1297,TODAY())&lt;5,"Risco Médio",""),IF(NETWORKDAYS(C1297,TODAY())&lt;=2,"Risco Baixo",""))))</f>
        <v>Expedido</v>
      </c>
      <c r="P1297" s="5" t="s">
        <v>25</v>
      </c>
      <c r="S1297" s="7">
        <f>IF(ISBLANK(M1297),"Aguardando Previsão/Data",NETWORKDAYS(L1297,M1297)-1)</f>
        <v>-4</v>
      </c>
      <c r="T1297" s="5" t="s">
        <v>942</v>
      </c>
    </row>
    <row r="1298" spans="1:20" x14ac:dyDescent="0.35">
      <c r="A1298" s="5">
        <v>8100274407</v>
      </c>
      <c r="B1298" s="5">
        <v>19068</v>
      </c>
      <c r="C1298" s="6">
        <v>45667</v>
      </c>
      <c r="D1298" s="5" t="s">
        <v>106</v>
      </c>
      <c r="E1298" s="5" t="s">
        <v>107</v>
      </c>
      <c r="F1298" s="5" t="s">
        <v>66</v>
      </c>
      <c r="G1298" s="5" t="s">
        <v>67</v>
      </c>
      <c r="H1298" s="5" t="s">
        <v>108</v>
      </c>
      <c r="I1298" s="5" t="s">
        <v>475</v>
      </c>
      <c r="J1298" s="5" t="s">
        <v>476</v>
      </c>
      <c r="K1298" s="5" t="s">
        <v>110</v>
      </c>
      <c r="L1298" s="6">
        <v>45677</v>
      </c>
      <c r="M1298" s="6">
        <v>45678</v>
      </c>
      <c r="N1298" s="6" t="s">
        <v>811</v>
      </c>
      <c r="O1298" s="5" t="str">
        <f ca="1">IF(P1298&lt;&gt;"EXPEDIÇÃO","Expedido",IF(NETWORKDAYS(C1298,TODAY())&gt;=5,"Risco Alto",IF(NETWORKDAYS(C1298,TODAY())&gt;=3,IF(NETWORKDAYS(C1298,TODAY())&lt;5,"Risco Médio",""),IF(NETWORKDAYS(C1298,TODAY())&lt;=2,"Risco Baixo",""))))</f>
        <v>Expedido</v>
      </c>
      <c r="P1298" s="5" t="s">
        <v>25</v>
      </c>
      <c r="Q1298" s="5" t="s">
        <v>896</v>
      </c>
      <c r="R1298" s="5">
        <v>3095336</v>
      </c>
      <c r="S1298" s="7">
        <f>IF(ISBLANK(M1298),"Aguardando Previsão/Data",NETWORKDAYS(L1298,M1298)-1)</f>
        <v>1</v>
      </c>
      <c r="T1298" s="5" t="s">
        <v>942</v>
      </c>
    </row>
    <row r="1299" spans="1:20" x14ac:dyDescent="0.35">
      <c r="A1299" s="5">
        <v>8100274408</v>
      </c>
      <c r="B1299" s="5">
        <v>19073</v>
      </c>
      <c r="C1299" s="6">
        <v>45667</v>
      </c>
      <c r="D1299" s="5" t="s">
        <v>106</v>
      </c>
      <c r="E1299" s="5" t="s">
        <v>107</v>
      </c>
      <c r="F1299" s="5" t="s">
        <v>69</v>
      </c>
      <c r="G1299" s="5" t="s">
        <v>70</v>
      </c>
      <c r="H1299" s="5" t="s">
        <v>108</v>
      </c>
      <c r="I1299" s="5" t="s">
        <v>118</v>
      </c>
      <c r="J1299" s="5" t="s">
        <v>114</v>
      </c>
      <c r="K1299" s="5" t="s">
        <v>110</v>
      </c>
      <c r="L1299" s="6">
        <v>45677</v>
      </c>
      <c r="M1299" s="6">
        <v>45678</v>
      </c>
      <c r="N1299" s="6" t="s">
        <v>811</v>
      </c>
      <c r="O1299" s="5" t="str">
        <f ca="1">IF(P1299&lt;&gt;"EXPEDIÇÃO","Expedido",IF(NETWORKDAYS(C1299,TODAY())&gt;=5,"Risco Alto",IF(NETWORKDAYS(C1299,TODAY())&gt;=3,IF(NETWORKDAYS(C1299,TODAY())&lt;5,"Risco Médio",""),IF(NETWORKDAYS(C1299,TODAY())&lt;=2,"Risco Baixo",""))))</f>
        <v>Expedido</v>
      </c>
      <c r="P1299" s="5" t="s">
        <v>25</v>
      </c>
      <c r="Q1299" s="5" t="s">
        <v>897</v>
      </c>
      <c r="R1299" s="5" t="s">
        <v>1423</v>
      </c>
      <c r="S1299" s="7">
        <f>IF(ISBLANK(M1299),"Aguardando Previsão/Data",NETWORKDAYS(L1299,M1299)-1)</f>
        <v>1</v>
      </c>
      <c r="T1299" s="5" t="s">
        <v>942</v>
      </c>
    </row>
    <row r="1300" spans="1:20" x14ac:dyDescent="0.35">
      <c r="A1300" s="5">
        <v>8100274409</v>
      </c>
      <c r="B1300" s="5">
        <v>19087</v>
      </c>
      <c r="C1300" s="6">
        <v>45667</v>
      </c>
      <c r="D1300" s="5" t="s">
        <v>106</v>
      </c>
      <c r="E1300" s="5" t="s">
        <v>107</v>
      </c>
      <c r="F1300" s="5" t="s">
        <v>111</v>
      </c>
      <c r="G1300" s="5" t="s">
        <v>112</v>
      </c>
      <c r="H1300" s="5" t="s">
        <v>108</v>
      </c>
      <c r="I1300" s="5" t="s">
        <v>113</v>
      </c>
      <c r="J1300" s="5" t="s">
        <v>142</v>
      </c>
      <c r="K1300" s="5" t="s">
        <v>110</v>
      </c>
      <c r="L1300" s="6">
        <v>45674</v>
      </c>
      <c r="M1300" s="6">
        <v>45672</v>
      </c>
      <c r="N1300" s="6" t="s">
        <v>811</v>
      </c>
      <c r="O1300" s="5" t="str">
        <f ca="1">IF(P1300&lt;&gt;"EXPEDIÇÃO","Expedido",IF(NETWORKDAYS(C1300,TODAY())&gt;=5,"Risco Alto",IF(NETWORKDAYS(C1300,TODAY())&gt;=3,IF(NETWORKDAYS(C1300,TODAY())&lt;5,"Risco Médio",""),IF(NETWORKDAYS(C1300,TODAY())&lt;=2,"Risco Baixo",""))))</f>
        <v>Expedido</v>
      </c>
      <c r="P1300" s="5" t="s">
        <v>25</v>
      </c>
      <c r="S1300" s="7">
        <f>IF(ISBLANK(M1300),"Aguardando Previsão/Data",NETWORKDAYS(L1300,M1300)-1)</f>
        <v>-4</v>
      </c>
      <c r="T1300" s="5" t="s">
        <v>942</v>
      </c>
    </row>
    <row r="1301" spans="1:20" x14ac:dyDescent="0.35">
      <c r="A1301" s="5">
        <v>8100274410</v>
      </c>
      <c r="B1301" s="5">
        <v>19086</v>
      </c>
      <c r="C1301" s="6">
        <v>45667</v>
      </c>
      <c r="D1301" s="5" t="s">
        <v>106</v>
      </c>
      <c r="E1301" s="5" t="s">
        <v>107</v>
      </c>
      <c r="F1301" s="5" t="s">
        <v>58</v>
      </c>
      <c r="G1301" s="5" t="s">
        <v>59</v>
      </c>
      <c r="H1301" s="5" t="s">
        <v>108</v>
      </c>
      <c r="I1301" s="5" t="s">
        <v>130</v>
      </c>
      <c r="J1301" s="5" t="s">
        <v>131</v>
      </c>
      <c r="K1301" s="5" t="s">
        <v>110</v>
      </c>
      <c r="L1301" s="6">
        <v>45673</v>
      </c>
      <c r="M1301" s="6">
        <v>45671</v>
      </c>
      <c r="N1301" s="6" t="s">
        <v>811</v>
      </c>
      <c r="O1301" s="5" t="str">
        <f ca="1">IF(P1301&lt;&gt;"EXPEDIÇÃO","Expedido",IF(NETWORKDAYS(C1301,TODAY())&gt;=5,"Risco Alto",IF(NETWORKDAYS(C1301,TODAY())&gt;=3,IF(NETWORKDAYS(C1301,TODAY())&lt;5,"Risco Médio",""),IF(NETWORKDAYS(C1301,TODAY())&lt;=2,"Risco Baixo",""))))</f>
        <v>Expedido</v>
      </c>
      <c r="P1301" s="5" t="s">
        <v>25</v>
      </c>
      <c r="S1301" s="7">
        <f>IF(ISBLANK(M1301),"Aguardando Previsão/Data",NETWORKDAYS(L1301,M1301)-1)</f>
        <v>-4</v>
      </c>
      <c r="T1301" s="5" t="s">
        <v>942</v>
      </c>
    </row>
    <row r="1302" spans="1:20" x14ac:dyDescent="0.35">
      <c r="A1302" s="5">
        <v>8100274411</v>
      </c>
      <c r="B1302" s="5">
        <v>19074</v>
      </c>
      <c r="C1302" s="6">
        <v>45667</v>
      </c>
      <c r="D1302" s="5" t="s">
        <v>106</v>
      </c>
      <c r="E1302" s="5" t="s">
        <v>107</v>
      </c>
      <c r="F1302" s="5" t="s">
        <v>69</v>
      </c>
      <c r="G1302" s="5" t="s">
        <v>70</v>
      </c>
      <c r="H1302" s="5" t="s">
        <v>108</v>
      </c>
      <c r="I1302" s="5" t="s">
        <v>118</v>
      </c>
      <c r="J1302" s="5" t="s">
        <v>114</v>
      </c>
      <c r="K1302" s="5" t="s">
        <v>110</v>
      </c>
      <c r="L1302" s="6">
        <v>45677</v>
      </c>
      <c r="M1302" s="6">
        <v>45678</v>
      </c>
      <c r="N1302" s="6" t="s">
        <v>811</v>
      </c>
      <c r="O1302" s="5" t="str">
        <f ca="1">IF(P1302&lt;&gt;"EXPEDIÇÃO","Expedido",IF(NETWORKDAYS(C1302,TODAY())&gt;=5,"Risco Alto",IF(NETWORKDAYS(C1302,TODAY())&gt;=3,IF(NETWORKDAYS(C1302,TODAY())&lt;5,"Risco Médio",""),IF(NETWORKDAYS(C1302,TODAY())&lt;=2,"Risco Baixo",""))))</f>
        <v>Expedido</v>
      </c>
      <c r="P1302" s="5" t="s">
        <v>25</v>
      </c>
      <c r="Q1302" s="5" t="s">
        <v>897</v>
      </c>
      <c r="R1302" s="5" t="s">
        <v>1423</v>
      </c>
      <c r="S1302" s="7">
        <f>IF(ISBLANK(M1302),"Aguardando Previsão/Data",NETWORKDAYS(L1302,M1302)-1)</f>
        <v>1</v>
      </c>
      <c r="T1302" s="5" t="s">
        <v>942</v>
      </c>
    </row>
    <row r="1303" spans="1:20" x14ac:dyDescent="0.35">
      <c r="A1303" s="5">
        <v>8100274412</v>
      </c>
      <c r="B1303" s="5">
        <v>19080</v>
      </c>
      <c r="C1303" s="6">
        <v>45667</v>
      </c>
      <c r="D1303" s="5" t="s">
        <v>106</v>
      </c>
      <c r="E1303" s="5" t="s">
        <v>107</v>
      </c>
      <c r="F1303" s="5" t="s">
        <v>53</v>
      </c>
      <c r="G1303" s="5" t="s">
        <v>54</v>
      </c>
      <c r="H1303" s="5" t="s">
        <v>108</v>
      </c>
      <c r="I1303" s="5" t="s">
        <v>82</v>
      </c>
      <c r="J1303" s="5" t="s">
        <v>852</v>
      </c>
      <c r="K1303" s="5" t="s">
        <v>110</v>
      </c>
      <c r="L1303" s="6">
        <v>45674</v>
      </c>
      <c r="M1303" s="6">
        <v>45671</v>
      </c>
      <c r="N1303" s="6" t="s">
        <v>811</v>
      </c>
      <c r="O1303" s="5" t="str">
        <f ca="1">IF(P1303&lt;&gt;"EXPEDIÇÃO","Expedido",IF(NETWORKDAYS(C1303,TODAY())&gt;=5,"Risco Alto",IF(NETWORKDAYS(C1303,TODAY())&gt;=3,IF(NETWORKDAYS(C1303,TODAY())&lt;5,"Risco Médio",""),IF(NETWORKDAYS(C1303,TODAY())&lt;=2,"Risco Baixo",""))))</f>
        <v>Expedido</v>
      </c>
      <c r="P1303" s="5" t="s">
        <v>25</v>
      </c>
      <c r="S1303" s="7">
        <f>IF(ISBLANK(M1303),"Aguardando Previsão/Data",NETWORKDAYS(L1303,M1303)-1)</f>
        <v>-5</v>
      </c>
      <c r="T1303" s="5" t="s">
        <v>942</v>
      </c>
    </row>
    <row r="1304" spans="1:20" x14ac:dyDescent="0.35">
      <c r="A1304" s="5">
        <v>8100274413</v>
      </c>
      <c r="B1304" s="5">
        <v>19083</v>
      </c>
      <c r="C1304" s="6">
        <v>45667</v>
      </c>
      <c r="D1304" s="5" t="s">
        <v>106</v>
      </c>
      <c r="E1304" s="5" t="s">
        <v>107</v>
      </c>
      <c r="F1304" s="5" t="s">
        <v>111</v>
      </c>
      <c r="G1304" s="5" t="s">
        <v>112</v>
      </c>
      <c r="H1304" s="5" t="s">
        <v>108</v>
      </c>
      <c r="I1304" s="5" t="s">
        <v>444</v>
      </c>
      <c r="J1304" s="5" t="s">
        <v>289</v>
      </c>
      <c r="K1304" s="5" t="s">
        <v>110</v>
      </c>
      <c r="L1304" s="6">
        <v>45674</v>
      </c>
      <c r="M1304" s="6">
        <v>45672</v>
      </c>
      <c r="N1304" s="6" t="s">
        <v>811</v>
      </c>
      <c r="O1304" s="5" t="str">
        <f ca="1">IF(P1304&lt;&gt;"EXPEDIÇÃO","Expedido",IF(NETWORKDAYS(C1304,TODAY())&gt;=5,"Risco Alto",IF(NETWORKDAYS(C1304,TODAY())&gt;=3,IF(NETWORKDAYS(C1304,TODAY())&lt;5,"Risco Médio",""),IF(NETWORKDAYS(C1304,TODAY())&lt;=2,"Risco Baixo",""))))</f>
        <v>Expedido</v>
      </c>
      <c r="P1304" s="5" t="s">
        <v>25</v>
      </c>
      <c r="S1304" s="7">
        <f>IF(ISBLANK(M1304),"Aguardando Previsão/Data",NETWORKDAYS(L1304,M1304)-1)</f>
        <v>-4</v>
      </c>
      <c r="T1304" s="5" t="s">
        <v>942</v>
      </c>
    </row>
    <row r="1305" spans="1:20" x14ac:dyDescent="0.35">
      <c r="A1305" s="5">
        <v>8100274414</v>
      </c>
      <c r="B1305" s="5">
        <v>19076</v>
      </c>
      <c r="C1305" s="6">
        <v>45667</v>
      </c>
      <c r="D1305" s="5" t="s">
        <v>106</v>
      </c>
      <c r="E1305" s="5" t="s">
        <v>107</v>
      </c>
      <c r="F1305" s="5" t="s">
        <v>147</v>
      </c>
      <c r="G1305" s="5" t="s">
        <v>148</v>
      </c>
      <c r="H1305" s="5" t="s">
        <v>108</v>
      </c>
      <c r="I1305" s="5" t="s">
        <v>82</v>
      </c>
      <c r="J1305" s="5" t="s">
        <v>151</v>
      </c>
      <c r="K1305" s="5" t="s">
        <v>110</v>
      </c>
      <c r="L1305" s="6">
        <v>45677</v>
      </c>
      <c r="M1305" s="6">
        <v>45673</v>
      </c>
      <c r="N1305" s="6" t="s">
        <v>811</v>
      </c>
      <c r="O1305" s="5" t="str">
        <f ca="1">IF(P1305&lt;&gt;"EXPEDIÇÃO","Expedido",IF(NETWORKDAYS(C1305,TODAY())&gt;=5,"Risco Alto",IF(NETWORKDAYS(C1305,TODAY())&gt;=3,IF(NETWORKDAYS(C1305,TODAY())&lt;5,"Risco Médio",""),IF(NETWORKDAYS(C1305,TODAY())&lt;=2,"Risco Baixo",""))))</f>
        <v>Expedido</v>
      </c>
      <c r="P1305" s="5" t="s">
        <v>25</v>
      </c>
      <c r="S1305" s="7">
        <f>IF(ISBLANK(M1305),"Aguardando Previsão/Data",NETWORKDAYS(L1305,M1305)-1)</f>
        <v>-4</v>
      </c>
      <c r="T1305" s="5" t="s">
        <v>942</v>
      </c>
    </row>
    <row r="1306" spans="1:20" x14ac:dyDescent="0.35">
      <c r="A1306" s="5">
        <v>8100274415</v>
      </c>
      <c r="B1306" s="5">
        <v>19064</v>
      </c>
      <c r="C1306" s="6">
        <v>45667</v>
      </c>
      <c r="D1306" s="5" t="s">
        <v>106</v>
      </c>
      <c r="E1306" s="5" t="s">
        <v>107</v>
      </c>
      <c r="F1306" s="5" t="s">
        <v>69</v>
      </c>
      <c r="G1306" s="5" t="s">
        <v>70</v>
      </c>
      <c r="H1306" s="5" t="s">
        <v>108</v>
      </c>
      <c r="I1306" s="5" t="s">
        <v>115</v>
      </c>
      <c r="J1306" s="5" t="s">
        <v>143</v>
      </c>
      <c r="K1306" s="5" t="s">
        <v>110</v>
      </c>
      <c r="L1306" s="6">
        <v>45674</v>
      </c>
      <c r="M1306" s="6">
        <v>45672</v>
      </c>
      <c r="N1306" s="6" t="s">
        <v>811</v>
      </c>
      <c r="O1306" s="5" t="str">
        <f ca="1">IF(P1306&lt;&gt;"EXPEDIÇÃO","Expedido",IF(NETWORKDAYS(C1306,TODAY())&gt;=5,"Risco Alto",IF(NETWORKDAYS(C1306,TODAY())&gt;=3,IF(NETWORKDAYS(C1306,TODAY())&lt;5,"Risco Médio",""),IF(NETWORKDAYS(C1306,TODAY())&lt;=2,"Risco Baixo",""))))</f>
        <v>Expedido</v>
      </c>
      <c r="P1306" s="5" t="s">
        <v>25</v>
      </c>
      <c r="S1306" s="7">
        <f>IF(ISBLANK(M1306),"Aguardando Previsão/Data",NETWORKDAYS(L1306,M1306)-1)</f>
        <v>-4</v>
      </c>
      <c r="T1306" s="5" t="s">
        <v>942</v>
      </c>
    </row>
    <row r="1307" spans="1:20" x14ac:dyDescent="0.35">
      <c r="A1307" s="5">
        <v>8100274417</v>
      </c>
      <c r="B1307" s="5">
        <v>19077</v>
      </c>
      <c r="C1307" s="6">
        <v>45667</v>
      </c>
      <c r="D1307" s="5" t="s">
        <v>106</v>
      </c>
      <c r="E1307" s="5" t="s">
        <v>107</v>
      </c>
      <c r="F1307" s="5" t="s">
        <v>66</v>
      </c>
      <c r="G1307" s="5" t="s">
        <v>67</v>
      </c>
      <c r="H1307" s="5" t="s">
        <v>108</v>
      </c>
      <c r="I1307" s="5" t="s">
        <v>82</v>
      </c>
      <c r="J1307" s="5" t="s">
        <v>151</v>
      </c>
      <c r="K1307" s="5" t="s">
        <v>110</v>
      </c>
      <c r="L1307" s="6">
        <v>45677</v>
      </c>
      <c r="M1307" s="6">
        <v>45678</v>
      </c>
      <c r="N1307" s="6" t="s">
        <v>812</v>
      </c>
      <c r="O1307" s="5" t="str">
        <f ca="1">IF(P1307&lt;&gt;"EXPEDIÇÃO","Expedido",IF(NETWORKDAYS(C1307,TODAY())&gt;=5,"Risco Alto",IF(NETWORKDAYS(C1307,TODAY())&gt;=3,IF(NETWORKDAYS(C1307,TODAY())&lt;5,"Risco Médio",""),IF(NETWORKDAYS(C1307,TODAY())&lt;=2,"Risco Baixo",""))))</f>
        <v>Expedido</v>
      </c>
      <c r="P1307" s="5" t="s">
        <v>25</v>
      </c>
      <c r="S1307" s="7">
        <f>IF(ISBLANK(M1307),"Aguardando Previsão/Data",NETWORKDAYS(L1307,M1307)-1)</f>
        <v>1</v>
      </c>
      <c r="T1307" s="5" t="s">
        <v>942</v>
      </c>
    </row>
    <row r="1308" spans="1:20" x14ac:dyDescent="0.35">
      <c r="A1308" s="5">
        <v>8100274419</v>
      </c>
      <c r="B1308" s="5">
        <v>19072</v>
      </c>
      <c r="C1308" s="6">
        <v>45667</v>
      </c>
      <c r="D1308" s="5" t="s">
        <v>106</v>
      </c>
      <c r="E1308" s="5" t="s">
        <v>107</v>
      </c>
      <c r="F1308" s="5" t="s">
        <v>53</v>
      </c>
      <c r="G1308" s="5" t="s">
        <v>54</v>
      </c>
      <c r="H1308" s="5" t="s">
        <v>108</v>
      </c>
      <c r="I1308" s="5" t="s">
        <v>138</v>
      </c>
      <c r="J1308" s="5" t="s">
        <v>1276</v>
      </c>
      <c r="K1308" s="5" t="s">
        <v>110</v>
      </c>
      <c r="L1308" s="6">
        <v>45677</v>
      </c>
      <c r="M1308" s="6">
        <v>45672</v>
      </c>
      <c r="N1308" s="6" t="s">
        <v>811</v>
      </c>
      <c r="O1308" s="5" t="str">
        <f ca="1">IF(P1308&lt;&gt;"EXPEDIÇÃO","Expedido",IF(NETWORKDAYS(C1308,TODAY())&gt;=5,"Risco Alto",IF(NETWORKDAYS(C1308,TODAY())&gt;=3,IF(NETWORKDAYS(C1308,TODAY())&lt;5,"Risco Médio",""),IF(NETWORKDAYS(C1308,TODAY())&lt;=2,"Risco Baixo",""))))</f>
        <v>Expedido</v>
      </c>
      <c r="P1308" s="5" t="s">
        <v>25</v>
      </c>
      <c r="S1308" s="7">
        <f>IF(ISBLANK(M1308),"Aguardando Previsão/Data",NETWORKDAYS(L1308,M1308)-1)</f>
        <v>-5</v>
      </c>
      <c r="T1308" s="5" t="s">
        <v>942</v>
      </c>
    </row>
    <row r="1309" spans="1:20" x14ac:dyDescent="0.35">
      <c r="A1309" s="5">
        <v>8100274420</v>
      </c>
      <c r="B1309" s="5">
        <v>19063</v>
      </c>
      <c r="C1309" s="6">
        <v>45667</v>
      </c>
      <c r="D1309" s="5" t="s">
        <v>106</v>
      </c>
      <c r="E1309" s="5" t="s">
        <v>107</v>
      </c>
      <c r="F1309" s="5" t="s">
        <v>66</v>
      </c>
      <c r="G1309" s="5" t="s">
        <v>67</v>
      </c>
      <c r="H1309" s="5" t="s">
        <v>108</v>
      </c>
      <c r="I1309" s="5" t="s">
        <v>394</v>
      </c>
      <c r="J1309" s="5" t="s">
        <v>395</v>
      </c>
      <c r="K1309" s="5" t="s">
        <v>110</v>
      </c>
      <c r="L1309" s="6">
        <v>45674</v>
      </c>
      <c r="M1309" s="6">
        <v>45672</v>
      </c>
      <c r="N1309" s="6" t="s">
        <v>811</v>
      </c>
      <c r="O1309" s="5" t="str">
        <f ca="1">IF(P1309&lt;&gt;"EXPEDIÇÃO","Expedido",IF(NETWORKDAYS(C1309,TODAY())&gt;=5,"Risco Alto",IF(NETWORKDAYS(C1309,TODAY())&gt;=3,IF(NETWORKDAYS(C1309,TODAY())&lt;5,"Risco Médio",""),IF(NETWORKDAYS(C1309,TODAY())&lt;=2,"Risco Baixo",""))))</f>
        <v>Expedido</v>
      </c>
      <c r="P1309" s="5" t="s">
        <v>25</v>
      </c>
      <c r="S1309" s="7">
        <f>IF(ISBLANK(M1309),"Aguardando Previsão/Data",NETWORKDAYS(L1309,M1309)-1)</f>
        <v>-4</v>
      </c>
      <c r="T1309" s="5" t="s">
        <v>942</v>
      </c>
    </row>
    <row r="1310" spans="1:20" x14ac:dyDescent="0.35">
      <c r="A1310" s="5">
        <v>8100274421</v>
      </c>
      <c r="B1310" s="5">
        <v>19065</v>
      </c>
      <c r="C1310" s="6">
        <v>45667</v>
      </c>
      <c r="D1310" s="5" t="s">
        <v>106</v>
      </c>
      <c r="E1310" s="5" t="s">
        <v>107</v>
      </c>
      <c r="F1310" s="5" t="s">
        <v>111</v>
      </c>
      <c r="G1310" s="5" t="s">
        <v>112</v>
      </c>
      <c r="H1310" s="5" t="s">
        <v>108</v>
      </c>
      <c r="I1310" s="5" t="s">
        <v>115</v>
      </c>
      <c r="J1310" s="5" t="s">
        <v>345</v>
      </c>
      <c r="K1310" s="5" t="s">
        <v>110</v>
      </c>
      <c r="L1310" s="6">
        <v>45677</v>
      </c>
      <c r="M1310" s="6">
        <v>45672</v>
      </c>
      <c r="N1310" s="6" t="s">
        <v>811</v>
      </c>
      <c r="O1310" s="5" t="str">
        <f ca="1">IF(P1310&lt;&gt;"EXPEDIÇÃO","Expedido",IF(NETWORKDAYS(C1310,TODAY())&gt;=5,"Risco Alto",IF(NETWORKDAYS(C1310,TODAY())&gt;=3,IF(NETWORKDAYS(C1310,TODAY())&lt;5,"Risco Médio",""),IF(NETWORKDAYS(C1310,TODAY())&lt;=2,"Risco Baixo",""))))</f>
        <v>Expedido</v>
      </c>
      <c r="P1310" s="5" t="s">
        <v>25</v>
      </c>
      <c r="S1310" s="7">
        <f>IF(ISBLANK(M1310),"Aguardando Previsão/Data",NETWORKDAYS(L1310,M1310)-1)</f>
        <v>-5</v>
      </c>
      <c r="T1310" s="5" t="s">
        <v>942</v>
      </c>
    </row>
    <row r="1311" spans="1:20" x14ac:dyDescent="0.35">
      <c r="A1311" s="5">
        <v>8100274422</v>
      </c>
      <c r="B1311" s="5">
        <v>19067</v>
      </c>
      <c r="C1311" s="6">
        <v>45667</v>
      </c>
      <c r="D1311" s="5" t="s">
        <v>106</v>
      </c>
      <c r="E1311" s="5" t="s">
        <v>107</v>
      </c>
      <c r="F1311" s="5" t="s">
        <v>111</v>
      </c>
      <c r="G1311" s="5" t="s">
        <v>112</v>
      </c>
      <c r="H1311" s="5" t="s">
        <v>108</v>
      </c>
      <c r="I1311" s="5" t="s">
        <v>115</v>
      </c>
      <c r="J1311" s="5" t="s">
        <v>342</v>
      </c>
      <c r="K1311" s="5" t="s">
        <v>110</v>
      </c>
      <c r="L1311" s="6">
        <v>45674</v>
      </c>
      <c r="M1311" s="6">
        <v>45671</v>
      </c>
      <c r="N1311" s="6" t="s">
        <v>811</v>
      </c>
      <c r="O1311" s="5" t="str">
        <f ca="1">IF(P1311&lt;&gt;"EXPEDIÇÃO","Expedido",IF(NETWORKDAYS(C1311,TODAY())&gt;=5,"Risco Alto",IF(NETWORKDAYS(C1311,TODAY())&gt;=3,IF(NETWORKDAYS(C1311,TODAY())&lt;5,"Risco Médio",""),IF(NETWORKDAYS(C1311,TODAY())&lt;=2,"Risco Baixo",""))))</f>
        <v>Expedido</v>
      </c>
      <c r="P1311" s="5" t="s">
        <v>25</v>
      </c>
      <c r="S1311" s="7">
        <f>IF(ISBLANK(M1311),"Aguardando Previsão/Data",NETWORKDAYS(L1311,M1311)-1)</f>
        <v>-5</v>
      </c>
      <c r="T1311" s="5" t="s">
        <v>942</v>
      </c>
    </row>
    <row r="1312" spans="1:20" x14ac:dyDescent="0.35">
      <c r="A1312" s="5">
        <v>8100274423</v>
      </c>
      <c r="B1312" s="5">
        <v>19078</v>
      </c>
      <c r="C1312" s="6">
        <v>45667</v>
      </c>
      <c r="D1312" s="5" t="s">
        <v>106</v>
      </c>
      <c r="E1312" s="5" t="s">
        <v>107</v>
      </c>
      <c r="F1312" s="5" t="s">
        <v>147</v>
      </c>
      <c r="G1312" s="5" t="s">
        <v>148</v>
      </c>
      <c r="H1312" s="5" t="s">
        <v>108</v>
      </c>
      <c r="I1312" s="5" t="s">
        <v>82</v>
      </c>
      <c r="J1312" s="5" t="s">
        <v>449</v>
      </c>
      <c r="K1312" s="5" t="s">
        <v>110</v>
      </c>
      <c r="L1312" s="6">
        <v>45677</v>
      </c>
      <c r="M1312" s="6">
        <v>45670</v>
      </c>
      <c r="N1312" s="6" t="s">
        <v>811</v>
      </c>
      <c r="O1312" s="5" t="str">
        <f ca="1">IF(P1312&lt;&gt;"EXPEDIÇÃO","Expedido",IF(NETWORKDAYS(C1312,TODAY())&gt;=5,"Risco Alto",IF(NETWORKDAYS(C1312,TODAY())&gt;=3,IF(NETWORKDAYS(C1312,TODAY())&lt;5,"Risco Médio",""),IF(NETWORKDAYS(C1312,TODAY())&lt;=2,"Risco Baixo",""))))</f>
        <v>Expedido</v>
      </c>
      <c r="P1312" s="5" t="s">
        <v>25</v>
      </c>
      <c r="S1312" s="7">
        <f>IF(ISBLANK(M1312),"Aguardando Previsão/Data",NETWORKDAYS(L1312,M1312)-1)</f>
        <v>-7</v>
      </c>
      <c r="T1312" s="5" t="s">
        <v>942</v>
      </c>
    </row>
    <row r="1313" spans="1:20" x14ac:dyDescent="0.35">
      <c r="A1313" s="5">
        <v>8100274425</v>
      </c>
      <c r="B1313" s="5">
        <v>19088</v>
      </c>
      <c r="C1313" s="6">
        <v>45667</v>
      </c>
      <c r="D1313" s="5" t="s">
        <v>106</v>
      </c>
      <c r="E1313" s="5" t="s">
        <v>107</v>
      </c>
      <c r="F1313" s="5" t="s">
        <v>111</v>
      </c>
      <c r="G1313" s="5" t="s">
        <v>112</v>
      </c>
      <c r="H1313" s="5" t="s">
        <v>108</v>
      </c>
      <c r="I1313" s="5" t="s">
        <v>1238</v>
      </c>
      <c r="J1313" s="5" t="s">
        <v>287</v>
      </c>
      <c r="K1313" s="5" t="s">
        <v>110</v>
      </c>
      <c r="L1313" s="6">
        <v>45674</v>
      </c>
      <c r="M1313" s="6">
        <v>45671</v>
      </c>
      <c r="N1313" s="6" t="s">
        <v>811</v>
      </c>
      <c r="O1313" s="5" t="str">
        <f ca="1">IF(P1313&lt;&gt;"EXPEDIÇÃO","Expedido",IF(NETWORKDAYS(C1313,TODAY())&gt;=5,"Risco Alto",IF(NETWORKDAYS(C1313,TODAY())&gt;=3,IF(NETWORKDAYS(C1313,TODAY())&lt;5,"Risco Médio",""),IF(NETWORKDAYS(C1313,TODAY())&lt;=2,"Risco Baixo",""))))</f>
        <v>Expedido</v>
      </c>
      <c r="P1313" s="5" t="s">
        <v>25</v>
      </c>
      <c r="S1313" s="7">
        <f>IF(ISBLANK(M1313),"Aguardando Previsão/Data",NETWORKDAYS(L1313,M1313)-1)</f>
        <v>-5</v>
      </c>
      <c r="T1313" s="5" t="s">
        <v>942</v>
      </c>
    </row>
    <row r="1314" spans="1:20" x14ac:dyDescent="0.35">
      <c r="A1314" s="5">
        <v>8100274426</v>
      </c>
      <c r="B1314" s="5">
        <v>19082</v>
      </c>
      <c r="C1314" s="6">
        <v>45667</v>
      </c>
      <c r="D1314" s="5" t="s">
        <v>106</v>
      </c>
      <c r="E1314" s="5" t="s">
        <v>107</v>
      </c>
      <c r="F1314" s="5" t="s">
        <v>53</v>
      </c>
      <c r="G1314" s="5" t="s">
        <v>54</v>
      </c>
      <c r="H1314" s="5" t="s">
        <v>108</v>
      </c>
      <c r="I1314" s="5" t="s">
        <v>447</v>
      </c>
      <c r="J1314" s="5" t="s">
        <v>448</v>
      </c>
      <c r="K1314" s="5" t="s">
        <v>110</v>
      </c>
      <c r="L1314" s="6">
        <v>45674</v>
      </c>
      <c r="M1314" s="6">
        <v>45670</v>
      </c>
      <c r="N1314" s="6" t="s">
        <v>811</v>
      </c>
      <c r="O1314" s="5" t="str">
        <f ca="1">IF(P1314&lt;&gt;"EXPEDIÇÃO","Expedido",IF(NETWORKDAYS(C1314,TODAY())&gt;=5,"Risco Alto",IF(NETWORKDAYS(C1314,TODAY())&gt;=3,IF(NETWORKDAYS(C1314,TODAY())&lt;5,"Risco Médio",""),IF(NETWORKDAYS(C1314,TODAY())&lt;=2,"Risco Baixo",""))))</f>
        <v>Expedido</v>
      </c>
      <c r="P1314" s="5" t="s">
        <v>25</v>
      </c>
      <c r="S1314" s="7">
        <f>IF(ISBLANK(M1314),"Aguardando Previsão/Data",NETWORKDAYS(L1314,M1314)-1)</f>
        <v>-6</v>
      </c>
      <c r="T1314" s="5" t="s">
        <v>942</v>
      </c>
    </row>
    <row r="1315" spans="1:20" x14ac:dyDescent="0.35">
      <c r="A1315" s="5">
        <v>8100274427</v>
      </c>
      <c r="B1315" s="5">
        <v>19056</v>
      </c>
      <c r="C1315" s="6">
        <v>45667</v>
      </c>
      <c r="D1315" s="5" t="s">
        <v>106</v>
      </c>
      <c r="E1315" s="5" t="s">
        <v>107</v>
      </c>
      <c r="F1315" s="5" t="s">
        <v>58</v>
      </c>
      <c r="G1315" s="5" t="s">
        <v>59</v>
      </c>
      <c r="H1315" s="5" t="s">
        <v>108</v>
      </c>
      <c r="I1315" s="5" t="s">
        <v>140</v>
      </c>
      <c r="J1315" s="5" t="s">
        <v>141</v>
      </c>
      <c r="K1315" s="5" t="s">
        <v>110</v>
      </c>
      <c r="L1315" s="6">
        <v>45671</v>
      </c>
      <c r="M1315" s="6">
        <v>45667</v>
      </c>
      <c r="N1315" s="6" t="s">
        <v>811</v>
      </c>
      <c r="O1315" s="5" t="str">
        <f ca="1">IF(P1315&lt;&gt;"EXPEDIÇÃO","Expedido",IF(NETWORKDAYS(C1315,TODAY())&gt;=5,"Risco Alto",IF(NETWORKDAYS(C1315,TODAY())&gt;=3,IF(NETWORKDAYS(C1315,TODAY())&lt;5,"Risco Médio",""),IF(NETWORKDAYS(C1315,TODAY())&lt;=2,"Risco Baixo",""))))</f>
        <v>Expedido</v>
      </c>
      <c r="P1315" s="5" t="s">
        <v>25</v>
      </c>
      <c r="Q1315" s="5" t="s">
        <v>900</v>
      </c>
      <c r="S1315" s="7">
        <f>IF(ISBLANK(M1315),"Aguardando Previsão/Data",NETWORKDAYS(L1315,M1315)-1)</f>
        <v>-4</v>
      </c>
      <c r="T1315" s="5" t="s">
        <v>942</v>
      </c>
    </row>
    <row r="1316" spans="1:20" x14ac:dyDescent="0.35">
      <c r="A1316" s="5">
        <v>8100274428</v>
      </c>
      <c r="B1316" s="5">
        <v>19057</v>
      </c>
      <c r="C1316" s="6">
        <v>45667</v>
      </c>
      <c r="D1316" s="5" t="s">
        <v>106</v>
      </c>
      <c r="E1316" s="5" t="s">
        <v>107</v>
      </c>
      <c r="F1316" s="5" t="s">
        <v>58</v>
      </c>
      <c r="G1316" s="5" t="s">
        <v>59</v>
      </c>
      <c r="H1316" s="5" t="s">
        <v>108</v>
      </c>
      <c r="I1316" s="5" t="s">
        <v>140</v>
      </c>
      <c r="J1316" s="5" t="s">
        <v>141</v>
      </c>
      <c r="K1316" s="5" t="s">
        <v>110</v>
      </c>
      <c r="L1316" s="6">
        <v>45671</v>
      </c>
      <c r="M1316" s="6">
        <v>45667</v>
      </c>
      <c r="N1316" s="6" t="s">
        <v>811</v>
      </c>
      <c r="O1316" s="5" t="str">
        <f ca="1">IF(P1316&lt;&gt;"EXPEDIÇÃO","Expedido",IF(NETWORKDAYS(C1316,TODAY())&gt;=5,"Risco Alto",IF(NETWORKDAYS(C1316,TODAY())&gt;=3,IF(NETWORKDAYS(C1316,TODAY())&lt;5,"Risco Médio",""),IF(NETWORKDAYS(C1316,TODAY())&lt;=2,"Risco Baixo",""))))</f>
        <v>Expedido</v>
      </c>
      <c r="P1316" s="5" t="s">
        <v>25</v>
      </c>
      <c r="Q1316" s="5" t="s">
        <v>900</v>
      </c>
      <c r="S1316" s="7">
        <f>IF(ISBLANK(M1316),"Aguardando Previsão/Data",NETWORKDAYS(L1316,M1316)-1)</f>
        <v>-4</v>
      </c>
      <c r="T1316" s="5" t="s">
        <v>942</v>
      </c>
    </row>
    <row r="1317" spans="1:20" x14ac:dyDescent="0.35">
      <c r="A1317" s="5">
        <v>8100274429</v>
      </c>
      <c r="B1317" s="5">
        <v>19058</v>
      </c>
      <c r="C1317" s="6">
        <v>45667</v>
      </c>
      <c r="D1317" s="5" t="s">
        <v>106</v>
      </c>
      <c r="E1317" s="5" t="s">
        <v>107</v>
      </c>
      <c r="F1317" s="5" t="s">
        <v>58</v>
      </c>
      <c r="G1317" s="5" t="s">
        <v>59</v>
      </c>
      <c r="H1317" s="5" t="s">
        <v>108</v>
      </c>
      <c r="I1317" s="5" t="s">
        <v>140</v>
      </c>
      <c r="J1317" s="5" t="s">
        <v>141</v>
      </c>
      <c r="K1317" s="5" t="s">
        <v>110</v>
      </c>
      <c r="L1317" s="6">
        <v>45671</v>
      </c>
      <c r="M1317" s="6">
        <v>45667</v>
      </c>
      <c r="N1317" s="6" t="s">
        <v>811</v>
      </c>
      <c r="O1317" s="5" t="str">
        <f ca="1">IF(P1317&lt;&gt;"EXPEDIÇÃO","Expedido",IF(NETWORKDAYS(C1317,TODAY())&gt;=5,"Risco Alto",IF(NETWORKDAYS(C1317,TODAY())&gt;=3,IF(NETWORKDAYS(C1317,TODAY())&lt;5,"Risco Médio",""),IF(NETWORKDAYS(C1317,TODAY())&lt;=2,"Risco Baixo",""))))</f>
        <v>Expedido</v>
      </c>
      <c r="P1317" s="5" t="s">
        <v>25</v>
      </c>
      <c r="Q1317" s="5" t="s">
        <v>900</v>
      </c>
      <c r="S1317" s="7">
        <f>IF(ISBLANK(M1317),"Aguardando Previsão/Data",NETWORKDAYS(L1317,M1317)-1)</f>
        <v>-4</v>
      </c>
      <c r="T1317" s="5" t="s">
        <v>942</v>
      </c>
    </row>
    <row r="1318" spans="1:20" x14ac:dyDescent="0.35">
      <c r="A1318" s="5">
        <v>8100274430</v>
      </c>
      <c r="B1318" s="5">
        <v>19081</v>
      </c>
      <c r="C1318" s="6">
        <v>45667</v>
      </c>
      <c r="D1318" s="5" t="s">
        <v>106</v>
      </c>
      <c r="E1318" s="5" t="s">
        <v>107</v>
      </c>
      <c r="F1318" s="5" t="s">
        <v>66</v>
      </c>
      <c r="G1318" s="5" t="s">
        <v>67</v>
      </c>
      <c r="H1318" s="5" t="s">
        <v>108</v>
      </c>
      <c r="I1318" s="5" t="s">
        <v>508</v>
      </c>
      <c r="J1318" s="5" t="s">
        <v>153</v>
      </c>
      <c r="K1318" s="5" t="s">
        <v>110</v>
      </c>
      <c r="L1318" s="6">
        <v>45674</v>
      </c>
      <c r="M1318" s="6">
        <v>45677</v>
      </c>
      <c r="N1318" s="6" t="s">
        <v>812</v>
      </c>
      <c r="O1318" s="5" t="str">
        <f ca="1">IF(P1318&lt;&gt;"EXPEDIÇÃO","Expedido",IF(NETWORKDAYS(C1318,TODAY())&gt;=5,"Risco Alto",IF(NETWORKDAYS(C1318,TODAY())&gt;=3,IF(NETWORKDAYS(C1318,TODAY())&lt;5,"Risco Médio",""),IF(NETWORKDAYS(C1318,TODAY())&lt;=2,"Risco Baixo",""))))</f>
        <v>Expedido</v>
      </c>
      <c r="P1318" s="5" t="s">
        <v>25</v>
      </c>
      <c r="S1318" s="7">
        <f>IF(ISBLANK(M1318),"Aguardando Previsão/Data",NETWORKDAYS(L1318,M1318)-1)</f>
        <v>1</v>
      </c>
      <c r="T1318" s="5" t="s">
        <v>942</v>
      </c>
    </row>
    <row r="1319" spans="1:20" x14ac:dyDescent="0.35">
      <c r="A1319" s="5">
        <v>8100274451</v>
      </c>
      <c r="B1319" s="5">
        <v>19079</v>
      </c>
      <c r="C1319" s="6">
        <v>45667</v>
      </c>
      <c r="D1319" s="5" t="s">
        <v>106</v>
      </c>
      <c r="E1319" s="5" t="s">
        <v>107</v>
      </c>
      <c r="F1319" s="5" t="s">
        <v>147</v>
      </c>
      <c r="G1319" s="5" t="s">
        <v>148</v>
      </c>
      <c r="H1319" s="5" t="s">
        <v>108</v>
      </c>
      <c r="I1319" s="5" t="s">
        <v>82</v>
      </c>
      <c r="J1319" s="5" t="s">
        <v>449</v>
      </c>
      <c r="K1319" s="5" t="s">
        <v>110</v>
      </c>
      <c r="L1319" s="6">
        <v>45677</v>
      </c>
      <c r="M1319" s="6">
        <v>45670</v>
      </c>
      <c r="N1319" s="6" t="s">
        <v>811</v>
      </c>
      <c r="O1319" s="5" t="str">
        <f ca="1">IF(P1319&lt;&gt;"EXPEDIÇÃO","Expedido",IF(NETWORKDAYS(C1319,TODAY())&gt;=5,"Risco Alto",IF(NETWORKDAYS(C1319,TODAY())&gt;=3,IF(NETWORKDAYS(C1319,TODAY())&lt;5,"Risco Médio",""),IF(NETWORKDAYS(C1319,TODAY())&lt;=2,"Risco Baixo",""))))</f>
        <v>Expedido</v>
      </c>
      <c r="P1319" s="5" t="s">
        <v>25</v>
      </c>
      <c r="S1319" s="7">
        <f>IF(ISBLANK(M1319),"Aguardando Previsão/Data",NETWORKDAYS(L1319,M1319)-1)</f>
        <v>-7</v>
      </c>
      <c r="T1319" s="5" t="s">
        <v>942</v>
      </c>
    </row>
    <row r="1320" spans="1:20" x14ac:dyDescent="0.35">
      <c r="A1320" s="5">
        <v>8100274604</v>
      </c>
      <c r="B1320" s="5">
        <v>19114</v>
      </c>
      <c r="C1320" s="6">
        <v>45667</v>
      </c>
      <c r="D1320" s="5" t="s">
        <v>106</v>
      </c>
      <c r="E1320" s="5" t="s">
        <v>107</v>
      </c>
      <c r="F1320" s="5" t="s">
        <v>147</v>
      </c>
      <c r="G1320" s="5" t="s">
        <v>148</v>
      </c>
      <c r="H1320" s="5" t="s">
        <v>108</v>
      </c>
      <c r="I1320" s="5" t="s">
        <v>115</v>
      </c>
      <c r="J1320" s="5" t="s">
        <v>449</v>
      </c>
      <c r="K1320" s="5" t="s">
        <v>110</v>
      </c>
      <c r="L1320" s="6">
        <v>45677</v>
      </c>
      <c r="M1320" s="6">
        <v>45671</v>
      </c>
      <c r="N1320" s="6" t="s">
        <v>811</v>
      </c>
      <c r="O1320" s="5" t="str">
        <f ca="1">IF(P1320&lt;&gt;"EXPEDIÇÃO","Expedido",IF(NETWORKDAYS(C1320,TODAY())&gt;=5,"Risco Alto",IF(NETWORKDAYS(C1320,TODAY())&gt;=3,IF(NETWORKDAYS(C1320,TODAY())&lt;5,"Risco Médio",""),IF(NETWORKDAYS(C1320,TODAY())&lt;=2,"Risco Baixo",""))))</f>
        <v>Expedido</v>
      </c>
      <c r="P1320" s="5" t="s">
        <v>25</v>
      </c>
      <c r="S1320" s="7">
        <f>IF(ISBLANK(M1320),"Aguardando Previsão/Data",NETWORKDAYS(L1320,M1320)-1)</f>
        <v>-6</v>
      </c>
      <c r="T1320" s="5" t="s">
        <v>942</v>
      </c>
    </row>
    <row r="1321" spans="1:20" x14ac:dyDescent="0.35">
      <c r="A1321" s="5">
        <v>8100274605</v>
      </c>
      <c r="B1321" s="5">
        <v>19115</v>
      </c>
      <c r="C1321" s="6">
        <v>45667</v>
      </c>
      <c r="D1321" s="5" t="s">
        <v>106</v>
      </c>
      <c r="E1321" s="5" t="s">
        <v>107</v>
      </c>
      <c r="F1321" s="5" t="s">
        <v>147</v>
      </c>
      <c r="G1321" s="5" t="s">
        <v>148</v>
      </c>
      <c r="H1321" s="5" t="s">
        <v>108</v>
      </c>
      <c r="I1321" s="5" t="s">
        <v>115</v>
      </c>
      <c r="J1321" s="5" t="s">
        <v>143</v>
      </c>
      <c r="K1321" s="5" t="s">
        <v>110</v>
      </c>
      <c r="L1321" s="6">
        <v>45674</v>
      </c>
      <c r="M1321" s="6">
        <v>45672</v>
      </c>
      <c r="N1321" s="6" t="s">
        <v>811</v>
      </c>
      <c r="O1321" s="5" t="str">
        <f ca="1">IF(P1321&lt;&gt;"EXPEDIÇÃO","Expedido",IF(NETWORKDAYS(C1321,TODAY())&gt;=5,"Risco Alto",IF(NETWORKDAYS(C1321,TODAY())&gt;=3,IF(NETWORKDAYS(C1321,TODAY())&lt;5,"Risco Médio",""),IF(NETWORKDAYS(C1321,TODAY())&lt;=2,"Risco Baixo",""))))</f>
        <v>Expedido</v>
      </c>
      <c r="P1321" s="5" t="s">
        <v>25</v>
      </c>
      <c r="S1321" s="7">
        <f>IF(ISBLANK(M1321),"Aguardando Previsão/Data",NETWORKDAYS(L1321,M1321)-1)</f>
        <v>-4</v>
      </c>
      <c r="T1321" s="5" t="s">
        <v>942</v>
      </c>
    </row>
    <row r="1322" spans="1:20" x14ac:dyDescent="0.35">
      <c r="A1322" s="5">
        <v>8100274606</v>
      </c>
      <c r="B1322" s="5">
        <v>19106</v>
      </c>
      <c r="C1322" s="6">
        <v>45667</v>
      </c>
      <c r="D1322" s="5" t="s">
        <v>106</v>
      </c>
      <c r="E1322" s="5" t="s">
        <v>107</v>
      </c>
      <c r="F1322" s="5" t="s">
        <v>111</v>
      </c>
      <c r="G1322" s="5" t="s">
        <v>112</v>
      </c>
      <c r="H1322" s="5" t="s">
        <v>108</v>
      </c>
      <c r="I1322" s="5" t="s">
        <v>115</v>
      </c>
      <c r="J1322" s="5" t="s">
        <v>345</v>
      </c>
      <c r="K1322" s="5" t="s">
        <v>110</v>
      </c>
      <c r="L1322" s="6">
        <v>45677</v>
      </c>
      <c r="M1322" s="6">
        <v>45670</v>
      </c>
      <c r="N1322" s="6" t="s">
        <v>811</v>
      </c>
      <c r="O1322" s="5" t="str">
        <f ca="1">IF(P1322&lt;&gt;"EXPEDIÇÃO","Expedido",IF(NETWORKDAYS(C1322,TODAY())&gt;=5,"Risco Alto",IF(NETWORKDAYS(C1322,TODAY())&gt;=3,IF(NETWORKDAYS(C1322,TODAY())&lt;5,"Risco Médio",""),IF(NETWORKDAYS(C1322,TODAY())&lt;=2,"Risco Baixo",""))))</f>
        <v>Expedido</v>
      </c>
      <c r="P1322" s="5" t="s">
        <v>25</v>
      </c>
      <c r="S1322" s="7">
        <f>IF(ISBLANK(M1322),"Aguardando Previsão/Data",NETWORKDAYS(L1322,M1322)-1)</f>
        <v>-7</v>
      </c>
      <c r="T1322" s="5" t="s">
        <v>942</v>
      </c>
    </row>
    <row r="1323" spans="1:20" x14ac:dyDescent="0.35">
      <c r="A1323" s="5">
        <v>8100274607</v>
      </c>
      <c r="B1323" s="5">
        <v>19109</v>
      </c>
      <c r="C1323" s="6">
        <v>45667</v>
      </c>
      <c r="D1323" s="5" t="s">
        <v>106</v>
      </c>
      <c r="E1323" s="5" t="s">
        <v>107</v>
      </c>
      <c r="F1323" s="5" t="s">
        <v>111</v>
      </c>
      <c r="G1323" s="5" t="s">
        <v>112</v>
      </c>
      <c r="H1323" s="5" t="s">
        <v>108</v>
      </c>
      <c r="I1323" s="5" t="s">
        <v>701</v>
      </c>
      <c r="J1323" s="5" t="s">
        <v>124</v>
      </c>
      <c r="K1323" s="5" t="s">
        <v>110</v>
      </c>
      <c r="L1323" s="6">
        <v>45677</v>
      </c>
      <c r="M1323" s="6">
        <v>45672</v>
      </c>
      <c r="N1323" s="6" t="s">
        <v>811</v>
      </c>
      <c r="O1323" s="5" t="str">
        <f ca="1">IF(P1323&lt;&gt;"EXPEDIÇÃO","Expedido",IF(NETWORKDAYS(C1323,TODAY())&gt;=5,"Risco Alto",IF(NETWORKDAYS(C1323,TODAY())&gt;=3,IF(NETWORKDAYS(C1323,TODAY())&lt;5,"Risco Médio",""),IF(NETWORKDAYS(C1323,TODAY())&lt;=2,"Risco Baixo",""))))</f>
        <v>Expedido</v>
      </c>
      <c r="P1323" s="5" t="s">
        <v>25</v>
      </c>
      <c r="S1323" s="7">
        <f>IF(ISBLANK(M1323),"Aguardando Previsão/Data",NETWORKDAYS(L1323,M1323)-1)</f>
        <v>-5</v>
      </c>
      <c r="T1323" s="5" t="s">
        <v>942</v>
      </c>
    </row>
    <row r="1324" spans="1:20" x14ac:dyDescent="0.35">
      <c r="A1324" s="5">
        <v>8100274608</v>
      </c>
      <c r="B1324" s="5">
        <v>19105</v>
      </c>
      <c r="C1324" s="6">
        <v>45667</v>
      </c>
      <c r="D1324" s="5" t="s">
        <v>106</v>
      </c>
      <c r="E1324" s="5" t="s">
        <v>107</v>
      </c>
      <c r="F1324" s="5" t="s">
        <v>66</v>
      </c>
      <c r="G1324" s="5" t="s">
        <v>67</v>
      </c>
      <c r="H1324" s="5" t="s">
        <v>108</v>
      </c>
      <c r="I1324" s="5" t="s">
        <v>115</v>
      </c>
      <c r="J1324" s="5" t="s">
        <v>477</v>
      </c>
      <c r="K1324" s="5" t="s">
        <v>110</v>
      </c>
      <c r="L1324" s="6">
        <v>45674</v>
      </c>
      <c r="M1324" s="6">
        <v>45671</v>
      </c>
      <c r="N1324" s="6" t="s">
        <v>811</v>
      </c>
      <c r="O1324" s="5" t="str">
        <f ca="1">IF(P1324&lt;&gt;"EXPEDIÇÃO","Expedido",IF(NETWORKDAYS(C1324,TODAY())&gt;=5,"Risco Alto",IF(NETWORKDAYS(C1324,TODAY())&gt;=3,IF(NETWORKDAYS(C1324,TODAY())&lt;5,"Risco Médio",""),IF(NETWORKDAYS(C1324,TODAY())&lt;=2,"Risco Baixo",""))))</f>
        <v>Expedido</v>
      </c>
      <c r="P1324" s="5" t="s">
        <v>25</v>
      </c>
      <c r="S1324" s="7">
        <f>IF(ISBLANK(M1324),"Aguardando Previsão/Data",NETWORKDAYS(L1324,M1324)-1)</f>
        <v>-5</v>
      </c>
      <c r="T1324" s="5" t="s">
        <v>942</v>
      </c>
    </row>
    <row r="1325" spans="1:20" x14ac:dyDescent="0.35">
      <c r="A1325" s="5">
        <v>8100274609</v>
      </c>
      <c r="B1325" s="5">
        <v>19101</v>
      </c>
      <c r="C1325" s="6">
        <v>45667</v>
      </c>
      <c r="D1325" s="5" t="s">
        <v>106</v>
      </c>
      <c r="E1325" s="5" t="s">
        <v>107</v>
      </c>
      <c r="F1325" s="5" t="s">
        <v>111</v>
      </c>
      <c r="G1325" s="5" t="s">
        <v>112</v>
      </c>
      <c r="H1325" s="5" t="s">
        <v>108</v>
      </c>
      <c r="I1325" s="5" t="s">
        <v>115</v>
      </c>
      <c r="J1325" s="5" t="s">
        <v>125</v>
      </c>
      <c r="K1325" s="5" t="s">
        <v>110</v>
      </c>
      <c r="L1325" s="6">
        <v>45673</v>
      </c>
      <c r="M1325" s="6">
        <v>45671</v>
      </c>
      <c r="N1325" s="6" t="s">
        <v>811</v>
      </c>
      <c r="O1325" s="5" t="str">
        <f ca="1">IF(P1325&lt;&gt;"EXPEDIÇÃO","Expedido",IF(NETWORKDAYS(C1325,TODAY())&gt;=5,"Risco Alto",IF(NETWORKDAYS(C1325,TODAY())&gt;=3,IF(NETWORKDAYS(C1325,TODAY())&lt;5,"Risco Médio",""),IF(NETWORKDAYS(C1325,TODAY())&lt;=2,"Risco Baixo",""))))</f>
        <v>Expedido</v>
      </c>
      <c r="P1325" s="5" t="s">
        <v>25</v>
      </c>
      <c r="S1325" s="7">
        <f>IF(ISBLANK(M1325),"Aguardando Previsão/Data",NETWORKDAYS(L1325,M1325)-1)</f>
        <v>-4</v>
      </c>
      <c r="T1325" s="5" t="s">
        <v>942</v>
      </c>
    </row>
    <row r="1326" spans="1:20" x14ac:dyDescent="0.35">
      <c r="A1326" s="5">
        <v>8100274610</v>
      </c>
      <c r="B1326" s="5">
        <v>19102</v>
      </c>
      <c r="C1326" s="6">
        <v>45667</v>
      </c>
      <c r="D1326" s="5" t="s">
        <v>106</v>
      </c>
      <c r="E1326" s="5" t="s">
        <v>107</v>
      </c>
      <c r="F1326" s="5" t="s">
        <v>111</v>
      </c>
      <c r="G1326" s="5" t="s">
        <v>112</v>
      </c>
      <c r="H1326" s="5" t="s">
        <v>108</v>
      </c>
      <c r="I1326" s="5" t="s">
        <v>115</v>
      </c>
      <c r="J1326" s="5" t="s">
        <v>125</v>
      </c>
      <c r="K1326" s="5" t="s">
        <v>110</v>
      </c>
      <c r="L1326" s="6">
        <v>45673</v>
      </c>
      <c r="M1326" s="6">
        <v>45671</v>
      </c>
      <c r="N1326" s="6" t="s">
        <v>811</v>
      </c>
      <c r="O1326" s="5" t="str">
        <f ca="1">IF(P1326&lt;&gt;"EXPEDIÇÃO","Expedido",IF(NETWORKDAYS(C1326,TODAY())&gt;=5,"Risco Alto",IF(NETWORKDAYS(C1326,TODAY())&gt;=3,IF(NETWORKDAYS(C1326,TODAY())&lt;5,"Risco Médio",""),IF(NETWORKDAYS(C1326,TODAY())&lt;=2,"Risco Baixo",""))))</f>
        <v>Expedido</v>
      </c>
      <c r="P1326" s="5" t="s">
        <v>25</v>
      </c>
      <c r="S1326" s="7">
        <f>IF(ISBLANK(M1326),"Aguardando Previsão/Data",NETWORKDAYS(L1326,M1326)-1)</f>
        <v>-4</v>
      </c>
      <c r="T1326" s="5" t="s">
        <v>942</v>
      </c>
    </row>
    <row r="1327" spans="1:20" x14ac:dyDescent="0.35">
      <c r="A1327" s="5">
        <v>8100274611</v>
      </c>
      <c r="B1327" s="5">
        <v>19116</v>
      </c>
      <c r="C1327" s="6">
        <v>45667</v>
      </c>
      <c r="D1327" s="5" t="s">
        <v>106</v>
      </c>
      <c r="E1327" s="5" t="s">
        <v>107</v>
      </c>
      <c r="F1327" s="5" t="s">
        <v>111</v>
      </c>
      <c r="G1327" s="5" t="s">
        <v>112</v>
      </c>
      <c r="H1327" s="5" t="s">
        <v>108</v>
      </c>
      <c r="I1327" s="5" t="s">
        <v>115</v>
      </c>
      <c r="J1327" s="5" t="s">
        <v>143</v>
      </c>
      <c r="K1327" s="5" t="s">
        <v>110</v>
      </c>
      <c r="L1327" s="6">
        <v>45674</v>
      </c>
      <c r="M1327" s="6">
        <v>45672</v>
      </c>
      <c r="N1327" s="6" t="s">
        <v>811</v>
      </c>
      <c r="O1327" s="5" t="str">
        <f ca="1">IF(P1327&lt;&gt;"EXPEDIÇÃO","Expedido",IF(NETWORKDAYS(C1327,TODAY())&gt;=5,"Risco Alto",IF(NETWORKDAYS(C1327,TODAY())&gt;=3,IF(NETWORKDAYS(C1327,TODAY())&lt;5,"Risco Médio",""),IF(NETWORKDAYS(C1327,TODAY())&lt;=2,"Risco Baixo",""))))</f>
        <v>Expedido</v>
      </c>
      <c r="P1327" s="5" t="s">
        <v>25</v>
      </c>
      <c r="S1327" s="7">
        <f>IF(ISBLANK(M1327),"Aguardando Previsão/Data",NETWORKDAYS(L1327,M1327)-1)</f>
        <v>-4</v>
      </c>
      <c r="T1327" s="5" t="s">
        <v>942</v>
      </c>
    </row>
    <row r="1328" spans="1:20" x14ac:dyDescent="0.35">
      <c r="A1328" s="5">
        <v>8100274612</v>
      </c>
      <c r="B1328" s="5">
        <v>19118</v>
      </c>
      <c r="C1328" s="6">
        <v>45667</v>
      </c>
      <c r="D1328" s="5" t="s">
        <v>106</v>
      </c>
      <c r="E1328" s="5" t="s">
        <v>107</v>
      </c>
      <c r="F1328" s="5" t="s">
        <v>66</v>
      </c>
      <c r="G1328" s="5" t="s">
        <v>67</v>
      </c>
      <c r="H1328" s="5" t="s">
        <v>108</v>
      </c>
      <c r="I1328" s="5" t="s">
        <v>115</v>
      </c>
      <c r="J1328" s="5" t="s">
        <v>393</v>
      </c>
      <c r="K1328" s="5" t="s">
        <v>110</v>
      </c>
      <c r="L1328" s="6">
        <v>45677</v>
      </c>
      <c r="M1328" s="6">
        <v>45672</v>
      </c>
      <c r="N1328" s="6" t="s">
        <v>811</v>
      </c>
      <c r="O1328" s="5" t="str">
        <f ca="1">IF(P1328&lt;&gt;"EXPEDIÇÃO","Expedido",IF(NETWORKDAYS(C1328,TODAY())&gt;=5,"Risco Alto",IF(NETWORKDAYS(C1328,TODAY())&gt;=3,IF(NETWORKDAYS(C1328,TODAY())&lt;5,"Risco Médio",""),IF(NETWORKDAYS(C1328,TODAY())&lt;=2,"Risco Baixo",""))))</f>
        <v>Expedido</v>
      </c>
      <c r="P1328" s="5" t="s">
        <v>25</v>
      </c>
      <c r="S1328" s="7">
        <f>IF(ISBLANK(M1328),"Aguardando Previsão/Data",NETWORKDAYS(L1328,M1328)-1)</f>
        <v>-5</v>
      </c>
      <c r="T1328" s="5" t="s">
        <v>942</v>
      </c>
    </row>
    <row r="1329" spans="1:20" x14ac:dyDescent="0.35">
      <c r="A1329" s="5">
        <v>8100274613</v>
      </c>
      <c r="B1329" s="5">
        <v>19107</v>
      </c>
      <c r="C1329" s="6">
        <v>45667</v>
      </c>
      <c r="D1329" s="5" t="s">
        <v>106</v>
      </c>
      <c r="E1329" s="5" t="s">
        <v>107</v>
      </c>
      <c r="F1329" s="5" t="s">
        <v>111</v>
      </c>
      <c r="G1329" s="5" t="s">
        <v>112</v>
      </c>
      <c r="H1329" s="5" t="s">
        <v>108</v>
      </c>
      <c r="I1329" s="5" t="s">
        <v>115</v>
      </c>
      <c r="J1329" s="5" t="s">
        <v>345</v>
      </c>
      <c r="K1329" s="5" t="s">
        <v>110</v>
      </c>
      <c r="L1329" s="6">
        <v>45677</v>
      </c>
      <c r="M1329" s="6">
        <v>45670</v>
      </c>
      <c r="N1329" s="6" t="s">
        <v>811</v>
      </c>
      <c r="O1329" s="5" t="str">
        <f ca="1">IF(P1329&lt;&gt;"EXPEDIÇÃO","Expedido",IF(NETWORKDAYS(C1329,TODAY())&gt;=5,"Risco Alto",IF(NETWORKDAYS(C1329,TODAY())&gt;=3,IF(NETWORKDAYS(C1329,TODAY())&lt;5,"Risco Médio",""),IF(NETWORKDAYS(C1329,TODAY())&lt;=2,"Risco Baixo",""))))</f>
        <v>Expedido</v>
      </c>
      <c r="P1329" s="5" t="s">
        <v>25</v>
      </c>
      <c r="S1329" s="7">
        <f>IF(ISBLANK(M1329),"Aguardando Previsão/Data",NETWORKDAYS(L1329,M1329)-1)</f>
        <v>-7</v>
      </c>
      <c r="T1329" s="5" t="s">
        <v>942</v>
      </c>
    </row>
    <row r="1330" spans="1:20" x14ac:dyDescent="0.35">
      <c r="A1330" s="5">
        <v>8100274614</v>
      </c>
      <c r="B1330" s="5">
        <v>19112</v>
      </c>
      <c r="C1330" s="6">
        <v>45667</v>
      </c>
      <c r="D1330" s="5" t="s">
        <v>106</v>
      </c>
      <c r="E1330" s="5" t="s">
        <v>107</v>
      </c>
      <c r="F1330" s="5" t="s">
        <v>69</v>
      </c>
      <c r="G1330" s="5" t="s">
        <v>70</v>
      </c>
      <c r="H1330" s="5" t="s">
        <v>108</v>
      </c>
      <c r="I1330" s="5" t="s">
        <v>115</v>
      </c>
      <c r="J1330" s="5" t="s">
        <v>346</v>
      </c>
      <c r="K1330" s="5" t="s">
        <v>110</v>
      </c>
      <c r="L1330" s="6">
        <v>45674</v>
      </c>
      <c r="M1330" s="6">
        <v>45671</v>
      </c>
      <c r="N1330" s="6" t="s">
        <v>811</v>
      </c>
      <c r="O1330" s="5" t="str">
        <f ca="1">IF(P1330&lt;&gt;"EXPEDIÇÃO","Expedido",IF(NETWORKDAYS(C1330,TODAY())&gt;=5,"Risco Alto",IF(NETWORKDAYS(C1330,TODAY())&gt;=3,IF(NETWORKDAYS(C1330,TODAY())&lt;5,"Risco Médio",""),IF(NETWORKDAYS(C1330,TODAY())&lt;=2,"Risco Baixo",""))))</f>
        <v>Expedido</v>
      </c>
      <c r="P1330" s="5" t="s">
        <v>25</v>
      </c>
      <c r="S1330" s="7">
        <f>IF(ISBLANK(M1330),"Aguardando Previsão/Data",NETWORKDAYS(L1330,M1330)-1)</f>
        <v>-5</v>
      </c>
      <c r="T1330" s="5" t="s">
        <v>942</v>
      </c>
    </row>
    <row r="1331" spans="1:20" x14ac:dyDescent="0.35">
      <c r="A1331" s="5">
        <v>8100274615</v>
      </c>
      <c r="B1331" s="5">
        <v>19117</v>
      </c>
      <c r="C1331" s="6">
        <v>45667</v>
      </c>
      <c r="D1331" s="5" t="s">
        <v>106</v>
      </c>
      <c r="E1331" s="5" t="s">
        <v>107</v>
      </c>
      <c r="F1331" s="5" t="s">
        <v>69</v>
      </c>
      <c r="G1331" s="5" t="s">
        <v>70</v>
      </c>
      <c r="H1331" s="5" t="s">
        <v>108</v>
      </c>
      <c r="I1331" s="5" t="s">
        <v>115</v>
      </c>
      <c r="J1331" s="5" t="s">
        <v>116</v>
      </c>
      <c r="K1331" s="5" t="s">
        <v>110</v>
      </c>
      <c r="L1331" s="6">
        <v>45674</v>
      </c>
      <c r="M1331" s="6">
        <v>45673</v>
      </c>
      <c r="N1331" s="6" t="s">
        <v>811</v>
      </c>
      <c r="O1331" s="5" t="str">
        <f ca="1">IF(P1331&lt;&gt;"EXPEDIÇÃO","Expedido",IF(NETWORKDAYS(C1331,TODAY())&gt;=5,"Risco Alto",IF(NETWORKDAYS(C1331,TODAY())&gt;=3,IF(NETWORKDAYS(C1331,TODAY())&lt;5,"Risco Médio",""),IF(NETWORKDAYS(C1331,TODAY())&lt;=2,"Risco Baixo",""))))</f>
        <v>Expedido</v>
      </c>
      <c r="P1331" s="5" t="s">
        <v>25</v>
      </c>
      <c r="S1331" s="7">
        <f>IF(ISBLANK(M1331),"Aguardando Previsão/Data",NETWORKDAYS(L1331,M1331)-1)</f>
        <v>-3</v>
      </c>
      <c r="T1331" s="5" t="s">
        <v>942</v>
      </c>
    </row>
    <row r="1332" spans="1:20" x14ac:dyDescent="0.35">
      <c r="A1332" s="5">
        <v>8100274616</v>
      </c>
      <c r="B1332" s="5">
        <v>19104</v>
      </c>
      <c r="C1332" s="6">
        <v>45667</v>
      </c>
      <c r="D1332" s="5" t="s">
        <v>106</v>
      </c>
      <c r="E1332" s="5" t="s">
        <v>107</v>
      </c>
      <c r="F1332" s="5" t="s">
        <v>69</v>
      </c>
      <c r="G1332" s="5" t="s">
        <v>70</v>
      </c>
      <c r="H1332" s="5" t="s">
        <v>108</v>
      </c>
      <c r="I1332" s="5" t="s">
        <v>115</v>
      </c>
      <c r="J1332" s="5" t="s">
        <v>344</v>
      </c>
      <c r="K1332" s="5" t="s">
        <v>110</v>
      </c>
      <c r="L1332" s="6">
        <v>45674</v>
      </c>
      <c r="M1332" s="6">
        <v>45671</v>
      </c>
      <c r="N1332" s="6" t="s">
        <v>811</v>
      </c>
      <c r="O1332" s="5" t="str">
        <f ca="1">IF(P1332&lt;&gt;"EXPEDIÇÃO","Expedido",IF(NETWORKDAYS(C1332,TODAY())&gt;=5,"Risco Alto",IF(NETWORKDAYS(C1332,TODAY())&gt;=3,IF(NETWORKDAYS(C1332,TODAY())&lt;5,"Risco Médio",""),IF(NETWORKDAYS(C1332,TODAY())&lt;=2,"Risco Baixo",""))))</f>
        <v>Expedido</v>
      </c>
      <c r="P1332" s="5" t="s">
        <v>25</v>
      </c>
      <c r="S1332" s="7">
        <f>IF(ISBLANK(M1332),"Aguardando Previsão/Data",NETWORKDAYS(L1332,M1332)-1)</f>
        <v>-5</v>
      </c>
      <c r="T1332" s="5" t="s">
        <v>942</v>
      </c>
    </row>
    <row r="1333" spans="1:20" x14ac:dyDescent="0.35">
      <c r="A1333" s="5">
        <v>8100274617</v>
      </c>
      <c r="B1333" s="5">
        <v>19103</v>
      </c>
      <c r="C1333" s="6">
        <v>45667</v>
      </c>
      <c r="D1333" s="5" t="s">
        <v>106</v>
      </c>
      <c r="E1333" s="5" t="s">
        <v>107</v>
      </c>
      <c r="F1333" s="5" t="s">
        <v>69</v>
      </c>
      <c r="G1333" s="5" t="s">
        <v>70</v>
      </c>
      <c r="H1333" s="5" t="s">
        <v>108</v>
      </c>
      <c r="I1333" s="5" t="s">
        <v>115</v>
      </c>
      <c r="J1333" s="5" t="s">
        <v>343</v>
      </c>
      <c r="K1333" s="5" t="s">
        <v>110</v>
      </c>
      <c r="L1333" s="6">
        <v>45677</v>
      </c>
      <c r="M1333" s="6">
        <v>45672</v>
      </c>
      <c r="N1333" s="6" t="s">
        <v>811</v>
      </c>
      <c r="O1333" s="5" t="str">
        <f ca="1">IF(P1333&lt;&gt;"EXPEDIÇÃO","Expedido",IF(NETWORKDAYS(C1333,TODAY())&gt;=5,"Risco Alto",IF(NETWORKDAYS(C1333,TODAY())&gt;=3,IF(NETWORKDAYS(C1333,TODAY())&lt;5,"Risco Médio",""),IF(NETWORKDAYS(C1333,TODAY())&lt;=2,"Risco Baixo",""))))</f>
        <v>Expedido</v>
      </c>
      <c r="P1333" s="5" t="s">
        <v>25</v>
      </c>
      <c r="S1333" s="7">
        <f>IF(ISBLANK(M1333),"Aguardando Previsão/Data",NETWORKDAYS(L1333,M1333)-1)</f>
        <v>-5</v>
      </c>
      <c r="T1333" s="5" t="s">
        <v>942</v>
      </c>
    </row>
    <row r="1334" spans="1:20" x14ac:dyDescent="0.35">
      <c r="A1334" s="5">
        <v>8100274618</v>
      </c>
      <c r="B1334" s="5">
        <v>19113</v>
      </c>
      <c r="C1334" s="6">
        <v>45667</v>
      </c>
      <c r="D1334" s="5" t="s">
        <v>106</v>
      </c>
      <c r="E1334" s="5" t="s">
        <v>107</v>
      </c>
      <c r="F1334" s="5" t="s">
        <v>69</v>
      </c>
      <c r="G1334" s="5" t="s">
        <v>70</v>
      </c>
      <c r="H1334" s="5" t="s">
        <v>108</v>
      </c>
      <c r="I1334" s="5" t="s">
        <v>115</v>
      </c>
      <c r="J1334" s="5" t="s">
        <v>133</v>
      </c>
      <c r="K1334" s="5" t="s">
        <v>110</v>
      </c>
      <c r="L1334" s="6">
        <v>45677</v>
      </c>
      <c r="M1334" s="6">
        <v>45672</v>
      </c>
      <c r="N1334" s="6" t="s">
        <v>811</v>
      </c>
      <c r="O1334" s="5" t="str">
        <f ca="1">IF(P1334&lt;&gt;"EXPEDIÇÃO","Expedido",IF(NETWORKDAYS(C1334,TODAY())&gt;=5,"Risco Alto",IF(NETWORKDAYS(C1334,TODAY())&gt;=3,IF(NETWORKDAYS(C1334,TODAY())&lt;5,"Risco Médio",""),IF(NETWORKDAYS(C1334,TODAY())&lt;=2,"Risco Baixo",""))))</f>
        <v>Expedido</v>
      </c>
      <c r="P1334" s="5" t="s">
        <v>25</v>
      </c>
      <c r="S1334" s="7">
        <f>IF(ISBLANK(M1334),"Aguardando Previsão/Data",NETWORKDAYS(L1334,M1334)-1)</f>
        <v>-5</v>
      </c>
      <c r="T1334" s="5" t="s">
        <v>942</v>
      </c>
    </row>
    <row r="1335" spans="1:20" x14ac:dyDescent="0.35">
      <c r="A1335" s="5">
        <v>8100274619</v>
      </c>
      <c r="B1335" s="5">
        <v>19108</v>
      </c>
      <c r="C1335" s="6">
        <v>45667</v>
      </c>
      <c r="D1335" s="5" t="s">
        <v>106</v>
      </c>
      <c r="E1335" s="5" t="s">
        <v>107</v>
      </c>
      <c r="F1335" s="5" t="s">
        <v>69</v>
      </c>
      <c r="G1335" s="5" t="s">
        <v>70</v>
      </c>
      <c r="H1335" s="5" t="s">
        <v>108</v>
      </c>
      <c r="I1335" s="5" t="s">
        <v>115</v>
      </c>
      <c r="J1335" s="5" t="s">
        <v>345</v>
      </c>
      <c r="K1335" s="5" t="s">
        <v>110</v>
      </c>
      <c r="L1335" s="6">
        <v>45677</v>
      </c>
      <c r="M1335" s="6">
        <v>45670</v>
      </c>
      <c r="N1335" s="6" t="s">
        <v>811</v>
      </c>
      <c r="O1335" s="5" t="str">
        <f ca="1">IF(P1335&lt;&gt;"EXPEDIÇÃO","Expedido",IF(NETWORKDAYS(C1335,TODAY())&gt;=5,"Risco Alto",IF(NETWORKDAYS(C1335,TODAY())&gt;=3,IF(NETWORKDAYS(C1335,TODAY())&lt;5,"Risco Médio",""),IF(NETWORKDAYS(C1335,TODAY())&lt;=2,"Risco Baixo",""))))</f>
        <v>Expedido</v>
      </c>
      <c r="P1335" s="5" t="s">
        <v>25</v>
      </c>
      <c r="S1335" s="7">
        <f>IF(ISBLANK(M1335),"Aguardando Previsão/Data",NETWORKDAYS(L1335,M1335)-1)</f>
        <v>-7</v>
      </c>
      <c r="T1335" s="5" t="s">
        <v>942</v>
      </c>
    </row>
    <row r="1336" spans="1:20" x14ac:dyDescent="0.35">
      <c r="A1336" s="5">
        <v>8100274620</v>
      </c>
      <c r="B1336" s="5">
        <v>19110</v>
      </c>
      <c r="C1336" s="6">
        <v>45667</v>
      </c>
      <c r="D1336" s="5" t="s">
        <v>106</v>
      </c>
      <c r="E1336" s="5" t="s">
        <v>107</v>
      </c>
      <c r="F1336" s="5" t="s">
        <v>69</v>
      </c>
      <c r="G1336" s="5" t="s">
        <v>70</v>
      </c>
      <c r="H1336" s="5" t="s">
        <v>108</v>
      </c>
      <c r="I1336" s="5" t="s">
        <v>701</v>
      </c>
      <c r="J1336" s="5" t="s">
        <v>124</v>
      </c>
      <c r="K1336" s="5" t="s">
        <v>110</v>
      </c>
      <c r="L1336" s="6">
        <v>45677</v>
      </c>
      <c r="M1336" s="6">
        <v>45672</v>
      </c>
      <c r="N1336" s="6" t="s">
        <v>811</v>
      </c>
      <c r="O1336" s="5" t="str">
        <f ca="1">IF(P1336&lt;&gt;"EXPEDIÇÃO","Expedido",IF(NETWORKDAYS(C1336,TODAY())&gt;=5,"Risco Alto",IF(NETWORKDAYS(C1336,TODAY())&gt;=3,IF(NETWORKDAYS(C1336,TODAY())&lt;5,"Risco Médio",""),IF(NETWORKDAYS(C1336,TODAY())&lt;=2,"Risco Baixo",""))))</f>
        <v>Expedido</v>
      </c>
      <c r="P1336" s="5" t="s">
        <v>25</v>
      </c>
      <c r="S1336" s="7">
        <f>IF(ISBLANK(M1336),"Aguardando Previsão/Data",NETWORKDAYS(L1336,M1336)-1)</f>
        <v>-5</v>
      </c>
      <c r="T1336" s="5" t="s">
        <v>942</v>
      </c>
    </row>
    <row r="1337" spans="1:20" x14ac:dyDescent="0.35">
      <c r="A1337" s="5">
        <v>8100274621</v>
      </c>
      <c r="B1337" s="5">
        <v>19111</v>
      </c>
      <c r="C1337" s="6">
        <v>45667</v>
      </c>
      <c r="D1337" s="5" t="s">
        <v>106</v>
      </c>
      <c r="E1337" s="5" t="s">
        <v>107</v>
      </c>
      <c r="F1337" s="5" t="s">
        <v>69</v>
      </c>
      <c r="G1337" s="5" t="s">
        <v>70</v>
      </c>
      <c r="H1337" s="5" t="s">
        <v>108</v>
      </c>
      <c r="I1337" s="5" t="s">
        <v>115</v>
      </c>
      <c r="J1337" s="5" t="s">
        <v>122</v>
      </c>
      <c r="K1337" s="5" t="s">
        <v>110</v>
      </c>
      <c r="L1337" s="6">
        <v>45674</v>
      </c>
      <c r="M1337" s="6">
        <v>45671</v>
      </c>
      <c r="N1337" s="6" t="s">
        <v>811</v>
      </c>
      <c r="O1337" s="5" t="str">
        <f ca="1">IF(P1337&lt;&gt;"EXPEDIÇÃO","Expedido",IF(NETWORKDAYS(C1337,TODAY())&gt;=5,"Risco Alto",IF(NETWORKDAYS(C1337,TODAY())&gt;=3,IF(NETWORKDAYS(C1337,TODAY())&lt;5,"Risco Médio",""),IF(NETWORKDAYS(C1337,TODAY())&lt;=2,"Risco Baixo",""))))</f>
        <v>Expedido</v>
      </c>
      <c r="P1337" s="5" t="s">
        <v>25</v>
      </c>
      <c r="S1337" s="7">
        <f>IF(ISBLANK(M1337),"Aguardando Previsão/Data",NETWORKDAYS(L1337,M1337)-1)</f>
        <v>-5</v>
      </c>
      <c r="T1337" s="5" t="s">
        <v>942</v>
      </c>
    </row>
    <row r="1338" spans="1:20" x14ac:dyDescent="0.35">
      <c r="A1338" s="5">
        <v>8100274849</v>
      </c>
      <c r="B1338" s="5">
        <v>19119</v>
      </c>
      <c r="C1338" s="6">
        <v>45667</v>
      </c>
      <c r="D1338" s="5" t="s">
        <v>106</v>
      </c>
      <c r="E1338" s="5" t="s">
        <v>107</v>
      </c>
      <c r="F1338" s="5" t="s">
        <v>69</v>
      </c>
      <c r="G1338" s="5" t="s">
        <v>70</v>
      </c>
      <c r="H1338" s="5" t="s">
        <v>108</v>
      </c>
      <c r="I1338" s="5" t="s">
        <v>64</v>
      </c>
      <c r="J1338" s="5" t="s">
        <v>114</v>
      </c>
      <c r="K1338" s="5" t="s">
        <v>110</v>
      </c>
      <c r="L1338" s="6">
        <v>45677</v>
      </c>
      <c r="M1338" s="6">
        <v>45672</v>
      </c>
      <c r="N1338" s="6" t="s">
        <v>811</v>
      </c>
      <c r="O1338" s="5" t="str">
        <f ca="1">IF(P1338&lt;&gt;"EXPEDIÇÃO","Expedido",IF(NETWORKDAYS(C1338,TODAY())&gt;=5,"Risco Alto",IF(NETWORKDAYS(C1338,TODAY())&gt;=3,IF(NETWORKDAYS(C1338,TODAY())&lt;5,"Risco Médio",""),IF(NETWORKDAYS(C1338,TODAY())&lt;=2,"Risco Baixo",""))))</f>
        <v>Expedido</v>
      </c>
      <c r="P1338" s="5" t="s">
        <v>25</v>
      </c>
      <c r="Q1338" s="5" t="s">
        <v>897</v>
      </c>
      <c r="S1338" s="7">
        <f>IF(ISBLANK(M1338),"Aguardando Previsão/Data",NETWORKDAYS(L1338,M1338)-1)</f>
        <v>-5</v>
      </c>
      <c r="T1338" s="5" t="s">
        <v>942</v>
      </c>
    </row>
    <row r="1339" spans="1:20" x14ac:dyDescent="0.35">
      <c r="A1339" s="5">
        <v>8100274876</v>
      </c>
      <c r="B1339" s="5">
        <v>19120</v>
      </c>
      <c r="C1339" s="6">
        <v>45667</v>
      </c>
      <c r="D1339" s="5" t="s">
        <v>106</v>
      </c>
      <c r="E1339" s="5" t="s">
        <v>107</v>
      </c>
      <c r="F1339" s="5" t="s">
        <v>69</v>
      </c>
      <c r="G1339" s="5" t="s">
        <v>70</v>
      </c>
      <c r="H1339" s="5" t="s">
        <v>108</v>
      </c>
      <c r="I1339" s="5" t="s">
        <v>118</v>
      </c>
      <c r="J1339" s="5" t="s">
        <v>114</v>
      </c>
      <c r="K1339" s="5" t="s">
        <v>110</v>
      </c>
      <c r="L1339" s="6">
        <v>45677</v>
      </c>
      <c r="M1339" s="6">
        <v>45672</v>
      </c>
      <c r="N1339" s="6" t="s">
        <v>811</v>
      </c>
      <c r="O1339" s="5" t="str">
        <f ca="1">IF(P1339&lt;&gt;"EXPEDIÇÃO","Expedido",IF(NETWORKDAYS(C1339,TODAY())&gt;=5,"Risco Alto",IF(NETWORKDAYS(C1339,TODAY())&gt;=3,IF(NETWORKDAYS(C1339,TODAY())&lt;5,"Risco Médio",""),IF(NETWORKDAYS(C1339,TODAY())&lt;=2,"Risco Baixo",""))))</f>
        <v>Expedido</v>
      </c>
      <c r="P1339" s="5" t="s">
        <v>25</v>
      </c>
      <c r="Q1339" s="5" t="s">
        <v>897</v>
      </c>
      <c r="S1339" s="7">
        <f>IF(ISBLANK(M1339),"Aguardando Previsão/Data",NETWORKDAYS(L1339,M1339)-1)</f>
        <v>-5</v>
      </c>
      <c r="T1339" s="5" t="s">
        <v>942</v>
      </c>
    </row>
    <row r="1340" spans="1:20" x14ac:dyDescent="0.35">
      <c r="A1340" s="5">
        <v>8100274424</v>
      </c>
      <c r="B1340" s="5">
        <v>19084</v>
      </c>
      <c r="C1340" s="6">
        <v>45667</v>
      </c>
      <c r="D1340" s="5" t="s">
        <v>106</v>
      </c>
      <c r="E1340" s="5" t="s">
        <v>107</v>
      </c>
      <c r="F1340" s="5" t="s">
        <v>69</v>
      </c>
      <c r="G1340" s="5" t="s">
        <v>70</v>
      </c>
      <c r="H1340" s="5" t="s">
        <v>108</v>
      </c>
      <c r="I1340" s="5" t="s">
        <v>278</v>
      </c>
      <c r="J1340" s="5" t="s">
        <v>279</v>
      </c>
      <c r="K1340" s="5" t="s">
        <v>110</v>
      </c>
      <c r="L1340" s="6">
        <v>45674</v>
      </c>
      <c r="M1340" s="6">
        <v>45681</v>
      </c>
      <c r="N1340" s="6" t="s">
        <v>811</v>
      </c>
      <c r="O1340" s="5" t="str">
        <f ca="1">IF(P1340&lt;&gt;"EXPEDIÇÃO","Expedido",IF(NETWORKDAYS(C1340,TODAY())&gt;=5,"Risco Alto",IF(NETWORKDAYS(C1340,TODAY())&gt;=3,IF(NETWORKDAYS(C1340,TODAY())&lt;5,"Risco Médio",""),IF(NETWORKDAYS(C1340,TODAY())&lt;=2,"Risco Baixo",""))))</f>
        <v>Expedido</v>
      </c>
      <c r="P1340" s="5" t="s">
        <v>25</v>
      </c>
      <c r="Q1340" s="5" t="s">
        <v>897</v>
      </c>
      <c r="R1340" s="5" t="s">
        <v>1424</v>
      </c>
      <c r="S1340" s="7">
        <f>IF(ISBLANK(M1340),"Aguardando Previsão/Data",NETWORKDAYS(L1340,M1340)-1)</f>
        <v>5</v>
      </c>
      <c r="T1340" s="5" t="s">
        <v>942</v>
      </c>
    </row>
    <row r="1341" spans="1:20" x14ac:dyDescent="0.35">
      <c r="A1341" s="5">
        <v>8100274330</v>
      </c>
      <c r="B1341" s="5">
        <v>7108</v>
      </c>
      <c r="C1341" s="6">
        <v>45667</v>
      </c>
      <c r="D1341" s="5" t="s">
        <v>194</v>
      </c>
      <c r="E1341" s="5" t="s">
        <v>195</v>
      </c>
      <c r="F1341" s="5" t="s">
        <v>406</v>
      </c>
      <c r="G1341" s="5" t="s">
        <v>407</v>
      </c>
      <c r="H1341" s="5" t="s">
        <v>108</v>
      </c>
      <c r="I1341" s="5" t="s">
        <v>835</v>
      </c>
      <c r="J1341" s="5" t="s">
        <v>616</v>
      </c>
      <c r="K1341" s="5" t="s">
        <v>198</v>
      </c>
      <c r="L1341" s="6">
        <v>45673</v>
      </c>
      <c r="M1341" s="6">
        <v>45673</v>
      </c>
      <c r="N1341" s="6" t="s">
        <v>811</v>
      </c>
      <c r="O1341" s="5" t="str">
        <f ca="1">IF(P1341&lt;&gt;"EXPEDIÇÃO","Expedido",IF(NETWORKDAYS(C1341,TODAY())&gt;=5,"Risco Alto",IF(NETWORKDAYS(C1341,TODAY())&gt;=3,IF(NETWORKDAYS(C1341,TODAY())&lt;5,"Risco Médio",""),IF(NETWORKDAYS(C1341,TODAY())&lt;=2,"Risco Baixo",""))))</f>
        <v>Expedido</v>
      </c>
      <c r="P1341" s="5" t="s">
        <v>25</v>
      </c>
      <c r="Q1341" s="5" t="s">
        <v>899</v>
      </c>
      <c r="S1341" s="7">
        <f>IF(ISBLANK(M1341),"Aguardando Previsão/Data",NETWORKDAYS(L1341,M1341)-1)</f>
        <v>0</v>
      </c>
      <c r="T1341" s="5" t="s">
        <v>942</v>
      </c>
    </row>
    <row r="1342" spans="1:20" x14ac:dyDescent="0.35">
      <c r="A1342" s="5">
        <v>8100274374</v>
      </c>
      <c r="B1342" s="5">
        <v>7106</v>
      </c>
      <c r="C1342" s="6">
        <v>45667</v>
      </c>
      <c r="D1342" s="5" t="s">
        <v>723</v>
      </c>
      <c r="E1342" s="5" t="s">
        <v>195</v>
      </c>
      <c r="F1342" s="5" t="s">
        <v>724</v>
      </c>
      <c r="G1342" s="5" t="s">
        <v>725</v>
      </c>
      <c r="H1342" s="5" t="s">
        <v>108</v>
      </c>
      <c r="I1342" s="5" t="s">
        <v>802</v>
      </c>
      <c r="J1342" s="5" t="s">
        <v>407</v>
      </c>
      <c r="K1342" s="5" t="s">
        <v>198</v>
      </c>
      <c r="L1342" s="6">
        <v>45673</v>
      </c>
      <c r="M1342" s="6">
        <v>45667</v>
      </c>
      <c r="N1342" s="6" t="s">
        <v>811</v>
      </c>
      <c r="O1342" s="5" t="str">
        <f ca="1">IF(P1342&lt;&gt;"EXPEDIÇÃO","Expedido",IF(NETWORKDAYS(C1342,TODAY())&gt;=5,"Risco Alto",IF(NETWORKDAYS(C1342,TODAY())&gt;=3,IF(NETWORKDAYS(C1342,TODAY())&lt;5,"Risco Médio",""),IF(NETWORKDAYS(C1342,TODAY())&lt;=2,"Risco Baixo",""))))</f>
        <v>Expedido</v>
      </c>
      <c r="P1342" s="5" t="s">
        <v>25</v>
      </c>
      <c r="S1342" s="7">
        <f>IF(ISBLANK(M1342),"Aguardando Previsão/Data",NETWORKDAYS(L1342,M1342)-1)</f>
        <v>-6</v>
      </c>
      <c r="T1342" s="5" t="s">
        <v>942</v>
      </c>
    </row>
    <row r="1343" spans="1:20" x14ac:dyDescent="0.35">
      <c r="A1343" s="5">
        <v>8100274585</v>
      </c>
      <c r="B1343" s="5">
        <v>7113</v>
      </c>
      <c r="C1343" s="6">
        <v>45667</v>
      </c>
      <c r="D1343" s="5" t="s">
        <v>194</v>
      </c>
      <c r="E1343" s="5" t="s">
        <v>195</v>
      </c>
      <c r="F1343" s="5" t="s">
        <v>58</v>
      </c>
      <c r="G1343" s="5" t="s">
        <v>59</v>
      </c>
      <c r="H1343" s="5" t="s">
        <v>108</v>
      </c>
      <c r="I1343" s="5" t="s">
        <v>209</v>
      </c>
      <c r="J1343" s="5" t="s">
        <v>210</v>
      </c>
      <c r="K1343" s="5" t="s">
        <v>198</v>
      </c>
      <c r="L1343" s="6">
        <v>45674</v>
      </c>
      <c r="M1343" s="6">
        <v>45673</v>
      </c>
      <c r="N1343" s="6" t="s">
        <v>811</v>
      </c>
      <c r="O1343" s="5" t="str">
        <f ca="1">IF(P1343&lt;&gt;"EXPEDIÇÃO","Expedido",IF(NETWORKDAYS(C1343,TODAY())&gt;=5,"Risco Alto",IF(NETWORKDAYS(C1343,TODAY())&gt;=3,IF(NETWORKDAYS(C1343,TODAY())&lt;5,"Risco Médio",""),IF(NETWORKDAYS(C1343,TODAY())&lt;=2,"Risco Baixo",""))))</f>
        <v>Expedido</v>
      </c>
      <c r="P1343" s="5" t="s">
        <v>25</v>
      </c>
      <c r="S1343" s="7">
        <f>IF(ISBLANK(M1343),"Aguardando Previsão/Data",NETWORKDAYS(L1343,M1343)-1)</f>
        <v>-3</v>
      </c>
      <c r="T1343" s="5" t="s">
        <v>942</v>
      </c>
    </row>
    <row r="1344" spans="1:20" x14ac:dyDescent="0.35">
      <c r="A1344" s="5">
        <v>8100274586</v>
      </c>
      <c r="B1344" s="5">
        <v>7115</v>
      </c>
      <c r="C1344" s="6">
        <v>45667</v>
      </c>
      <c r="D1344" s="5" t="s">
        <v>194</v>
      </c>
      <c r="E1344" s="5" t="s">
        <v>195</v>
      </c>
      <c r="F1344" s="5" t="s">
        <v>406</v>
      </c>
      <c r="G1344" s="5" t="s">
        <v>407</v>
      </c>
      <c r="H1344" s="5" t="s">
        <v>108</v>
      </c>
      <c r="I1344" s="5" t="s">
        <v>731</v>
      </c>
      <c r="J1344" s="5" t="s">
        <v>200</v>
      </c>
      <c r="K1344" s="5" t="s">
        <v>198</v>
      </c>
      <c r="L1344" s="6">
        <v>45674</v>
      </c>
      <c r="M1344" s="6">
        <v>45673</v>
      </c>
      <c r="N1344" s="6" t="s">
        <v>811</v>
      </c>
      <c r="O1344" s="5" t="str">
        <f ca="1">IF(P1344&lt;&gt;"EXPEDIÇÃO","Expedido",IF(NETWORKDAYS(C1344,TODAY())&gt;=5,"Risco Alto",IF(NETWORKDAYS(C1344,TODAY())&gt;=3,IF(NETWORKDAYS(C1344,TODAY())&lt;5,"Risco Médio",""),IF(NETWORKDAYS(C1344,TODAY())&lt;=2,"Risco Baixo",""))))</f>
        <v>Expedido</v>
      </c>
      <c r="P1344" s="5" t="s">
        <v>25</v>
      </c>
      <c r="S1344" s="7">
        <f>IF(ISBLANK(M1344),"Aguardando Previsão/Data",NETWORKDAYS(L1344,M1344)-1)</f>
        <v>-3</v>
      </c>
      <c r="T1344" s="5" t="s">
        <v>942</v>
      </c>
    </row>
    <row r="1345" spans="1:20" x14ac:dyDescent="0.35">
      <c r="A1345" s="5">
        <v>8100274587</v>
      </c>
      <c r="B1345" s="5">
        <v>7112</v>
      </c>
      <c r="C1345" s="6">
        <v>45667</v>
      </c>
      <c r="D1345" s="5" t="s">
        <v>194</v>
      </c>
      <c r="E1345" s="5" t="s">
        <v>195</v>
      </c>
      <c r="F1345" s="5" t="s">
        <v>406</v>
      </c>
      <c r="G1345" s="5" t="s">
        <v>407</v>
      </c>
      <c r="H1345" s="5" t="s">
        <v>108</v>
      </c>
      <c r="I1345" s="5" t="s">
        <v>788</v>
      </c>
      <c r="J1345" s="5" t="s">
        <v>407</v>
      </c>
      <c r="K1345" s="5" t="s">
        <v>198</v>
      </c>
      <c r="L1345" s="6">
        <v>45673</v>
      </c>
      <c r="M1345" s="6">
        <v>45672</v>
      </c>
      <c r="N1345" s="6" t="s">
        <v>811</v>
      </c>
      <c r="O1345" s="5" t="str">
        <f ca="1">IF(P1345&lt;&gt;"EXPEDIÇÃO","Expedido",IF(NETWORKDAYS(C1345,TODAY())&gt;=5,"Risco Alto",IF(NETWORKDAYS(C1345,TODAY())&gt;=3,IF(NETWORKDAYS(C1345,TODAY())&lt;5,"Risco Médio",""),IF(NETWORKDAYS(C1345,TODAY())&lt;=2,"Risco Baixo",""))))</f>
        <v>Expedido</v>
      </c>
      <c r="P1345" s="5" t="s">
        <v>25</v>
      </c>
      <c r="S1345" s="7">
        <f>IF(ISBLANK(M1345),"Aguardando Previsão/Data",NETWORKDAYS(L1345,M1345)-1)</f>
        <v>-3</v>
      </c>
      <c r="T1345" s="5" t="s">
        <v>942</v>
      </c>
    </row>
    <row r="1346" spans="1:20" x14ac:dyDescent="0.35">
      <c r="A1346" s="5">
        <v>8100274652</v>
      </c>
      <c r="B1346" s="5">
        <v>7109</v>
      </c>
      <c r="C1346" s="6">
        <v>45667</v>
      </c>
      <c r="D1346" s="5" t="s">
        <v>194</v>
      </c>
      <c r="E1346" s="5" t="s">
        <v>195</v>
      </c>
      <c r="F1346" s="5" t="s">
        <v>69</v>
      </c>
      <c r="G1346" s="5" t="s">
        <v>70</v>
      </c>
      <c r="H1346" s="5" t="s">
        <v>108</v>
      </c>
      <c r="I1346" s="5" t="s">
        <v>334</v>
      </c>
      <c r="J1346" s="5" t="s">
        <v>291</v>
      </c>
      <c r="K1346" s="5" t="s">
        <v>198</v>
      </c>
      <c r="L1346" s="6">
        <v>45674</v>
      </c>
      <c r="M1346" s="6">
        <v>45673</v>
      </c>
      <c r="N1346" s="6" t="s">
        <v>811</v>
      </c>
      <c r="O1346" s="5" t="str">
        <f ca="1">IF(P1346&lt;&gt;"EXPEDIÇÃO","Expedido",IF(NETWORKDAYS(C1346,TODAY())&gt;=5,"Risco Alto",IF(NETWORKDAYS(C1346,TODAY())&gt;=3,IF(NETWORKDAYS(C1346,TODAY())&lt;5,"Risco Médio",""),IF(NETWORKDAYS(C1346,TODAY())&lt;=2,"Risco Baixo",""))))</f>
        <v>Expedido</v>
      </c>
      <c r="P1346" s="5" t="s">
        <v>25</v>
      </c>
      <c r="S1346" s="7">
        <f>IF(ISBLANK(M1346),"Aguardando Previsão/Data",NETWORKDAYS(L1346,M1346)-1)</f>
        <v>-3</v>
      </c>
      <c r="T1346" s="5" t="s">
        <v>942</v>
      </c>
    </row>
    <row r="1347" spans="1:20" x14ac:dyDescent="0.35">
      <c r="A1347" s="5">
        <v>8100274653</v>
      </c>
      <c r="B1347" s="5">
        <v>7107</v>
      </c>
      <c r="C1347" s="6">
        <v>45667</v>
      </c>
      <c r="D1347" s="5" t="s">
        <v>194</v>
      </c>
      <c r="E1347" s="5" t="s">
        <v>195</v>
      </c>
      <c r="F1347" s="5" t="s">
        <v>69</v>
      </c>
      <c r="G1347" s="5" t="s">
        <v>70</v>
      </c>
      <c r="H1347" s="5" t="s">
        <v>108</v>
      </c>
      <c r="I1347" s="5" t="s">
        <v>311</v>
      </c>
      <c r="J1347" s="5" t="s">
        <v>202</v>
      </c>
      <c r="K1347" s="5" t="s">
        <v>198</v>
      </c>
      <c r="L1347" s="6">
        <v>45674</v>
      </c>
      <c r="M1347" s="6">
        <v>45674</v>
      </c>
      <c r="N1347" s="6" t="s">
        <v>811</v>
      </c>
      <c r="O1347" s="5" t="str">
        <f ca="1">IF(P1347&lt;&gt;"EXPEDIÇÃO","Expedido",IF(NETWORKDAYS(C1347,TODAY())&gt;=5,"Risco Alto",IF(NETWORKDAYS(C1347,TODAY())&gt;=3,IF(NETWORKDAYS(C1347,TODAY())&lt;5,"Risco Médio",""),IF(NETWORKDAYS(C1347,TODAY())&lt;=2,"Risco Baixo",""))))</f>
        <v>Expedido</v>
      </c>
      <c r="P1347" s="5" t="s">
        <v>25</v>
      </c>
      <c r="Q1347" s="5" t="s">
        <v>1362</v>
      </c>
      <c r="S1347" s="7">
        <f>IF(ISBLANK(M1347),"Aguardando Previsão/Data",NETWORKDAYS(L1347,M1347)-1)</f>
        <v>0</v>
      </c>
      <c r="T1347" s="5" t="s">
        <v>942</v>
      </c>
    </row>
    <row r="1348" spans="1:20" x14ac:dyDescent="0.35">
      <c r="A1348" s="5">
        <v>8100274654</v>
      </c>
      <c r="B1348" s="5">
        <v>7110</v>
      </c>
      <c r="C1348" s="6">
        <v>45667</v>
      </c>
      <c r="D1348" s="5" t="s">
        <v>194</v>
      </c>
      <c r="E1348" s="5" t="s">
        <v>195</v>
      </c>
      <c r="F1348" s="5" t="s">
        <v>406</v>
      </c>
      <c r="G1348" s="5" t="s">
        <v>407</v>
      </c>
      <c r="H1348" s="5" t="s">
        <v>108</v>
      </c>
      <c r="I1348" s="5" t="s">
        <v>532</v>
      </c>
      <c r="J1348" s="5" t="s">
        <v>336</v>
      </c>
      <c r="K1348" s="5" t="s">
        <v>198</v>
      </c>
      <c r="L1348" s="6">
        <v>45674</v>
      </c>
      <c r="M1348" s="6">
        <v>45672</v>
      </c>
      <c r="N1348" s="6" t="s">
        <v>811</v>
      </c>
      <c r="O1348" s="5" t="str">
        <f ca="1">IF(P1348&lt;&gt;"EXPEDIÇÃO","Expedido",IF(NETWORKDAYS(C1348,TODAY())&gt;=5,"Risco Alto",IF(NETWORKDAYS(C1348,TODAY())&gt;=3,IF(NETWORKDAYS(C1348,TODAY())&lt;5,"Risco Médio",""),IF(NETWORKDAYS(C1348,TODAY())&lt;=2,"Risco Baixo",""))))</f>
        <v>Expedido</v>
      </c>
      <c r="P1348" s="5" t="s">
        <v>25</v>
      </c>
      <c r="S1348" s="7">
        <f>IF(ISBLANK(M1348),"Aguardando Previsão/Data",NETWORKDAYS(L1348,M1348)-1)</f>
        <v>-4</v>
      </c>
      <c r="T1348" s="5" t="s">
        <v>942</v>
      </c>
    </row>
    <row r="1349" spans="1:20" x14ac:dyDescent="0.35">
      <c r="A1349" s="5">
        <v>8100274748</v>
      </c>
      <c r="B1349" s="5">
        <v>7114</v>
      </c>
      <c r="C1349" s="6">
        <v>45667</v>
      </c>
      <c r="D1349" s="5" t="s">
        <v>194</v>
      </c>
      <c r="E1349" s="5" t="s">
        <v>195</v>
      </c>
      <c r="F1349" s="5" t="s">
        <v>199</v>
      </c>
      <c r="G1349" s="5" t="s">
        <v>200</v>
      </c>
      <c r="H1349" s="5" t="s">
        <v>108</v>
      </c>
      <c r="I1349" s="5" t="s">
        <v>1283</v>
      </c>
      <c r="J1349" s="5" t="s">
        <v>628</v>
      </c>
      <c r="K1349" s="5" t="s">
        <v>198</v>
      </c>
      <c r="L1349" s="6">
        <v>45677</v>
      </c>
      <c r="M1349" s="6">
        <v>45674</v>
      </c>
      <c r="N1349" s="6" t="s">
        <v>811</v>
      </c>
      <c r="O1349" s="5" t="str">
        <f ca="1">IF(P1349&lt;&gt;"EXPEDIÇÃO","Expedido",IF(NETWORKDAYS(C1349,TODAY())&gt;=5,"Risco Alto",IF(NETWORKDAYS(C1349,TODAY())&gt;=3,IF(NETWORKDAYS(C1349,TODAY())&lt;5,"Risco Médio",""),IF(NETWORKDAYS(C1349,TODAY())&lt;=2,"Risco Baixo",""))))</f>
        <v>Expedido</v>
      </c>
      <c r="P1349" s="5" t="s">
        <v>25</v>
      </c>
      <c r="Q1349" s="5" t="s">
        <v>1365</v>
      </c>
      <c r="R1349" s="5">
        <v>3087600</v>
      </c>
      <c r="S1349" s="7">
        <f>IF(ISBLANK(M1349),"Aguardando Previsão/Data",NETWORKDAYS(L1349,M1349)-1)</f>
        <v>-3</v>
      </c>
      <c r="T1349" s="5" t="s">
        <v>942</v>
      </c>
    </row>
    <row r="1350" spans="1:20" x14ac:dyDescent="0.35">
      <c r="A1350" s="5">
        <v>8100274749</v>
      </c>
      <c r="B1350" s="5">
        <v>7111</v>
      </c>
      <c r="C1350" s="6">
        <v>45667</v>
      </c>
      <c r="D1350" s="5" t="s">
        <v>194</v>
      </c>
      <c r="E1350" s="5" t="s">
        <v>195</v>
      </c>
      <c r="F1350" s="5" t="s">
        <v>406</v>
      </c>
      <c r="G1350" s="5" t="s">
        <v>407</v>
      </c>
      <c r="H1350" s="5" t="s">
        <v>108</v>
      </c>
      <c r="I1350" s="5" t="s">
        <v>532</v>
      </c>
      <c r="J1350" s="5" t="s">
        <v>336</v>
      </c>
      <c r="K1350" s="5" t="s">
        <v>198</v>
      </c>
      <c r="L1350" s="6">
        <v>45674</v>
      </c>
      <c r="M1350" s="6">
        <v>45672</v>
      </c>
      <c r="N1350" s="6" t="s">
        <v>811</v>
      </c>
      <c r="O1350" s="5" t="str">
        <f ca="1">IF(P1350&lt;&gt;"EXPEDIÇÃO","Expedido",IF(NETWORKDAYS(C1350,TODAY())&gt;=5,"Risco Alto",IF(NETWORKDAYS(C1350,TODAY())&gt;=3,IF(NETWORKDAYS(C1350,TODAY())&lt;5,"Risco Médio",""),IF(NETWORKDAYS(C1350,TODAY())&lt;=2,"Risco Baixo",""))))</f>
        <v>Expedido</v>
      </c>
      <c r="P1350" s="5" t="s">
        <v>25</v>
      </c>
      <c r="S1350" s="7">
        <f>IF(ISBLANK(M1350),"Aguardando Previsão/Data",NETWORKDAYS(L1350,M1350)-1)</f>
        <v>-4</v>
      </c>
      <c r="T1350" s="5" t="s">
        <v>942</v>
      </c>
    </row>
    <row r="1351" spans="1:20" x14ac:dyDescent="0.35">
      <c r="A1351" s="5">
        <v>8100274353</v>
      </c>
      <c r="B1351" s="5">
        <v>14344</v>
      </c>
      <c r="C1351" s="6">
        <v>45667</v>
      </c>
      <c r="D1351" s="5" t="s">
        <v>211</v>
      </c>
      <c r="E1351" s="5" t="s">
        <v>212</v>
      </c>
      <c r="F1351" s="5" t="s">
        <v>58</v>
      </c>
      <c r="G1351" s="5" t="s">
        <v>59</v>
      </c>
      <c r="H1351" s="5" t="s">
        <v>108</v>
      </c>
      <c r="I1351" s="5" t="s">
        <v>634</v>
      </c>
      <c r="J1351" s="5" t="s">
        <v>214</v>
      </c>
      <c r="K1351" s="5" t="s">
        <v>119</v>
      </c>
      <c r="L1351" s="6">
        <v>45673</v>
      </c>
      <c r="M1351" s="6">
        <v>45673</v>
      </c>
      <c r="N1351" s="6" t="s">
        <v>811</v>
      </c>
      <c r="O1351" s="5" t="str">
        <f ca="1">IF(P1351&lt;&gt;"EXPEDIÇÃO","Expedido",IF(NETWORKDAYS(C1351,TODAY())&gt;=5,"Risco Alto",IF(NETWORKDAYS(C1351,TODAY())&gt;=3,IF(NETWORKDAYS(C1351,TODAY())&lt;5,"Risco Médio",""),IF(NETWORKDAYS(C1351,TODAY())&lt;=2,"Risco Baixo",""))))</f>
        <v>Expedido</v>
      </c>
      <c r="P1351" s="5" t="s">
        <v>25</v>
      </c>
      <c r="S1351" s="7">
        <f>IF(ISBLANK(M1351),"Aguardando Previsão/Data",NETWORKDAYS(L1351,M1351)-1)</f>
        <v>0</v>
      </c>
      <c r="T1351" s="5" t="s">
        <v>942</v>
      </c>
    </row>
    <row r="1352" spans="1:20" x14ac:dyDescent="0.35">
      <c r="A1352" s="5">
        <v>8100274354</v>
      </c>
      <c r="B1352" s="5">
        <v>14345</v>
      </c>
      <c r="C1352" s="6">
        <v>45667</v>
      </c>
      <c r="D1352" s="5" t="s">
        <v>211</v>
      </c>
      <c r="E1352" s="5" t="s">
        <v>212</v>
      </c>
      <c r="F1352" s="5" t="s">
        <v>66</v>
      </c>
      <c r="G1352" s="5" t="s">
        <v>67</v>
      </c>
      <c r="H1352" s="5" t="s">
        <v>108</v>
      </c>
      <c r="I1352" s="5" t="s">
        <v>154</v>
      </c>
      <c r="J1352" s="5" t="s">
        <v>155</v>
      </c>
      <c r="K1352" s="5" t="s">
        <v>156</v>
      </c>
      <c r="L1352" s="6">
        <v>45678</v>
      </c>
      <c r="M1352" s="6">
        <v>45674</v>
      </c>
      <c r="N1352" s="6" t="s">
        <v>811</v>
      </c>
      <c r="O1352" s="5" t="str">
        <f ca="1">IF(P1352&lt;&gt;"EXPEDIÇÃO","Expedido",IF(NETWORKDAYS(C1352,TODAY())&gt;=5,"Risco Alto",IF(NETWORKDAYS(C1352,TODAY())&gt;=3,IF(NETWORKDAYS(C1352,TODAY())&lt;5,"Risco Médio",""),IF(NETWORKDAYS(C1352,TODAY())&lt;=2,"Risco Baixo",""))))</f>
        <v>Expedido</v>
      </c>
      <c r="P1352" s="5" t="s">
        <v>25</v>
      </c>
      <c r="S1352" s="7">
        <f>IF(ISBLANK(M1352),"Aguardando Previsão/Data",NETWORKDAYS(L1352,M1352)-1)</f>
        <v>-4</v>
      </c>
      <c r="T1352" s="5" t="s">
        <v>942</v>
      </c>
    </row>
    <row r="1353" spans="1:20" x14ac:dyDescent="0.35">
      <c r="A1353" s="5">
        <v>8100274272</v>
      </c>
      <c r="B1353" s="5">
        <v>12209</v>
      </c>
      <c r="C1353" s="6">
        <v>45667</v>
      </c>
      <c r="D1353" s="5" t="s">
        <v>158</v>
      </c>
      <c r="E1353" s="5" t="s">
        <v>159</v>
      </c>
      <c r="F1353" s="5" t="s">
        <v>176</v>
      </c>
      <c r="G1353" s="5" t="s">
        <v>177</v>
      </c>
      <c r="H1353" s="5" t="s">
        <v>108</v>
      </c>
      <c r="I1353" s="5" t="s">
        <v>299</v>
      </c>
      <c r="J1353" s="5" t="s">
        <v>300</v>
      </c>
      <c r="K1353" s="5" t="s">
        <v>175</v>
      </c>
      <c r="L1353" s="6">
        <v>45679</v>
      </c>
      <c r="M1353" s="6">
        <v>45674</v>
      </c>
      <c r="N1353" s="6" t="s">
        <v>811</v>
      </c>
      <c r="O1353" s="5" t="str">
        <f ca="1">IF(P1353&lt;&gt;"EXPEDIÇÃO","Expedido",IF(NETWORKDAYS(C1353,TODAY())&gt;=5,"Risco Alto",IF(NETWORKDAYS(C1353,TODAY())&gt;=3,IF(NETWORKDAYS(C1353,TODAY())&lt;5,"Risco Médio",""),IF(NETWORKDAYS(C1353,TODAY())&lt;=2,"Risco Baixo",""))))</f>
        <v>Expedido</v>
      </c>
      <c r="P1353" s="5" t="s">
        <v>25</v>
      </c>
      <c r="S1353" s="7">
        <f>IF(ISBLANK(M1353),"Aguardando Previsão/Data",NETWORKDAYS(L1353,M1353)-1)</f>
        <v>-5</v>
      </c>
      <c r="T1353" s="5" t="s">
        <v>942</v>
      </c>
    </row>
    <row r="1354" spans="1:20" x14ac:dyDescent="0.35">
      <c r="A1354" s="5">
        <v>8100274273</v>
      </c>
      <c r="B1354" s="5">
        <v>12210</v>
      </c>
      <c r="C1354" s="6">
        <v>45667</v>
      </c>
      <c r="D1354" s="5" t="s">
        <v>158</v>
      </c>
      <c r="E1354" s="5" t="s">
        <v>159</v>
      </c>
      <c r="F1354" s="5" t="s">
        <v>176</v>
      </c>
      <c r="G1354" s="5" t="s">
        <v>177</v>
      </c>
      <c r="H1354" s="5" t="s">
        <v>108</v>
      </c>
      <c r="I1354" s="5" t="s">
        <v>299</v>
      </c>
      <c r="J1354" s="5" t="s">
        <v>300</v>
      </c>
      <c r="K1354" s="5" t="s">
        <v>175</v>
      </c>
      <c r="L1354" s="6">
        <v>45679</v>
      </c>
      <c r="M1354" s="6">
        <v>45674</v>
      </c>
      <c r="N1354" s="6" t="s">
        <v>811</v>
      </c>
      <c r="O1354" s="5" t="str">
        <f ca="1">IF(P1354&lt;&gt;"EXPEDIÇÃO","Expedido",IF(NETWORKDAYS(C1354,TODAY())&gt;=5,"Risco Alto",IF(NETWORKDAYS(C1354,TODAY())&gt;=3,IF(NETWORKDAYS(C1354,TODAY())&lt;5,"Risco Médio",""),IF(NETWORKDAYS(C1354,TODAY())&lt;=2,"Risco Baixo",""))))</f>
        <v>Expedido</v>
      </c>
      <c r="P1354" s="5" t="s">
        <v>25</v>
      </c>
      <c r="S1354" s="7">
        <f>IF(ISBLANK(M1354),"Aguardando Previsão/Data",NETWORKDAYS(L1354,M1354)-1)</f>
        <v>-5</v>
      </c>
      <c r="T1354" s="5" t="s">
        <v>942</v>
      </c>
    </row>
    <row r="1355" spans="1:20" x14ac:dyDescent="0.35">
      <c r="A1355" s="5">
        <v>8100274274</v>
      </c>
      <c r="B1355" s="5">
        <v>12212</v>
      </c>
      <c r="C1355" s="6">
        <v>45667</v>
      </c>
      <c r="D1355" s="5" t="s">
        <v>158</v>
      </c>
      <c r="E1355" s="5" t="s">
        <v>159</v>
      </c>
      <c r="F1355" s="5" t="s">
        <v>176</v>
      </c>
      <c r="G1355" s="5" t="s">
        <v>177</v>
      </c>
      <c r="H1355" s="5" t="s">
        <v>108</v>
      </c>
      <c r="I1355" s="5" t="s">
        <v>915</v>
      </c>
      <c r="J1355" s="5" t="s">
        <v>455</v>
      </c>
      <c r="K1355" s="5" t="s">
        <v>175</v>
      </c>
      <c r="L1355" s="6">
        <v>45678</v>
      </c>
      <c r="M1355" s="6">
        <v>45673</v>
      </c>
      <c r="N1355" s="6" t="s">
        <v>811</v>
      </c>
      <c r="O1355" s="5" t="str">
        <f ca="1">IF(P1355&lt;&gt;"EXPEDIÇÃO","Expedido",IF(NETWORKDAYS(C1355,TODAY())&gt;=5,"Risco Alto",IF(NETWORKDAYS(C1355,TODAY())&gt;=3,IF(NETWORKDAYS(C1355,TODAY())&lt;5,"Risco Médio",""),IF(NETWORKDAYS(C1355,TODAY())&lt;=2,"Risco Baixo",""))))</f>
        <v>Expedido</v>
      </c>
      <c r="P1355" s="5" t="s">
        <v>25</v>
      </c>
      <c r="S1355" s="7">
        <f>IF(ISBLANK(M1355),"Aguardando Previsão/Data",NETWORKDAYS(L1355,M1355)-1)</f>
        <v>-5</v>
      </c>
      <c r="T1355" s="5" t="s">
        <v>942</v>
      </c>
    </row>
    <row r="1356" spans="1:20" x14ac:dyDescent="0.35">
      <c r="A1356" s="5">
        <v>8100274275</v>
      </c>
      <c r="B1356" s="5">
        <v>12211</v>
      </c>
      <c r="C1356" s="6">
        <v>45667</v>
      </c>
      <c r="D1356" s="5" t="s">
        <v>158</v>
      </c>
      <c r="E1356" s="5" t="s">
        <v>159</v>
      </c>
      <c r="F1356" s="5" t="s">
        <v>176</v>
      </c>
      <c r="G1356" s="5" t="s">
        <v>177</v>
      </c>
      <c r="H1356" s="5" t="s">
        <v>108</v>
      </c>
      <c r="I1356" s="5" t="s">
        <v>915</v>
      </c>
      <c r="J1356" s="5" t="s">
        <v>301</v>
      </c>
      <c r="K1356" s="5" t="s">
        <v>175</v>
      </c>
      <c r="L1356" s="6">
        <v>45677</v>
      </c>
      <c r="M1356" s="6">
        <v>45673</v>
      </c>
      <c r="N1356" s="6" t="s">
        <v>811</v>
      </c>
      <c r="O1356" s="5" t="str">
        <f ca="1">IF(P1356&lt;&gt;"EXPEDIÇÃO","Expedido",IF(NETWORKDAYS(C1356,TODAY())&gt;=5,"Risco Alto",IF(NETWORKDAYS(C1356,TODAY())&gt;=3,IF(NETWORKDAYS(C1356,TODAY())&lt;5,"Risco Médio",""),IF(NETWORKDAYS(C1356,TODAY())&lt;=2,"Risco Baixo",""))))</f>
        <v>Expedido</v>
      </c>
      <c r="P1356" s="5" t="s">
        <v>25</v>
      </c>
      <c r="S1356" s="7">
        <f>IF(ISBLANK(M1356),"Aguardando Previsão/Data",NETWORKDAYS(L1356,M1356)-1)</f>
        <v>-4</v>
      </c>
      <c r="T1356" s="5" t="s">
        <v>942</v>
      </c>
    </row>
    <row r="1357" spans="1:20" x14ac:dyDescent="0.35">
      <c r="A1357" s="5">
        <v>8100274276</v>
      </c>
      <c r="B1357" s="5">
        <v>12213</v>
      </c>
      <c r="C1357" s="6">
        <v>45667</v>
      </c>
      <c r="D1357" s="5" t="s">
        <v>158</v>
      </c>
      <c r="E1357" s="5" t="s">
        <v>159</v>
      </c>
      <c r="F1357" s="5" t="s">
        <v>176</v>
      </c>
      <c r="G1357" s="5" t="s">
        <v>177</v>
      </c>
      <c r="H1357" s="5" t="s">
        <v>108</v>
      </c>
      <c r="I1357" s="5" t="s">
        <v>915</v>
      </c>
      <c r="J1357" s="5" t="s">
        <v>1145</v>
      </c>
      <c r="K1357" s="5" t="s">
        <v>170</v>
      </c>
      <c r="L1357" s="6">
        <v>45674</v>
      </c>
      <c r="M1357" s="6">
        <v>45671</v>
      </c>
      <c r="N1357" s="6" t="s">
        <v>811</v>
      </c>
      <c r="O1357" s="5" t="str">
        <f ca="1">IF(P1357&lt;&gt;"EXPEDIÇÃO","Expedido",IF(NETWORKDAYS(C1357,TODAY())&gt;=5,"Risco Alto",IF(NETWORKDAYS(C1357,TODAY())&gt;=3,IF(NETWORKDAYS(C1357,TODAY())&lt;5,"Risco Médio",""),IF(NETWORKDAYS(C1357,TODAY())&lt;=2,"Risco Baixo",""))))</f>
        <v>Expedido</v>
      </c>
      <c r="P1357" s="5" t="s">
        <v>25</v>
      </c>
      <c r="S1357" s="7">
        <f>IF(ISBLANK(M1357),"Aguardando Previsão/Data",NETWORKDAYS(L1357,M1357)-1)</f>
        <v>-5</v>
      </c>
      <c r="T1357" s="5" t="s">
        <v>942</v>
      </c>
    </row>
    <row r="1358" spans="1:20" x14ac:dyDescent="0.35">
      <c r="A1358" s="5">
        <v>8100274343</v>
      </c>
      <c r="B1358" s="5">
        <v>12216</v>
      </c>
      <c r="C1358" s="6">
        <v>45667</v>
      </c>
      <c r="D1358" s="5" t="s">
        <v>158</v>
      </c>
      <c r="E1358" s="5" t="s">
        <v>159</v>
      </c>
      <c r="F1358" s="5" t="s">
        <v>176</v>
      </c>
      <c r="G1358" s="5" t="s">
        <v>177</v>
      </c>
      <c r="H1358" s="5" t="s">
        <v>108</v>
      </c>
      <c r="I1358" s="5" t="s">
        <v>654</v>
      </c>
      <c r="J1358" s="5" t="s">
        <v>627</v>
      </c>
      <c r="K1358" s="5" t="s">
        <v>175</v>
      </c>
      <c r="L1358" s="6">
        <v>45678</v>
      </c>
      <c r="M1358" s="6">
        <v>45673</v>
      </c>
      <c r="N1358" s="6" t="s">
        <v>811</v>
      </c>
      <c r="O1358" s="5" t="str">
        <f ca="1">IF(P1358&lt;&gt;"EXPEDIÇÃO","Expedido",IF(NETWORKDAYS(C1358,TODAY())&gt;=5,"Risco Alto",IF(NETWORKDAYS(C1358,TODAY())&gt;=3,IF(NETWORKDAYS(C1358,TODAY())&lt;5,"Risco Médio",""),IF(NETWORKDAYS(C1358,TODAY())&lt;=2,"Risco Baixo",""))))</f>
        <v>Expedido</v>
      </c>
      <c r="P1358" s="5" t="s">
        <v>25</v>
      </c>
      <c r="S1358" s="7">
        <f>IF(ISBLANK(M1358),"Aguardando Previsão/Data",NETWORKDAYS(L1358,M1358)-1)</f>
        <v>-5</v>
      </c>
      <c r="T1358" s="5" t="s">
        <v>942</v>
      </c>
    </row>
    <row r="1359" spans="1:20" x14ac:dyDescent="0.35">
      <c r="A1359" s="5">
        <v>8100274344</v>
      </c>
      <c r="B1359" s="5">
        <v>12214</v>
      </c>
      <c r="C1359" s="6">
        <v>45667</v>
      </c>
      <c r="D1359" s="5" t="s">
        <v>158</v>
      </c>
      <c r="E1359" s="5" t="s">
        <v>159</v>
      </c>
      <c r="F1359" s="5" t="s">
        <v>176</v>
      </c>
      <c r="G1359" s="5" t="s">
        <v>177</v>
      </c>
      <c r="H1359" s="5" t="s">
        <v>108</v>
      </c>
      <c r="I1359" s="5" t="s">
        <v>299</v>
      </c>
      <c r="J1359" s="5" t="s">
        <v>300</v>
      </c>
      <c r="K1359" s="5" t="s">
        <v>175</v>
      </c>
      <c r="L1359" s="6">
        <v>45679</v>
      </c>
      <c r="M1359" s="6">
        <v>45674</v>
      </c>
      <c r="N1359" s="6" t="s">
        <v>811</v>
      </c>
      <c r="O1359" s="5" t="str">
        <f ca="1">IF(P1359&lt;&gt;"EXPEDIÇÃO","Expedido",IF(NETWORKDAYS(C1359,TODAY())&gt;=5,"Risco Alto",IF(NETWORKDAYS(C1359,TODAY())&gt;=3,IF(NETWORKDAYS(C1359,TODAY())&lt;5,"Risco Médio",""),IF(NETWORKDAYS(C1359,TODAY())&lt;=2,"Risco Baixo",""))))</f>
        <v>Expedido</v>
      </c>
      <c r="P1359" s="5" t="s">
        <v>25</v>
      </c>
      <c r="S1359" s="7">
        <f>IF(ISBLANK(M1359),"Aguardando Previsão/Data",NETWORKDAYS(L1359,M1359)-1)</f>
        <v>-5</v>
      </c>
      <c r="T1359" s="5" t="s">
        <v>942</v>
      </c>
    </row>
    <row r="1360" spans="1:20" x14ac:dyDescent="0.35">
      <c r="A1360" s="5">
        <v>8100274345</v>
      </c>
      <c r="B1360" s="5">
        <v>12215</v>
      </c>
      <c r="C1360" s="6">
        <v>45667</v>
      </c>
      <c r="D1360" s="5" t="s">
        <v>158</v>
      </c>
      <c r="E1360" s="5" t="s">
        <v>159</v>
      </c>
      <c r="F1360" s="5" t="s">
        <v>176</v>
      </c>
      <c r="G1360" s="5" t="s">
        <v>177</v>
      </c>
      <c r="H1360" s="5" t="s">
        <v>108</v>
      </c>
      <c r="I1360" s="5" t="s">
        <v>299</v>
      </c>
      <c r="J1360" s="5" t="s">
        <v>300</v>
      </c>
      <c r="K1360" s="5" t="s">
        <v>175</v>
      </c>
      <c r="L1360" s="6">
        <v>45679</v>
      </c>
      <c r="M1360" s="6">
        <v>45674</v>
      </c>
      <c r="N1360" s="6" t="s">
        <v>811</v>
      </c>
      <c r="O1360" s="5" t="str">
        <f ca="1">IF(P1360&lt;&gt;"EXPEDIÇÃO","Expedido",IF(NETWORKDAYS(C1360,TODAY())&gt;=5,"Risco Alto",IF(NETWORKDAYS(C1360,TODAY())&gt;=3,IF(NETWORKDAYS(C1360,TODAY())&lt;5,"Risco Médio",""),IF(NETWORKDAYS(C1360,TODAY())&lt;=2,"Risco Baixo",""))))</f>
        <v>Expedido</v>
      </c>
      <c r="P1360" s="5" t="s">
        <v>25</v>
      </c>
      <c r="S1360" s="7">
        <f>IF(ISBLANK(M1360),"Aguardando Previsão/Data",NETWORKDAYS(L1360,M1360)-1)</f>
        <v>-5</v>
      </c>
      <c r="T1360" s="5" t="s">
        <v>942</v>
      </c>
    </row>
    <row r="1361" spans="1:20" x14ac:dyDescent="0.35">
      <c r="A1361" s="5">
        <v>8100274638</v>
      </c>
      <c r="B1361" s="5">
        <v>12217</v>
      </c>
      <c r="C1361" s="6">
        <v>45667</v>
      </c>
      <c r="D1361" s="5" t="s">
        <v>158</v>
      </c>
      <c r="E1361" s="5" t="s">
        <v>159</v>
      </c>
      <c r="F1361" s="5" t="s">
        <v>176</v>
      </c>
      <c r="G1361" s="5" t="s">
        <v>177</v>
      </c>
      <c r="H1361" s="5" t="s">
        <v>108</v>
      </c>
      <c r="I1361" s="5" t="s">
        <v>299</v>
      </c>
      <c r="J1361" s="5" t="s">
        <v>300</v>
      </c>
      <c r="K1361" s="5" t="s">
        <v>175</v>
      </c>
      <c r="L1361" s="6">
        <v>45679</v>
      </c>
      <c r="M1361" s="6">
        <v>45674</v>
      </c>
      <c r="N1361" s="6" t="s">
        <v>811</v>
      </c>
      <c r="O1361" s="5" t="str">
        <f ca="1">IF(P1361&lt;&gt;"EXPEDIÇÃO","Expedido",IF(NETWORKDAYS(C1361,TODAY())&gt;=5,"Risco Alto",IF(NETWORKDAYS(C1361,TODAY())&gt;=3,IF(NETWORKDAYS(C1361,TODAY())&lt;5,"Risco Médio",""),IF(NETWORKDAYS(C1361,TODAY())&lt;=2,"Risco Baixo",""))))</f>
        <v>Expedido</v>
      </c>
      <c r="P1361" s="5" t="s">
        <v>25</v>
      </c>
      <c r="S1361" s="7">
        <f>IF(ISBLANK(M1361),"Aguardando Previsão/Data",NETWORKDAYS(L1361,M1361)-1)</f>
        <v>-5</v>
      </c>
      <c r="T1361" s="5" t="s">
        <v>942</v>
      </c>
    </row>
    <row r="1362" spans="1:20" x14ac:dyDescent="0.35">
      <c r="A1362" s="5">
        <v>8100274896</v>
      </c>
      <c r="B1362" s="5">
        <v>19126</v>
      </c>
      <c r="C1362" s="6">
        <v>45667</v>
      </c>
      <c r="D1362" s="5" t="s">
        <v>106</v>
      </c>
      <c r="E1362" s="5" t="s">
        <v>107</v>
      </c>
      <c r="F1362" s="5" t="s">
        <v>103</v>
      </c>
      <c r="G1362" s="5" t="s">
        <v>104</v>
      </c>
      <c r="H1362" s="5" t="s">
        <v>548</v>
      </c>
      <c r="I1362" s="5" t="s">
        <v>763</v>
      </c>
      <c r="J1362" s="5" t="s">
        <v>639</v>
      </c>
      <c r="K1362" s="5" t="s">
        <v>274</v>
      </c>
      <c r="L1362" s="6">
        <v>45673</v>
      </c>
      <c r="M1362" s="6">
        <v>45673</v>
      </c>
      <c r="N1362" s="5" t="s">
        <v>811</v>
      </c>
      <c r="O1362" s="5" t="str">
        <f ca="1">IF(P1362&lt;&gt;"EXPEDIÇÃO","Expedido",IF(NETWORKDAYS(C1362,TODAY())&gt;=5,"Risco Alto",IF(NETWORKDAYS(C1362,TODAY())&gt;=3,IF(NETWORKDAYS(C1362,TODAY())&lt;5,"Risco Médio",""),IF(NETWORKDAYS(C1362,TODAY())&lt;=2,"Risco Baixo",""))))</f>
        <v>Expedido</v>
      </c>
      <c r="P1362" s="5" t="s">
        <v>25</v>
      </c>
      <c r="Q1362" s="5" t="s">
        <v>926</v>
      </c>
      <c r="S1362" s="7">
        <f>IF(ISBLANK(M1362),"Aguardando Previsão/Data",NETWORKDAYS(L1362,M1362)-1)</f>
        <v>0</v>
      </c>
      <c r="T1362" s="5" t="s">
        <v>942</v>
      </c>
    </row>
    <row r="1363" spans="1:20" x14ac:dyDescent="0.35">
      <c r="A1363" s="5">
        <v>8100274897</v>
      </c>
      <c r="B1363" s="5">
        <v>19127</v>
      </c>
      <c r="C1363" s="6">
        <v>45667</v>
      </c>
      <c r="D1363" s="5" t="s">
        <v>106</v>
      </c>
      <c r="E1363" s="5" t="s">
        <v>107</v>
      </c>
      <c r="F1363" s="5" t="s">
        <v>103</v>
      </c>
      <c r="G1363" s="5" t="s">
        <v>104</v>
      </c>
      <c r="H1363" s="5" t="s">
        <v>548</v>
      </c>
      <c r="I1363" s="5" t="s">
        <v>763</v>
      </c>
      <c r="J1363" s="5" t="s">
        <v>273</v>
      </c>
      <c r="K1363" s="5" t="s">
        <v>274</v>
      </c>
      <c r="L1363" s="6">
        <v>45673</v>
      </c>
      <c r="M1363" s="6">
        <v>45674</v>
      </c>
      <c r="N1363" s="5" t="s">
        <v>811</v>
      </c>
      <c r="O1363" s="5" t="str">
        <f ca="1">IF(P1363&lt;&gt;"EXPEDIÇÃO","Expedido",IF(NETWORKDAYS(C1363,TODAY())&gt;=5,"Risco Alto",IF(NETWORKDAYS(C1363,TODAY())&gt;=3,IF(NETWORKDAYS(C1363,TODAY())&lt;5,"Risco Médio",""),IF(NETWORKDAYS(C1363,TODAY())&lt;=2,"Risco Baixo",""))))</f>
        <v>Expedido</v>
      </c>
      <c r="P1363" s="5" t="s">
        <v>25</v>
      </c>
      <c r="Q1363" s="5" t="s">
        <v>926</v>
      </c>
      <c r="S1363" s="7">
        <f>IF(ISBLANK(M1363),"Aguardando Previsão/Data",NETWORKDAYS(L1363,M1363)-1)</f>
        <v>1</v>
      </c>
      <c r="T1363" s="5" t="s">
        <v>942</v>
      </c>
    </row>
    <row r="1364" spans="1:20" x14ac:dyDescent="0.35">
      <c r="A1364" s="5">
        <v>8100274898</v>
      </c>
      <c r="B1364" s="5">
        <v>19128</v>
      </c>
      <c r="C1364" s="6">
        <v>45667</v>
      </c>
      <c r="D1364" s="5" t="s">
        <v>106</v>
      </c>
      <c r="E1364" s="5" t="s">
        <v>107</v>
      </c>
      <c r="F1364" s="5" t="s">
        <v>103</v>
      </c>
      <c r="G1364" s="5" t="s">
        <v>104</v>
      </c>
      <c r="H1364" s="5" t="s">
        <v>548</v>
      </c>
      <c r="I1364" s="5" t="s">
        <v>763</v>
      </c>
      <c r="J1364" s="5" t="s">
        <v>1252</v>
      </c>
      <c r="K1364" s="5" t="s">
        <v>274</v>
      </c>
      <c r="L1364" s="6">
        <v>45673</v>
      </c>
      <c r="M1364" s="6">
        <v>45674</v>
      </c>
      <c r="N1364" s="5" t="s">
        <v>811</v>
      </c>
      <c r="O1364" s="5" t="str">
        <f ca="1">IF(P1364&lt;&gt;"EXPEDIÇÃO","Expedido",IF(NETWORKDAYS(C1364,TODAY())&gt;=5,"Risco Alto",IF(NETWORKDAYS(C1364,TODAY())&gt;=3,IF(NETWORKDAYS(C1364,TODAY())&lt;5,"Risco Médio",""),IF(NETWORKDAYS(C1364,TODAY())&lt;=2,"Risco Baixo",""))))</f>
        <v>Expedido</v>
      </c>
      <c r="P1364" s="5" t="s">
        <v>25</v>
      </c>
      <c r="Q1364" s="5" t="s">
        <v>926</v>
      </c>
      <c r="S1364" s="7">
        <f>IF(ISBLANK(M1364),"Aguardando Previsão/Data",NETWORKDAYS(L1364,M1364)-1)</f>
        <v>1</v>
      </c>
      <c r="T1364" s="5" t="s">
        <v>942</v>
      </c>
    </row>
    <row r="1365" spans="1:20" x14ac:dyDescent="0.35">
      <c r="A1365" s="5">
        <v>8100274899</v>
      </c>
      <c r="B1365" s="5">
        <v>19125</v>
      </c>
      <c r="C1365" s="6">
        <v>45667</v>
      </c>
      <c r="D1365" s="5" t="s">
        <v>106</v>
      </c>
      <c r="E1365" s="5" t="s">
        <v>107</v>
      </c>
      <c r="F1365" s="5" t="s">
        <v>103</v>
      </c>
      <c r="G1365" s="5" t="s">
        <v>104</v>
      </c>
      <c r="H1365" s="5" t="s">
        <v>548</v>
      </c>
      <c r="I1365" s="5" t="s">
        <v>1284</v>
      </c>
      <c r="J1365" s="5" t="s">
        <v>1285</v>
      </c>
      <c r="K1365" s="5" t="s">
        <v>274</v>
      </c>
      <c r="L1365" s="6">
        <v>45673</v>
      </c>
      <c r="M1365" s="6">
        <v>45674</v>
      </c>
      <c r="N1365" s="5" t="s">
        <v>811</v>
      </c>
      <c r="O1365" s="5" t="str">
        <f ca="1">IF(P1365&lt;&gt;"EXPEDIÇÃO","Expedido",IF(NETWORKDAYS(C1365,TODAY())&gt;=5,"Risco Alto",IF(NETWORKDAYS(C1365,TODAY())&gt;=3,IF(NETWORKDAYS(C1365,TODAY())&lt;5,"Risco Médio",""),IF(NETWORKDAYS(C1365,TODAY())&lt;=2,"Risco Baixo",""))))</f>
        <v>Expedido</v>
      </c>
      <c r="P1365" s="5" t="s">
        <v>25</v>
      </c>
      <c r="Q1365" s="5" t="s">
        <v>926</v>
      </c>
      <c r="S1365" s="7">
        <f>IF(ISBLANK(M1365),"Aguardando Previsão/Data",NETWORKDAYS(L1365,M1365)-1)</f>
        <v>1</v>
      </c>
      <c r="T1365" s="5" t="s">
        <v>942</v>
      </c>
    </row>
    <row r="1366" spans="1:20" x14ac:dyDescent="0.35">
      <c r="A1366" s="5">
        <v>8100274884</v>
      </c>
      <c r="B1366" s="5">
        <v>17319</v>
      </c>
      <c r="C1366" s="6">
        <v>45670</v>
      </c>
      <c r="D1366" s="5" t="s">
        <v>51</v>
      </c>
      <c r="E1366" s="5" t="s">
        <v>52</v>
      </c>
      <c r="F1366" s="5" t="s">
        <v>69</v>
      </c>
      <c r="G1366" s="5" t="s">
        <v>70</v>
      </c>
      <c r="H1366" s="5" t="s">
        <v>21</v>
      </c>
      <c r="I1366" s="5" t="s">
        <v>932</v>
      </c>
      <c r="J1366" s="5" t="s">
        <v>437</v>
      </c>
      <c r="K1366" s="5" t="s">
        <v>57</v>
      </c>
      <c r="L1366" s="6">
        <v>45674</v>
      </c>
      <c r="M1366" s="6">
        <v>45673</v>
      </c>
      <c r="N1366" s="6" t="s">
        <v>811</v>
      </c>
      <c r="O1366" s="5" t="str">
        <f ca="1">IF(P1366&lt;&gt;"EXPEDIÇÃO","Expedido",IF(NETWORKDAYS(C1366,TODAY())&gt;=5,"Risco Alto",IF(NETWORKDAYS(C1366,TODAY())&gt;=3,IF(NETWORKDAYS(C1366,TODAY())&lt;5,"Risco Médio",""),IF(NETWORKDAYS(C1366,TODAY())&lt;=2,"Risco Baixo",""))))</f>
        <v>Expedido</v>
      </c>
      <c r="P1366" s="5" t="s">
        <v>25</v>
      </c>
      <c r="S1366" s="7">
        <f>IF(ISBLANK(M1366),"Aguardando Previsão/Data",NETWORKDAYS(L1366,M1366)-1)</f>
        <v>-3</v>
      </c>
      <c r="T1366" s="5" t="s">
        <v>942</v>
      </c>
    </row>
    <row r="1367" spans="1:20" x14ac:dyDescent="0.35">
      <c r="A1367" s="5">
        <v>8100274886</v>
      </c>
      <c r="B1367" s="5">
        <v>17320</v>
      </c>
      <c r="C1367" s="6">
        <v>45670</v>
      </c>
      <c r="D1367" s="5" t="s">
        <v>382</v>
      </c>
      <c r="E1367" s="5" t="s">
        <v>52</v>
      </c>
      <c r="F1367" s="5" t="s">
        <v>199</v>
      </c>
      <c r="G1367" s="5" t="s">
        <v>200</v>
      </c>
      <c r="H1367" s="5" t="s">
        <v>21</v>
      </c>
      <c r="I1367" s="5" t="s">
        <v>554</v>
      </c>
      <c r="J1367" s="5" t="s">
        <v>568</v>
      </c>
      <c r="K1367" s="5" t="s">
        <v>57</v>
      </c>
      <c r="L1367" s="6">
        <v>45677</v>
      </c>
      <c r="M1367" s="6">
        <v>45673</v>
      </c>
      <c r="N1367" s="6" t="s">
        <v>811</v>
      </c>
      <c r="O1367" s="5" t="str">
        <f ca="1">IF(P1367&lt;&gt;"EXPEDIÇÃO","Expedido",IF(NETWORKDAYS(C1367,TODAY())&gt;=5,"Risco Alto",IF(NETWORKDAYS(C1367,TODAY())&gt;=3,IF(NETWORKDAYS(C1367,TODAY())&lt;5,"Risco Médio",""),IF(NETWORKDAYS(C1367,TODAY())&lt;=2,"Risco Baixo",""))))</f>
        <v>Expedido</v>
      </c>
      <c r="P1367" s="5" t="s">
        <v>25</v>
      </c>
      <c r="S1367" s="7">
        <f>IF(ISBLANK(M1367),"Aguardando Previsão/Data",NETWORKDAYS(L1367,M1367)-1)</f>
        <v>-4</v>
      </c>
      <c r="T1367" s="5" t="s">
        <v>942</v>
      </c>
    </row>
    <row r="1368" spans="1:20" x14ac:dyDescent="0.35">
      <c r="A1368" s="5">
        <v>8100274887</v>
      </c>
      <c r="B1368" s="5">
        <v>17326</v>
      </c>
      <c r="C1368" s="6">
        <v>45670</v>
      </c>
      <c r="D1368" s="5" t="s">
        <v>382</v>
      </c>
      <c r="E1368" s="5" t="s">
        <v>52</v>
      </c>
      <c r="F1368" s="5" t="s">
        <v>84</v>
      </c>
      <c r="G1368" s="5" t="s">
        <v>85</v>
      </c>
      <c r="H1368" s="5" t="s">
        <v>21</v>
      </c>
      <c r="I1368" s="5" t="s">
        <v>86</v>
      </c>
      <c r="J1368" s="5" t="s">
        <v>87</v>
      </c>
      <c r="K1368" s="5" t="s">
        <v>80</v>
      </c>
      <c r="L1368" s="6">
        <v>45678</v>
      </c>
      <c r="M1368" s="6">
        <v>45672</v>
      </c>
      <c r="N1368" s="6" t="s">
        <v>811</v>
      </c>
      <c r="O1368" s="5" t="str">
        <f ca="1">IF(P1368&lt;&gt;"EXPEDIÇÃO","Expedido",IF(NETWORKDAYS(C1368,TODAY())&gt;=5,"Risco Alto",IF(NETWORKDAYS(C1368,TODAY())&gt;=3,IF(NETWORKDAYS(C1368,TODAY())&lt;5,"Risco Médio",""),IF(NETWORKDAYS(C1368,TODAY())&lt;=2,"Risco Baixo",""))))</f>
        <v>Expedido</v>
      </c>
      <c r="P1368" s="5" t="s">
        <v>25</v>
      </c>
      <c r="S1368" s="7">
        <f>IF(ISBLANK(M1368),"Aguardando Previsão/Data",NETWORKDAYS(L1368,M1368)-1)</f>
        <v>-6</v>
      </c>
      <c r="T1368" s="5" t="s">
        <v>942</v>
      </c>
    </row>
    <row r="1369" spans="1:20" x14ac:dyDescent="0.35">
      <c r="A1369" s="5">
        <v>8100275195</v>
      </c>
      <c r="B1369" s="5">
        <v>17324</v>
      </c>
      <c r="C1369" s="6">
        <v>45670</v>
      </c>
      <c r="D1369" s="5" t="s">
        <v>51</v>
      </c>
      <c r="E1369" s="5" t="s">
        <v>52</v>
      </c>
      <c r="F1369" s="5" t="s">
        <v>58</v>
      </c>
      <c r="G1369" s="5" t="s">
        <v>59</v>
      </c>
      <c r="H1369" s="5" t="s">
        <v>21</v>
      </c>
      <c r="I1369" s="5" t="s">
        <v>60</v>
      </c>
      <c r="J1369" s="5" t="s">
        <v>61</v>
      </c>
      <c r="K1369" s="5" t="s">
        <v>57</v>
      </c>
      <c r="L1369" s="6">
        <v>45678</v>
      </c>
      <c r="M1369" s="6">
        <v>45674</v>
      </c>
      <c r="N1369" s="6" t="s">
        <v>811</v>
      </c>
      <c r="O1369" s="5" t="str">
        <f ca="1">IF(P1369&lt;&gt;"EXPEDIÇÃO","Expedido",IF(NETWORKDAYS(C1369,TODAY())&gt;=5,"Risco Alto",IF(NETWORKDAYS(C1369,TODAY())&gt;=3,IF(NETWORKDAYS(C1369,TODAY())&lt;5,"Risco Médio",""),IF(NETWORKDAYS(C1369,TODAY())&lt;=2,"Risco Baixo",""))))</f>
        <v>Expedido</v>
      </c>
      <c r="P1369" s="5" t="s">
        <v>25</v>
      </c>
      <c r="S1369" s="7">
        <f>IF(ISBLANK(M1369),"Aguardando Previsão/Data",NETWORKDAYS(L1369,M1369)-1)</f>
        <v>-4</v>
      </c>
      <c r="T1369" s="5" t="s">
        <v>942</v>
      </c>
    </row>
    <row r="1370" spans="1:20" x14ac:dyDescent="0.35">
      <c r="A1370" s="5">
        <v>8100275196</v>
      </c>
      <c r="B1370" s="5">
        <v>17322</v>
      </c>
      <c r="C1370" s="6">
        <v>45670</v>
      </c>
      <c r="D1370" s="5" t="s">
        <v>51</v>
      </c>
      <c r="E1370" s="5" t="s">
        <v>52</v>
      </c>
      <c r="F1370" s="5" t="s">
        <v>329</v>
      </c>
      <c r="G1370" s="5" t="s">
        <v>330</v>
      </c>
      <c r="H1370" s="5" t="s">
        <v>21</v>
      </c>
      <c r="I1370" s="5" t="s">
        <v>438</v>
      </c>
      <c r="J1370" s="5" t="s">
        <v>439</v>
      </c>
      <c r="K1370" s="5" t="s">
        <v>57</v>
      </c>
      <c r="L1370" s="6">
        <v>45674</v>
      </c>
      <c r="M1370" s="6">
        <v>45671</v>
      </c>
      <c r="N1370" s="6" t="s">
        <v>811</v>
      </c>
      <c r="O1370" s="5" t="str">
        <f ca="1">IF(P1370&lt;&gt;"EXPEDIÇÃO","Expedido",IF(NETWORKDAYS(C1370,TODAY())&gt;=5,"Risco Alto",IF(NETWORKDAYS(C1370,TODAY())&gt;=3,IF(NETWORKDAYS(C1370,TODAY())&lt;5,"Risco Médio",""),IF(NETWORKDAYS(C1370,TODAY())&lt;=2,"Risco Baixo",""))))</f>
        <v>Expedido</v>
      </c>
      <c r="P1370" s="5" t="s">
        <v>25</v>
      </c>
      <c r="S1370" s="7">
        <f>IF(ISBLANK(M1370),"Aguardando Previsão/Data",NETWORKDAYS(L1370,M1370)-1)</f>
        <v>-5</v>
      </c>
      <c r="T1370" s="5" t="s">
        <v>942</v>
      </c>
    </row>
    <row r="1371" spans="1:20" x14ac:dyDescent="0.35">
      <c r="A1371" s="5">
        <v>8100275197</v>
      </c>
      <c r="B1371" s="5">
        <v>17323</v>
      </c>
      <c r="C1371" s="6">
        <v>45670</v>
      </c>
      <c r="D1371" s="5" t="s">
        <v>51</v>
      </c>
      <c r="E1371" s="5" t="s">
        <v>52</v>
      </c>
      <c r="F1371" s="5" t="s">
        <v>69</v>
      </c>
      <c r="G1371" s="5" t="s">
        <v>70</v>
      </c>
      <c r="H1371" s="5" t="s">
        <v>21</v>
      </c>
      <c r="I1371" s="5" t="s">
        <v>1277</v>
      </c>
      <c r="J1371" s="5" t="s">
        <v>1297</v>
      </c>
      <c r="K1371" s="5" t="s">
        <v>57</v>
      </c>
      <c r="L1371" s="6">
        <v>45677</v>
      </c>
      <c r="M1371" s="6">
        <v>45674</v>
      </c>
      <c r="N1371" s="6" t="s">
        <v>811</v>
      </c>
      <c r="O1371" s="5" t="str">
        <f ca="1">IF(P1371&lt;&gt;"EXPEDIÇÃO","Expedido",IF(NETWORKDAYS(C1371,TODAY())&gt;=5,"Risco Alto",IF(NETWORKDAYS(C1371,TODAY())&gt;=3,IF(NETWORKDAYS(C1371,TODAY())&lt;5,"Risco Médio",""),IF(NETWORKDAYS(C1371,TODAY())&lt;=2,"Risco Baixo",""))))</f>
        <v>Expedido</v>
      </c>
      <c r="P1371" s="5" t="s">
        <v>25</v>
      </c>
      <c r="S1371" s="7">
        <f>IF(ISBLANK(M1371),"Aguardando Previsão/Data",NETWORKDAYS(L1371,M1371)-1)</f>
        <v>-3</v>
      </c>
      <c r="T1371" s="5" t="s">
        <v>942</v>
      </c>
    </row>
    <row r="1372" spans="1:20" x14ac:dyDescent="0.35">
      <c r="A1372" s="5">
        <v>8100275198</v>
      </c>
      <c r="B1372" s="5">
        <v>17327</v>
      </c>
      <c r="C1372" s="6">
        <v>45670</v>
      </c>
      <c r="D1372" s="5" t="s">
        <v>51</v>
      </c>
      <c r="E1372" s="5" t="s">
        <v>52</v>
      </c>
      <c r="F1372" s="5" t="s">
        <v>58</v>
      </c>
      <c r="G1372" s="5" t="s">
        <v>59</v>
      </c>
      <c r="H1372" s="5" t="s">
        <v>21</v>
      </c>
      <c r="I1372" s="5" t="s">
        <v>555</v>
      </c>
      <c r="J1372" s="5" t="s">
        <v>556</v>
      </c>
      <c r="K1372" s="5" t="s">
        <v>57</v>
      </c>
      <c r="L1372" s="6">
        <v>45678</v>
      </c>
      <c r="M1372" s="6">
        <v>45672</v>
      </c>
      <c r="N1372" s="6" t="s">
        <v>811</v>
      </c>
      <c r="O1372" s="5" t="str">
        <f ca="1">IF(P1372&lt;&gt;"EXPEDIÇÃO","Expedido",IF(NETWORKDAYS(C1372,TODAY())&gt;=5,"Risco Alto",IF(NETWORKDAYS(C1372,TODAY())&gt;=3,IF(NETWORKDAYS(C1372,TODAY())&lt;5,"Risco Médio",""),IF(NETWORKDAYS(C1372,TODAY())&lt;=2,"Risco Baixo",""))))</f>
        <v>Expedido</v>
      </c>
      <c r="P1372" s="5" t="s">
        <v>25</v>
      </c>
      <c r="S1372" s="7">
        <f>IF(ISBLANK(M1372),"Aguardando Previsão/Data",NETWORKDAYS(L1372,M1372)-1)</f>
        <v>-6</v>
      </c>
      <c r="T1372" s="5" t="s">
        <v>942</v>
      </c>
    </row>
    <row r="1373" spans="1:20" x14ac:dyDescent="0.35">
      <c r="A1373" s="5">
        <v>8100275199</v>
      </c>
      <c r="B1373" s="5">
        <v>17328</v>
      </c>
      <c r="C1373" s="6">
        <v>45670</v>
      </c>
      <c r="D1373" s="5" t="s">
        <v>51</v>
      </c>
      <c r="E1373" s="5" t="s">
        <v>52</v>
      </c>
      <c r="F1373" s="5" t="s">
        <v>58</v>
      </c>
      <c r="G1373" s="5" t="s">
        <v>59</v>
      </c>
      <c r="H1373" s="5" t="s">
        <v>21</v>
      </c>
      <c r="I1373" s="5" t="s">
        <v>555</v>
      </c>
      <c r="J1373" s="5" t="s">
        <v>556</v>
      </c>
      <c r="K1373" s="5" t="s">
        <v>57</v>
      </c>
      <c r="L1373" s="6">
        <v>45678</v>
      </c>
      <c r="M1373" s="6">
        <v>45672</v>
      </c>
      <c r="N1373" s="6" t="s">
        <v>811</v>
      </c>
      <c r="O1373" s="5" t="str">
        <f ca="1">IF(P1373&lt;&gt;"EXPEDIÇÃO","Expedido",IF(NETWORKDAYS(C1373,TODAY())&gt;=5,"Risco Alto",IF(NETWORKDAYS(C1373,TODAY())&gt;=3,IF(NETWORKDAYS(C1373,TODAY())&lt;5,"Risco Médio",""),IF(NETWORKDAYS(C1373,TODAY())&lt;=2,"Risco Baixo",""))))</f>
        <v>Expedido</v>
      </c>
      <c r="P1373" s="5" t="s">
        <v>25</v>
      </c>
      <c r="S1373" s="7">
        <f>IF(ISBLANK(M1373),"Aguardando Previsão/Data",NETWORKDAYS(L1373,M1373)-1)</f>
        <v>-6</v>
      </c>
      <c r="T1373" s="5" t="s">
        <v>942</v>
      </c>
    </row>
    <row r="1374" spans="1:20" x14ac:dyDescent="0.35">
      <c r="A1374" s="5">
        <v>8100275203</v>
      </c>
      <c r="B1374" s="5">
        <v>17325</v>
      </c>
      <c r="C1374" s="6">
        <v>45670</v>
      </c>
      <c r="D1374" s="5" t="s">
        <v>382</v>
      </c>
      <c r="E1374" s="5" t="s">
        <v>52</v>
      </c>
      <c r="F1374" s="5" t="s">
        <v>199</v>
      </c>
      <c r="G1374" s="5" t="s">
        <v>200</v>
      </c>
      <c r="H1374" s="5" t="s">
        <v>21</v>
      </c>
      <c r="I1374" s="5" t="s">
        <v>1298</v>
      </c>
      <c r="J1374" s="5" t="s">
        <v>1108</v>
      </c>
      <c r="K1374" s="5" t="s">
        <v>57</v>
      </c>
      <c r="L1374" s="6">
        <v>45677</v>
      </c>
      <c r="M1374" s="6">
        <v>45672</v>
      </c>
      <c r="N1374" s="6" t="s">
        <v>811</v>
      </c>
      <c r="O1374" s="5" t="str">
        <f ca="1">IF(P1374&lt;&gt;"EXPEDIÇÃO","Expedido",IF(NETWORKDAYS(C1374,TODAY())&gt;=5,"Risco Alto",IF(NETWORKDAYS(C1374,TODAY())&gt;=3,IF(NETWORKDAYS(C1374,TODAY())&lt;5,"Risco Médio",""),IF(NETWORKDAYS(C1374,TODAY())&lt;=2,"Risco Baixo",""))))</f>
        <v>Expedido</v>
      </c>
      <c r="P1374" s="5" t="s">
        <v>25</v>
      </c>
      <c r="S1374" s="7">
        <f>IF(ISBLANK(M1374),"Aguardando Previsão/Data",NETWORKDAYS(L1374,M1374)-1)</f>
        <v>-5</v>
      </c>
      <c r="T1374" s="5" t="s">
        <v>942</v>
      </c>
    </row>
    <row r="1375" spans="1:20" x14ac:dyDescent="0.35">
      <c r="A1375" s="5">
        <v>8100275372</v>
      </c>
      <c r="B1375" s="5">
        <v>17329</v>
      </c>
      <c r="C1375" s="6">
        <v>45670</v>
      </c>
      <c r="D1375" s="5" t="s">
        <v>51</v>
      </c>
      <c r="E1375" s="5" t="s">
        <v>52</v>
      </c>
      <c r="F1375" s="5" t="s">
        <v>53</v>
      </c>
      <c r="G1375" s="5" t="s">
        <v>54</v>
      </c>
      <c r="H1375" s="5" t="s">
        <v>21</v>
      </c>
      <c r="I1375" s="5" t="s">
        <v>983</v>
      </c>
      <c r="J1375" s="5" t="s">
        <v>56</v>
      </c>
      <c r="K1375" s="5" t="s">
        <v>57</v>
      </c>
      <c r="L1375" s="6">
        <v>45677</v>
      </c>
      <c r="M1375" s="6">
        <v>45673</v>
      </c>
      <c r="N1375" s="6" t="s">
        <v>811</v>
      </c>
      <c r="O1375" s="5" t="str">
        <f ca="1">IF(P1375&lt;&gt;"EXPEDIÇÃO","Expedido",IF(NETWORKDAYS(C1375,TODAY())&gt;=5,"Risco Alto",IF(NETWORKDAYS(C1375,TODAY())&gt;=3,IF(NETWORKDAYS(C1375,TODAY())&lt;5,"Risco Médio",""),IF(NETWORKDAYS(C1375,TODAY())&lt;=2,"Risco Baixo",""))))</f>
        <v>Expedido</v>
      </c>
      <c r="P1375" s="5" t="s">
        <v>25</v>
      </c>
      <c r="S1375" s="7">
        <f>IF(ISBLANK(M1375),"Aguardando Previsão/Data",NETWORKDAYS(L1375,M1375)-1)</f>
        <v>-4</v>
      </c>
      <c r="T1375" s="5" t="s">
        <v>942</v>
      </c>
    </row>
    <row r="1376" spans="1:20" x14ac:dyDescent="0.35">
      <c r="A1376" s="5">
        <v>8100275373</v>
      </c>
      <c r="B1376" s="5">
        <v>17330</v>
      </c>
      <c r="C1376" s="6">
        <v>45670</v>
      </c>
      <c r="D1376" s="5" t="s">
        <v>51</v>
      </c>
      <c r="E1376" s="5" t="s">
        <v>52</v>
      </c>
      <c r="F1376" s="5" t="s">
        <v>53</v>
      </c>
      <c r="G1376" s="5" t="s">
        <v>54</v>
      </c>
      <c r="H1376" s="5" t="s">
        <v>21</v>
      </c>
      <c r="I1376" s="5" t="s">
        <v>983</v>
      </c>
      <c r="J1376" s="5" t="s">
        <v>56</v>
      </c>
      <c r="K1376" s="5" t="s">
        <v>57</v>
      </c>
      <c r="L1376" s="6">
        <v>45677</v>
      </c>
      <c r="M1376" s="6">
        <v>45673</v>
      </c>
      <c r="N1376" s="6" t="s">
        <v>811</v>
      </c>
      <c r="O1376" s="5" t="str">
        <f ca="1">IF(P1376&lt;&gt;"EXPEDIÇÃO","Expedido",IF(NETWORKDAYS(C1376,TODAY())&gt;=5,"Risco Alto",IF(NETWORKDAYS(C1376,TODAY())&gt;=3,IF(NETWORKDAYS(C1376,TODAY())&lt;5,"Risco Médio",""),IF(NETWORKDAYS(C1376,TODAY())&lt;=2,"Risco Baixo",""))))</f>
        <v>Expedido</v>
      </c>
      <c r="P1376" s="5" t="s">
        <v>25</v>
      </c>
      <c r="S1376" s="7">
        <f>IF(ISBLANK(M1376),"Aguardando Previsão/Data",NETWORKDAYS(L1376,M1376)-1)</f>
        <v>-4</v>
      </c>
      <c r="T1376" s="5" t="s">
        <v>942</v>
      </c>
    </row>
    <row r="1377" spans="1:20" x14ac:dyDescent="0.35">
      <c r="A1377" s="5">
        <v>8100275374</v>
      </c>
      <c r="B1377" s="5">
        <v>17331</v>
      </c>
      <c r="C1377" s="6">
        <v>45670</v>
      </c>
      <c r="D1377" s="5" t="s">
        <v>51</v>
      </c>
      <c r="E1377" s="5" t="s">
        <v>52</v>
      </c>
      <c r="F1377" s="5" t="s">
        <v>53</v>
      </c>
      <c r="G1377" s="5" t="s">
        <v>54</v>
      </c>
      <c r="H1377" s="5" t="s">
        <v>21</v>
      </c>
      <c r="I1377" s="5" t="s">
        <v>983</v>
      </c>
      <c r="J1377" s="5" t="s">
        <v>56</v>
      </c>
      <c r="K1377" s="5" t="s">
        <v>57</v>
      </c>
      <c r="L1377" s="6">
        <v>45677</v>
      </c>
      <c r="M1377" s="6">
        <v>45673</v>
      </c>
      <c r="N1377" s="6" t="s">
        <v>811</v>
      </c>
      <c r="O1377" s="5" t="str">
        <f ca="1">IF(P1377&lt;&gt;"EXPEDIÇÃO","Expedido",IF(NETWORKDAYS(C1377,TODAY())&gt;=5,"Risco Alto",IF(NETWORKDAYS(C1377,TODAY())&gt;=3,IF(NETWORKDAYS(C1377,TODAY())&lt;5,"Risco Médio",""),IF(NETWORKDAYS(C1377,TODAY())&lt;=2,"Risco Baixo",""))))</f>
        <v>Expedido</v>
      </c>
      <c r="P1377" s="5" t="s">
        <v>25</v>
      </c>
      <c r="S1377" s="7">
        <f>IF(ISBLANK(M1377),"Aguardando Previsão/Data",NETWORKDAYS(L1377,M1377)-1)</f>
        <v>-4</v>
      </c>
      <c r="T1377" s="5" t="s">
        <v>942</v>
      </c>
    </row>
    <row r="1378" spans="1:20" x14ac:dyDescent="0.35">
      <c r="A1378" s="5">
        <v>8100275678</v>
      </c>
      <c r="B1378" s="5">
        <v>17332</v>
      </c>
      <c r="C1378" s="6">
        <v>45670</v>
      </c>
      <c r="D1378" s="5" t="s">
        <v>51</v>
      </c>
      <c r="E1378" s="5" t="s">
        <v>52</v>
      </c>
      <c r="F1378" s="5" t="s">
        <v>69</v>
      </c>
      <c r="G1378" s="5" t="s">
        <v>70</v>
      </c>
      <c r="H1378" s="5" t="s">
        <v>21</v>
      </c>
      <c r="I1378" s="5" t="s">
        <v>527</v>
      </c>
      <c r="J1378" s="5" t="s">
        <v>65</v>
      </c>
      <c r="K1378" s="5" t="s">
        <v>57</v>
      </c>
      <c r="L1378" s="6">
        <v>45673</v>
      </c>
      <c r="M1378" s="6">
        <v>45671</v>
      </c>
      <c r="N1378" s="6" t="s">
        <v>811</v>
      </c>
      <c r="O1378" s="5" t="str">
        <f ca="1">IF(P1378&lt;&gt;"EXPEDIÇÃO","Expedido",IF(NETWORKDAYS(C1378,TODAY())&gt;=5,"Risco Alto",IF(NETWORKDAYS(C1378,TODAY())&gt;=3,IF(NETWORKDAYS(C1378,TODAY())&lt;5,"Risco Médio",""),IF(NETWORKDAYS(C1378,TODAY())&lt;=2,"Risco Baixo",""))))</f>
        <v>Expedido</v>
      </c>
      <c r="P1378" s="5" t="s">
        <v>25</v>
      </c>
      <c r="Q1378" s="5" t="s">
        <v>900</v>
      </c>
      <c r="S1378" s="7">
        <f>IF(ISBLANK(M1378),"Aguardando Previsão/Data",NETWORKDAYS(L1378,M1378)-1)</f>
        <v>-4</v>
      </c>
      <c r="T1378" s="5" t="s">
        <v>942</v>
      </c>
    </row>
    <row r="1379" spans="1:20" x14ac:dyDescent="0.35">
      <c r="A1379" s="5">
        <v>8100275679</v>
      </c>
      <c r="B1379" s="5">
        <v>17333</v>
      </c>
      <c r="C1379" s="6">
        <v>45670</v>
      </c>
      <c r="D1379" s="5" t="s">
        <v>51</v>
      </c>
      <c r="E1379" s="5" t="s">
        <v>52</v>
      </c>
      <c r="F1379" s="5" t="s">
        <v>66</v>
      </c>
      <c r="G1379" s="5" t="s">
        <v>67</v>
      </c>
      <c r="H1379" s="5" t="s">
        <v>21</v>
      </c>
      <c r="I1379" s="5" t="s">
        <v>1306</v>
      </c>
      <c r="J1379" s="5" t="s">
        <v>1307</v>
      </c>
      <c r="K1379" s="5" t="s">
        <v>57</v>
      </c>
      <c r="L1379" s="6">
        <v>45677</v>
      </c>
      <c r="M1379" s="6">
        <v>45673</v>
      </c>
      <c r="N1379" s="6" t="s">
        <v>811</v>
      </c>
      <c r="O1379" s="5" t="str">
        <f ca="1">IF(P1379&lt;&gt;"EXPEDIÇÃO","Expedido",IF(NETWORKDAYS(C1379,TODAY())&gt;=5,"Risco Alto",IF(NETWORKDAYS(C1379,TODAY())&gt;=3,IF(NETWORKDAYS(C1379,TODAY())&lt;5,"Risco Médio",""),IF(NETWORKDAYS(C1379,TODAY())&lt;=2,"Risco Baixo",""))))</f>
        <v>Expedido</v>
      </c>
      <c r="P1379" s="5" t="s">
        <v>25</v>
      </c>
      <c r="S1379" s="7">
        <f>IF(ISBLANK(M1379),"Aguardando Previsão/Data",NETWORKDAYS(L1379,M1379)-1)</f>
        <v>-4</v>
      </c>
      <c r="T1379" s="5" t="s">
        <v>942</v>
      </c>
    </row>
    <row r="1380" spans="1:20" x14ac:dyDescent="0.35">
      <c r="A1380" s="5">
        <v>8100275804</v>
      </c>
      <c r="B1380" s="5">
        <v>17341</v>
      </c>
      <c r="C1380" s="6">
        <v>45670</v>
      </c>
      <c r="D1380" s="5" t="s">
        <v>51</v>
      </c>
      <c r="E1380" s="5" t="s">
        <v>52</v>
      </c>
      <c r="F1380" s="5" t="s">
        <v>66</v>
      </c>
      <c r="G1380" s="5" t="s">
        <v>67</v>
      </c>
      <c r="H1380" s="5" t="s">
        <v>21</v>
      </c>
      <c r="I1380" s="5" t="s">
        <v>434</v>
      </c>
      <c r="J1380" s="5" t="s">
        <v>435</v>
      </c>
      <c r="K1380" s="5" t="s">
        <v>57</v>
      </c>
      <c r="L1380" s="6">
        <v>45677</v>
      </c>
      <c r="M1380" s="6">
        <v>45674</v>
      </c>
      <c r="N1380" s="6" t="s">
        <v>811</v>
      </c>
      <c r="O1380" s="5" t="str">
        <f ca="1">IF(P1380&lt;&gt;"EXPEDIÇÃO","Expedido",IF(NETWORKDAYS(C1380,TODAY())&gt;=5,"Risco Alto",IF(NETWORKDAYS(C1380,TODAY())&gt;=3,IF(NETWORKDAYS(C1380,TODAY())&lt;5,"Risco Médio",""),IF(NETWORKDAYS(C1380,TODAY())&lt;=2,"Risco Baixo",""))))</f>
        <v>Expedido</v>
      </c>
      <c r="P1380" s="5" t="s">
        <v>25</v>
      </c>
      <c r="S1380" s="7">
        <f>IF(ISBLANK(M1380),"Aguardando Previsão/Data",NETWORKDAYS(L1380,M1380)-1)</f>
        <v>-3</v>
      </c>
      <c r="T1380" s="5" t="s">
        <v>942</v>
      </c>
    </row>
    <row r="1381" spans="1:20" x14ac:dyDescent="0.35">
      <c r="A1381" s="5">
        <v>8100275805</v>
      </c>
      <c r="B1381" s="5">
        <v>17337</v>
      </c>
      <c r="C1381" s="6">
        <v>45670</v>
      </c>
      <c r="D1381" s="5" t="s">
        <v>51</v>
      </c>
      <c r="E1381" s="5" t="s">
        <v>52</v>
      </c>
      <c r="F1381" s="5" t="s">
        <v>69</v>
      </c>
      <c r="G1381" s="5" t="s">
        <v>70</v>
      </c>
      <c r="H1381" s="5" t="s">
        <v>21</v>
      </c>
      <c r="I1381" s="5" t="s">
        <v>527</v>
      </c>
      <c r="J1381" s="5" t="s">
        <v>65</v>
      </c>
      <c r="K1381" s="5" t="s">
        <v>57</v>
      </c>
      <c r="L1381" s="6">
        <v>45673</v>
      </c>
      <c r="M1381" s="6">
        <v>45671</v>
      </c>
      <c r="N1381" s="6" t="s">
        <v>811</v>
      </c>
      <c r="O1381" s="5" t="str">
        <f ca="1">IF(P1381&lt;&gt;"EXPEDIÇÃO","Expedido",IF(NETWORKDAYS(C1381,TODAY())&gt;=5,"Risco Alto",IF(NETWORKDAYS(C1381,TODAY())&gt;=3,IF(NETWORKDAYS(C1381,TODAY())&lt;5,"Risco Médio",""),IF(NETWORKDAYS(C1381,TODAY())&lt;=2,"Risco Baixo",""))))</f>
        <v>Expedido</v>
      </c>
      <c r="P1381" s="5" t="s">
        <v>25</v>
      </c>
      <c r="Q1381" s="5" t="s">
        <v>900</v>
      </c>
      <c r="S1381" s="7">
        <f>IF(ISBLANK(M1381),"Aguardando Previsão/Data",NETWORKDAYS(L1381,M1381)-1)</f>
        <v>-4</v>
      </c>
      <c r="T1381" s="5" t="s">
        <v>942</v>
      </c>
    </row>
    <row r="1382" spans="1:20" x14ac:dyDescent="0.35">
      <c r="A1382" s="5">
        <v>8100275806</v>
      </c>
      <c r="B1382" s="5">
        <v>17334</v>
      </c>
      <c r="C1382" s="6">
        <v>45670</v>
      </c>
      <c r="D1382" s="5" t="s">
        <v>51</v>
      </c>
      <c r="E1382" s="5" t="s">
        <v>52</v>
      </c>
      <c r="F1382" s="5" t="s">
        <v>66</v>
      </c>
      <c r="G1382" s="5" t="s">
        <v>67</v>
      </c>
      <c r="H1382" s="5" t="s">
        <v>21</v>
      </c>
      <c r="I1382" s="5" t="s">
        <v>269</v>
      </c>
      <c r="J1382" s="5" t="s">
        <v>270</v>
      </c>
      <c r="K1382" s="5" t="s">
        <v>57</v>
      </c>
      <c r="L1382" s="6">
        <v>45678</v>
      </c>
      <c r="M1382" s="6">
        <v>45673</v>
      </c>
      <c r="N1382" s="6" t="s">
        <v>811</v>
      </c>
      <c r="O1382" s="5" t="str">
        <f ca="1">IF(P1382&lt;&gt;"EXPEDIÇÃO","Expedido",IF(NETWORKDAYS(C1382,TODAY())&gt;=5,"Risco Alto",IF(NETWORKDAYS(C1382,TODAY())&gt;=3,IF(NETWORKDAYS(C1382,TODAY())&lt;5,"Risco Médio",""),IF(NETWORKDAYS(C1382,TODAY())&lt;=2,"Risco Baixo",""))))</f>
        <v>Expedido</v>
      </c>
      <c r="P1382" s="5" t="s">
        <v>25</v>
      </c>
      <c r="S1382" s="7">
        <f>IF(ISBLANK(M1382),"Aguardando Previsão/Data",NETWORKDAYS(L1382,M1382)-1)</f>
        <v>-5</v>
      </c>
      <c r="T1382" s="5" t="s">
        <v>942</v>
      </c>
    </row>
    <row r="1383" spans="1:20" x14ac:dyDescent="0.35">
      <c r="A1383" s="5">
        <v>8100275807</v>
      </c>
      <c r="B1383" s="5">
        <v>17339</v>
      </c>
      <c r="C1383" s="6">
        <v>45670</v>
      </c>
      <c r="D1383" s="5" t="s">
        <v>51</v>
      </c>
      <c r="E1383" s="5" t="s">
        <v>52</v>
      </c>
      <c r="F1383" s="5" t="s">
        <v>66</v>
      </c>
      <c r="G1383" s="5" t="s">
        <v>67</v>
      </c>
      <c r="H1383" s="5" t="s">
        <v>21</v>
      </c>
      <c r="I1383" s="5" t="s">
        <v>552</v>
      </c>
      <c r="J1383" s="5" t="s">
        <v>553</v>
      </c>
      <c r="K1383" s="5" t="s">
        <v>57</v>
      </c>
      <c r="L1383" s="6">
        <v>45678</v>
      </c>
      <c r="M1383" s="6">
        <v>45672</v>
      </c>
      <c r="N1383" s="6" t="s">
        <v>811</v>
      </c>
      <c r="O1383" s="5" t="str">
        <f ca="1">IF(P1383&lt;&gt;"EXPEDIÇÃO","Expedido",IF(NETWORKDAYS(C1383,TODAY())&gt;=5,"Risco Alto",IF(NETWORKDAYS(C1383,TODAY())&gt;=3,IF(NETWORKDAYS(C1383,TODAY())&lt;5,"Risco Médio",""),IF(NETWORKDAYS(C1383,TODAY())&lt;=2,"Risco Baixo",""))))</f>
        <v>Expedido</v>
      </c>
      <c r="P1383" s="5" t="s">
        <v>25</v>
      </c>
      <c r="S1383" s="7">
        <f>IF(ISBLANK(M1383),"Aguardando Previsão/Data",NETWORKDAYS(L1383,M1383)-1)</f>
        <v>-6</v>
      </c>
      <c r="T1383" s="5" t="s">
        <v>942</v>
      </c>
    </row>
    <row r="1384" spans="1:20" x14ac:dyDescent="0.35">
      <c r="A1384" s="5">
        <v>8100275808</v>
      </c>
      <c r="B1384" s="5">
        <v>17335</v>
      </c>
      <c r="C1384" s="6">
        <v>45670</v>
      </c>
      <c r="D1384" s="5" t="s">
        <v>51</v>
      </c>
      <c r="E1384" s="5" t="s">
        <v>52</v>
      </c>
      <c r="F1384" s="5" t="s">
        <v>66</v>
      </c>
      <c r="G1384" s="5" t="s">
        <v>67</v>
      </c>
      <c r="H1384" s="5" t="s">
        <v>21</v>
      </c>
      <c r="I1384" s="5" t="s">
        <v>269</v>
      </c>
      <c r="J1384" s="5" t="s">
        <v>270</v>
      </c>
      <c r="K1384" s="5" t="s">
        <v>57</v>
      </c>
      <c r="L1384" s="6">
        <v>45678</v>
      </c>
      <c r="M1384" s="6">
        <v>45673</v>
      </c>
      <c r="N1384" s="6" t="s">
        <v>811</v>
      </c>
      <c r="O1384" s="5" t="str">
        <f ca="1">IF(P1384&lt;&gt;"EXPEDIÇÃO","Expedido",IF(NETWORKDAYS(C1384,TODAY())&gt;=5,"Risco Alto",IF(NETWORKDAYS(C1384,TODAY())&gt;=3,IF(NETWORKDAYS(C1384,TODAY())&lt;5,"Risco Médio",""),IF(NETWORKDAYS(C1384,TODAY())&lt;=2,"Risco Baixo",""))))</f>
        <v>Expedido</v>
      </c>
      <c r="P1384" s="5" t="s">
        <v>25</v>
      </c>
      <c r="S1384" s="7">
        <f>IF(ISBLANK(M1384),"Aguardando Previsão/Data",NETWORKDAYS(L1384,M1384)-1)</f>
        <v>-5</v>
      </c>
      <c r="T1384" s="5" t="s">
        <v>942</v>
      </c>
    </row>
    <row r="1385" spans="1:20" x14ac:dyDescent="0.35">
      <c r="A1385" s="5">
        <v>8100275809</v>
      </c>
      <c r="B1385" s="5">
        <v>17336</v>
      </c>
      <c r="C1385" s="6">
        <v>45670</v>
      </c>
      <c r="D1385" s="5" t="s">
        <v>51</v>
      </c>
      <c r="E1385" s="5" t="s">
        <v>52</v>
      </c>
      <c r="F1385" s="5" t="s">
        <v>66</v>
      </c>
      <c r="G1385" s="5" t="s">
        <v>67</v>
      </c>
      <c r="H1385" s="5" t="s">
        <v>21</v>
      </c>
      <c r="I1385" s="5" t="s">
        <v>269</v>
      </c>
      <c r="J1385" s="5" t="s">
        <v>270</v>
      </c>
      <c r="K1385" s="5" t="s">
        <v>57</v>
      </c>
      <c r="L1385" s="6">
        <v>45678</v>
      </c>
      <c r="M1385" s="6">
        <v>45673</v>
      </c>
      <c r="N1385" s="6" t="s">
        <v>811</v>
      </c>
      <c r="O1385" s="5" t="str">
        <f ca="1">IF(P1385&lt;&gt;"EXPEDIÇÃO","Expedido",IF(NETWORKDAYS(C1385,TODAY())&gt;=5,"Risco Alto",IF(NETWORKDAYS(C1385,TODAY())&gt;=3,IF(NETWORKDAYS(C1385,TODAY())&lt;5,"Risco Médio",""),IF(NETWORKDAYS(C1385,TODAY())&lt;=2,"Risco Baixo",""))))</f>
        <v>Expedido</v>
      </c>
      <c r="P1385" s="5" t="s">
        <v>25</v>
      </c>
      <c r="S1385" s="7">
        <f>IF(ISBLANK(M1385),"Aguardando Previsão/Data",NETWORKDAYS(L1385,M1385)-1)</f>
        <v>-5</v>
      </c>
      <c r="T1385" s="5" t="s">
        <v>942</v>
      </c>
    </row>
    <row r="1386" spans="1:20" x14ac:dyDescent="0.35">
      <c r="A1386" s="5">
        <v>8100275814</v>
      </c>
      <c r="B1386" s="5">
        <v>17338</v>
      </c>
      <c r="C1386" s="6">
        <v>45670</v>
      </c>
      <c r="D1386" s="5" t="s">
        <v>51</v>
      </c>
      <c r="E1386" s="5" t="s">
        <v>52</v>
      </c>
      <c r="F1386" s="5" t="s">
        <v>69</v>
      </c>
      <c r="G1386" s="5" t="s">
        <v>70</v>
      </c>
      <c r="H1386" s="5" t="s">
        <v>21</v>
      </c>
      <c r="I1386" s="5" t="s">
        <v>527</v>
      </c>
      <c r="J1386" s="5" t="s">
        <v>65</v>
      </c>
      <c r="K1386" s="5" t="s">
        <v>57</v>
      </c>
      <c r="L1386" s="6">
        <v>45673</v>
      </c>
      <c r="M1386" s="6">
        <v>45671</v>
      </c>
      <c r="N1386" s="6" t="s">
        <v>811</v>
      </c>
      <c r="O1386" s="5" t="str">
        <f ca="1">IF(P1386&lt;&gt;"EXPEDIÇÃO","Expedido",IF(NETWORKDAYS(C1386,TODAY())&gt;=5,"Risco Alto",IF(NETWORKDAYS(C1386,TODAY())&gt;=3,IF(NETWORKDAYS(C1386,TODAY())&lt;5,"Risco Médio",""),IF(NETWORKDAYS(C1386,TODAY())&lt;=2,"Risco Baixo",""))))</f>
        <v>Expedido</v>
      </c>
      <c r="P1386" s="5" t="s">
        <v>25</v>
      </c>
      <c r="Q1386" s="5" t="s">
        <v>900</v>
      </c>
      <c r="S1386" s="7">
        <f>IF(ISBLANK(M1386),"Aguardando Previsão/Data",NETWORKDAYS(L1386,M1386)-1)</f>
        <v>-4</v>
      </c>
      <c r="T1386" s="5" t="s">
        <v>942</v>
      </c>
    </row>
    <row r="1387" spans="1:20" x14ac:dyDescent="0.35">
      <c r="A1387" s="5">
        <v>8100275815</v>
      </c>
      <c r="B1387" s="5">
        <v>17340</v>
      </c>
      <c r="C1387" s="6">
        <v>45670</v>
      </c>
      <c r="D1387" s="5" t="s">
        <v>51</v>
      </c>
      <c r="E1387" s="5" t="s">
        <v>52</v>
      </c>
      <c r="F1387" s="5" t="s">
        <v>66</v>
      </c>
      <c r="G1387" s="5" t="s">
        <v>67</v>
      </c>
      <c r="H1387" s="5" t="s">
        <v>21</v>
      </c>
      <c r="I1387" s="5" t="s">
        <v>552</v>
      </c>
      <c r="J1387" s="5" t="s">
        <v>553</v>
      </c>
      <c r="K1387" s="5" t="s">
        <v>57</v>
      </c>
      <c r="L1387" s="6">
        <v>45678</v>
      </c>
      <c r="M1387" s="6">
        <v>45672</v>
      </c>
      <c r="N1387" s="6" t="s">
        <v>811</v>
      </c>
      <c r="O1387" s="5" t="str">
        <f ca="1">IF(P1387&lt;&gt;"EXPEDIÇÃO","Expedido",IF(NETWORKDAYS(C1387,TODAY())&gt;=5,"Risco Alto",IF(NETWORKDAYS(C1387,TODAY())&gt;=3,IF(NETWORKDAYS(C1387,TODAY())&lt;5,"Risco Médio",""),IF(NETWORKDAYS(C1387,TODAY())&lt;=2,"Risco Baixo",""))))</f>
        <v>Expedido</v>
      </c>
      <c r="P1387" s="5" t="s">
        <v>25</v>
      </c>
      <c r="S1387" s="7">
        <f>IF(ISBLANK(M1387),"Aguardando Previsão/Data",NETWORKDAYS(L1387,M1387)-1)</f>
        <v>-6</v>
      </c>
      <c r="T1387" s="5" t="s">
        <v>942</v>
      </c>
    </row>
    <row r="1388" spans="1:20" x14ac:dyDescent="0.35">
      <c r="A1388" s="5">
        <v>8100273718</v>
      </c>
      <c r="B1388" s="5">
        <v>21211</v>
      </c>
      <c r="C1388" s="6">
        <v>45670</v>
      </c>
      <c r="D1388" s="5" t="s">
        <v>17</v>
      </c>
      <c r="E1388" s="5" t="s">
        <v>18</v>
      </c>
      <c r="F1388" s="5" t="s">
        <v>27</v>
      </c>
      <c r="G1388" s="5" t="s">
        <v>28</v>
      </c>
      <c r="H1388" s="5" t="s">
        <v>21</v>
      </c>
      <c r="I1388" s="5" t="s">
        <v>1287</v>
      </c>
      <c r="J1388" s="5" t="s">
        <v>1288</v>
      </c>
      <c r="K1388" s="5" t="s">
        <v>24</v>
      </c>
      <c r="L1388" s="6">
        <v>45678</v>
      </c>
      <c r="M1388" s="6">
        <v>45677</v>
      </c>
      <c r="N1388" s="6" t="s">
        <v>811</v>
      </c>
      <c r="O1388" s="5" t="str">
        <f ca="1">IF(P1388&lt;&gt;"EXPEDIÇÃO","Expedido",IF(NETWORKDAYS(C1388,TODAY())&gt;=5,"Risco Alto",IF(NETWORKDAYS(C1388,TODAY())&gt;=3,IF(NETWORKDAYS(C1388,TODAY())&lt;5,"Risco Médio",""),IF(NETWORKDAYS(C1388,TODAY())&lt;=2,"Risco Baixo",""))))</f>
        <v>Expedido</v>
      </c>
      <c r="P1388" s="5" t="s">
        <v>25</v>
      </c>
      <c r="S1388" s="7">
        <f>IF(ISBLANK(M1388),"Aguardando Previsão/Data",NETWORKDAYS(L1388,M1388)-1)</f>
        <v>-3</v>
      </c>
      <c r="T1388" s="5" t="s">
        <v>942</v>
      </c>
    </row>
    <row r="1389" spans="1:20" x14ac:dyDescent="0.35">
      <c r="A1389" s="5">
        <v>8100274863</v>
      </c>
      <c r="B1389" s="5">
        <v>21195</v>
      </c>
      <c r="C1389" s="6">
        <v>45670</v>
      </c>
      <c r="D1389" s="5" t="s">
        <v>17</v>
      </c>
      <c r="E1389" s="5" t="s">
        <v>18</v>
      </c>
      <c r="F1389" s="5" t="s">
        <v>32</v>
      </c>
      <c r="G1389" s="5" t="s">
        <v>33</v>
      </c>
      <c r="H1389" s="5" t="s">
        <v>21</v>
      </c>
      <c r="I1389" s="5" t="s">
        <v>1289</v>
      </c>
      <c r="J1389" s="5" t="s">
        <v>365</v>
      </c>
      <c r="K1389" s="5" t="s">
        <v>24</v>
      </c>
      <c r="L1389" s="6">
        <v>45677</v>
      </c>
      <c r="M1389" s="6">
        <v>45675</v>
      </c>
      <c r="N1389" s="6" t="s">
        <v>811</v>
      </c>
      <c r="O1389" s="5" t="str">
        <f ca="1">IF(P1389&lt;&gt;"EXPEDIÇÃO","Expedido",IF(NETWORKDAYS(C1389,TODAY())&gt;=5,"Risco Alto",IF(NETWORKDAYS(C1389,TODAY())&gt;=3,IF(NETWORKDAYS(C1389,TODAY())&lt;5,"Risco Médio",""),IF(NETWORKDAYS(C1389,TODAY())&lt;=2,"Risco Baixo",""))))</f>
        <v>Expedido</v>
      </c>
      <c r="P1389" s="5" t="s">
        <v>25</v>
      </c>
      <c r="S1389" s="7">
        <f>IF(ISBLANK(M1389),"Aguardando Previsão/Data",NETWORKDAYS(L1389,M1389)-1)</f>
        <v>-2</v>
      </c>
      <c r="T1389" s="5" t="s">
        <v>942</v>
      </c>
    </row>
    <row r="1390" spans="1:20" x14ac:dyDescent="0.35">
      <c r="A1390" s="5">
        <v>8100275180</v>
      </c>
      <c r="B1390" s="5">
        <v>21210</v>
      </c>
      <c r="C1390" s="6">
        <v>45670</v>
      </c>
      <c r="D1390" s="5" t="s">
        <v>17</v>
      </c>
      <c r="E1390" s="5" t="s">
        <v>18</v>
      </c>
      <c r="F1390" s="5" t="s">
        <v>32</v>
      </c>
      <c r="G1390" s="5" t="s">
        <v>33</v>
      </c>
      <c r="H1390" s="5" t="s">
        <v>21</v>
      </c>
      <c r="I1390" s="5" t="s">
        <v>830</v>
      </c>
      <c r="J1390" s="5" t="s">
        <v>368</v>
      </c>
      <c r="K1390" s="5" t="s">
        <v>24</v>
      </c>
      <c r="L1390" s="6">
        <v>45678</v>
      </c>
      <c r="M1390" s="6">
        <v>45674</v>
      </c>
      <c r="N1390" s="6" t="s">
        <v>811</v>
      </c>
      <c r="O1390" s="5" t="str">
        <f ca="1">IF(P1390&lt;&gt;"EXPEDIÇÃO","Expedido",IF(NETWORKDAYS(C1390,TODAY())&gt;=5,"Risco Alto",IF(NETWORKDAYS(C1390,TODAY())&gt;=3,IF(NETWORKDAYS(C1390,TODAY())&lt;5,"Risco Médio",""),IF(NETWORKDAYS(C1390,TODAY())&lt;=2,"Risco Baixo",""))))</f>
        <v>Expedido</v>
      </c>
      <c r="P1390" s="5" t="s">
        <v>25</v>
      </c>
      <c r="Q1390" s="5" t="s">
        <v>897</v>
      </c>
      <c r="S1390" s="7">
        <f>IF(ISBLANK(M1390),"Aguardando Previsão/Data",NETWORKDAYS(L1390,M1390)-1)</f>
        <v>-4</v>
      </c>
      <c r="T1390" s="5" t="s">
        <v>942</v>
      </c>
    </row>
    <row r="1391" spans="1:20" x14ac:dyDescent="0.35">
      <c r="A1391" s="5">
        <v>8100275181</v>
      </c>
      <c r="B1391" s="5">
        <v>21196</v>
      </c>
      <c r="C1391" s="6">
        <v>45670</v>
      </c>
      <c r="D1391" s="5" t="s">
        <v>17</v>
      </c>
      <c r="E1391" s="5" t="s">
        <v>18</v>
      </c>
      <c r="F1391" s="5" t="s">
        <v>19</v>
      </c>
      <c r="G1391" s="5" t="s">
        <v>20</v>
      </c>
      <c r="H1391" s="5" t="s">
        <v>21</v>
      </c>
      <c r="I1391" s="5" t="s">
        <v>891</v>
      </c>
      <c r="J1391" s="5" t="s">
        <v>43</v>
      </c>
      <c r="K1391" s="5" t="s">
        <v>24</v>
      </c>
      <c r="L1391" s="6">
        <v>45677</v>
      </c>
      <c r="M1391" s="6">
        <v>45674</v>
      </c>
      <c r="N1391" s="6" t="s">
        <v>811</v>
      </c>
      <c r="O1391" s="5" t="str">
        <f ca="1">IF(P1391&lt;&gt;"EXPEDIÇÃO","Expedido",IF(NETWORKDAYS(C1391,TODAY())&gt;=5,"Risco Alto",IF(NETWORKDAYS(C1391,TODAY())&gt;=3,IF(NETWORKDAYS(C1391,TODAY())&lt;5,"Risco Médio",""),IF(NETWORKDAYS(C1391,TODAY())&lt;=2,"Risco Baixo",""))))</f>
        <v>Expedido</v>
      </c>
      <c r="P1391" s="5" t="s">
        <v>25</v>
      </c>
      <c r="Q1391" s="5" t="s">
        <v>897</v>
      </c>
      <c r="S1391" s="7">
        <f>IF(ISBLANK(M1391),"Aguardando Previsão/Data",NETWORKDAYS(L1391,M1391)-1)</f>
        <v>-3</v>
      </c>
      <c r="T1391" s="5" t="s">
        <v>942</v>
      </c>
    </row>
    <row r="1392" spans="1:20" x14ac:dyDescent="0.35">
      <c r="A1392" s="5">
        <v>8100275183</v>
      </c>
      <c r="B1392" s="5">
        <v>21202</v>
      </c>
      <c r="C1392" s="6">
        <v>45670</v>
      </c>
      <c r="D1392" s="5" t="s">
        <v>17</v>
      </c>
      <c r="E1392" s="5" t="s">
        <v>18</v>
      </c>
      <c r="F1392" s="5" t="s">
        <v>32</v>
      </c>
      <c r="G1392" s="5" t="s">
        <v>33</v>
      </c>
      <c r="H1392" s="5" t="s">
        <v>21</v>
      </c>
      <c r="I1392" s="5" t="s">
        <v>367</v>
      </c>
      <c r="J1392" s="5" t="s">
        <v>368</v>
      </c>
      <c r="K1392" s="5" t="s">
        <v>24</v>
      </c>
      <c r="L1392" s="6">
        <v>45678</v>
      </c>
      <c r="M1392" s="6">
        <v>45675</v>
      </c>
      <c r="N1392" s="6" t="s">
        <v>811</v>
      </c>
      <c r="O1392" s="5" t="str">
        <f ca="1">IF(P1392&lt;&gt;"EXPEDIÇÃO","Expedido",IF(NETWORKDAYS(C1392,TODAY())&gt;=5,"Risco Alto",IF(NETWORKDAYS(C1392,TODAY())&gt;=3,IF(NETWORKDAYS(C1392,TODAY())&lt;5,"Risco Médio",""),IF(NETWORKDAYS(C1392,TODAY())&lt;=2,"Risco Baixo",""))))</f>
        <v>Expedido</v>
      </c>
      <c r="P1392" s="5" t="s">
        <v>25</v>
      </c>
      <c r="S1392" s="7">
        <f>IF(ISBLANK(M1392),"Aguardando Previsão/Data",NETWORKDAYS(L1392,M1392)-1)</f>
        <v>-3</v>
      </c>
      <c r="T1392" s="5" t="s">
        <v>942</v>
      </c>
    </row>
    <row r="1393" spans="1:20" x14ac:dyDescent="0.35">
      <c r="A1393" s="5">
        <v>8100275184</v>
      </c>
      <c r="B1393" s="5">
        <v>21207</v>
      </c>
      <c r="C1393" s="6">
        <v>45670</v>
      </c>
      <c r="D1393" s="5" t="s">
        <v>17</v>
      </c>
      <c r="E1393" s="5" t="s">
        <v>18</v>
      </c>
      <c r="F1393" s="5" t="s">
        <v>44</v>
      </c>
      <c r="G1393" s="5" t="s">
        <v>45</v>
      </c>
      <c r="H1393" s="5" t="s">
        <v>21</v>
      </c>
      <c r="I1393" s="5" t="s">
        <v>595</v>
      </c>
      <c r="J1393" s="5" t="s">
        <v>372</v>
      </c>
      <c r="K1393" s="5" t="s">
        <v>24</v>
      </c>
      <c r="L1393" s="6">
        <v>45678</v>
      </c>
      <c r="M1393" s="6">
        <v>45673</v>
      </c>
      <c r="N1393" s="6" t="s">
        <v>811</v>
      </c>
      <c r="O1393" s="5" t="str">
        <f ca="1">IF(P1393&lt;&gt;"EXPEDIÇÃO","Expedido",IF(NETWORKDAYS(C1393,TODAY())&gt;=5,"Risco Alto",IF(NETWORKDAYS(C1393,TODAY())&gt;=3,IF(NETWORKDAYS(C1393,TODAY())&lt;5,"Risco Médio",""),IF(NETWORKDAYS(C1393,TODAY())&lt;=2,"Risco Baixo",""))))</f>
        <v>Expedido</v>
      </c>
      <c r="P1393" s="5" t="s">
        <v>25</v>
      </c>
      <c r="S1393" s="7">
        <f>IF(ISBLANK(M1393),"Aguardando Previsão/Data",NETWORKDAYS(L1393,M1393)-1)</f>
        <v>-5</v>
      </c>
      <c r="T1393" s="5" t="s">
        <v>942</v>
      </c>
    </row>
    <row r="1394" spans="1:20" x14ac:dyDescent="0.35">
      <c r="A1394" s="5">
        <v>8100275185</v>
      </c>
      <c r="B1394" s="5">
        <v>21201</v>
      </c>
      <c r="C1394" s="6">
        <v>45670</v>
      </c>
      <c r="D1394" s="5" t="s">
        <v>17</v>
      </c>
      <c r="E1394" s="5" t="s">
        <v>18</v>
      </c>
      <c r="F1394" s="5" t="s">
        <v>39</v>
      </c>
      <c r="G1394" s="5" t="s">
        <v>40</v>
      </c>
      <c r="H1394" s="5" t="s">
        <v>21</v>
      </c>
      <c r="I1394" s="5" t="s">
        <v>678</v>
      </c>
      <c r="J1394" s="5" t="s">
        <v>420</v>
      </c>
      <c r="K1394" s="5" t="s">
        <v>24</v>
      </c>
      <c r="L1394" s="6">
        <v>45681</v>
      </c>
      <c r="M1394" s="6">
        <v>45680</v>
      </c>
      <c r="N1394" s="6" t="s">
        <v>811</v>
      </c>
      <c r="O1394" s="5" t="str">
        <f ca="1">IF(P1394&lt;&gt;"EXPEDIÇÃO","Expedido",IF(NETWORKDAYS(C1394,TODAY())&gt;=5,"Risco Alto",IF(NETWORKDAYS(C1394,TODAY())&gt;=3,IF(NETWORKDAYS(C1394,TODAY())&lt;5,"Risco Médio",""),IF(NETWORKDAYS(C1394,TODAY())&lt;=2,"Risco Baixo",""))))</f>
        <v>Expedido</v>
      </c>
      <c r="P1394" s="5" t="s">
        <v>25</v>
      </c>
      <c r="S1394" s="7">
        <f>IF(ISBLANK(M1394),"Aguardando Previsão/Data",NETWORKDAYS(L1394,M1394)-1)</f>
        <v>-3</v>
      </c>
      <c r="T1394" s="5" t="s">
        <v>942</v>
      </c>
    </row>
    <row r="1395" spans="1:20" x14ac:dyDescent="0.35">
      <c r="A1395" s="5">
        <v>8100275186</v>
      </c>
      <c r="B1395" s="5">
        <v>21205</v>
      </c>
      <c r="C1395" s="6">
        <v>45670</v>
      </c>
      <c r="D1395" s="5" t="s">
        <v>17</v>
      </c>
      <c r="E1395" s="5" t="s">
        <v>18</v>
      </c>
      <c r="F1395" s="5" t="s">
        <v>39</v>
      </c>
      <c r="G1395" s="5" t="s">
        <v>40</v>
      </c>
      <c r="H1395" s="5" t="s">
        <v>21</v>
      </c>
      <c r="I1395" s="5" t="s">
        <v>1296</v>
      </c>
      <c r="J1395" s="5" t="s">
        <v>466</v>
      </c>
      <c r="K1395" s="5" t="s">
        <v>24</v>
      </c>
      <c r="L1395" s="6">
        <v>45680</v>
      </c>
      <c r="M1395" s="6">
        <v>45679</v>
      </c>
      <c r="N1395" s="6" t="s">
        <v>811</v>
      </c>
      <c r="O1395" s="5" t="str">
        <f ca="1">IF(P1395&lt;&gt;"EXPEDIÇÃO","Expedido",IF(NETWORKDAYS(C1395,TODAY())&gt;=5,"Risco Alto",IF(NETWORKDAYS(C1395,TODAY())&gt;=3,IF(NETWORKDAYS(C1395,TODAY())&lt;5,"Risco Médio",""),IF(NETWORKDAYS(C1395,TODAY())&lt;=2,"Risco Baixo",""))))</f>
        <v>Expedido</v>
      </c>
      <c r="P1395" s="5" t="s">
        <v>25</v>
      </c>
      <c r="Q1395" s="5" t="s">
        <v>897</v>
      </c>
      <c r="S1395" s="7">
        <f>IF(ISBLANK(M1395),"Aguardando Previsão/Data",NETWORKDAYS(L1395,M1395)-1)</f>
        <v>-3</v>
      </c>
      <c r="T1395" s="5" t="s">
        <v>942</v>
      </c>
    </row>
    <row r="1396" spans="1:20" x14ac:dyDescent="0.35">
      <c r="A1396" s="5">
        <v>8100275187</v>
      </c>
      <c r="B1396" s="5">
        <v>21203</v>
      </c>
      <c r="C1396" s="6">
        <v>45670</v>
      </c>
      <c r="D1396" s="5" t="s">
        <v>17</v>
      </c>
      <c r="E1396" s="5" t="s">
        <v>18</v>
      </c>
      <c r="F1396" s="5" t="s">
        <v>27</v>
      </c>
      <c r="G1396" s="5" t="s">
        <v>28</v>
      </c>
      <c r="H1396" s="5" t="s">
        <v>21</v>
      </c>
      <c r="I1396" s="5" t="s">
        <v>328</v>
      </c>
      <c r="J1396" s="5" t="s">
        <v>28</v>
      </c>
      <c r="K1396" s="5" t="s">
        <v>24</v>
      </c>
      <c r="L1396" s="6">
        <v>45677</v>
      </c>
      <c r="M1396" s="6">
        <v>45673</v>
      </c>
      <c r="N1396" s="6" t="s">
        <v>811</v>
      </c>
      <c r="O1396" s="5" t="str">
        <f ca="1">IF(P1396&lt;&gt;"EXPEDIÇÃO","Expedido",IF(NETWORKDAYS(C1396,TODAY())&gt;=5,"Risco Alto",IF(NETWORKDAYS(C1396,TODAY())&gt;=3,IF(NETWORKDAYS(C1396,TODAY())&lt;5,"Risco Médio",""),IF(NETWORKDAYS(C1396,TODAY())&lt;=2,"Risco Baixo",""))))</f>
        <v>Expedido</v>
      </c>
      <c r="P1396" s="5" t="s">
        <v>25</v>
      </c>
      <c r="S1396" s="7">
        <f>IF(ISBLANK(M1396),"Aguardando Previsão/Data",NETWORKDAYS(L1396,M1396)-1)</f>
        <v>-4</v>
      </c>
      <c r="T1396" s="5" t="s">
        <v>942</v>
      </c>
    </row>
    <row r="1397" spans="1:20" x14ac:dyDescent="0.35">
      <c r="A1397" s="5">
        <v>8100275189</v>
      </c>
      <c r="B1397" s="5">
        <v>21197</v>
      </c>
      <c r="C1397" s="6">
        <v>45670</v>
      </c>
      <c r="D1397" s="5" t="s">
        <v>17</v>
      </c>
      <c r="E1397" s="5" t="s">
        <v>18</v>
      </c>
      <c r="F1397" s="5" t="s">
        <v>19</v>
      </c>
      <c r="G1397" s="5" t="s">
        <v>20</v>
      </c>
      <c r="H1397" s="5" t="s">
        <v>21</v>
      </c>
      <c r="I1397" s="5" t="s">
        <v>891</v>
      </c>
      <c r="J1397" s="5" t="s">
        <v>43</v>
      </c>
      <c r="K1397" s="5" t="s">
        <v>24</v>
      </c>
      <c r="L1397" s="6">
        <v>45677</v>
      </c>
      <c r="M1397" s="6">
        <v>45673</v>
      </c>
      <c r="N1397" s="6" t="s">
        <v>811</v>
      </c>
      <c r="O1397" s="5" t="str">
        <f ca="1">IF(P1397&lt;&gt;"EXPEDIÇÃO","Expedido",IF(NETWORKDAYS(C1397,TODAY())&gt;=5,"Risco Alto",IF(NETWORKDAYS(C1397,TODAY())&gt;=3,IF(NETWORKDAYS(C1397,TODAY())&lt;5,"Risco Médio",""),IF(NETWORKDAYS(C1397,TODAY())&lt;=2,"Risco Baixo",""))))</f>
        <v>Expedido</v>
      </c>
      <c r="P1397" s="5" t="s">
        <v>25</v>
      </c>
      <c r="Q1397" s="5" t="s">
        <v>897</v>
      </c>
      <c r="S1397" s="7">
        <f>IF(ISBLANK(M1397),"Aguardando Previsão/Data",NETWORKDAYS(L1397,M1397)-1)</f>
        <v>-4</v>
      </c>
      <c r="T1397" s="5" t="s">
        <v>942</v>
      </c>
    </row>
    <row r="1398" spans="1:20" x14ac:dyDescent="0.35">
      <c r="A1398" s="5">
        <v>8100275191</v>
      </c>
      <c r="B1398" s="5">
        <v>21198</v>
      </c>
      <c r="C1398" s="6">
        <v>45670</v>
      </c>
      <c r="D1398" s="5" t="s">
        <v>17</v>
      </c>
      <c r="E1398" s="5" t="s">
        <v>18</v>
      </c>
      <c r="F1398" s="5" t="s">
        <v>19</v>
      </c>
      <c r="G1398" s="5" t="s">
        <v>20</v>
      </c>
      <c r="H1398" s="5" t="s">
        <v>21</v>
      </c>
      <c r="I1398" s="5" t="s">
        <v>891</v>
      </c>
      <c r="J1398" s="5" t="s">
        <v>43</v>
      </c>
      <c r="K1398" s="5" t="s">
        <v>24</v>
      </c>
      <c r="L1398" s="6">
        <v>45677</v>
      </c>
      <c r="M1398" s="6">
        <v>45678</v>
      </c>
      <c r="N1398" s="6" t="s">
        <v>811</v>
      </c>
      <c r="O1398" s="5" t="str">
        <f ca="1">IF(P1398&lt;&gt;"EXPEDIÇÃO","Expedido",IF(NETWORKDAYS(C1398,TODAY())&gt;=5,"Risco Alto",IF(NETWORKDAYS(C1398,TODAY())&gt;=3,IF(NETWORKDAYS(C1398,TODAY())&lt;5,"Risco Médio",""),IF(NETWORKDAYS(C1398,TODAY())&lt;=2,"Risco Baixo",""))))</f>
        <v>Expedido</v>
      </c>
      <c r="P1398" s="5" t="s">
        <v>25</v>
      </c>
      <c r="Q1398" s="5" t="s">
        <v>897</v>
      </c>
      <c r="R1398" s="5">
        <v>1686854</v>
      </c>
      <c r="S1398" s="7">
        <f>IF(ISBLANK(M1398),"Aguardando Previsão/Data",NETWORKDAYS(L1398,M1398)-1)</f>
        <v>1</v>
      </c>
      <c r="T1398" s="5" t="s">
        <v>942</v>
      </c>
    </row>
    <row r="1399" spans="1:20" x14ac:dyDescent="0.35">
      <c r="A1399" s="5">
        <v>8100275193</v>
      </c>
      <c r="B1399" s="5">
        <v>21199</v>
      </c>
      <c r="C1399" s="6">
        <v>45670</v>
      </c>
      <c r="D1399" s="5" t="s">
        <v>17</v>
      </c>
      <c r="E1399" s="5" t="s">
        <v>18</v>
      </c>
      <c r="F1399" s="5" t="s">
        <v>19</v>
      </c>
      <c r="G1399" s="5" t="s">
        <v>20</v>
      </c>
      <c r="H1399" s="5" t="s">
        <v>21</v>
      </c>
      <c r="I1399" s="5" t="s">
        <v>891</v>
      </c>
      <c r="J1399" s="5" t="s">
        <v>43</v>
      </c>
      <c r="K1399" s="5" t="s">
        <v>24</v>
      </c>
      <c r="L1399" s="6">
        <v>45677</v>
      </c>
      <c r="M1399" s="6">
        <v>45674</v>
      </c>
      <c r="N1399" s="6" t="s">
        <v>811</v>
      </c>
      <c r="O1399" s="5" t="str">
        <f ca="1">IF(P1399&lt;&gt;"EXPEDIÇÃO","Expedido",IF(NETWORKDAYS(C1399,TODAY())&gt;=5,"Risco Alto",IF(NETWORKDAYS(C1399,TODAY())&gt;=3,IF(NETWORKDAYS(C1399,TODAY())&lt;5,"Risco Médio",""),IF(NETWORKDAYS(C1399,TODAY())&lt;=2,"Risco Baixo",""))))</f>
        <v>Expedido</v>
      </c>
      <c r="P1399" s="5" t="s">
        <v>25</v>
      </c>
      <c r="Q1399" s="5" t="s">
        <v>897</v>
      </c>
      <c r="S1399" s="7">
        <f>IF(ISBLANK(M1399),"Aguardando Previsão/Data",NETWORKDAYS(L1399,M1399)-1)</f>
        <v>-3</v>
      </c>
      <c r="T1399" s="5" t="s">
        <v>942</v>
      </c>
    </row>
    <row r="1400" spans="1:20" x14ac:dyDescent="0.35">
      <c r="A1400" s="5">
        <v>8100275194</v>
      </c>
      <c r="B1400" s="5">
        <v>21200</v>
      </c>
      <c r="C1400" s="6">
        <v>45670</v>
      </c>
      <c r="D1400" s="5" t="s">
        <v>17</v>
      </c>
      <c r="E1400" s="5" t="s">
        <v>18</v>
      </c>
      <c r="F1400" s="5" t="s">
        <v>19</v>
      </c>
      <c r="G1400" s="5" t="s">
        <v>20</v>
      </c>
      <c r="H1400" s="5" t="s">
        <v>21</v>
      </c>
      <c r="I1400" s="5" t="s">
        <v>891</v>
      </c>
      <c r="J1400" s="5" t="s">
        <v>43</v>
      </c>
      <c r="K1400" s="5" t="s">
        <v>24</v>
      </c>
      <c r="L1400" s="6">
        <v>45677</v>
      </c>
      <c r="M1400" s="6">
        <v>45678</v>
      </c>
      <c r="N1400" s="6" t="s">
        <v>811</v>
      </c>
      <c r="O1400" s="5" t="str">
        <f ca="1">IF(P1400&lt;&gt;"EXPEDIÇÃO","Expedido",IF(NETWORKDAYS(C1400,TODAY())&gt;=5,"Risco Alto",IF(NETWORKDAYS(C1400,TODAY())&gt;=3,IF(NETWORKDAYS(C1400,TODAY())&lt;5,"Risco Médio",""),IF(NETWORKDAYS(C1400,TODAY())&lt;=2,"Risco Baixo",""))))</f>
        <v>Expedido</v>
      </c>
      <c r="P1400" s="5" t="s">
        <v>25</v>
      </c>
      <c r="Q1400" s="5" t="s">
        <v>897</v>
      </c>
      <c r="R1400" s="5">
        <v>1686854</v>
      </c>
      <c r="S1400" s="7">
        <f>IF(ISBLANK(M1400),"Aguardando Previsão/Data",NETWORKDAYS(L1400,M1400)-1)</f>
        <v>1</v>
      </c>
      <c r="T1400" s="5" t="s">
        <v>942</v>
      </c>
    </row>
    <row r="1401" spans="1:20" x14ac:dyDescent="0.35">
      <c r="A1401" s="5">
        <v>8100275334</v>
      </c>
      <c r="B1401" s="5">
        <v>21218</v>
      </c>
      <c r="C1401" s="6">
        <v>45670</v>
      </c>
      <c r="D1401" s="5" t="s">
        <v>17</v>
      </c>
      <c r="E1401" s="5" t="s">
        <v>18</v>
      </c>
      <c r="F1401" s="5" t="s">
        <v>27</v>
      </c>
      <c r="G1401" s="5" t="s">
        <v>28</v>
      </c>
      <c r="H1401" s="5" t="s">
        <v>21</v>
      </c>
      <c r="I1401" s="5" t="s">
        <v>415</v>
      </c>
      <c r="J1401" s="5" t="s">
        <v>364</v>
      </c>
      <c r="K1401" s="5" t="s">
        <v>24</v>
      </c>
      <c r="L1401" s="6">
        <v>45677</v>
      </c>
      <c r="M1401" s="6">
        <v>45674</v>
      </c>
      <c r="N1401" s="6" t="s">
        <v>811</v>
      </c>
      <c r="O1401" s="5" t="str">
        <f ca="1">IF(P1401&lt;&gt;"EXPEDIÇÃO","Expedido",IF(NETWORKDAYS(C1401,TODAY())&gt;=5,"Risco Alto",IF(NETWORKDAYS(C1401,TODAY())&gt;=3,IF(NETWORKDAYS(C1401,TODAY())&lt;5,"Risco Médio",""),IF(NETWORKDAYS(C1401,TODAY())&lt;=2,"Risco Baixo",""))))</f>
        <v>Expedido</v>
      </c>
      <c r="P1401" s="5" t="s">
        <v>25</v>
      </c>
      <c r="Q1401" s="5" t="s">
        <v>897</v>
      </c>
      <c r="S1401" s="7">
        <f>IF(ISBLANK(M1401),"Aguardando Previsão/Data",NETWORKDAYS(L1401,M1401)-1)</f>
        <v>-3</v>
      </c>
      <c r="T1401" s="5" t="s">
        <v>942</v>
      </c>
    </row>
    <row r="1402" spans="1:20" x14ac:dyDescent="0.35">
      <c r="A1402" s="5">
        <v>8100275335</v>
      </c>
      <c r="B1402" s="5">
        <v>21214</v>
      </c>
      <c r="C1402" s="6">
        <v>45670</v>
      </c>
      <c r="D1402" s="5" t="s">
        <v>17</v>
      </c>
      <c r="E1402" s="5" t="s">
        <v>18</v>
      </c>
      <c r="F1402" s="5" t="s">
        <v>27</v>
      </c>
      <c r="G1402" s="5" t="s">
        <v>28</v>
      </c>
      <c r="H1402" s="5" t="s">
        <v>21</v>
      </c>
      <c r="I1402" s="5" t="s">
        <v>1001</v>
      </c>
      <c r="J1402" s="5" t="s">
        <v>364</v>
      </c>
      <c r="K1402" s="5" t="s">
        <v>24</v>
      </c>
      <c r="L1402" s="6">
        <v>45677</v>
      </c>
      <c r="M1402" s="6">
        <v>45677</v>
      </c>
      <c r="N1402" s="6" t="s">
        <v>811</v>
      </c>
      <c r="O1402" s="5" t="str">
        <f ca="1">IF(P1402&lt;&gt;"EXPEDIÇÃO","Expedido",IF(NETWORKDAYS(C1402,TODAY())&gt;=5,"Risco Alto",IF(NETWORKDAYS(C1402,TODAY())&gt;=3,IF(NETWORKDAYS(C1402,TODAY())&lt;5,"Risco Médio",""),IF(NETWORKDAYS(C1402,TODAY())&lt;=2,"Risco Baixo",""))))</f>
        <v>Expedido</v>
      </c>
      <c r="P1402" s="5" t="s">
        <v>25</v>
      </c>
      <c r="S1402" s="7">
        <f>IF(ISBLANK(M1402),"Aguardando Previsão/Data",NETWORKDAYS(L1402,M1402)-1)</f>
        <v>0</v>
      </c>
      <c r="T1402" s="5" t="s">
        <v>942</v>
      </c>
    </row>
    <row r="1403" spans="1:20" x14ac:dyDescent="0.35">
      <c r="A1403" s="5">
        <v>8100275336</v>
      </c>
      <c r="B1403" s="5">
        <v>21217</v>
      </c>
      <c r="C1403" s="6">
        <v>45670</v>
      </c>
      <c r="D1403" s="5" t="s">
        <v>17</v>
      </c>
      <c r="E1403" s="5" t="s">
        <v>18</v>
      </c>
      <c r="F1403" s="5" t="s">
        <v>27</v>
      </c>
      <c r="G1403" s="5" t="s">
        <v>28</v>
      </c>
      <c r="H1403" s="5" t="s">
        <v>21</v>
      </c>
      <c r="I1403" s="5" t="s">
        <v>415</v>
      </c>
      <c r="J1403" s="5" t="s">
        <v>364</v>
      </c>
      <c r="K1403" s="5" t="s">
        <v>24</v>
      </c>
      <c r="L1403" s="6">
        <v>45677</v>
      </c>
      <c r="M1403" s="6">
        <v>45674</v>
      </c>
      <c r="N1403" s="6" t="s">
        <v>811</v>
      </c>
      <c r="O1403" s="5" t="str">
        <f ca="1">IF(P1403&lt;&gt;"EXPEDIÇÃO","Expedido",IF(NETWORKDAYS(C1403,TODAY())&gt;=5,"Risco Alto",IF(NETWORKDAYS(C1403,TODAY())&gt;=3,IF(NETWORKDAYS(C1403,TODAY())&lt;5,"Risco Médio",""),IF(NETWORKDAYS(C1403,TODAY())&lt;=2,"Risco Baixo",""))))</f>
        <v>Expedido</v>
      </c>
      <c r="P1403" s="5" t="s">
        <v>25</v>
      </c>
      <c r="Q1403" s="5" t="s">
        <v>897</v>
      </c>
      <c r="S1403" s="7">
        <f>IF(ISBLANK(M1403),"Aguardando Previsão/Data",NETWORKDAYS(L1403,M1403)-1)</f>
        <v>-3</v>
      </c>
      <c r="T1403" s="5" t="s">
        <v>942</v>
      </c>
    </row>
    <row r="1404" spans="1:20" x14ac:dyDescent="0.35">
      <c r="A1404" s="5">
        <v>8100275337</v>
      </c>
      <c r="B1404" s="5">
        <v>21209</v>
      </c>
      <c r="C1404" s="6">
        <v>45670</v>
      </c>
      <c r="D1404" s="5" t="s">
        <v>17</v>
      </c>
      <c r="E1404" s="5" t="s">
        <v>18</v>
      </c>
      <c r="F1404" s="5" t="s">
        <v>44</v>
      </c>
      <c r="G1404" s="5" t="s">
        <v>45</v>
      </c>
      <c r="H1404" s="5" t="s">
        <v>21</v>
      </c>
      <c r="I1404" s="5" t="s">
        <v>961</v>
      </c>
      <c r="J1404" s="5" t="s">
        <v>606</v>
      </c>
      <c r="K1404" s="5" t="s">
        <v>24</v>
      </c>
      <c r="L1404" s="6">
        <v>45680</v>
      </c>
      <c r="M1404" s="6">
        <v>45674</v>
      </c>
      <c r="N1404" s="6" t="s">
        <v>811</v>
      </c>
      <c r="O1404" s="5" t="str">
        <f ca="1">IF(P1404&lt;&gt;"EXPEDIÇÃO","Expedido",IF(NETWORKDAYS(C1404,TODAY())&gt;=5,"Risco Alto",IF(NETWORKDAYS(C1404,TODAY())&gt;=3,IF(NETWORKDAYS(C1404,TODAY())&lt;5,"Risco Médio",""),IF(NETWORKDAYS(C1404,TODAY())&lt;=2,"Risco Baixo",""))))</f>
        <v>Expedido</v>
      </c>
      <c r="P1404" s="5" t="s">
        <v>25</v>
      </c>
      <c r="S1404" s="7">
        <f>IF(ISBLANK(M1404),"Aguardando Previsão/Data",NETWORKDAYS(L1404,M1404)-1)</f>
        <v>-6</v>
      </c>
      <c r="T1404" s="5" t="s">
        <v>942</v>
      </c>
    </row>
    <row r="1405" spans="1:20" x14ac:dyDescent="0.35">
      <c r="A1405" s="5">
        <v>8100275338</v>
      </c>
      <c r="B1405" s="5">
        <v>21216</v>
      </c>
      <c r="C1405" s="6">
        <v>45670</v>
      </c>
      <c r="D1405" s="5" t="s">
        <v>17</v>
      </c>
      <c r="E1405" s="5" t="s">
        <v>18</v>
      </c>
      <c r="F1405" s="5" t="s">
        <v>84</v>
      </c>
      <c r="G1405" s="5" t="s">
        <v>85</v>
      </c>
      <c r="H1405" s="5" t="s">
        <v>21</v>
      </c>
      <c r="I1405" s="5" t="s">
        <v>432</v>
      </c>
      <c r="J1405" s="5" t="s">
        <v>259</v>
      </c>
      <c r="K1405" s="5" t="s">
        <v>24</v>
      </c>
      <c r="L1405" s="6">
        <v>45678</v>
      </c>
      <c r="M1405" s="6">
        <v>45677</v>
      </c>
      <c r="N1405" s="6" t="s">
        <v>811</v>
      </c>
      <c r="O1405" s="5" t="str">
        <f ca="1">IF(P1405&lt;&gt;"EXPEDIÇÃO","Expedido",IF(NETWORKDAYS(C1405,TODAY())&gt;=5,"Risco Alto",IF(NETWORKDAYS(C1405,TODAY())&gt;=3,IF(NETWORKDAYS(C1405,TODAY())&lt;5,"Risco Médio",""),IF(NETWORKDAYS(C1405,TODAY())&lt;=2,"Risco Baixo",""))))</f>
        <v>Expedido</v>
      </c>
      <c r="P1405" s="5" t="s">
        <v>25</v>
      </c>
      <c r="S1405" s="7">
        <f>IF(ISBLANK(M1405),"Aguardando Previsão/Data",NETWORKDAYS(L1405,M1405)-1)</f>
        <v>-3</v>
      </c>
      <c r="T1405" s="5" t="s">
        <v>942</v>
      </c>
    </row>
    <row r="1406" spans="1:20" x14ac:dyDescent="0.35">
      <c r="A1406" s="5">
        <v>8100275340</v>
      </c>
      <c r="B1406" s="5">
        <v>21212</v>
      </c>
      <c r="C1406" s="6">
        <v>45670</v>
      </c>
      <c r="D1406" s="5" t="s">
        <v>17</v>
      </c>
      <c r="E1406" s="5" t="s">
        <v>18</v>
      </c>
      <c r="F1406" s="5" t="s">
        <v>32</v>
      </c>
      <c r="G1406" s="5" t="s">
        <v>33</v>
      </c>
      <c r="H1406" s="5" t="s">
        <v>21</v>
      </c>
      <c r="I1406" s="5" t="s">
        <v>258</v>
      </c>
      <c r="J1406" s="5" t="s">
        <v>713</v>
      </c>
      <c r="K1406" s="5" t="s">
        <v>24</v>
      </c>
      <c r="L1406" s="6">
        <v>45677</v>
      </c>
      <c r="M1406" s="6">
        <v>45674</v>
      </c>
      <c r="N1406" s="6" t="s">
        <v>811</v>
      </c>
      <c r="O1406" s="5" t="str">
        <f ca="1">IF(P1406&lt;&gt;"EXPEDIÇÃO","Expedido",IF(NETWORKDAYS(C1406,TODAY())&gt;=5,"Risco Alto",IF(NETWORKDAYS(C1406,TODAY())&gt;=3,IF(NETWORKDAYS(C1406,TODAY())&lt;5,"Risco Médio",""),IF(NETWORKDAYS(C1406,TODAY())&lt;=2,"Risco Baixo",""))))</f>
        <v>Expedido</v>
      </c>
      <c r="P1406" s="5" t="s">
        <v>25</v>
      </c>
      <c r="S1406" s="7">
        <f>IF(ISBLANK(M1406),"Aguardando Previsão/Data",NETWORKDAYS(L1406,M1406)-1)</f>
        <v>-3</v>
      </c>
      <c r="T1406" s="5" t="s">
        <v>942</v>
      </c>
    </row>
    <row r="1407" spans="1:20" x14ac:dyDescent="0.35">
      <c r="A1407" s="5">
        <v>8100275341</v>
      </c>
      <c r="B1407" s="5">
        <v>21206</v>
      </c>
      <c r="C1407" s="6">
        <v>45670</v>
      </c>
      <c r="D1407" s="5" t="s">
        <v>17</v>
      </c>
      <c r="E1407" s="5" t="s">
        <v>18</v>
      </c>
      <c r="F1407" s="5" t="s">
        <v>19</v>
      </c>
      <c r="G1407" s="5" t="s">
        <v>20</v>
      </c>
      <c r="H1407" s="5" t="s">
        <v>21</v>
      </c>
      <c r="I1407" s="5" t="s">
        <v>1264</v>
      </c>
      <c r="J1407" s="5" t="s">
        <v>713</v>
      </c>
      <c r="K1407" s="5" t="s">
        <v>24</v>
      </c>
      <c r="L1407" s="6">
        <v>45677</v>
      </c>
      <c r="M1407" s="6">
        <v>45674</v>
      </c>
      <c r="N1407" s="6" t="s">
        <v>811</v>
      </c>
      <c r="O1407" s="5" t="str">
        <f ca="1">IF(P1407&lt;&gt;"EXPEDIÇÃO","Expedido",IF(NETWORKDAYS(C1407,TODAY())&gt;=5,"Risco Alto",IF(NETWORKDAYS(C1407,TODAY())&gt;=3,IF(NETWORKDAYS(C1407,TODAY())&lt;5,"Risco Médio",""),IF(NETWORKDAYS(C1407,TODAY())&lt;=2,"Risco Baixo",""))))</f>
        <v>Expedido</v>
      </c>
      <c r="P1407" s="5" t="s">
        <v>25</v>
      </c>
      <c r="S1407" s="7">
        <f>IF(ISBLANK(M1407),"Aguardando Previsão/Data",NETWORKDAYS(L1407,M1407)-1)</f>
        <v>-3</v>
      </c>
      <c r="T1407" s="5" t="s">
        <v>942</v>
      </c>
    </row>
    <row r="1408" spans="1:20" x14ac:dyDescent="0.35">
      <c r="A1408" s="5">
        <v>8100275342</v>
      </c>
      <c r="B1408" s="5">
        <v>21213</v>
      </c>
      <c r="C1408" s="6">
        <v>45670</v>
      </c>
      <c r="D1408" s="5" t="s">
        <v>17</v>
      </c>
      <c r="E1408" s="5" t="s">
        <v>18</v>
      </c>
      <c r="F1408" s="5" t="s">
        <v>44</v>
      </c>
      <c r="G1408" s="5" t="s">
        <v>45</v>
      </c>
      <c r="H1408" s="5" t="s">
        <v>21</v>
      </c>
      <c r="I1408" s="5" t="s">
        <v>1300</v>
      </c>
      <c r="J1408" s="5" t="s">
        <v>45</v>
      </c>
      <c r="K1408" s="5" t="s">
        <v>24</v>
      </c>
      <c r="L1408" s="6">
        <v>45677</v>
      </c>
      <c r="M1408" s="6">
        <v>45675</v>
      </c>
      <c r="N1408" s="6" t="s">
        <v>811</v>
      </c>
      <c r="O1408" s="5" t="str">
        <f ca="1">IF(P1408&lt;&gt;"EXPEDIÇÃO","Expedido",IF(NETWORKDAYS(C1408,TODAY())&gt;=5,"Risco Alto",IF(NETWORKDAYS(C1408,TODAY())&gt;=3,IF(NETWORKDAYS(C1408,TODAY())&lt;5,"Risco Médio",""),IF(NETWORKDAYS(C1408,TODAY())&lt;=2,"Risco Baixo",""))))</f>
        <v>Expedido</v>
      </c>
      <c r="P1408" s="5" t="s">
        <v>25</v>
      </c>
      <c r="S1408" s="7">
        <f>IF(ISBLANK(M1408),"Aguardando Previsão/Data",NETWORKDAYS(L1408,M1408)-1)</f>
        <v>-2</v>
      </c>
      <c r="T1408" s="5" t="s">
        <v>942</v>
      </c>
    </row>
    <row r="1409" spans="1:20" x14ac:dyDescent="0.35">
      <c r="A1409" s="5">
        <v>8100275343</v>
      </c>
      <c r="B1409" s="5">
        <v>21208</v>
      </c>
      <c r="C1409" s="6">
        <v>45670</v>
      </c>
      <c r="D1409" s="5" t="s">
        <v>17</v>
      </c>
      <c r="E1409" s="5" t="s">
        <v>18</v>
      </c>
      <c r="F1409" s="5" t="s">
        <v>84</v>
      </c>
      <c r="G1409" s="5" t="s">
        <v>85</v>
      </c>
      <c r="H1409" s="5" t="s">
        <v>21</v>
      </c>
      <c r="I1409" s="5" t="s">
        <v>432</v>
      </c>
      <c r="J1409" s="5" t="s">
        <v>259</v>
      </c>
      <c r="K1409" s="5" t="s">
        <v>24</v>
      </c>
      <c r="L1409" s="6">
        <v>45678</v>
      </c>
      <c r="M1409" s="6">
        <v>45673</v>
      </c>
      <c r="N1409" s="6" t="s">
        <v>811</v>
      </c>
      <c r="O1409" s="5" t="str">
        <f ca="1">IF(P1409&lt;&gt;"EXPEDIÇÃO","Expedido",IF(NETWORKDAYS(C1409,TODAY())&gt;=5,"Risco Alto",IF(NETWORKDAYS(C1409,TODAY())&gt;=3,IF(NETWORKDAYS(C1409,TODAY())&lt;5,"Risco Médio",""),IF(NETWORKDAYS(C1409,TODAY())&lt;=2,"Risco Baixo",""))))</f>
        <v>Expedido</v>
      </c>
      <c r="P1409" s="5" t="s">
        <v>25</v>
      </c>
      <c r="S1409" s="7">
        <f>IF(ISBLANK(M1409),"Aguardando Previsão/Data",NETWORKDAYS(L1409,M1409)-1)</f>
        <v>-5</v>
      </c>
      <c r="T1409" s="5" t="s">
        <v>942</v>
      </c>
    </row>
    <row r="1410" spans="1:20" x14ac:dyDescent="0.35">
      <c r="A1410" s="5">
        <v>8100275345</v>
      </c>
      <c r="B1410" s="5">
        <v>21215</v>
      </c>
      <c r="C1410" s="6">
        <v>45670</v>
      </c>
      <c r="D1410" s="5" t="s">
        <v>17</v>
      </c>
      <c r="E1410" s="5" t="s">
        <v>18</v>
      </c>
      <c r="F1410" s="5" t="s">
        <v>44</v>
      </c>
      <c r="G1410" s="5" t="s">
        <v>45</v>
      </c>
      <c r="H1410" s="5" t="s">
        <v>21</v>
      </c>
      <c r="I1410" s="5" t="s">
        <v>1301</v>
      </c>
      <c r="J1410" s="5" t="s">
        <v>256</v>
      </c>
      <c r="K1410" s="5" t="s">
        <v>24</v>
      </c>
      <c r="L1410" s="6">
        <v>45677</v>
      </c>
      <c r="M1410" s="6">
        <v>45673</v>
      </c>
      <c r="N1410" s="6" t="s">
        <v>811</v>
      </c>
      <c r="O1410" s="5" t="str">
        <f ca="1">IF(P1410&lt;&gt;"EXPEDIÇÃO","Expedido",IF(NETWORKDAYS(C1410,TODAY())&gt;=5,"Risco Alto",IF(NETWORKDAYS(C1410,TODAY())&gt;=3,IF(NETWORKDAYS(C1410,TODAY())&lt;5,"Risco Médio",""),IF(NETWORKDAYS(C1410,TODAY())&lt;=2,"Risco Baixo",""))))</f>
        <v>Expedido</v>
      </c>
      <c r="P1410" s="5" t="s">
        <v>25</v>
      </c>
      <c r="S1410" s="7">
        <f>IF(ISBLANK(M1410),"Aguardando Previsão/Data",NETWORKDAYS(L1410,M1410)-1)</f>
        <v>-4</v>
      </c>
      <c r="T1410" s="5" t="s">
        <v>942</v>
      </c>
    </row>
    <row r="1411" spans="1:20" x14ac:dyDescent="0.35">
      <c r="A1411" s="5">
        <v>8100273504</v>
      </c>
      <c r="B1411" s="5">
        <v>13189</v>
      </c>
      <c r="C1411" s="6">
        <v>45670</v>
      </c>
      <c r="D1411" s="5" t="s">
        <v>91</v>
      </c>
      <c r="E1411" s="5" t="s">
        <v>92</v>
      </c>
      <c r="F1411" s="5" t="s">
        <v>96</v>
      </c>
      <c r="G1411" s="5" t="s">
        <v>97</v>
      </c>
      <c r="H1411" s="5" t="s">
        <v>21</v>
      </c>
      <c r="I1411" s="5" t="s">
        <v>750</v>
      </c>
      <c r="J1411" s="5" t="s">
        <v>426</v>
      </c>
      <c r="K1411" s="5" t="s">
        <v>95</v>
      </c>
      <c r="L1411" s="6">
        <v>45677</v>
      </c>
      <c r="M1411" s="6">
        <v>45673</v>
      </c>
      <c r="N1411" s="6" t="s">
        <v>811</v>
      </c>
      <c r="O1411" s="5" t="str">
        <f ca="1">IF(P1411&lt;&gt;"EXPEDIÇÃO","Expedido",IF(NETWORKDAYS(C1411,TODAY())&gt;=5,"Risco Alto",IF(NETWORKDAYS(C1411,TODAY())&gt;=3,IF(NETWORKDAYS(C1411,TODAY())&lt;5,"Risco Médio",""),IF(NETWORKDAYS(C1411,TODAY())&lt;=2,"Risco Baixo",""))))</f>
        <v>Expedido</v>
      </c>
      <c r="P1411" s="5" t="s">
        <v>25</v>
      </c>
      <c r="S1411" s="7">
        <f>IF(ISBLANK(M1411),"Aguardando Previsão/Data",NETWORKDAYS(L1411,M1411)-1)</f>
        <v>-4</v>
      </c>
      <c r="T1411" s="5" t="s">
        <v>942</v>
      </c>
    </row>
    <row r="1412" spans="1:20" x14ac:dyDescent="0.35">
      <c r="A1412" s="5">
        <v>8100274634</v>
      </c>
      <c r="B1412" s="5">
        <v>13181</v>
      </c>
      <c r="C1412" s="6">
        <v>45670</v>
      </c>
      <c r="D1412" s="5" t="s">
        <v>91</v>
      </c>
      <c r="E1412" s="5" t="s">
        <v>92</v>
      </c>
      <c r="F1412" s="5" t="s">
        <v>96</v>
      </c>
      <c r="G1412" s="5" t="s">
        <v>97</v>
      </c>
      <c r="H1412" s="5" t="s">
        <v>21</v>
      </c>
      <c r="I1412" s="5" t="s">
        <v>750</v>
      </c>
      <c r="J1412" s="5" t="s">
        <v>426</v>
      </c>
      <c r="K1412" s="5" t="s">
        <v>95</v>
      </c>
      <c r="L1412" s="6">
        <v>45677</v>
      </c>
      <c r="M1412" s="6">
        <v>45671</v>
      </c>
      <c r="N1412" s="6" t="s">
        <v>811</v>
      </c>
      <c r="O1412" s="5" t="str">
        <f ca="1">IF(P1412&lt;&gt;"EXPEDIÇÃO","Expedido",IF(NETWORKDAYS(C1412,TODAY())&gt;=5,"Risco Alto",IF(NETWORKDAYS(C1412,TODAY())&gt;=3,IF(NETWORKDAYS(C1412,TODAY())&lt;5,"Risco Médio",""),IF(NETWORKDAYS(C1412,TODAY())&lt;=2,"Risco Baixo",""))))</f>
        <v>Expedido</v>
      </c>
      <c r="P1412" s="5" t="s">
        <v>25</v>
      </c>
      <c r="S1412" s="7">
        <f>IF(ISBLANK(M1412),"Aguardando Previsão/Data",NETWORKDAYS(L1412,M1412)-1)</f>
        <v>-6</v>
      </c>
      <c r="T1412" s="5" t="s">
        <v>942</v>
      </c>
    </row>
    <row r="1413" spans="1:20" x14ac:dyDescent="0.35">
      <c r="A1413" s="5">
        <v>8100274635</v>
      </c>
      <c r="B1413" s="5">
        <v>13182</v>
      </c>
      <c r="C1413" s="6">
        <v>45670</v>
      </c>
      <c r="D1413" s="5" t="s">
        <v>91</v>
      </c>
      <c r="E1413" s="5" t="s">
        <v>92</v>
      </c>
      <c r="F1413" s="5" t="s">
        <v>96</v>
      </c>
      <c r="G1413" s="5" t="s">
        <v>97</v>
      </c>
      <c r="H1413" s="5" t="s">
        <v>21</v>
      </c>
      <c r="I1413" s="5" t="s">
        <v>750</v>
      </c>
      <c r="J1413" s="5" t="s">
        <v>636</v>
      </c>
      <c r="K1413" s="5" t="s">
        <v>95</v>
      </c>
      <c r="L1413" s="6">
        <v>45677</v>
      </c>
      <c r="M1413" s="6">
        <v>45671</v>
      </c>
      <c r="N1413" s="6" t="s">
        <v>811</v>
      </c>
      <c r="O1413" s="5" t="str">
        <f ca="1">IF(P1413&lt;&gt;"EXPEDIÇÃO","Expedido",IF(NETWORKDAYS(C1413,TODAY())&gt;=5,"Risco Alto",IF(NETWORKDAYS(C1413,TODAY())&gt;=3,IF(NETWORKDAYS(C1413,TODAY())&lt;5,"Risco Médio",""),IF(NETWORKDAYS(C1413,TODAY())&lt;=2,"Risco Baixo",""))))</f>
        <v>Expedido</v>
      </c>
      <c r="P1413" s="5" t="s">
        <v>25</v>
      </c>
      <c r="S1413" s="7">
        <f>IF(ISBLANK(M1413),"Aguardando Previsão/Data",NETWORKDAYS(L1413,M1413)-1)</f>
        <v>-6</v>
      </c>
      <c r="T1413" s="5" t="s">
        <v>942</v>
      </c>
    </row>
    <row r="1414" spans="1:20" x14ac:dyDescent="0.35">
      <c r="A1414" s="5">
        <v>8100274637</v>
      </c>
      <c r="B1414" s="5">
        <v>13193</v>
      </c>
      <c r="C1414" s="6">
        <v>45670</v>
      </c>
      <c r="D1414" s="5" t="s">
        <v>91</v>
      </c>
      <c r="E1414" s="5" t="s">
        <v>92</v>
      </c>
      <c r="F1414" s="5" t="s">
        <v>96</v>
      </c>
      <c r="G1414" s="5" t="s">
        <v>97</v>
      </c>
      <c r="H1414" s="5" t="s">
        <v>21</v>
      </c>
      <c r="I1414" s="5" t="s">
        <v>1274</v>
      </c>
      <c r="J1414" s="5" t="s">
        <v>99</v>
      </c>
      <c r="K1414" s="5" t="s">
        <v>95</v>
      </c>
      <c r="L1414" s="6">
        <v>45674</v>
      </c>
      <c r="M1414" s="6">
        <v>45672</v>
      </c>
      <c r="N1414" s="6" t="s">
        <v>811</v>
      </c>
      <c r="O1414" s="5" t="str">
        <f ca="1">IF(P1414&lt;&gt;"EXPEDIÇÃO","Expedido",IF(NETWORKDAYS(C1414,TODAY())&gt;=5,"Risco Alto",IF(NETWORKDAYS(C1414,TODAY())&gt;=3,IF(NETWORKDAYS(C1414,TODAY())&lt;5,"Risco Médio",""),IF(NETWORKDAYS(C1414,TODAY())&lt;=2,"Risco Baixo",""))))</f>
        <v>Expedido</v>
      </c>
      <c r="P1414" s="5" t="s">
        <v>25</v>
      </c>
      <c r="S1414" s="7">
        <f>IF(ISBLANK(M1414),"Aguardando Previsão/Data",NETWORKDAYS(L1414,M1414)-1)</f>
        <v>-4</v>
      </c>
      <c r="T1414" s="5" t="s">
        <v>942</v>
      </c>
    </row>
    <row r="1415" spans="1:20" x14ac:dyDescent="0.35">
      <c r="A1415" s="5">
        <v>8100274639</v>
      </c>
      <c r="B1415" s="5">
        <v>13180</v>
      </c>
      <c r="C1415" s="6">
        <v>45670</v>
      </c>
      <c r="D1415" s="5" t="s">
        <v>91</v>
      </c>
      <c r="E1415" s="5" t="s">
        <v>92</v>
      </c>
      <c r="F1415" s="5" t="s">
        <v>196</v>
      </c>
      <c r="G1415" s="5" t="s">
        <v>197</v>
      </c>
      <c r="H1415" s="5" t="s">
        <v>21</v>
      </c>
      <c r="I1415" s="5" t="s">
        <v>755</v>
      </c>
      <c r="J1415" s="5" t="s">
        <v>756</v>
      </c>
      <c r="K1415" s="5" t="s">
        <v>95</v>
      </c>
      <c r="L1415" s="6">
        <v>45677</v>
      </c>
      <c r="M1415" s="6">
        <v>45671</v>
      </c>
      <c r="N1415" s="6" t="s">
        <v>811</v>
      </c>
      <c r="O1415" s="5" t="str">
        <f ca="1">IF(P1415&lt;&gt;"EXPEDIÇÃO","Expedido",IF(NETWORKDAYS(C1415,TODAY())&gt;=5,"Risco Alto",IF(NETWORKDAYS(C1415,TODAY())&gt;=3,IF(NETWORKDAYS(C1415,TODAY())&lt;5,"Risco Médio",""),IF(NETWORKDAYS(C1415,TODAY())&lt;=2,"Risco Baixo",""))))</f>
        <v>Expedido</v>
      </c>
      <c r="P1415" s="5" t="s">
        <v>25</v>
      </c>
      <c r="S1415" s="7">
        <f>IF(ISBLANK(M1415),"Aguardando Previsão/Data",NETWORKDAYS(L1415,M1415)-1)</f>
        <v>-6</v>
      </c>
      <c r="T1415" s="5" t="s">
        <v>942</v>
      </c>
    </row>
    <row r="1416" spans="1:20" x14ac:dyDescent="0.35">
      <c r="A1416" s="5">
        <v>8100274640</v>
      </c>
      <c r="B1416" s="5">
        <v>13183</v>
      </c>
      <c r="C1416" s="6">
        <v>45670</v>
      </c>
      <c r="D1416" s="5" t="s">
        <v>91</v>
      </c>
      <c r="E1416" s="5" t="s">
        <v>92</v>
      </c>
      <c r="F1416" s="5" t="s">
        <v>196</v>
      </c>
      <c r="G1416" s="5" t="s">
        <v>197</v>
      </c>
      <c r="H1416" s="5" t="s">
        <v>21</v>
      </c>
      <c r="I1416" s="5" t="s">
        <v>768</v>
      </c>
      <c r="J1416" s="5" t="s">
        <v>426</v>
      </c>
      <c r="K1416" s="5" t="s">
        <v>95</v>
      </c>
      <c r="L1416" s="6">
        <v>45677</v>
      </c>
      <c r="M1416" s="6">
        <v>45671</v>
      </c>
      <c r="N1416" s="6" t="s">
        <v>811</v>
      </c>
      <c r="O1416" s="5" t="str">
        <f ca="1">IF(P1416&lt;&gt;"EXPEDIÇÃO","Expedido",IF(NETWORKDAYS(C1416,TODAY())&gt;=5,"Risco Alto",IF(NETWORKDAYS(C1416,TODAY())&gt;=3,IF(NETWORKDAYS(C1416,TODAY())&lt;5,"Risco Médio",""),IF(NETWORKDAYS(C1416,TODAY())&lt;=2,"Risco Baixo",""))))</f>
        <v>Expedido</v>
      </c>
      <c r="P1416" s="5" t="s">
        <v>25</v>
      </c>
      <c r="S1416" s="7">
        <f>IF(ISBLANK(M1416),"Aguardando Previsão/Data",NETWORKDAYS(L1416,M1416)-1)</f>
        <v>-6</v>
      </c>
      <c r="T1416" s="5" t="s">
        <v>942</v>
      </c>
    </row>
    <row r="1417" spans="1:20" x14ac:dyDescent="0.35">
      <c r="A1417" s="5">
        <v>8100274641</v>
      </c>
      <c r="B1417" s="5">
        <v>13184</v>
      </c>
      <c r="C1417" s="6">
        <v>45670</v>
      </c>
      <c r="D1417" s="5" t="s">
        <v>91</v>
      </c>
      <c r="E1417" s="5" t="s">
        <v>92</v>
      </c>
      <c r="F1417" s="5" t="s">
        <v>196</v>
      </c>
      <c r="G1417" s="5" t="s">
        <v>197</v>
      </c>
      <c r="H1417" s="5" t="s">
        <v>21</v>
      </c>
      <c r="I1417" s="5" t="s">
        <v>768</v>
      </c>
      <c r="J1417" s="5" t="s">
        <v>426</v>
      </c>
      <c r="K1417" s="5" t="s">
        <v>95</v>
      </c>
      <c r="L1417" s="6">
        <v>45677</v>
      </c>
      <c r="M1417" s="6">
        <v>45671</v>
      </c>
      <c r="N1417" s="6" t="s">
        <v>811</v>
      </c>
      <c r="O1417" s="5" t="str">
        <f ca="1">IF(P1417&lt;&gt;"EXPEDIÇÃO","Expedido",IF(NETWORKDAYS(C1417,TODAY())&gt;=5,"Risco Alto",IF(NETWORKDAYS(C1417,TODAY())&gt;=3,IF(NETWORKDAYS(C1417,TODAY())&lt;5,"Risco Médio",""),IF(NETWORKDAYS(C1417,TODAY())&lt;=2,"Risco Baixo",""))))</f>
        <v>Expedido</v>
      </c>
      <c r="P1417" s="5" t="s">
        <v>25</v>
      </c>
      <c r="S1417" s="7">
        <f>IF(ISBLANK(M1417),"Aguardando Previsão/Data",NETWORKDAYS(L1417,M1417)-1)</f>
        <v>-6</v>
      </c>
      <c r="T1417" s="5" t="s">
        <v>942</v>
      </c>
    </row>
    <row r="1418" spans="1:20" x14ac:dyDescent="0.35">
      <c r="A1418" s="5">
        <v>8100274997</v>
      </c>
      <c r="B1418" s="5">
        <v>13188</v>
      </c>
      <c r="C1418" s="6">
        <v>45670</v>
      </c>
      <c r="D1418" s="5" t="s">
        <v>91</v>
      </c>
      <c r="E1418" s="5" t="s">
        <v>92</v>
      </c>
      <c r="F1418" s="5" t="s">
        <v>96</v>
      </c>
      <c r="G1418" s="5" t="s">
        <v>97</v>
      </c>
      <c r="H1418" s="5" t="s">
        <v>21</v>
      </c>
      <c r="I1418" s="5" t="s">
        <v>532</v>
      </c>
      <c r="J1418" s="5" t="s">
        <v>536</v>
      </c>
      <c r="K1418" s="5" t="s">
        <v>101</v>
      </c>
      <c r="L1418" s="6">
        <v>45679</v>
      </c>
      <c r="M1418" s="6">
        <v>45673</v>
      </c>
      <c r="N1418" s="6" t="s">
        <v>811</v>
      </c>
      <c r="O1418" s="5" t="str">
        <f ca="1">IF(P1418&lt;&gt;"EXPEDIÇÃO","Expedido",IF(NETWORKDAYS(C1418,TODAY())&gt;=5,"Risco Alto",IF(NETWORKDAYS(C1418,TODAY())&gt;=3,IF(NETWORKDAYS(C1418,TODAY())&lt;5,"Risco Médio",""),IF(NETWORKDAYS(C1418,TODAY())&lt;=2,"Risco Baixo",""))))</f>
        <v>Expedido</v>
      </c>
      <c r="P1418" s="5" t="s">
        <v>25</v>
      </c>
      <c r="S1418" s="7">
        <f>IF(ISBLANK(M1418),"Aguardando Previsão/Data",NETWORKDAYS(L1418,M1418)-1)</f>
        <v>-6</v>
      </c>
      <c r="T1418" s="5" t="s">
        <v>942</v>
      </c>
    </row>
    <row r="1419" spans="1:20" x14ac:dyDescent="0.35">
      <c r="A1419" s="5">
        <v>8100274999</v>
      </c>
      <c r="B1419" s="5">
        <v>13205</v>
      </c>
      <c r="C1419" s="6">
        <v>45670</v>
      </c>
      <c r="D1419" s="5" t="s">
        <v>91</v>
      </c>
      <c r="E1419" s="5" t="s">
        <v>92</v>
      </c>
      <c r="F1419" s="5" t="s">
        <v>196</v>
      </c>
      <c r="G1419" s="5" t="s">
        <v>197</v>
      </c>
      <c r="H1419" s="5" t="s">
        <v>21</v>
      </c>
      <c r="I1419" s="5" t="s">
        <v>755</v>
      </c>
      <c r="J1419" s="5" t="s">
        <v>756</v>
      </c>
      <c r="K1419" s="5" t="s">
        <v>95</v>
      </c>
      <c r="L1419" s="6">
        <v>45677</v>
      </c>
      <c r="M1419" s="6">
        <v>45673</v>
      </c>
      <c r="N1419" s="6" t="s">
        <v>811</v>
      </c>
      <c r="O1419" s="5" t="str">
        <f ca="1">IF(P1419&lt;&gt;"EXPEDIÇÃO","Expedido",IF(NETWORKDAYS(C1419,TODAY())&gt;=5,"Risco Alto",IF(NETWORKDAYS(C1419,TODAY())&gt;=3,IF(NETWORKDAYS(C1419,TODAY())&lt;5,"Risco Médio",""),IF(NETWORKDAYS(C1419,TODAY())&lt;=2,"Risco Baixo",""))))</f>
        <v>Expedido</v>
      </c>
      <c r="P1419" s="5" t="s">
        <v>25</v>
      </c>
      <c r="S1419" s="7">
        <f>IF(ISBLANK(M1419),"Aguardando Previsão/Data",NETWORKDAYS(L1419,M1419)-1)</f>
        <v>-4</v>
      </c>
      <c r="T1419" s="5" t="s">
        <v>942</v>
      </c>
    </row>
    <row r="1420" spans="1:20" x14ac:dyDescent="0.35">
      <c r="A1420" s="5">
        <v>8100275000</v>
      </c>
      <c r="B1420" s="5">
        <v>13199</v>
      </c>
      <c r="C1420" s="6">
        <v>45670</v>
      </c>
      <c r="D1420" s="5" t="s">
        <v>91</v>
      </c>
      <c r="E1420" s="5" t="s">
        <v>92</v>
      </c>
      <c r="F1420" s="5" t="s">
        <v>196</v>
      </c>
      <c r="G1420" s="5" t="s">
        <v>197</v>
      </c>
      <c r="H1420" s="5" t="s">
        <v>21</v>
      </c>
      <c r="I1420" s="5" t="s">
        <v>768</v>
      </c>
      <c r="J1420" s="5" t="s">
        <v>426</v>
      </c>
      <c r="K1420" s="5" t="s">
        <v>95</v>
      </c>
      <c r="L1420" s="6">
        <v>45677</v>
      </c>
      <c r="M1420" s="6">
        <v>45673</v>
      </c>
      <c r="N1420" s="6" t="s">
        <v>811</v>
      </c>
      <c r="O1420" s="5" t="str">
        <f ca="1">IF(P1420&lt;&gt;"EXPEDIÇÃO","Expedido",IF(NETWORKDAYS(C1420,TODAY())&gt;=5,"Risco Alto",IF(NETWORKDAYS(C1420,TODAY())&gt;=3,IF(NETWORKDAYS(C1420,TODAY())&lt;5,"Risco Médio",""),IF(NETWORKDAYS(C1420,TODAY())&lt;=2,"Risco Baixo",""))))</f>
        <v>Expedido</v>
      </c>
      <c r="P1420" s="5" t="s">
        <v>25</v>
      </c>
      <c r="S1420" s="7">
        <f>IF(ISBLANK(M1420),"Aguardando Previsão/Data",NETWORKDAYS(L1420,M1420)-1)</f>
        <v>-4</v>
      </c>
      <c r="T1420" s="5" t="s">
        <v>942</v>
      </c>
    </row>
    <row r="1421" spans="1:20" x14ac:dyDescent="0.35">
      <c r="A1421" s="5">
        <v>8100275001</v>
      </c>
      <c r="B1421" s="5">
        <v>13200</v>
      </c>
      <c r="C1421" s="6">
        <v>45670</v>
      </c>
      <c r="D1421" s="5" t="s">
        <v>91</v>
      </c>
      <c r="E1421" s="5" t="s">
        <v>92</v>
      </c>
      <c r="F1421" s="5" t="s">
        <v>196</v>
      </c>
      <c r="G1421" s="5" t="s">
        <v>197</v>
      </c>
      <c r="H1421" s="5" t="s">
        <v>21</v>
      </c>
      <c r="I1421" s="5" t="s">
        <v>768</v>
      </c>
      <c r="J1421" s="5" t="s">
        <v>426</v>
      </c>
      <c r="K1421" s="5" t="s">
        <v>95</v>
      </c>
      <c r="L1421" s="6">
        <v>45677</v>
      </c>
      <c r="M1421" s="6">
        <v>45673</v>
      </c>
      <c r="N1421" s="6" t="s">
        <v>811</v>
      </c>
      <c r="O1421" s="5" t="str">
        <f ca="1">IF(P1421&lt;&gt;"EXPEDIÇÃO","Expedido",IF(NETWORKDAYS(C1421,TODAY())&gt;=5,"Risco Alto",IF(NETWORKDAYS(C1421,TODAY())&gt;=3,IF(NETWORKDAYS(C1421,TODAY())&lt;5,"Risco Médio",""),IF(NETWORKDAYS(C1421,TODAY())&lt;=2,"Risco Baixo",""))))</f>
        <v>Expedido</v>
      </c>
      <c r="P1421" s="5" t="s">
        <v>25</v>
      </c>
      <c r="S1421" s="7">
        <f>IF(ISBLANK(M1421),"Aguardando Previsão/Data",NETWORKDAYS(L1421,M1421)-1)</f>
        <v>-4</v>
      </c>
      <c r="T1421" s="5" t="s">
        <v>942</v>
      </c>
    </row>
    <row r="1422" spans="1:20" x14ac:dyDescent="0.35">
      <c r="A1422" s="5">
        <v>8100275002</v>
      </c>
      <c r="B1422" s="5">
        <v>13186</v>
      </c>
      <c r="C1422" s="6">
        <v>45670</v>
      </c>
      <c r="D1422" s="5" t="s">
        <v>91</v>
      </c>
      <c r="E1422" s="5" t="s">
        <v>92</v>
      </c>
      <c r="F1422" s="5" t="s">
        <v>96</v>
      </c>
      <c r="G1422" s="5" t="s">
        <v>97</v>
      </c>
      <c r="H1422" s="5" t="s">
        <v>21</v>
      </c>
      <c r="I1422" s="5" t="s">
        <v>425</v>
      </c>
      <c r="J1422" s="5" t="s">
        <v>426</v>
      </c>
      <c r="K1422" s="5" t="s">
        <v>95</v>
      </c>
      <c r="L1422" s="6">
        <v>45677</v>
      </c>
      <c r="M1422" s="6">
        <v>45674</v>
      </c>
      <c r="N1422" s="6" t="s">
        <v>811</v>
      </c>
      <c r="O1422" s="5" t="str">
        <f ca="1">IF(P1422&lt;&gt;"EXPEDIÇÃO","Expedido",IF(NETWORKDAYS(C1422,TODAY())&gt;=5,"Risco Alto",IF(NETWORKDAYS(C1422,TODAY())&gt;=3,IF(NETWORKDAYS(C1422,TODAY())&lt;5,"Risco Médio",""),IF(NETWORKDAYS(C1422,TODAY())&lt;=2,"Risco Baixo",""))))</f>
        <v>Expedido</v>
      </c>
      <c r="P1422" s="5" t="s">
        <v>25</v>
      </c>
      <c r="S1422" s="7">
        <f>IF(ISBLANK(M1422),"Aguardando Previsão/Data",NETWORKDAYS(L1422,M1422)-1)</f>
        <v>-3</v>
      </c>
      <c r="T1422" s="5" t="s">
        <v>942</v>
      </c>
    </row>
    <row r="1423" spans="1:20" x14ac:dyDescent="0.35">
      <c r="A1423" s="5">
        <v>8100275003</v>
      </c>
      <c r="B1423" s="5">
        <v>13201</v>
      </c>
      <c r="C1423" s="6">
        <v>45670</v>
      </c>
      <c r="D1423" s="5" t="s">
        <v>91</v>
      </c>
      <c r="E1423" s="5" t="s">
        <v>92</v>
      </c>
      <c r="F1423" s="5" t="s">
        <v>196</v>
      </c>
      <c r="G1423" s="5" t="s">
        <v>197</v>
      </c>
      <c r="H1423" s="5" t="s">
        <v>21</v>
      </c>
      <c r="I1423" s="5" t="s">
        <v>768</v>
      </c>
      <c r="J1423" s="5" t="s">
        <v>426</v>
      </c>
      <c r="K1423" s="5" t="s">
        <v>95</v>
      </c>
      <c r="L1423" s="6">
        <v>45677</v>
      </c>
      <c r="M1423" s="6">
        <v>45673</v>
      </c>
      <c r="N1423" s="6" t="s">
        <v>811</v>
      </c>
      <c r="O1423" s="5" t="str">
        <f ca="1">IF(P1423&lt;&gt;"EXPEDIÇÃO","Expedido",IF(NETWORKDAYS(C1423,TODAY())&gt;=5,"Risco Alto",IF(NETWORKDAYS(C1423,TODAY())&gt;=3,IF(NETWORKDAYS(C1423,TODAY())&lt;5,"Risco Médio",""),IF(NETWORKDAYS(C1423,TODAY())&lt;=2,"Risco Baixo",""))))</f>
        <v>Expedido</v>
      </c>
      <c r="P1423" s="5" t="s">
        <v>25</v>
      </c>
      <c r="S1423" s="7">
        <f>IF(ISBLANK(M1423),"Aguardando Previsão/Data",NETWORKDAYS(L1423,M1423)-1)</f>
        <v>-4</v>
      </c>
      <c r="T1423" s="5" t="s">
        <v>942</v>
      </c>
    </row>
    <row r="1424" spans="1:20" x14ac:dyDescent="0.35">
      <c r="A1424" s="5">
        <v>8100275123</v>
      </c>
      <c r="B1424" s="5">
        <v>13187</v>
      </c>
      <c r="C1424" s="6">
        <v>45670</v>
      </c>
      <c r="D1424" s="5" t="s">
        <v>91</v>
      </c>
      <c r="E1424" s="5" t="s">
        <v>92</v>
      </c>
      <c r="F1424" s="5" t="s">
        <v>103</v>
      </c>
      <c r="G1424" s="5" t="s">
        <v>104</v>
      </c>
      <c r="H1424" s="5" t="s">
        <v>21</v>
      </c>
      <c r="I1424" s="5" t="s">
        <v>1291</v>
      </c>
      <c r="J1424" s="5" t="s">
        <v>696</v>
      </c>
      <c r="K1424" s="5" t="s">
        <v>423</v>
      </c>
      <c r="L1424" s="6">
        <v>45678</v>
      </c>
      <c r="M1424" s="6">
        <v>45677</v>
      </c>
      <c r="N1424" s="6" t="s">
        <v>811</v>
      </c>
      <c r="O1424" s="5" t="str">
        <f ca="1">IF(P1424&lt;&gt;"EXPEDIÇÃO","Expedido",IF(NETWORKDAYS(C1424,TODAY())&gt;=5,"Risco Alto",IF(NETWORKDAYS(C1424,TODAY())&gt;=3,IF(NETWORKDAYS(C1424,TODAY())&lt;5,"Risco Médio",""),IF(NETWORKDAYS(C1424,TODAY())&lt;=2,"Risco Baixo",""))))</f>
        <v>Expedido</v>
      </c>
      <c r="P1424" s="5" t="s">
        <v>25</v>
      </c>
      <c r="S1424" s="7">
        <f>IF(ISBLANK(M1424),"Aguardando Previsão/Data",NETWORKDAYS(L1424,M1424)-1)</f>
        <v>-3</v>
      </c>
      <c r="T1424" s="5" t="s">
        <v>942</v>
      </c>
    </row>
    <row r="1425" spans="1:20" x14ac:dyDescent="0.35">
      <c r="A1425" s="5">
        <v>8100275124</v>
      </c>
      <c r="B1425" s="5">
        <v>13206</v>
      </c>
      <c r="C1425" s="6">
        <v>45670</v>
      </c>
      <c r="D1425" s="5" t="s">
        <v>91</v>
      </c>
      <c r="E1425" s="5" t="s">
        <v>92</v>
      </c>
      <c r="F1425" s="5" t="s">
        <v>196</v>
      </c>
      <c r="G1425" s="5" t="s">
        <v>197</v>
      </c>
      <c r="H1425" s="5" t="s">
        <v>21</v>
      </c>
      <c r="I1425" s="5" t="s">
        <v>755</v>
      </c>
      <c r="J1425" s="5" t="s">
        <v>756</v>
      </c>
      <c r="K1425" s="5" t="s">
        <v>95</v>
      </c>
      <c r="L1425" s="6">
        <v>45677</v>
      </c>
      <c r="M1425" s="6">
        <v>45673</v>
      </c>
      <c r="N1425" s="6" t="s">
        <v>811</v>
      </c>
      <c r="O1425" s="5" t="str">
        <f ca="1">IF(P1425&lt;&gt;"EXPEDIÇÃO","Expedido",IF(NETWORKDAYS(C1425,TODAY())&gt;=5,"Risco Alto",IF(NETWORKDAYS(C1425,TODAY())&gt;=3,IF(NETWORKDAYS(C1425,TODAY())&lt;5,"Risco Médio",""),IF(NETWORKDAYS(C1425,TODAY())&lt;=2,"Risco Baixo",""))))</f>
        <v>Expedido</v>
      </c>
      <c r="P1425" s="5" t="s">
        <v>25</v>
      </c>
      <c r="S1425" s="7">
        <f>IF(ISBLANK(M1425),"Aguardando Previsão/Data",NETWORKDAYS(L1425,M1425)-1)</f>
        <v>-4</v>
      </c>
      <c r="T1425" s="5" t="s">
        <v>942</v>
      </c>
    </row>
    <row r="1426" spans="1:20" x14ac:dyDescent="0.35">
      <c r="A1426" s="5">
        <v>8100275125</v>
      </c>
      <c r="B1426" s="5">
        <v>13202</v>
      </c>
      <c r="C1426" s="6">
        <v>45670</v>
      </c>
      <c r="D1426" s="5" t="s">
        <v>91</v>
      </c>
      <c r="E1426" s="5" t="s">
        <v>92</v>
      </c>
      <c r="F1426" s="5" t="s">
        <v>196</v>
      </c>
      <c r="G1426" s="5" t="s">
        <v>197</v>
      </c>
      <c r="H1426" s="5" t="s">
        <v>21</v>
      </c>
      <c r="I1426" s="5" t="s">
        <v>768</v>
      </c>
      <c r="J1426" s="5" t="s">
        <v>426</v>
      </c>
      <c r="K1426" s="5" t="s">
        <v>95</v>
      </c>
      <c r="L1426" s="6">
        <v>45677</v>
      </c>
      <c r="M1426" s="6">
        <v>45673</v>
      </c>
      <c r="N1426" s="6" t="s">
        <v>811</v>
      </c>
      <c r="O1426" s="5" t="str">
        <f ca="1">IF(P1426&lt;&gt;"EXPEDIÇÃO","Expedido",IF(NETWORKDAYS(C1426,TODAY())&gt;=5,"Risco Alto",IF(NETWORKDAYS(C1426,TODAY())&gt;=3,IF(NETWORKDAYS(C1426,TODAY())&lt;5,"Risco Médio",""),IF(NETWORKDAYS(C1426,TODAY())&lt;=2,"Risco Baixo",""))))</f>
        <v>Expedido</v>
      </c>
      <c r="P1426" s="5" t="s">
        <v>25</v>
      </c>
      <c r="S1426" s="7">
        <f>IF(ISBLANK(M1426),"Aguardando Previsão/Data",NETWORKDAYS(L1426,M1426)-1)</f>
        <v>-4</v>
      </c>
      <c r="T1426" s="5" t="s">
        <v>942</v>
      </c>
    </row>
    <row r="1427" spans="1:20" x14ac:dyDescent="0.35">
      <c r="A1427" s="5">
        <v>8100275126</v>
      </c>
      <c r="B1427" s="5">
        <v>13203</v>
      </c>
      <c r="C1427" s="6">
        <v>45670</v>
      </c>
      <c r="D1427" s="5" t="s">
        <v>91</v>
      </c>
      <c r="E1427" s="5" t="s">
        <v>92</v>
      </c>
      <c r="F1427" s="5" t="s">
        <v>196</v>
      </c>
      <c r="G1427" s="5" t="s">
        <v>197</v>
      </c>
      <c r="H1427" s="5" t="s">
        <v>21</v>
      </c>
      <c r="I1427" s="5" t="s">
        <v>755</v>
      </c>
      <c r="J1427" s="5" t="s">
        <v>756</v>
      </c>
      <c r="K1427" s="5" t="s">
        <v>95</v>
      </c>
      <c r="L1427" s="6">
        <v>45677</v>
      </c>
      <c r="M1427" s="6">
        <v>45673</v>
      </c>
      <c r="N1427" s="6" t="s">
        <v>811</v>
      </c>
      <c r="O1427" s="5" t="str">
        <f ca="1">IF(P1427&lt;&gt;"EXPEDIÇÃO","Expedido",IF(NETWORKDAYS(C1427,TODAY())&gt;=5,"Risco Alto",IF(NETWORKDAYS(C1427,TODAY())&gt;=3,IF(NETWORKDAYS(C1427,TODAY())&lt;5,"Risco Médio",""),IF(NETWORKDAYS(C1427,TODAY())&lt;=2,"Risco Baixo",""))))</f>
        <v>Expedido</v>
      </c>
      <c r="P1427" s="5" t="s">
        <v>25</v>
      </c>
      <c r="S1427" s="7">
        <f>IF(ISBLANK(M1427),"Aguardando Previsão/Data",NETWORKDAYS(L1427,M1427)-1)</f>
        <v>-4</v>
      </c>
      <c r="T1427" s="5" t="s">
        <v>942</v>
      </c>
    </row>
    <row r="1428" spans="1:20" x14ac:dyDescent="0.35">
      <c r="A1428" s="5">
        <v>8100275128</v>
      </c>
      <c r="B1428" s="5">
        <v>13204</v>
      </c>
      <c r="C1428" s="6">
        <v>45670</v>
      </c>
      <c r="D1428" s="5" t="s">
        <v>91</v>
      </c>
      <c r="E1428" s="5" t="s">
        <v>92</v>
      </c>
      <c r="F1428" s="5" t="s">
        <v>196</v>
      </c>
      <c r="G1428" s="5" t="s">
        <v>197</v>
      </c>
      <c r="H1428" s="5" t="s">
        <v>21</v>
      </c>
      <c r="I1428" s="5" t="s">
        <v>755</v>
      </c>
      <c r="J1428" s="5" t="s">
        <v>756</v>
      </c>
      <c r="K1428" s="5" t="s">
        <v>95</v>
      </c>
      <c r="L1428" s="6">
        <v>45677</v>
      </c>
      <c r="M1428" s="6">
        <v>45673</v>
      </c>
      <c r="N1428" s="6" t="s">
        <v>811</v>
      </c>
      <c r="O1428" s="5" t="str">
        <f ca="1">IF(P1428&lt;&gt;"EXPEDIÇÃO","Expedido",IF(NETWORKDAYS(C1428,TODAY())&gt;=5,"Risco Alto",IF(NETWORKDAYS(C1428,TODAY())&gt;=3,IF(NETWORKDAYS(C1428,TODAY())&lt;5,"Risco Médio",""),IF(NETWORKDAYS(C1428,TODAY())&lt;=2,"Risco Baixo",""))))</f>
        <v>Expedido</v>
      </c>
      <c r="P1428" s="5" t="s">
        <v>25</v>
      </c>
      <c r="S1428" s="7">
        <f>IF(ISBLANK(M1428),"Aguardando Previsão/Data",NETWORKDAYS(L1428,M1428)-1)</f>
        <v>-4</v>
      </c>
      <c r="T1428" s="5" t="s">
        <v>942</v>
      </c>
    </row>
    <row r="1429" spans="1:20" x14ac:dyDescent="0.35">
      <c r="A1429" s="5">
        <v>8100275139</v>
      </c>
      <c r="B1429" s="5">
        <v>13198</v>
      </c>
      <c r="C1429" s="6">
        <v>45670</v>
      </c>
      <c r="D1429" s="5" t="s">
        <v>91</v>
      </c>
      <c r="E1429" s="5" t="s">
        <v>92</v>
      </c>
      <c r="F1429" s="5" t="s">
        <v>58</v>
      </c>
      <c r="G1429" s="5" t="s">
        <v>59</v>
      </c>
      <c r="H1429" s="5" t="s">
        <v>21</v>
      </c>
      <c r="I1429" s="5" t="s">
        <v>917</v>
      </c>
      <c r="J1429" s="5" t="s">
        <v>471</v>
      </c>
      <c r="K1429" s="5" t="s">
        <v>95</v>
      </c>
      <c r="L1429" s="6">
        <v>45681</v>
      </c>
      <c r="M1429" s="6">
        <v>45677</v>
      </c>
      <c r="N1429" s="6" t="s">
        <v>811</v>
      </c>
      <c r="O1429" s="5" t="str">
        <f ca="1">IF(P1429&lt;&gt;"EXPEDIÇÃO","Expedido",IF(NETWORKDAYS(C1429,TODAY())&gt;=5,"Risco Alto",IF(NETWORKDAYS(C1429,TODAY())&gt;=3,IF(NETWORKDAYS(C1429,TODAY())&lt;5,"Risco Médio",""),IF(NETWORKDAYS(C1429,TODAY())&lt;=2,"Risco Baixo",""))))</f>
        <v>Expedido</v>
      </c>
      <c r="P1429" s="5" t="s">
        <v>25</v>
      </c>
      <c r="S1429" s="7">
        <f>IF(ISBLANK(M1429),"Aguardando Previsão/Data",NETWORKDAYS(L1429,M1429)-1)</f>
        <v>-6</v>
      </c>
      <c r="T1429" s="5" t="s">
        <v>942</v>
      </c>
    </row>
    <row r="1430" spans="1:20" x14ac:dyDescent="0.35">
      <c r="A1430" s="5">
        <v>8100275140</v>
      </c>
      <c r="B1430" s="5">
        <v>13185</v>
      </c>
      <c r="C1430" s="6">
        <v>45670</v>
      </c>
      <c r="D1430" s="5" t="s">
        <v>91</v>
      </c>
      <c r="E1430" s="5" t="s">
        <v>92</v>
      </c>
      <c r="F1430" s="5" t="s">
        <v>69</v>
      </c>
      <c r="G1430" s="5" t="s">
        <v>70</v>
      </c>
      <c r="H1430" s="5" t="s">
        <v>21</v>
      </c>
      <c r="I1430" s="5" t="s">
        <v>1293</v>
      </c>
      <c r="J1430" s="5" t="s">
        <v>1294</v>
      </c>
      <c r="K1430" s="5" t="s">
        <v>274</v>
      </c>
      <c r="L1430" s="6">
        <v>45681</v>
      </c>
      <c r="M1430" s="6">
        <v>45680</v>
      </c>
      <c r="N1430" s="6" t="s">
        <v>811</v>
      </c>
      <c r="O1430" s="5" t="str">
        <f ca="1">IF(P1430&lt;&gt;"EXPEDIÇÃO","Expedido",IF(NETWORKDAYS(C1430,TODAY())&gt;=5,"Risco Alto",IF(NETWORKDAYS(C1430,TODAY())&gt;=3,IF(NETWORKDAYS(C1430,TODAY())&lt;5,"Risco Médio",""),IF(NETWORKDAYS(C1430,TODAY())&lt;=2,"Risco Baixo",""))))</f>
        <v>Expedido</v>
      </c>
      <c r="P1430" s="5" t="s">
        <v>25</v>
      </c>
      <c r="S1430" s="7">
        <f>IF(ISBLANK(M1430),"Aguardando Previsão/Data",NETWORKDAYS(L1430,M1430)-1)</f>
        <v>-3</v>
      </c>
      <c r="T1430" s="5" t="s">
        <v>942</v>
      </c>
    </row>
    <row r="1431" spans="1:20" x14ac:dyDescent="0.35">
      <c r="A1431" s="5">
        <v>8100275262</v>
      </c>
      <c r="B1431" s="5">
        <v>13197</v>
      </c>
      <c r="C1431" s="6">
        <v>45670</v>
      </c>
      <c r="D1431" s="5" t="s">
        <v>91</v>
      </c>
      <c r="E1431" s="5" t="s">
        <v>92</v>
      </c>
      <c r="F1431" s="5" t="s">
        <v>199</v>
      </c>
      <c r="G1431" s="5" t="s">
        <v>200</v>
      </c>
      <c r="H1431" s="5" t="s">
        <v>21</v>
      </c>
      <c r="I1431" s="5" t="s">
        <v>827</v>
      </c>
      <c r="J1431" s="5" t="s">
        <v>828</v>
      </c>
      <c r="K1431" s="5" t="s">
        <v>101</v>
      </c>
      <c r="L1431" s="6">
        <v>45679</v>
      </c>
      <c r="M1431" s="6">
        <v>45677</v>
      </c>
      <c r="N1431" s="6" t="s">
        <v>811</v>
      </c>
      <c r="O1431" s="5" t="str">
        <f ca="1">IF(P1431&lt;&gt;"EXPEDIÇÃO","Expedido",IF(NETWORKDAYS(C1431,TODAY())&gt;=5,"Risco Alto",IF(NETWORKDAYS(C1431,TODAY())&gt;=3,IF(NETWORKDAYS(C1431,TODAY())&lt;5,"Risco Médio",""),IF(NETWORKDAYS(C1431,TODAY())&lt;=2,"Risco Baixo",""))))</f>
        <v>Expedido</v>
      </c>
      <c r="P1431" s="5" t="s">
        <v>25</v>
      </c>
      <c r="S1431" s="7">
        <f>IF(ISBLANK(M1431),"Aguardando Previsão/Data",NETWORKDAYS(L1431,M1431)-1)</f>
        <v>-4</v>
      </c>
      <c r="T1431" s="5" t="s">
        <v>942</v>
      </c>
    </row>
    <row r="1432" spans="1:20" x14ac:dyDescent="0.35">
      <c r="A1432" s="5">
        <v>8100275266</v>
      </c>
      <c r="B1432" s="5">
        <v>13190</v>
      </c>
      <c r="C1432" s="6">
        <v>45670</v>
      </c>
      <c r="D1432" s="5" t="s">
        <v>91</v>
      </c>
      <c r="E1432" s="5" t="s">
        <v>92</v>
      </c>
      <c r="F1432" s="5" t="s">
        <v>96</v>
      </c>
      <c r="G1432" s="5" t="s">
        <v>97</v>
      </c>
      <c r="H1432" s="5" t="s">
        <v>21</v>
      </c>
      <c r="I1432" s="5" t="s">
        <v>22</v>
      </c>
      <c r="J1432" s="5" t="s">
        <v>99</v>
      </c>
      <c r="K1432" s="5" t="s">
        <v>95</v>
      </c>
      <c r="L1432" s="6">
        <v>45674</v>
      </c>
      <c r="M1432" s="6">
        <v>45671</v>
      </c>
      <c r="N1432" s="6" t="s">
        <v>811</v>
      </c>
      <c r="O1432" s="5" t="str">
        <f ca="1">IF(P1432&lt;&gt;"EXPEDIÇÃO","Expedido",IF(NETWORKDAYS(C1432,TODAY())&gt;=5,"Risco Alto",IF(NETWORKDAYS(C1432,TODAY())&gt;=3,IF(NETWORKDAYS(C1432,TODAY())&lt;5,"Risco Médio",""),IF(NETWORKDAYS(C1432,TODAY())&lt;=2,"Risco Baixo",""))))</f>
        <v>Expedido</v>
      </c>
      <c r="P1432" s="5" t="s">
        <v>25</v>
      </c>
      <c r="Q1432" s="5" t="s">
        <v>900</v>
      </c>
      <c r="S1432" s="7">
        <f>IF(ISBLANK(M1432),"Aguardando Previsão/Data",NETWORKDAYS(L1432,M1432)-1)</f>
        <v>-5</v>
      </c>
      <c r="T1432" s="5" t="s">
        <v>942</v>
      </c>
    </row>
    <row r="1433" spans="1:20" x14ac:dyDescent="0.35">
      <c r="A1433" s="5">
        <v>8100275269</v>
      </c>
      <c r="B1433" s="5">
        <v>13191</v>
      </c>
      <c r="C1433" s="6">
        <v>45670</v>
      </c>
      <c r="D1433" s="5" t="s">
        <v>91</v>
      </c>
      <c r="E1433" s="5" t="s">
        <v>92</v>
      </c>
      <c r="F1433" s="5" t="s">
        <v>96</v>
      </c>
      <c r="G1433" s="5" t="s">
        <v>97</v>
      </c>
      <c r="H1433" s="5" t="s">
        <v>21</v>
      </c>
      <c r="I1433" s="5" t="s">
        <v>22</v>
      </c>
      <c r="J1433" s="5" t="s">
        <v>99</v>
      </c>
      <c r="K1433" s="5" t="s">
        <v>95</v>
      </c>
      <c r="L1433" s="6">
        <v>45674</v>
      </c>
      <c r="M1433" s="6">
        <v>45671</v>
      </c>
      <c r="N1433" s="6" t="s">
        <v>811</v>
      </c>
      <c r="O1433" s="5" t="str">
        <f ca="1">IF(P1433&lt;&gt;"EXPEDIÇÃO","Expedido",IF(NETWORKDAYS(C1433,TODAY())&gt;=5,"Risco Alto",IF(NETWORKDAYS(C1433,TODAY())&gt;=3,IF(NETWORKDAYS(C1433,TODAY())&lt;5,"Risco Médio",""),IF(NETWORKDAYS(C1433,TODAY())&lt;=2,"Risco Baixo",""))))</f>
        <v>Expedido</v>
      </c>
      <c r="P1433" s="5" t="s">
        <v>25</v>
      </c>
      <c r="Q1433" s="5" t="s">
        <v>900</v>
      </c>
      <c r="S1433" s="7">
        <f>IF(ISBLANK(M1433),"Aguardando Previsão/Data",NETWORKDAYS(L1433,M1433)-1)</f>
        <v>-5</v>
      </c>
      <c r="T1433" s="5" t="s">
        <v>942</v>
      </c>
    </row>
    <row r="1434" spans="1:20" x14ac:dyDescent="0.35">
      <c r="A1434" s="5">
        <v>8100275607</v>
      </c>
      <c r="B1434" s="5">
        <v>13194</v>
      </c>
      <c r="C1434" s="6">
        <v>45670</v>
      </c>
      <c r="D1434" s="5" t="s">
        <v>91</v>
      </c>
      <c r="E1434" s="5" t="s">
        <v>92</v>
      </c>
      <c r="F1434" s="5" t="s">
        <v>103</v>
      </c>
      <c r="G1434" s="5" t="s">
        <v>104</v>
      </c>
      <c r="H1434" s="5" t="s">
        <v>21</v>
      </c>
      <c r="I1434" s="5" t="s">
        <v>1303</v>
      </c>
      <c r="J1434" s="5" t="s">
        <v>557</v>
      </c>
      <c r="K1434" s="5" t="s">
        <v>105</v>
      </c>
      <c r="L1434" s="6">
        <v>45681</v>
      </c>
      <c r="M1434" s="6">
        <v>45678</v>
      </c>
      <c r="N1434" s="6" t="s">
        <v>811</v>
      </c>
      <c r="O1434" s="5" t="str">
        <f ca="1">IF(P1434&lt;&gt;"EXPEDIÇÃO","Expedido",IF(NETWORKDAYS(C1434,TODAY())&gt;=5,"Risco Alto",IF(NETWORKDAYS(C1434,TODAY())&gt;=3,IF(NETWORKDAYS(C1434,TODAY())&lt;5,"Risco Médio",""),IF(NETWORKDAYS(C1434,TODAY())&lt;=2,"Risco Baixo",""))))</f>
        <v>Expedido</v>
      </c>
      <c r="P1434" s="5" t="s">
        <v>25</v>
      </c>
      <c r="S1434" s="7">
        <f>IF(ISBLANK(M1434),"Aguardando Previsão/Data",NETWORKDAYS(L1434,M1434)-1)</f>
        <v>-5</v>
      </c>
      <c r="T1434" s="5" t="s">
        <v>942</v>
      </c>
    </row>
    <row r="1435" spans="1:20" x14ac:dyDescent="0.35">
      <c r="A1435" s="5">
        <v>8100275611</v>
      </c>
      <c r="B1435" s="5">
        <v>13192</v>
      </c>
      <c r="C1435" s="6">
        <v>45670</v>
      </c>
      <c r="D1435" s="5" t="s">
        <v>91</v>
      </c>
      <c r="E1435" s="5" t="s">
        <v>92</v>
      </c>
      <c r="F1435" s="5" t="s">
        <v>96</v>
      </c>
      <c r="G1435" s="5" t="s">
        <v>97</v>
      </c>
      <c r="H1435" s="5" t="s">
        <v>21</v>
      </c>
      <c r="I1435" s="5" t="s">
        <v>1304</v>
      </c>
      <c r="J1435" s="5" t="s">
        <v>1305</v>
      </c>
      <c r="K1435" s="5" t="s">
        <v>101</v>
      </c>
      <c r="L1435" s="6">
        <v>45680</v>
      </c>
      <c r="M1435" s="6">
        <v>45674</v>
      </c>
      <c r="N1435" s="6" t="s">
        <v>811</v>
      </c>
      <c r="O1435" s="5" t="str">
        <f ca="1">IF(P1435&lt;&gt;"EXPEDIÇÃO","Expedido",IF(NETWORKDAYS(C1435,TODAY())&gt;=5,"Risco Alto",IF(NETWORKDAYS(C1435,TODAY())&gt;=3,IF(NETWORKDAYS(C1435,TODAY())&lt;5,"Risco Médio",""),IF(NETWORKDAYS(C1435,TODAY())&lt;=2,"Risco Baixo",""))))</f>
        <v>Expedido</v>
      </c>
      <c r="P1435" s="5" t="s">
        <v>25</v>
      </c>
      <c r="S1435" s="7">
        <f>IF(ISBLANK(M1435),"Aguardando Previsão/Data",NETWORKDAYS(L1435,M1435)-1)</f>
        <v>-6</v>
      </c>
      <c r="T1435" s="5" t="s">
        <v>942</v>
      </c>
    </row>
    <row r="1436" spans="1:20" x14ac:dyDescent="0.35">
      <c r="A1436" s="5">
        <v>8100275613</v>
      </c>
      <c r="B1436" s="5">
        <v>13196</v>
      </c>
      <c r="C1436" s="6">
        <v>45670</v>
      </c>
      <c r="D1436" s="5" t="s">
        <v>91</v>
      </c>
      <c r="E1436" s="5" t="s">
        <v>92</v>
      </c>
      <c r="F1436" s="5" t="s">
        <v>96</v>
      </c>
      <c r="G1436" s="5" t="s">
        <v>97</v>
      </c>
      <c r="H1436" s="5" t="s">
        <v>21</v>
      </c>
      <c r="I1436" s="5" t="s">
        <v>1304</v>
      </c>
      <c r="J1436" s="5" t="s">
        <v>1305</v>
      </c>
      <c r="K1436" s="5" t="s">
        <v>101</v>
      </c>
      <c r="L1436" s="6">
        <v>45680</v>
      </c>
      <c r="M1436" s="6">
        <v>45674</v>
      </c>
      <c r="N1436" s="6" t="s">
        <v>811</v>
      </c>
      <c r="O1436" s="5" t="str">
        <f ca="1">IF(P1436&lt;&gt;"EXPEDIÇÃO","Expedido",IF(NETWORKDAYS(C1436,TODAY())&gt;=5,"Risco Alto",IF(NETWORKDAYS(C1436,TODAY())&gt;=3,IF(NETWORKDAYS(C1436,TODAY())&lt;5,"Risco Médio",""),IF(NETWORKDAYS(C1436,TODAY())&lt;=2,"Risco Baixo",""))))</f>
        <v>Expedido</v>
      </c>
      <c r="P1436" s="5" t="s">
        <v>25</v>
      </c>
      <c r="S1436" s="7">
        <f>IF(ISBLANK(M1436),"Aguardando Previsão/Data",NETWORKDAYS(L1436,M1436)-1)</f>
        <v>-6</v>
      </c>
      <c r="T1436" s="5" t="s">
        <v>942</v>
      </c>
    </row>
    <row r="1437" spans="1:20" x14ac:dyDescent="0.35">
      <c r="A1437" s="5">
        <v>8100275618</v>
      </c>
      <c r="B1437" s="5">
        <v>13195</v>
      </c>
      <c r="C1437" s="6">
        <v>45670</v>
      </c>
      <c r="D1437" s="5" t="s">
        <v>91</v>
      </c>
      <c r="E1437" s="5" t="s">
        <v>92</v>
      </c>
      <c r="F1437" s="5" t="s">
        <v>96</v>
      </c>
      <c r="G1437" s="5" t="s">
        <v>97</v>
      </c>
      <c r="H1437" s="5" t="s">
        <v>21</v>
      </c>
      <c r="I1437" s="5" t="s">
        <v>532</v>
      </c>
      <c r="J1437" s="5" t="s">
        <v>470</v>
      </c>
      <c r="K1437" s="5" t="s">
        <v>101</v>
      </c>
      <c r="L1437" s="6">
        <v>45679</v>
      </c>
      <c r="M1437" s="6">
        <v>45679</v>
      </c>
      <c r="N1437" s="6" t="s">
        <v>811</v>
      </c>
      <c r="O1437" s="5" t="str">
        <f ca="1">IF(P1437&lt;&gt;"EXPEDIÇÃO","Expedido",IF(NETWORKDAYS(C1437,TODAY())&gt;=5,"Risco Alto",IF(NETWORKDAYS(C1437,TODAY())&gt;=3,IF(NETWORKDAYS(C1437,TODAY())&lt;5,"Risco Médio",""),IF(NETWORKDAYS(C1437,TODAY())&lt;=2,"Risco Baixo",""))))</f>
        <v>Expedido</v>
      </c>
      <c r="P1437" s="5" t="s">
        <v>25</v>
      </c>
      <c r="S1437" s="7">
        <f>IF(ISBLANK(M1437),"Aguardando Previsão/Data",NETWORKDAYS(L1437,M1437)-1)</f>
        <v>0</v>
      </c>
      <c r="T1437" s="5" t="s">
        <v>942</v>
      </c>
    </row>
    <row r="1438" spans="1:20" x14ac:dyDescent="0.35">
      <c r="A1438" s="5">
        <v>8100274470</v>
      </c>
      <c r="B1438" s="5">
        <v>21193</v>
      </c>
      <c r="C1438" s="6">
        <v>45670</v>
      </c>
      <c r="D1438" s="5" t="s">
        <v>836</v>
      </c>
      <c r="E1438" s="5" t="s">
        <v>837</v>
      </c>
      <c r="F1438" s="5" t="s">
        <v>39</v>
      </c>
      <c r="G1438" s="5" t="s">
        <v>40</v>
      </c>
      <c r="H1438" s="5" t="s">
        <v>21</v>
      </c>
      <c r="I1438" s="5" t="s">
        <v>1175</v>
      </c>
      <c r="J1438" s="5" t="s">
        <v>567</v>
      </c>
      <c r="K1438" s="5" t="s">
        <v>24</v>
      </c>
      <c r="L1438" s="6">
        <v>45677</v>
      </c>
      <c r="M1438" s="6">
        <v>45678</v>
      </c>
      <c r="N1438" s="6" t="s">
        <v>812</v>
      </c>
      <c r="O1438" s="5" t="str">
        <f ca="1">IF(P1438&lt;&gt;"EXPEDIÇÃO","Expedido",IF(NETWORKDAYS(C1438,TODAY())&gt;=5,"Risco Alto",IF(NETWORKDAYS(C1438,TODAY())&gt;=3,IF(NETWORKDAYS(C1438,TODAY())&lt;5,"Risco Médio",""),IF(NETWORKDAYS(C1438,TODAY())&lt;=2,"Risco Baixo",""))))</f>
        <v>Expedido</v>
      </c>
      <c r="P1438" s="5" t="s">
        <v>25</v>
      </c>
      <c r="S1438" s="7">
        <f>IF(ISBLANK(M1438),"Aguardando Previsão/Data",NETWORKDAYS(L1438,M1438)-1)</f>
        <v>1</v>
      </c>
      <c r="T1438" s="5" t="s">
        <v>942</v>
      </c>
    </row>
    <row r="1439" spans="1:20" x14ac:dyDescent="0.35">
      <c r="A1439" s="5">
        <v>8100274877</v>
      </c>
      <c r="B1439" s="5">
        <v>21194</v>
      </c>
      <c r="C1439" s="6">
        <v>45670</v>
      </c>
      <c r="D1439" s="5" t="s">
        <v>836</v>
      </c>
      <c r="E1439" s="5" t="s">
        <v>837</v>
      </c>
      <c r="F1439" s="5" t="s">
        <v>84</v>
      </c>
      <c r="G1439" s="5" t="s">
        <v>85</v>
      </c>
      <c r="H1439" s="5" t="s">
        <v>21</v>
      </c>
      <c r="I1439" s="5" t="s">
        <v>822</v>
      </c>
      <c r="J1439" s="5" t="s">
        <v>698</v>
      </c>
      <c r="K1439" s="5" t="s">
        <v>24</v>
      </c>
      <c r="L1439" s="6">
        <v>45679</v>
      </c>
      <c r="M1439" s="6">
        <v>45687</v>
      </c>
      <c r="N1439" s="6" t="s">
        <v>812</v>
      </c>
      <c r="O1439" s="5" t="str">
        <f ca="1">IF(P1439&lt;&gt;"EXPEDIÇÃO","Expedido",IF(NETWORKDAYS(C1439,TODAY())&gt;=5,"Risco Alto",IF(NETWORKDAYS(C1439,TODAY())&gt;=3,IF(NETWORKDAYS(C1439,TODAY())&lt;5,"Risco Médio",""),IF(NETWORKDAYS(C1439,TODAY())&lt;=2,"Risco Baixo",""))))</f>
        <v>Expedido</v>
      </c>
      <c r="P1439" s="5" t="s">
        <v>617</v>
      </c>
      <c r="Q1439" s="5" t="s">
        <v>897</v>
      </c>
      <c r="R1439" s="5">
        <v>1690577</v>
      </c>
      <c r="S1439" s="7">
        <f>IF(ISBLANK(M1439),"Aguardando Previsão/Data",NETWORKDAYS(L1439,M1439)-1)</f>
        <v>6</v>
      </c>
    </row>
    <row r="1440" spans="1:20" x14ac:dyDescent="0.35">
      <c r="A1440" s="5">
        <v>8100275597</v>
      </c>
      <c r="B1440" s="5">
        <v>21219</v>
      </c>
      <c r="C1440" s="6">
        <v>45670</v>
      </c>
      <c r="D1440" s="5" t="s">
        <v>836</v>
      </c>
      <c r="E1440" s="5" t="s">
        <v>837</v>
      </c>
      <c r="F1440" s="5" t="s">
        <v>39</v>
      </c>
      <c r="G1440" s="5" t="s">
        <v>40</v>
      </c>
      <c r="H1440" s="5" t="s">
        <v>21</v>
      </c>
      <c r="I1440" s="5" t="s">
        <v>1302</v>
      </c>
      <c r="J1440" s="5" t="s">
        <v>600</v>
      </c>
      <c r="K1440" s="5" t="s">
        <v>24</v>
      </c>
      <c r="L1440" s="6">
        <v>45678</v>
      </c>
      <c r="M1440" s="6">
        <v>45685</v>
      </c>
      <c r="N1440" s="6" t="s">
        <v>812</v>
      </c>
      <c r="O1440" s="5" t="str">
        <f ca="1">IF(P1440&lt;&gt;"EXPEDIÇÃO","Expedido",IF(NETWORKDAYS(C1440,TODAY())&gt;=5,"Risco Alto",IF(NETWORKDAYS(C1440,TODAY())&gt;=3,IF(NETWORKDAYS(C1440,TODAY())&lt;5,"Risco Médio",""),IF(NETWORKDAYS(C1440,TODAY())&lt;=2,"Risco Baixo",""))))</f>
        <v>Expedido</v>
      </c>
      <c r="P1440" s="5" t="s">
        <v>25</v>
      </c>
      <c r="Q1440" s="5" t="s">
        <v>937</v>
      </c>
      <c r="S1440" s="7">
        <f>IF(ISBLANK(M1440),"Aguardando Previsão/Data",NETWORKDAYS(L1440,M1440)-1)</f>
        <v>5</v>
      </c>
      <c r="T1440" s="5" t="s">
        <v>942</v>
      </c>
    </row>
    <row r="1441" spans="1:20" x14ac:dyDescent="0.35">
      <c r="A1441" s="5">
        <v>8100275598</v>
      </c>
      <c r="B1441" s="5">
        <v>21220</v>
      </c>
      <c r="C1441" s="6">
        <v>45670</v>
      </c>
      <c r="D1441" s="5" t="s">
        <v>836</v>
      </c>
      <c r="E1441" s="5" t="s">
        <v>837</v>
      </c>
      <c r="F1441" s="5" t="s">
        <v>39</v>
      </c>
      <c r="G1441" s="5" t="s">
        <v>40</v>
      </c>
      <c r="H1441" s="5" t="s">
        <v>21</v>
      </c>
      <c r="I1441" s="5" t="s">
        <v>1096</v>
      </c>
      <c r="J1441" s="5" t="s">
        <v>41</v>
      </c>
      <c r="K1441" s="5" t="s">
        <v>24</v>
      </c>
      <c r="L1441" s="6">
        <v>45674</v>
      </c>
      <c r="M1441" s="6">
        <v>45673</v>
      </c>
      <c r="N1441" s="6" t="s">
        <v>811</v>
      </c>
      <c r="O1441" s="5" t="str">
        <f ca="1">IF(P1441&lt;&gt;"EXPEDIÇÃO","Expedido",IF(NETWORKDAYS(C1441,TODAY())&gt;=5,"Risco Alto",IF(NETWORKDAYS(C1441,TODAY())&gt;=3,IF(NETWORKDAYS(C1441,TODAY())&lt;5,"Risco Médio",""),IF(NETWORKDAYS(C1441,TODAY())&lt;=2,"Risco Baixo",""))))</f>
        <v>Expedido</v>
      </c>
      <c r="P1441" s="5" t="s">
        <v>25</v>
      </c>
      <c r="S1441" s="7">
        <f>IF(ISBLANK(M1441),"Aguardando Previsão/Data",NETWORKDAYS(L1441,M1441)-1)</f>
        <v>-3</v>
      </c>
      <c r="T1441" s="5" t="s">
        <v>942</v>
      </c>
    </row>
    <row r="1442" spans="1:20" x14ac:dyDescent="0.35">
      <c r="A1442" s="5">
        <v>8100275599</v>
      </c>
      <c r="B1442" s="5">
        <v>21221</v>
      </c>
      <c r="C1442" s="6">
        <v>45670</v>
      </c>
      <c r="D1442" s="5" t="s">
        <v>836</v>
      </c>
      <c r="E1442" s="5" t="s">
        <v>837</v>
      </c>
      <c r="F1442" s="5" t="s">
        <v>39</v>
      </c>
      <c r="G1442" s="5" t="s">
        <v>40</v>
      </c>
      <c r="H1442" s="5" t="s">
        <v>21</v>
      </c>
      <c r="I1442" s="5" t="s">
        <v>780</v>
      </c>
      <c r="J1442" s="5" t="s">
        <v>522</v>
      </c>
      <c r="K1442" s="5" t="s">
        <v>24</v>
      </c>
      <c r="L1442" s="6">
        <v>45678</v>
      </c>
      <c r="M1442" s="6">
        <v>45677</v>
      </c>
      <c r="N1442" s="6" t="s">
        <v>811</v>
      </c>
      <c r="O1442" s="5" t="str">
        <f ca="1">IF(P1442&lt;&gt;"EXPEDIÇÃO","Expedido",IF(NETWORKDAYS(C1442,TODAY())&gt;=5,"Risco Alto",IF(NETWORKDAYS(C1442,TODAY())&gt;=3,IF(NETWORKDAYS(C1442,TODAY())&lt;5,"Risco Médio",""),IF(NETWORKDAYS(C1442,TODAY())&lt;=2,"Risco Baixo",""))))</f>
        <v>Expedido</v>
      </c>
      <c r="P1442" s="5" t="s">
        <v>25</v>
      </c>
      <c r="S1442" s="7">
        <f>IF(ISBLANK(M1442),"Aguardando Previsão/Data",NETWORKDAYS(L1442,M1442)-1)</f>
        <v>-3</v>
      </c>
      <c r="T1442" s="5" t="s">
        <v>942</v>
      </c>
    </row>
    <row r="1443" spans="1:20" x14ac:dyDescent="0.35">
      <c r="A1443" s="5">
        <v>8100275008</v>
      </c>
      <c r="B1443" s="5">
        <v>10663</v>
      </c>
      <c r="C1443" s="6">
        <v>45670</v>
      </c>
      <c r="D1443" s="5" t="s">
        <v>239</v>
      </c>
      <c r="E1443" s="5" t="s">
        <v>240</v>
      </c>
      <c r="F1443" s="5" t="s">
        <v>242</v>
      </c>
      <c r="G1443" s="5" t="s">
        <v>243</v>
      </c>
      <c r="H1443" s="5" t="s">
        <v>218</v>
      </c>
      <c r="I1443" s="5" t="s">
        <v>546</v>
      </c>
      <c r="J1443" s="5" t="s">
        <v>668</v>
      </c>
      <c r="K1443" s="5" t="s">
        <v>241</v>
      </c>
      <c r="L1443" s="6">
        <v>45674</v>
      </c>
      <c r="M1443" s="6">
        <v>45673</v>
      </c>
      <c r="N1443" s="6" t="s">
        <v>811</v>
      </c>
      <c r="O1443" s="5" t="str">
        <f ca="1">IF(P1443&lt;&gt;"EXPEDIÇÃO","Expedido",IF(NETWORKDAYS(C1443,TODAY())&gt;=5,"Risco Alto",IF(NETWORKDAYS(C1443,TODAY())&gt;=3,IF(NETWORKDAYS(C1443,TODAY())&lt;5,"Risco Médio",""),IF(NETWORKDAYS(C1443,TODAY())&lt;=2,"Risco Baixo",""))))</f>
        <v>Expedido</v>
      </c>
      <c r="P1443" s="5" t="s">
        <v>25</v>
      </c>
      <c r="Q1443" s="5" t="s">
        <v>793</v>
      </c>
      <c r="S1443" s="7">
        <f>IF(ISBLANK(M1443),"Aguardando Previsão/Data",NETWORKDAYS(L1443,M1443)-1)</f>
        <v>-3</v>
      </c>
      <c r="T1443" s="5" t="s">
        <v>942</v>
      </c>
    </row>
    <row r="1444" spans="1:20" x14ac:dyDescent="0.35">
      <c r="A1444" s="5">
        <v>8100275009</v>
      </c>
      <c r="B1444" s="5">
        <v>10664</v>
      </c>
      <c r="C1444" s="6">
        <v>45670</v>
      </c>
      <c r="D1444" s="5" t="s">
        <v>239</v>
      </c>
      <c r="E1444" s="5" t="s">
        <v>240</v>
      </c>
      <c r="F1444" s="5" t="s">
        <v>242</v>
      </c>
      <c r="G1444" s="5" t="s">
        <v>243</v>
      </c>
      <c r="H1444" s="5" t="s">
        <v>218</v>
      </c>
      <c r="I1444" s="5" t="s">
        <v>546</v>
      </c>
      <c r="J1444" s="5" t="s">
        <v>668</v>
      </c>
      <c r="K1444" s="5" t="s">
        <v>241</v>
      </c>
      <c r="L1444" s="6">
        <v>45674</v>
      </c>
      <c r="M1444" s="6">
        <v>45673</v>
      </c>
      <c r="N1444" s="6" t="s">
        <v>811</v>
      </c>
      <c r="O1444" s="5" t="str">
        <f ca="1">IF(P1444&lt;&gt;"EXPEDIÇÃO","Expedido",IF(NETWORKDAYS(C1444,TODAY())&gt;=5,"Risco Alto",IF(NETWORKDAYS(C1444,TODAY())&gt;=3,IF(NETWORKDAYS(C1444,TODAY())&lt;5,"Risco Médio",""),IF(NETWORKDAYS(C1444,TODAY())&lt;=2,"Risco Baixo",""))))</f>
        <v>Expedido</v>
      </c>
      <c r="P1444" s="5" t="s">
        <v>25</v>
      </c>
      <c r="Q1444" s="5" t="s">
        <v>793</v>
      </c>
      <c r="S1444" s="7">
        <f>IF(ISBLANK(M1444),"Aguardando Previsão/Data",NETWORKDAYS(L1444,M1444)-1)</f>
        <v>-3</v>
      </c>
      <c r="T1444" s="5" t="s">
        <v>942</v>
      </c>
    </row>
    <row r="1445" spans="1:20" x14ac:dyDescent="0.35">
      <c r="A1445" s="5">
        <v>8100275010</v>
      </c>
      <c r="B1445" s="5">
        <v>10662</v>
      </c>
      <c r="C1445" s="6">
        <v>45670</v>
      </c>
      <c r="D1445" s="5" t="s">
        <v>239</v>
      </c>
      <c r="E1445" s="5" t="s">
        <v>240</v>
      </c>
      <c r="F1445" s="5" t="s">
        <v>242</v>
      </c>
      <c r="G1445" s="5" t="s">
        <v>243</v>
      </c>
      <c r="H1445" s="5" t="s">
        <v>218</v>
      </c>
      <c r="I1445" s="5" t="s">
        <v>546</v>
      </c>
      <c r="J1445" s="5" t="s">
        <v>1290</v>
      </c>
      <c r="K1445" s="5" t="s">
        <v>241</v>
      </c>
      <c r="L1445" s="6">
        <v>45677</v>
      </c>
      <c r="M1445" s="6">
        <v>45674</v>
      </c>
      <c r="N1445" s="6" t="s">
        <v>811</v>
      </c>
      <c r="O1445" s="5" t="str">
        <f ca="1">IF(P1445&lt;&gt;"EXPEDIÇÃO","Expedido",IF(NETWORKDAYS(C1445,TODAY())&gt;=5,"Risco Alto",IF(NETWORKDAYS(C1445,TODAY())&gt;=3,IF(NETWORKDAYS(C1445,TODAY())&lt;5,"Risco Médio",""),IF(NETWORKDAYS(C1445,TODAY())&lt;=2,"Risco Baixo",""))))</f>
        <v>Expedido</v>
      </c>
      <c r="P1445" s="5" t="s">
        <v>25</v>
      </c>
      <c r="Q1445" s="5" t="s">
        <v>793</v>
      </c>
      <c r="S1445" s="7">
        <f>IF(ISBLANK(M1445),"Aguardando Previsão/Data",NETWORKDAYS(L1445,M1445)-1)</f>
        <v>-3</v>
      </c>
      <c r="T1445" s="5" t="s">
        <v>942</v>
      </c>
    </row>
    <row r="1446" spans="1:20" x14ac:dyDescent="0.35">
      <c r="A1446" s="5">
        <v>8100275138</v>
      </c>
      <c r="B1446" s="5">
        <v>10665</v>
      </c>
      <c r="C1446" s="6">
        <v>45670</v>
      </c>
      <c r="D1446" s="5" t="s">
        <v>239</v>
      </c>
      <c r="E1446" s="5" t="s">
        <v>240</v>
      </c>
      <c r="F1446" s="5" t="s">
        <v>242</v>
      </c>
      <c r="G1446" s="5" t="s">
        <v>243</v>
      </c>
      <c r="H1446" s="5" t="s">
        <v>218</v>
      </c>
      <c r="I1446" s="5" t="s">
        <v>564</v>
      </c>
      <c r="J1446" s="5" t="s">
        <v>565</v>
      </c>
      <c r="K1446" s="5" t="s">
        <v>241</v>
      </c>
      <c r="L1446" s="6">
        <v>45677</v>
      </c>
      <c r="M1446" s="6">
        <v>45674</v>
      </c>
      <c r="N1446" s="6" t="s">
        <v>811</v>
      </c>
      <c r="O1446" s="5" t="str">
        <f ca="1">IF(P1446&lt;&gt;"EXPEDIÇÃO","Expedido",IF(NETWORKDAYS(C1446,TODAY())&gt;=5,"Risco Alto",IF(NETWORKDAYS(C1446,TODAY())&gt;=3,IF(NETWORKDAYS(C1446,TODAY())&lt;5,"Risco Médio",""),IF(NETWORKDAYS(C1446,TODAY())&lt;=2,"Risco Baixo",""))))</f>
        <v>Expedido</v>
      </c>
      <c r="P1446" s="5" t="s">
        <v>25</v>
      </c>
      <c r="Q1446" s="5" t="s">
        <v>793</v>
      </c>
      <c r="S1446" s="7">
        <f>IF(ISBLANK(M1446),"Aguardando Previsão/Data",NETWORKDAYS(L1446,M1446)-1)</f>
        <v>-3</v>
      </c>
      <c r="T1446" s="5" t="s">
        <v>942</v>
      </c>
    </row>
    <row r="1447" spans="1:20" x14ac:dyDescent="0.35">
      <c r="A1447" s="5">
        <v>8100275330</v>
      </c>
      <c r="B1447" s="5">
        <v>10730</v>
      </c>
      <c r="C1447" s="6">
        <v>45670</v>
      </c>
      <c r="D1447" s="5" t="s">
        <v>239</v>
      </c>
      <c r="E1447" s="5" t="s">
        <v>240</v>
      </c>
      <c r="F1447" s="5" t="s">
        <v>242</v>
      </c>
      <c r="G1447" s="5" t="s">
        <v>243</v>
      </c>
      <c r="H1447" s="5" t="s">
        <v>218</v>
      </c>
      <c r="I1447" s="5" t="s">
        <v>352</v>
      </c>
      <c r="J1447" s="5" t="s">
        <v>353</v>
      </c>
      <c r="K1447" s="5" t="s">
        <v>241</v>
      </c>
      <c r="L1447" s="6">
        <v>45674</v>
      </c>
      <c r="M1447" s="6">
        <v>45672</v>
      </c>
      <c r="N1447" s="6" t="s">
        <v>811</v>
      </c>
      <c r="O1447" s="5" t="str">
        <f ca="1">IF(P1447&lt;&gt;"EXPEDIÇÃO","Expedido",IF(NETWORKDAYS(C1447,TODAY())&gt;=5,"Risco Alto",IF(NETWORKDAYS(C1447,TODAY())&gt;=3,IF(NETWORKDAYS(C1447,TODAY())&lt;5,"Risco Médio",""),IF(NETWORKDAYS(C1447,TODAY())&lt;=2,"Risco Baixo",""))))</f>
        <v>Expedido</v>
      </c>
      <c r="P1447" s="5" t="s">
        <v>25</v>
      </c>
      <c r="Q1447" s="5" t="s">
        <v>793</v>
      </c>
      <c r="S1447" s="7">
        <f>IF(ISBLANK(M1447),"Aguardando Previsão/Data",NETWORKDAYS(L1447,M1447)-1)</f>
        <v>-4</v>
      </c>
      <c r="T1447" s="5" t="s">
        <v>942</v>
      </c>
    </row>
    <row r="1448" spans="1:20" x14ac:dyDescent="0.35">
      <c r="A1448" s="5">
        <v>8100275332</v>
      </c>
      <c r="B1448" s="5">
        <v>10729</v>
      </c>
      <c r="C1448" s="6">
        <v>45670</v>
      </c>
      <c r="D1448" s="5" t="s">
        <v>239</v>
      </c>
      <c r="E1448" s="5" t="s">
        <v>240</v>
      </c>
      <c r="F1448" s="5" t="s">
        <v>176</v>
      </c>
      <c r="G1448" s="5" t="s">
        <v>177</v>
      </c>
      <c r="H1448" s="5" t="s">
        <v>218</v>
      </c>
      <c r="I1448" s="5" t="s">
        <v>546</v>
      </c>
      <c r="J1448" s="5" t="s">
        <v>1299</v>
      </c>
      <c r="K1448" s="5" t="s">
        <v>241</v>
      </c>
      <c r="L1448" s="6">
        <v>45677</v>
      </c>
      <c r="M1448" s="6">
        <v>45679</v>
      </c>
      <c r="N1448" s="6" t="s">
        <v>812</v>
      </c>
      <c r="O1448" s="5" t="str">
        <f ca="1">IF(P1448&lt;&gt;"EXPEDIÇÃO","Expedido",IF(NETWORKDAYS(C1448,TODAY())&gt;=5,"Risco Alto",IF(NETWORKDAYS(C1448,TODAY())&gt;=3,IF(NETWORKDAYS(C1448,TODAY())&lt;5,"Risco Médio",""),IF(NETWORKDAYS(C1448,TODAY())&lt;=2,"Risco Baixo",""))))</f>
        <v>Expedido</v>
      </c>
      <c r="P1448" s="5" t="s">
        <v>25</v>
      </c>
      <c r="Q1448" s="5" t="s">
        <v>897</v>
      </c>
      <c r="S1448" s="7">
        <f>IF(ISBLANK(M1448),"Aguardando Previsão/Data",NETWORKDAYS(L1448,M1448)-1)</f>
        <v>2</v>
      </c>
      <c r="T1448" s="5" t="s">
        <v>942</v>
      </c>
    </row>
    <row r="1449" spans="1:20" x14ac:dyDescent="0.35">
      <c r="A1449" s="5">
        <v>8100275333</v>
      </c>
      <c r="B1449" s="5">
        <v>10727</v>
      </c>
      <c r="C1449" s="6">
        <v>45670</v>
      </c>
      <c r="D1449" s="5" t="s">
        <v>239</v>
      </c>
      <c r="E1449" s="5" t="s">
        <v>240</v>
      </c>
      <c r="F1449" s="5" t="s">
        <v>160</v>
      </c>
      <c r="G1449" s="5" t="s">
        <v>161</v>
      </c>
      <c r="H1449" s="5" t="s">
        <v>218</v>
      </c>
      <c r="I1449" s="5" t="s">
        <v>347</v>
      </c>
      <c r="J1449" s="5" t="s">
        <v>1148</v>
      </c>
      <c r="K1449" s="5" t="s">
        <v>241</v>
      </c>
      <c r="L1449" s="6">
        <v>45674</v>
      </c>
      <c r="M1449" s="6">
        <v>45672</v>
      </c>
      <c r="N1449" s="6" t="s">
        <v>811</v>
      </c>
      <c r="O1449" s="5" t="str">
        <f ca="1">IF(P1449&lt;&gt;"EXPEDIÇÃO","Expedido",IF(NETWORKDAYS(C1449,TODAY())&gt;=5,"Risco Alto",IF(NETWORKDAYS(C1449,TODAY())&gt;=3,IF(NETWORKDAYS(C1449,TODAY())&lt;5,"Risco Médio",""),IF(NETWORKDAYS(C1449,TODAY())&lt;=2,"Risco Baixo",""))))</f>
        <v>Expedido</v>
      </c>
      <c r="P1449" s="5" t="s">
        <v>25</v>
      </c>
      <c r="Q1449" s="5" t="s">
        <v>793</v>
      </c>
      <c r="S1449" s="7">
        <f>IF(ISBLANK(M1449),"Aguardando Previsão/Data",NETWORKDAYS(L1449,M1449)-1)</f>
        <v>-4</v>
      </c>
      <c r="T1449" s="5" t="s">
        <v>942</v>
      </c>
    </row>
    <row r="1450" spans="1:20" x14ac:dyDescent="0.35">
      <c r="A1450" s="5">
        <v>8100275387</v>
      </c>
      <c r="B1450" s="5">
        <v>10728</v>
      </c>
      <c r="C1450" s="6">
        <v>45670</v>
      </c>
      <c r="D1450" s="5" t="s">
        <v>239</v>
      </c>
      <c r="E1450" s="5" t="s">
        <v>240</v>
      </c>
      <c r="F1450" s="5" t="s">
        <v>160</v>
      </c>
      <c r="G1450" s="5" t="s">
        <v>161</v>
      </c>
      <c r="H1450" s="5" t="s">
        <v>218</v>
      </c>
      <c r="I1450" s="5" t="s">
        <v>462</v>
      </c>
      <c r="J1450" s="5" t="s">
        <v>244</v>
      </c>
      <c r="K1450" s="5" t="s">
        <v>241</v>
      </c>
      <c r="L1450" s="6">
        <v>45674</v>
      </c>
      <c r="M1450" s="6">
        <v>45673</v>
      </c>
      <c r="N1450" s="6" t="s">
        <v>811</v>
      </c>
      <c r="O1450" s="5" t="str">
        <f ca="1">IF(P1450&lt;&gt;"EXPEDIÇÃO","Expedido",IF(NETWORKDAYS(C1450,TODAY())&gt;=5,"Risco Alto",IF(NETWORKDAYS(C1450,TODAY())&gt;=3,IF(NETWORKDAYS(C1450,TODAY())&lt;5,"Risco Médio",""),IF(NETWORKDAYS(C1450,TODAY())&lt;=2,"Risco Baixo",""))))</f>
        <v>Expedido</v>
      </c>
      <c r="P1450" s="5" t="s">
        <v>25</v>
      </c>
      <c r="Q1450" s="5" t="s">
        <v>793</v>
      </c>
      <c r="S1450" s="7">
        <f>IF(ISBLANK(M1450),"Aguardando Previsão/Data",NETWORKDAYS(L1450,M1450)-1)</f>
        <v>-3</v>
      </c>
      <c r="T1450" s="5" t="s">
        <v>942</v>
      </c>
    </row>
    <row r="1451" spans="1:20" x14ac:dyDescent="0.35">
      <c r="A1451" s="5">
        <v>8100275401</v>
      </c>
      <c r="B1451" s="5">
        <v>10666</v>
      </c>
      <c r="C1451" s="6">
        <v>45670</v>
      </c>
      <c r="D1451" s="5" t="s">
        <v>239</v>
      </c>
      <c r="E1451" s="5" t="s">
        <v>240</v>
      </c>
      <c r="F1451" s="5" t="s">
        <v>160</v>
      </c>
      <c r="G1451" s="5" t="s">
        <v>161</v>
      </c>
      <c r="H1451" s="5" t="s">
        <v>218</v>
      </c>
      <c r="I1451" s="5" t="s">
        <v>546</v>
      </c>
      <c r="J1451" s="5" t="s">
        <v>355</v>
      </c>
      <c r="K1451" s="5" t="s">
        <v>241</v>
      </c>
      <c r="L1451" s="6">
        <v>45674</v>
      </c>
      <c r="M1451" s="6">
        <v>45670</v>
      </c>
      <c r="N1451" s="6" t="s">
        <v>811</v>
      </c>
      <c r="O1451" s="5" t="str">
        <f ca="1">IF(P1451&lt;&gt;"EXPEDIÇÃO","Expedido",IF(NETWORKDAYS(C1451,TODAY())&gt;=5,"Risco Alto",IF(NETWORKDAYS(C1451,TODAY())&gt;=3,IF(NETWORKDAYS(C1451,TODAY())&lt;5,"Risco Médio",""),IF(NETWORKDAYS(C1451,TODAY())&lt;=2,"Risco Baixo",""))))</f>
        <v>Expedido</v>
      </c>
      <c r="P1451" s="5" t="s">
        <v>25</v>
      </c>
      <c r="Q1451" s="5" t="s">
        <v>900</v>
      </c>
      <c r="S1451" s="7">
        <f>IF(ISBLANK(M1451),"Aguardando Previsão/Data",NETWORKDAYS(L1451,M1451)-1)</f>
        <v>-6</v>
      </c>
      <c r="T1451" s="5" t="s">
        <v>942</v>
      </c>
    </row>
    <row r="1452" spans="1:20" x14ac:dyDescent="0.35">
      <c r="A1452" s="5">
        <v>8100275402</v>
      </c>
      <c r="B1452" s="5">
        <v>10667</v>
      </c>
      <c r="C1452" s="6">
        <v>45670</v>
      </c>
      <c r="D1452" s="5" t="s">
        <v>239</v>
      </c>
      <c r="E1452" s="5" t="s">
        <v>240</v>
      </c>
      <c r="F1452" s="5" t="s">
        <v>160</v>
      </c>
      <c r="G1452" s="5" t="s">
        <v>161</v>
      </c>
      <c r="H1452" s="5" t="s">
        <v>218</v>
      </c>
      <c r="I1452" s="5" t="s">
        <v>546</v>
      </c>
      <c r="J1452" s="5" t="s">
        <v>355</v>
      </c>
      <c r="K1452" s="5" t="s">
        <v>241</v>
      </c>
      <c r="L1452" s="6">
        <v>45674</v>
      </c>
      <c r="M1452" s="6">
        <v>45670</v>
      </c>
      <c r="N1452" s="6" t="s">
        <v>811</v>
      </c>
      <c r="O1452" s="5" t="str">
        <f ca="1">IF(P1452&lt;&gt;"EXPEDIÇÃO","Expedido",IF(NETWORKDAYS(C1452,TODAY())&gt;=5,"Risco Alto",IF(NETWORKDAYS(C1452,TODAY())&gt;=3,IF(NETWORKDAYS(C1452,TODAY())&lt;5,"Risco Médio",""),IF(NETWORKDAYS(C1452,TODAY())&lt;=2,"Risco Baixo",""))))</f>
        <v>Expedido</v>
      </c>
      <c r="P1452" s="5" t="s">
        <v>25</v>
      </c>
      <c r="Q1452" s="5" t="s">
        <v>900</v>
      </c>
      <c r="S1452" s="7">
        <f>IF(ISBLANK(M1452),"Aguardando Previsão/Data",NETWORKDAYS(L1452,M1452)-1)</f>
        <v>-6</v>
      </c>
      <c r="T1452" s="5" t="s">
        <v>942</v>
      </c>
    </row>
    <row r="1453" spans="1:20" x14ac:dyDescent="0.35">
      <c r="A1453" s="5">
        <v>8100275403</v>
      </c>
      <c r="B1453" s="5">
        <v>10668</v>
      </c>
      <c r="C1453" s="6">
        <v>45670</v>
      </c>
      <c r="D1453" s="5" t="s">
        <v>239</v>
      </c>
      <c r="E1453" s="5" t="s">
        <v>240</v>
      </c>
      <c r="F1453" s="5" t="s">
        <v>242</v>
      </c>
      <c r="G1453" s="5" t="s">
        <v>243</v>
      </c>
      <c r="H1453" s="5" t="s">
        <v>218</v>
      </c>
      <c r="I1453" s="5" t="s">
        <v>546</v>
      </c>
      <c r="J1453" s="5" t="s">
        <v>355</v>
      </c>
      <c r="K1453" s="5" t="s">
        <v>241</v>
      </c>
      <c r="L1453" s="6">
        <v>45674</v>
      </c>
      <c r="M1453" s="6">
        <v>45670</v>
      </c>
      <c r="N1453" s="6" t="s">
        <v>811</v>
      </c>
      <c r="O1453" s="5" t="str">
        <f ca="1">IF(P1453&lt;&gt;"EXPEDIÇÃO","Expedido",IF(NETWORKDAYS(C1453,TODAY())&gt;=5,"Risco Alto",IF(NETWORKDAYS(C1453,TODAY())&gt;=3,IF(NETWORKDAYS(C1453,TODAY())&lt;5,"Risco Médio",""),IF(NETWORKDAYS(C1453,TODAY())&lt;=2,"Risco Baixo",""))))</f>
        <v>Expedido</v>
      </c>
      <c r="P1453" s="5" t="s">
        <v>25</v>
      </c>
      <c r="Q1453" s="5" t="s">
        <v>900</v>
      </c>
      <c r="S1453" s="7">
        <f>IF(ISBLANK(M1453),"Aguardando Previsão/Data",NETWORKDAYS(L1453,M1453)-1)</f>
        <v>-6</v>
      </c>
      <c r="T1453" s="5" t="s">
        <v>942</v>
      </c>
    </row>
    <row r="1454" spans="1:20" x14ac:dyDescent="0.35">
      <c r="A1454" s="5">
        <v>8100275404</v>
      </c>
      <c r="B1454" s="5">
        <v>10669</v>
      </c>
      <c r="C1454" s="6">
        <v>45670</v>
      </c>
      <c r="D1454" s="5" t="s">
        <v>239</v>
      </c>
      <c r="E1454" s="5" t="s">
        <v>240</v>
      </c>
      <c r="F1454" s="5" t="s">
        <v>242</v>
      </c>
      <c r="G1454" s="5" t="s">
        <v>243</v>
      </c>
      <c r="H1454" s="5" t="s">
        <v>218</v>
      </c>
      <c r="I1454" s="5" t="s">
        <v>546</v>
      </c>
      <c r="J1454" s="5" t="s">
        <v>355</v>
      </c>
      <c r="K1454" s="5" t="s">
        <v>241</v>
      </c>
      <c r="L1454" s="6">
        <v>45674</v>
      </c>
      <c r="M1454" s="6">
        <v>45670</v>
      </c>
      <c r="N1454" s="6" t="s">
        <v>811</v>
      </c>
      <c r="O1454" s="5" t="str">
        <f ca="1">IF(P1454&lt;&gt;"EXPEDIÇÃO","Expedido",IF(NETWORKDAYS(C1454,TODAY())&gt;=5,"Risco Alto",IF(NETWORKDAYS(C1454,TODAY())&gt;=3,IF(NETWORKDAYS(C1454,TODAY())&lt;5,"Risco Médio",""),IF(NETWORKDAYS(C1454,TODAY())&lt;=2,"Risco Baixo",""))))</f>
        <v>Expedido</v>
      </c>
      <c r="P1454" s="5" t="s">
        <v>25</v>
      </c>
      <c r="Q1454" s="5" t="s">
        <v>900</v>
      </c>
      <c r="S1454" s="7">
        <f>IF(ISBLANK(M1454),"Aguardando Previsão/Data",NETWORKDAYS(L1454,M1454)-1)</f>
        <v>-6</v>
      </c>
      <c r="T1454" s="5" t="s">
        <v>942</v>
      </c>
    </row>
    <row r="1455" spans="1:20" x14ac:dyDescent="0.35">
      <c r="A1455" s="5">
        <v>8100275405</v>
      </c>
      <c r="B1455" s="5">
        <v>10670</v>
      </c>
      <c r="C1455" s="6">
        <v>45670</v>
      </c>
      <c r="D1455" s="5" t="s">
        <v>239</v>
      </c>
      <c r="E1455" s="5" t="s">
        <v>240</v>
      </c>
      <c r="F1455" s="5" t="s">
        <v>160</v>
      </c>
      <c r="G1455" s="5" t="s">
        <v>161</v>
      </c>
      <c r="H1455" s="5" t="s">
        <v>218</v>
      </c>
      <c r="I1455" s="5" t="s">
        <v>546</v>
      </c>
      <c r="J1455" s="5" t="s">
        <v>355</v>
      </c>
      <c r="K1455" s="5" t="s">
        <v>241</v>
      </c>
      <c r="L1455" s="6">
        <v>45674</v>
      </c>
      <c r="M1455" s="6">
        <v>45670</v>
      </c>
      <c r="N1455" s="6" t="s">
        <v>811</v>
      </c>
      <c r="O1455" s="5" t="str">
        <f ca="1">IF(P1455&lt;&gt;"EXPEDIÇÃO","Expedido",IF(NETWORKDAYS(C1455,TODAY())&gt;=5,"Risco Alto",IF(NETWORKDAYS(C1455,TODAY())&gt;=3,IF(NETWORKDAYS(C1455,TODAY())&lt;5,"Risco Médio",""),IF(NETWORKDAYS(C1455,TODAY())&lt;=2,"Risco Baixo",""))))</f>
        <v>Expedido</v>
      </c>
      <c r="P1455" s="5" t="s">
        <v>25</v>
      </c>
      <c r="Q1455" s="5" t="s">
        <v>900</v>
      </c>
      <c r="S1455" s="7">
        <f>IF(ISBLANK(M1455),"Aguardando Previsão/Data",NETWORKDAYS(L1455,M1455)-1)</f>
        <v>-6</v>
      </c>
      <c r="T1455" s="5" t="s">
        <v>942</v>
      </c>
    </row>
    <row r="1456" spans="1:20" x14ac:dyDescent="0.35">
      <c r="A1456" s="5">
        <v>8100275406</v>
      </c>
      <c r="B1456" s="5">
        <v>10671</v>
      </c>
      <c r="C1456" s="6">
        <v>45670</v>
      </c>
      <c r="D1456" s="5" t="s">
        <v>239</v>
      </c>
      <c r="E1456" s="5" t="s">
        <v>240</v>
      </c>
      <c r="F1456" s="5" t="s">
        <v>160</v>
      </c>
      <c r="G1456" s="5" t="s">
        <v>161</v>
      </c>
      <c r="H1456" s="5" t="s">
        <v>218</v>
      </c>
      <c r="I1456" s="5" t="s">
        <v>546</v>
      </c>
      <c r="J1456" s="5" t="s">
        <v>355</v>
      </c>
      <c r="K1456" s="5" t="s">
        <v>241</v>
      </c>
      <c r="L1456" s="6">
        <v>45674</v>
      </c>
      <c r="M1456" s="6">
        <v>45670</v>
      </c>
      <c r="N1456" s="6" t="s">
        <v>811</v>
      </c>
      <c r="O1456" s="5" t="str">
        <f ca="1">IF(P1456&lt;&gt;"EXPEDIÇÃO","Expedido",IF(NETWORKDAYS(C1456,TODAY())&gt;=5,"Risco Alto",IF(NETWORKDAYS(C1456,TODAY())&gt;=3,IF(NETWORKDAYS(C1456,TODAY())&lt;5,"Risco Médio",""),IF(NETWORKDAYS(C1456,TODAY())&lt;=2,"Risco Baixo",""))))</f>
        <v>Expedido</v>
      </c>
      <c r="P1456" s="5" t="s">
        <v>25</v>
      </c>
      <c r="Q1456" s="5" t="s">
        <v>900</v>
      </c>
      <c r="S1456" s="7">
        <f>IF(ISBLANK(M1456),"Aguardando Previsão/Data",NETWORKDAYS(L1456,M1456)-1)</f>
        <v>-6</v>
      </c>
      <c r="T1456" s="5" t="s">
        <v>942</v>
      </c>
    </row>
    <row r="1457" spans="1:20" x14ac:dyDescent="0.35">
      <c r="A1457" s="5">
        <v>8100275409</v>
      </c>
      <c r="B1457" s="5">
        <v>10672</v>
      </c>
      <c r="C1457" s="6">
        <v>45670</v>
      </c>
      <c r="D1457" s="5" t="s">
        <v>239</v>
      </c>
      <c r="E1457" s="5" t="s">
        <v>240</v>
      </c>
      <c r="F1457" s="5" t="s">
        <v>160</v>
      </c>
      <c r="G1457" s="5" t="s">
        <v>161</v>
      </c>
      <c r="H1457" s="5" t="s">
        <v>218</v>
      </c>
      <c r="I1457" s="5" t="s">
        <v>546</v>
      </c>
      <c r="J1457" s="5" t="s">
        <v>355</v>
      </c>
      <c r="K1457" s="5" t="s">
        <v>241</v>
      </c>
      <c r="L1457" s="6">
        <v>45674</v>
      </c>
      <c r="M1457" s="6">
        <v>45670</v>
      </c>
      <c r="N1457" s="6" t="s">
        <v>811</v>
      </c>
      <c r="O1457" s="5" t="str">
        <f ca="1">IF(P1457&lt;&gt;"EXPEDIÇÃO","Expedido",IF(NETWORKDAYS(C1457,TODAY())&gt;=5,"Risco Alto",IF(NETWORKDAYS(C1457,TODAY())&gt;=3,IF(NETWORKDAYS(C1457,TODAY())&lt;5,"Risco Médio",""),IF(NETWORKDAYS(C1457,TODAY())&lt;=2,"Risco Baixo",""))))</f>
        <v>Expedido</v>
      </c>
      <c r="P1457" s="5" t="s">
        <v>25</v>
      </c>
      <c r="Q1457" s="5" t="s">
        <v>900</v>
      </c>
      <c r="S1457" s="7">
        <f>IF(ISBLANK(M1457),"Aguardando Previsão/Data",NETWORKDAYS(L1457,M1457)-1)</f>
        <v>-6</v>
      </c>
      <c r="T1457" s="5" t="s">
        <v>942</v>
      </c>
    </row>
    <row r="1458" spans="1:20" x14ac:dyDescent="0.35">
      <c r="A1458" s="5">
        <v>8100275410</v>
      </c>
      <c r="B1458" s="5">
        <v>10673</v>
      </c>
      <c r="C1458" s="6">
        <v>45670</v>
      </c>
      <c r="D1458" s="5" t="s">
        <v>239</v>
      </c>
      <c r="E1458" s="5" t="s">
        <v>240</v>
      </c>
      <c r="F1458" s="5" t="s">
        <v>160</v>
      </c>
      <c r="G1458" s="5" t="s">
        <v>161</v>
      </c>
      <c r="H1458" s="5" t="s">
        <v>218</v>
      </c>
      <c r="I1458" s="5" t="s">
        <v>546</v>
      </c>
      <c r="J1458" s="5" t="s">
        <v>355</v>
      </c>
      <c r="K1458" s="5" t="s">
        <v>241</v>
      </c>
      <c r="L1458" s="6">
        <v>45674</v>
      </c>
      <c r="M1458" s="6">
        <v>45670</v>
      </c>
      <c r="N1458" s="6" t="s">
        <v>811</v>
      </c>
      <c r="O1458" s="5" t="str">
        <f ca="1">IF(P1458&lt;&gt;"EXPEDIÇÃO","Expedido",IF(NETWORKDAYS(C1458,TODAY())&gt;=5,"Risco Alto",IF(NETWORKDAYS(C1458,TODAY())&gt;=3,IF(NETWORKDAYS(C1458,TODAY())&lt;5,"Risco Médio",""),IF(NETWORKDAYS(C1458,TODAY())&lt;=2,"Risco Baixo",""))))</f>
        <v>Expedido</v>
      </c>
      <c r="P1458" s="5" t="s">
        <v>25</v>
      </c>
      <c r="Q1458" s="5" t="s">
        <v>900</v>
      </c>
      <c r="S1458" s="7">
        <f>IF(ISBLANK(M1458),"Aguardando Previsão/Data",NETWORKDAYS(L1458,M1458)-1)</f>
        <v>-6</v>
      </c>
      <c r="T1458" s="5" t="s">
        <v>942</v>
      </c>
    </row>
    <row r="1459" spans="1:20" x14ac:dyDescent="0.35">
      <c r="A1459" s="5">
        <v>8100275411</v>
      </c>
      <c r="B1459" s="5">
        <v>10674</v>
      </c>
      <c r="C1459" s="6">
        <v>45670</v>
      </c>
      <c r="D1459" s="5" t="s">
        <v>239</v>
      </c>
      <c r="E1459" s="5" t="s">
        <v>240</v>
      </c>
      <c r="F1459" s="5" t="s">
        <v>160</v>
      </c>
      <c r="G1459" s="5" t="s">
        <v>161</v>
      </c>
      <c r="H1459" s="5" t="s">
        <v>218</v>
      </c>
      <c r="I1459" s="5" t="s">
        <v>546</v>
      </c>
      <c r="J1459" s="5" t="s">
        <v>355</v>
      </c>
      <c r="K1459" s="5" t="s">
        <v>241</v>
      </c>
      <c r="L1459" s="6">
        <v>45674</v>
      </c>
      <c r="M1459" s="6">
        <v>45670</v>
      </c>
      <c r="N1459" s="6" t="s">
        <v>811</v>
      </c>
      <c r="O1459" s="5" t="str">
        <f ca="1">IF(P1459&lt;&gt;"EXPEDIÇÃO","Expedido",IF(NETWORKDAYS(C1459,TODAY())&gt;=5,"Risco Alto",IF(NETWORKDAYS(C1459,TODAY())&gt;=3,IF(NETWORKDAYS(C1459,TODAY())&lt;5,"Risco Médio",""),IF(NETWORKDAYS(C1459,TODAY())&lt;=2,"Risco Baixo",""))))</f>
        <v>Expedido</v>
      </c>
      <c r="P1459" s="5" t="s">
        <v>25</v>
      </c>
      <c r="Q1459" s="5" t="s">
        <v>900</v>
      </c>
      <c r="S1459" s="7">
        <f>IF(ISBLANK(M1459),"Aguardando Previsão/Data",NETWORKDAYS(L1459,M1459)-1)</f>
        <v>-6</v>
      </c>
      <c r="T1459" s="5" t="s">
        <v>942</v>
      </c>
    </row>
    <row r="1460" spans="1:20" x14ac:dyDescent="0.35">
      <c r="A1460" s="5">
        <v>8100275412</v>
      </c>
      <c r="B1460" s="5">
        <v>10675</v>
      </c>
      <c r="C1460" s="6">
        <v>45670</v>
      </c>
      <c r="D1460" s="5" t="s">
        <v>239</v>
      </c>
      <c r="E1460" s="5" t="s">
        <v>240</v>
      </c>
      <c r="F1460" s="5" t="s">
        <v>160</v>
      </c>
      <c r="G1460" s="5" t="s">
        <v>161</v>
      </c>
      <c r="H1460" s="5" t="s">
        <v>218</v>
      </c>
      <c r="I1460" s="5" t="s">
        <v>546</v>
      </c>
      <c r="J1460" s="5" t="s">
        <v>355</v>
      </c>
      <c r="K1460" s="5" t="s">
        <v>241</v>
      </c>
      <c r="L1460" s="6">
        <v>45674</v>
      </c>
      <c r="M1460" s="6">
        <v>45670</v>
      </c>
      <c r="N1460" s="6" t="s">
        <v>811</v>
      </c>
      <c r="O1460" s="5" t="str">
        <f ca="1">IF(P1460&lt;&gt;"EXPEDIÇÃO","Expedido",IF(NETWORKDAYS(C1460,TODAY())&gt;=5,"Risco Alto",IF(NETWORKDAYS(C1460,TODAY())&gt;=3,IF(NETWORKDAYS(C1460,TODAY())&lt;5,"Risco Médio",""),IF(NETWORKDAYS(C1460,TODAY())&lt;=2,"Risco Baixo",""))))</f>
        <v>Expedido</v>
      </c>
      <c r="P1460" s="5" t="s">
        <v>25</v>
      </c>
      <c r="Q1460" s="5" t="s">
        <v>900</v>
      </c>
      <c r="S1460" s="7">
        <f>IF(ISBLANK(M1460),"Aguardando Previsão/Data",NETWORKDAYS(L1460,M1460)-1)</f>
        <v>-6</v>
      </c>
      <c r="T1460" s="5" t="s">
        <v>942</v>
      </c>
    </row>
    <row r="1461" spans="1:20" x14ac:dyDescent="0.35">
      <c r="A1461" s="5">
        <v>8100275413</v>
      </c>
      <c r="B1461" s="5">
        <v>10676</v>
      </c>
      <c r="C1461" s="6">
        <v>45670</v>
      </c>
      <c r="D1461" s="5" t="s">
        <v>239</v>
      </c>
      <c r="E1461" s="5" t="s">
        <v>240</v>
      </c>
      <c r="F1461" s="5" t="s">
        <v>242</v>
      </c>
      <c r="G1461" s="5" t="s">
        <v>243</v>
      </c>
      <c r="H1461" s="5" t="s">
        <v>218</v>
      </c>
      <c r="I1461" s="5" t="s">
        <v>546</v>
      </c>
      <c r="J1461" s="5" t="s">
        <v>355</v>
      </c>
      <c r="K1461" s="5" t="s">
        <v>241</v>
      </c>
      <c r="L1461" s="6">
        <v>45674</v>
      </c>
      <c r="M1461" s="6">
        <v>45670</v>
      </c>
      <c r="N1461" s="6" t="s">
        <v>811</v>
      </c>
      <c r="O1461" s="5" t="str">
        <f ca="1">IF(P1461&lt;&gt;"EXPEDIÇÃO","Expedido",IF(NETWORKDAYS(C1461,TODAY())&gt;=5,"Risco Alto",IF(NETWORKDAYS(C1461,TODAY())&gt;=3,IF(NETWORKDAYS(C1461,TODAY())&lt;5,"Risco Médio",""),IF(NETWORKDAYS(C1461,TODAY())&lt;=2,"Risco Baixo",""))))</f>
        <v>Expedido</v>
      </c>
      <c r="P1461" s="5" t="s">
        <v>25</v>
      </c>
      <c r="Q1461" s="5" t="s">
        <v>900</v>
      </c>
      <c r="S1461" s="7">
        <f>IF(ISBLANK(M1461),"Aguardando Previsão/Data",NETWORKDAYS(L1461,M1461)-1)</f>
        <v>-6</v>
      </c>
      <c r="T1461" s="5" t="s">
        <v>942</v>
      </c>
    </row>
    <row r="1462" spans="1:20" x14ac:dyDescent="0.35">
      <c r="A1462" s="5">
        <v>8100275414</v>
      </c>
      <c r="B1462" s="5">
        <v>10677</v>
      </c>
      <c r="C1462" s="6">
        <v>45670</v>
      </c>
      <c r="D1462" s="5" t="s">
        <v>239</v>
      </c>
      <c r="E1462" s="5" t="s">
        <v>240</v>
      </c>
      <c r="F1462" s="5" t="s">
        <v>160</v>
      </c>
      <c r="G1462" s="5" t="s">
        <v>161</v>
      </c>
      <c r="H1462" s="5" t="s">
        <v>218</v>
      </c>
      <c r="I1462" s="5" t="s">
        <v>546</v>
      </c>
      <c r="J1462" s="5" t="s">
        <v>355</v>
      </c>
      <c r="K1462" s="5" t="s">
        <v>241</v>
      </c>
      <c r="L1462" s="6">
        <v>45674</v>
      </c>
      <c r="M1462" s="6">
        <v>45670</v>
      </c>
      <c r="N1462" s="6" t="s">
        <v>811</v>
      </c>
      <c r="O1462" s="5" t="str">
        <f ca="1">IF(P1462&lt;&gt;"EXPEDIÇÃO","Expedido",IF(NETWORKDAYS(C1462,TODAY())&gt;=5,"Risco Alto",IF(NETWORKDAYS(C1462,TODAY())&gt;=3,IF(NETWORKDAYS(C1462,TODAY())&lt;5,"Risco Médio",""),IF(NETWORKDAYS(C1462,TODAY())&lt;=2,"Risco Baixo",""))))</f>
        <v>Expedido</v>
      </c>
      <c r="P1462" s="5" t="s">
        <v>25</v>
      </c>
      <c r="Q1462" s="5" t="s">
        <v>900</v>
      </c>
      <c r="S1462" s="7">
        <f>IF(ISBLANK(M1462),"Aguardando Previsão/Data",NETWORKDAYS(L1462,M1462)-1)</f>
        <v>-6</v>
      </c>
      <c r="T1462" s="5" t="s">
        <v>942</v>
      </c>
    </row>
    <row r="1463" spans="1:20" x14ac:dyDescent="0.35">
      <c r="A1463" s="5">
        <v>8100275415</v>
      </c>
      <c r="B1463" s="5">
        <v>10678</v>
      </c>
      <c r="C1463" s="6">
        <v>45670</v>
      </c>
      <c r="D1463" s="5" t="s">
        <v>239</v>
      </c>
      <c r="E1463" s="5" t="s">
        <v>240</v>
      </c>
      <c r="F1463" s="5" t="s">
        <v>242</v>
      </c>
      <c r="G1463" s="5" t="s">
        <v>243</v>
      </c>
      <c r="H1463" s="5" t="s">
        <v>218</v>
      </c>
      <c r="I1463" s="5" t="s">
        <v>546</v>
      </c>
      <c r="J1463" s="5" t="s">
        <v>355</v>
      </c>
      <c r="K1463" s="5" t="s">
        <v>241</v>
      </c>
      <c r="L1463" s="6">
        <v>45674</v>
      </c>
      <c r="M1463" s="6">
        <v>45670</v>
      </c>
      <c r="N1463" s="6" t="s">
        <v>811</v>
      </c>
      <c r="O1463" s="5" t="str">
        <f ca="1">IF(P1463&lt;&gt;"EXPEDIÇÃO","Expedido",IF(NETWORKDAYS(C1463,TODAY())&gt;=5,"Risco Alto",IF(NETWORKDAYS(C1463,TODAY())&gt;=3,IF(NETWORKDAYS(C1463,TODAY())&lt;5,"Risco Médio",""),IF(NETWORKDAYS(C1463,TODAY())&lt;=2,"Risco Baixo",""))))</f>
        <v>Expedido</v>
      </c>
      <c r="P1463" s="5" t="s">
        <v>25</v>
      </c>
      <c r="Q1463" s="5" t="s">
        <v>900</v>
      </c>
      <c r="S1463" s="7">
        <f>IF(ISBLANK(M1463),"Aguardando Previsão/Data",NETWORKDAYS(L1463,M1463)-1)</f>
        <v>-6</v>
      </c>
      <c r="T1463" s="5" t="s">
        <v>942</v>
      </c>
    </row>
    <row r="1464" spans="1:20" x14ac:dyDescent="0.35">
      <c r="A1464" s="5">
        <v>8100275416</v>
      </c>
      <c r="B1464" s="5">
        <v>10679</v>
      </c>
      <c r="C1464" s="6">
        <v>45670</v>
      </c>
      <c r="D1464" s="5" t="s">
        <v>239</v>
      </c>
      <c r="E1464" s="5" t="s">
        <v>240</v>
      </c>
      <c r="F1464" s="5" t="s">
        <v>242</v>
      </c>
      <c r="G1464" s="5" t="s">
        <v>243</v>
      </c>
      <c r="H1464" s="5" t="s">
        <v>218</v>
      </c>
      <c r="I1464" s="5" t="s">
        <v>546</v>
      </c>
      <c r="J1464" s="5" t="s">
        <v>355</v>
      </c>
      <c r="K1464" s="5" t="s">
        <v>241</v>
      </c>
      <c r="L1464" s="6">
        <v>45674</v>
      </c>
      <c r="M1464" s="6">
        <v>45670</v>
      </c>
      <c r="N1464" s="6" t="s">
        <v>811</v>
      </c>
      <c r="O1464" s="5" t="str">
        <f ca="1">IF(P1464&lt;&gt;"EXPEDIÇÃO","Expedido",IF(NETWORKDAYS(C1464,TODAY())&gt;=5,"Risco Alto",IF(NETWORKDAYS(C1464,TODAY())&gt;=3,IF(NETWORKDAYS(C1464,TODAY())&lt;5,"Risco Médio",""),IF(NETWORKDAYS(C1464,TODAY())&lt;=2,"Risco Baixo",""))))</f>
        <v>Expedido</v>
      </c>
      <c r="P1464" s="5" t="s">
        <v>25</v>
      </c>
      <c r="Q1464" s="5" t="s">
        <v>900</v>
      </c>
      <c r="S1464" s="7">
        <f>IF(ISBLANK(M1464),"Aguardando Previsão/Data",NETWORKDAYS(L1464,M1464)-1)</f>
        <v>-6</v>
      </c>
      <c r="T1464" s="5" t="s">
        <v>942</v>
      </c>
    </row>
    <row r="1465" spans="1:20" x14ac:dyDescent="0.35">
      <c r="A1465" s="5">
        <v>8100275417</v>
      </c>
      <c r="B1465" s="5">
        <v>10680</v>
      </c>
      <c r="C1465" s="6">
        <v>45670</v>
      </c>
      <c r="D1465" s="5" t="s">
        <v>239</v>
      </c>
      <c r="E1465" s="5" t="s">
        <v>240</v>
      </c>
      <c r="F1465" s="5" t="s">
        <v>176</v>
      </c>
      <c r="G1465" s="5" t="s">
        <v>177</v>
      </c>
      <c r="H1465" s="5" t="s">
        <v>218</v>
      </c>
      <c r="I1465" s="5" t="s">
        <v>546</v>
      </c>
      <c r="J1465" s="5" t="s">
        <v>355</v>
      </c>
      <c r="K1465" s="5" t="s">
        <v>241</v>
      </c>
      <c r="L1465" s="6">
        <v>45674</v>
      </c>
      <c r="M1465" s="6">
        <v>45670</v>
      </c>
      <c r="N1465" s="6" t="s">
        <v>811</v>
      </c>
      <c r="O1465" s="5" t="str">
        <f ca="1">IF(P1465&lt;&gt;"EXPEDIÇÃO","Expedido",IF(NETWORKDAYS(C1465,TODAY())&gt;=5,"Risco Alto",IF(NETWORKDAYS(C1465,TODAY())&gt;=3,IF(NETWORKDAYS(C1465,TODAY())&lt;5,"Risco Médio",""),IF(NETWORKDAYS(C1465,TODAY())&lt;=2,"Risco Baixo",""))))</f>
        <v>Expedido</v>
      </c>
      <c r="P1465" s="5" t="s">
        <v>25</v>
      </c>
      <c r="Q1465" s="5" t="s">
        <v>900</v>
      </c>
      <c r="S1465" s="7">
        <f>IF(ISBLANK(M1465),"Aguardando Previsão/Data",NETWORKDAYS(L1465,M1465)-1)</f>
        <v>-6</v>
      </c>
      <c r="T1465" s="5" t="s">
        <v>942</v>
      </c>
    </row>
    <row r="1466" spans="1:20" x14ac:dyDescent="0.35">
      <c r="A1466" s="5">
        <v>8100275418</v>
      </c>
      <c r="B1466" s="5">
        <v>10681</v>
      </c>
      <c r="C1466" s="6">
        <v>45670</v>
      </c>
      <c r="D1466" s="5" t="s">
        <v>239</v>
      </c>
      <c r="E1466" s="5" t="s">
        <v>240</v>
      </c>
      <c r="F1466" s="5" t="s">
        <v>242</v>
      </c>
      <c r="G1466" s="5" t="s">
        <v>243</v>
      </c>
      <c r="H1466" s="5" t="s">
        <v>218</v>
      </c>
      <c r="I1466" s="5" t="s">
        <v>546</v>
      </c>
      <c r="J1466" s="5" t="s">
        <v>355</v>
      </c>
      <c r="K1466" s="5" t="s">
        <v>241</v>
      </c>
      <c r="L1466" s="6">
        <v>45674</v>
      </c>
      <c r="M1466" s="6">
        <v>45670</v>
      </c>
      <c r="N1466" s="6" t="s">
        <v>811</v>
      </c>
      <c r="O1466" s="5" t="str">
        <f ca="1">IF(P1466&lt;&gt;"EXPEDIÇÃO","Expedido",IF(NETWORKDAYS(C1466,TODAY())&gt;=5,"Risco Alto",IF(NETWORKDAYS(C1466,TODAY())&gt;=3,IF(NETWORKDAYS(C1466,TODAY())&lt;5,"Risco Médio",""),IF(NETWORKDAYS(C1466,TODAY())&lt;=2,"Risco Baixo",""))))</f>
        <v>Expedido</v>
      </c>
      <c r="P1466" s="5" t="s">
        <v>25</v>
      </c>
      <c r="Q1466" s="5" t="s">
        <v>900</v>
      </c>
      <c r="S1466" s="7">
        <f>IF(ISBLANK(M1466),"Aguardando Previsão/Data",NETWORKDAYS(L1466,M1466)-1)</f>
        <v>-6</v>
      </c>
      <c r="T1466" s="5" t="s">
        <v>942</v>
      </c>
    </row>
    <row r="1467" spans="1:20" x14ac:dyDescent="0.35">
      <c r="A1467" s="5">
        <v>8100275419</v>
      </c>
      <c r="B1467" s="5">
        <v>10682</v>
      </c>
      <c r="C1467" s="6">
        <v>45670</v>
      </c>
      <c r="D1467" s="5" t="s">
        <v>239</v>
      </c>
      <c r="E1467" s="5" t="s">
        <v>240</v>
      </c>
      <c r="F1467" s="5" t="s">
        <v>242</v>
      </c>
      <c r="G1467" s="5" t="s">
        <v>243</v>
      </c>
      <c r="H1467" s="5" t="s">
        <v>218</v>
      </c>
      <c r="I1467" s="5" t="s">
        <v>546</v>
      </c>
      <c r="J1467" s="5" t="s">
        <v>355</v>
      </c>
      <c r="K1467" s="5" t="s">
        <v>241</v>
      </c>
      <c r="L1467" s="6">
        <v>45674</v>
      </c>
      <c r="M1467" s="6">
        <v>45670</v>
      </c>
      <c r="N1467" s="6" t="s">
        <v>811</v>
      </c>
      <c r="O1467" s="5" t="str">
        <f ca="1">IF(P1467&lt;&gt;"EXPEDIÇÃO","Expedido",IF(NETWORKDAYS(C1467,TODAY())&gt;=5,"Risco Alto",IF(NETWORKDAYS(C1467,TODAY())&gt;=3,IF(NETWORKDAYS(C1467,TODAY())&lt;5,"Risco Médio",""),IF(NETWORKDAYS(C1467,TODAY())&lt;=2,"Risco Baixo",""))))</f>
        <v>Expedido</v>
      </c>
      <c r="P1467" s="5" t="s">
        <v>25</v>
      </c>
      <c r="Q1467" s="5" t="s">
        <v>900</v>
      </c>
      <c r="S1467" s="7">
        <f>IF(ISBLANK(M1467),"Aguardando Previsão/Data",NETWORKDAYS(L1467,M1467)-1)</f>
        <v>-6</v>
      </c>
      <c r="T1467" s="5" t="s">
        <v>942</v>
      </c>
    </row>
    <row r="1468" spans="1:20" x14ac:dyDescent="0.35">
      <c r="A1468" s="5">
        <v>8100275422</v>
      </c>
      <c r="B1468" s="5">
        <v>10683</v>
      </c>
      <c r="C1468" s="6">
        <v>45670</v>
      </c>
      <c r="D1468" s="5" t="s">
        <v>239</v>
      </c>
      <c r="E1468" s="5" t="s">
        <v>240</v>
      </c>
      <c r="F1468" s="5" t="s">
        <v>160</v>
      </c>
      <c r="G1468" s="5" t="s">
        <v>161</v>
      </c>
      <c r="H1468" s="5" t="s">
        <v>218</v>
      </c>
      <c r="I1468" s="5" t="s">
        <v>546</v>
      </c>
      <c r="J1468" s="5" t="s">
        <v>355</v>
      </c>
      <c r="K1468" s="5" t="s">
        <v>241</v>
      </c>
      <c r="L1468" s="6">
        <v>45674</v>
      </c>
      <c r="M1468" s="6">
        <v>45670</v>
      </c>
      <c r="N1468" s="6" t="s">
        <v>811</v>
      </c>
      <c r="O1468" s="5" t="str">
        <f ca="1">IF(P1468&lt;&gt;"EXPEDIÇÃO","Expedido",IF(NETWORKDAYS(C1468,TODAY())&gt;=5,"Risco Alto",IF(NETWORKDAYS(C1468,TODAY())&gt;=3,IF(NETWORKDAYS(C1468,TODAY())&lt;5,"Risco Médio",""),IF(NETWORKDAYS(C1468,TODAY())&lt;=2,"Risco Baixo",""))))</f>
        <v>Expedido</v>
      </c>
      <c r="P1468" s="5" t="s">
        <v>25</v>
      </c>
      <c r="Q1468" s="5" t="s">
        <v>900</v>
      </c>
      <c r="S1468" s="7">
        <f>IF(ISBLANK(M1468),"Aguardando Previsão/Data",NETWORKDAYS(L1468,M1468)-1)</f>
        <v>-6</v>
      </c>
      <c r="T1468" s="5" t="s">
        <v>942</v>
      </c>
    </row>
    <row r="1469" spans="1:20" x14ac:dyDescent="0.35">
      <c r="A1469" s="5">
        <v>8100275423</v>
      </c>
      <c r="B1469" s="5">
        <v>10684</v>
      </c>
      <c r="C1469" s="6">
        <v>45670</v>
      </c>
      <c r="D1469" s="5" t="s">
        <v>239</v>
      </c>
      <c r="E1469" s="5" t="s">
        <v>240</v>
      </c>
      <c r="F1469" s="5" t="s">
        <v>242</v>
      </c>
      <c r="G1469" s="5" t="s">
        <v>243</v>
      </c>
      <c r="H1469" s="5" t="s">
        <v>218</v>
      </c>
      <c r="I1469" s="5" t="s">
        <v>546</v>
      </c>
      <c r="J1469" s="5" t="s">
        <v>355</v>
      </c>
      <c r="K1469" s="5" t="s">
        <v>241</v>
      </c>
      <c r="L1469" s="6">
        <v>45674</v>
      </c>
      <c r="M1469" s="6">
        <v>45670</v>
      </c>
      <c r="N1469" s="6" t="s">
        <v>811</v>
      </c>
      <c r="O1469" s="5" t="str">
        <f ca="1">IF(P1469&lt;&gt;"EXPEDIÇÃO","Expedido",IF(NETWORKDAYS(C1469,TODAY())&gt;=5,"Risco Alto",IF(NETWORKDAYS(C1469,TODAY())&gt;=3,IF(NETWORKDAYS(C1469,TODAY())&lt;5,"Risco Médio",""),IF(NETWORKDAYS(C1469,TODAY())&lt;=2,"Risco Baixo",""))))</f>
        <v>Expedido</v>
      </c>
      <c r="P1469" s="5" t="s">
        <v>25</v>
      </c>
      <c r="Q1469" s="5" t="s">
        <v>900</v>
      </c>
      <c r="S1469" s="7">
        <f>IF(ISBLANK(M1469),"Aguardando Previsão/Data",NETWORKDAYS(L1469,M1469)-1)</f>
        <v>-6</v>
      </c>
      <c r="T1469" s="5" t="s">
        <v>942</v>
      </c>
    </row>
    <row r="1470" spans="1:20" x14ac:dyDescent="0.35">
      <c r="A1470" s="5">
        <v>8100275424</v>
      </c>
      <c r="B1470" s="5">
        <v>10685</v>
      </c>
      <c r="C1470" s="6">
        <v>45670</v>
      </c>
      <c r="D1470" s="5" t="s">
        <v>239</v>
      </c>
      <c r="E1470" s="5" t="s">
        <v>240</v>
      </c>
      <c r="F1470" s="5" t="s">
        <v>242</v>
      </c>
      <c r="G1470" s="5" t="s">
        <v>243</v>
      </c>
      <c r="H1470" s="5" t="s">
        <v>218</v>
      </c>
      <c r="I1470" s="5" t="s">
        <v>546</v>
      </c>
      <c r="J1470" s="5" t="s">
        <v>355</v>
      </c>
      <c r="K1470" s="5" t="s">
        <v>241</v>
      </c>
      <c r="L1470" s="6">
        <v>45674</v>
      </c>
      <c r="M1470" s="6">
        <v>45670</v>
      </c>
      <c r="N1470" s="6" t="s">
        <v>811</v>
      </c>
      <c r="O1470" s="5" t="str">
        <f ca="1">IF(P1470&lt;&gt;"EXPEDIÇÃO","Expedido",IF(NETWORKDAYS(C1470,TODAY())&gt;=5,"Risco Alto",IF(NETWORKDAYS(C1470,TODAY())&gt;=3,IF(NETWORKDAYS(C1470,TODAY())&lt;5,"Risco Médio",""),IF(NETWORKDAYS(C1470,TODAY())&lt;=2,"Risco Baixo",""))))</f>
        <v>Expedido</v>
      </c>
      <c r="P1470" s="5" t="s">
        <v>25</v>
      </c>
      <c r="Q1470" s="5" t="s">
        <v>900</v>
      </c>
      <c r="S1470" s="7">
        <f>IF(ISBLANK(M1470),"Aguardando Previsão/Data",NETWORKDAYS(L1470,M1470)-1)</f>
        <v>-6</v>
      </c>
      <c r="T1470" s="5" t="s">
        <v>942</v>
      </c>
    </row>
    <row r="1471" spans="1:20" x14ac:dyDescent="0.35">
      <c r="A1471" s="5">
        <v>8100275425</v>
      </c>
      <c r="B1471" s="5">
        <v>10686</v>
      </c>
      <c r="C1471" s="6">
        <v>45670</v>
      </c>
      <c r="D1471" s="5" t="s">
        <v>239</v>
      </c>
      <c r="E1471" s="5" t="s">
        <v>240</v>
      </c>
      <c r="F1471" s="5" t="s">
        <v>242</v>
      </c>
      <c r="G1471" s="5" t="s">
        <v>243</v>
      </c>
      <c r="H1471" s="5" t="s">
        <v>218</v>
      </c>
      <c r="I1471" s="5" t="s">
        <v>546</v>
      </c>
      <c r="J1471" s="5" t="s">
        <v>355</v>
      </c>
      <c r="K1471" s="5" t="s">
        <v>241</v>
      </c>
      <c r="L1471" s="6">
        <v>45674</v>
      </c>
      <c r="M1471" s="6">
        <v>45670</v>
      </c>
      <c r="N1471" s="6" t="s">
        <v>811</v>
      </c>
      <c r="O1471" s="5" t="str">
        <f ca="1">IF(P1471&lt;&gt;"EXPEDIÇÃO","Expedido",IF(NETWORKDAYS(C1471,TODAY())&gt;=5,"Risco Alto",IF(NETWORKDAYS(C1471,TODAY())&gt;=3,IF(NETWORKDAYS(C1471,TODAY())&lt;5,"Risco Médio",""),IF(NETWORKDAYS(C1471,TODAY())&lt;=2,"Risco Baixo",""))))</f>
        <v>Expedido</v>
      </c>
      <c r="P1471" s="5" t="s">
        <v>25</v>
      </c>
      <c r="Q1471" s="5" t="s">
        <v>900</v>
      </c>
      <c r="S1471" s="7">
        <f>IF(ISBLANK(M1471),"Aguardando Previsão/Data",NETWORKDAYS(L1471,M1471)-1)</f>
        <v>-6</v>
      </c>
      <c r="T1471" s="5" t="s">
        <v>942</v>
      </c>
    </row>
    <row r="1472" spans="1:20" x14ac:dyDescent="0.35">
      <c r="A1472" s="5">
        <v>8100275426</v>
      </c>
      <c r="B1472" s="5">
        <v>10687</v>
      </c>
      <c r="C1472" s="6">
        <v>45670</v>
      </c>
      <c r="D1472" s="5" t="s">
        <v>239</v>
      </c>
      <c r="E1472" s="5" t="s">
        <v>240</v>
      </c>
      <c r="F1472" s="5" t="s">
        <v>176</v>
      </c>
      <c r="G1472" s="5" t="s">
        <v>177</v>
      </c>
      <c r="H1472" s="5" t="s">
        <v>218</v>
      </c>
      <c r="I1472" s="5" t="s">
        <v>546</v>
      </c>
      <c r="J1472" s="5" t="s">
        <v>355</v>
      </c>
      <c r="K1472" s="5" t="s">
        <v>241</v>
      </c>
      <c r="L1472" s="6">
        <v>45674</v>
      </c>
      <c r="M1472" s="6">
        <v>45670</v>
      </c>
      <c r="N1472" s="6" t="s">
        <v>811</v>
      </c>
      <c r="O1472" s="5" t="str">
        <f ca="1">IF(P1472&lt;&gt;"EXPEDIÇÃO","Expedido",IF(NETWORKDAYS(C1472,TODAY())&gt;=5,"Risco Alto",IF(NETWORKDAYS(C1472,TODAY())&gt;=3,IF(NETWORKDAYS(C1472,TODAY())&lt;5,"Risco Médio",""),IF(NETWORKDAYS(C1472,TODAY())&lt;=2,"Risco Baixo",""))))</f>
        <v>Expedido</v>
      </c>
      <c r="P1472" s="5" t="s">
        <v>25</v>
      </c>
      <c r="Q1472" s="5" t="s">
        <v>900</v>
      </c>
      <c r="S1472" s="7">
        <f>IF(ISBLANK(M1472),"Aguardando Previsão/Data",NETWORKDAYS(L1472,M1472)-1)</f>
        <v>-6</v>
      </c>
      <c r="T1472" s="5" t="s">
        <v>942</v>
      </c>
    </row>
    <row r="1473" spans="1:20" x14ac:dyDescent="0.35">
      <c r="A1473" s="5">
        <v>8100275427</v>
      </c>
      <c r="B1473" s="5">
        <v>10688</v>
      </c>
      <c r="C1473" s="6">
        <v>45670</v>
      </c>
      <c r="D1473" s="5" t="s">
        <v>239</v>
      </c>
      <c r="E1473" s="5" t="s">
        <v>240</v>
      </c>
      <c r="F1473" s="5" t="s">
        <v>242</v>
      </c>
      <c r="G1473" s="5" t="s">
        <v>243</v>
      </c>
      <c r="H1473" s="5" t="s">
        <v>218</v>
      </c>
      <c r="I1473" s="5" t="s">
        <v>546</v>
      </c>
      <c r="J1473" s="5" t="s">
        <v>355</v>
      </c>
      <c r="K1473" s="5" t="s">
        <v>241</v>
      </c>
      <c r="L1473" s="6">
        <v>45674</v>
      </c>
      <c r="M1473" s="6">
        <v>45670</v>
      </c>
      <c r="N1473" s="6" t="s">
        <v>811</v>
      </c>
      <c r="O1473" s="5" t="str">
        <f ca="1">IF(P1473&lt;&gt;"EXPEDIÇÃO","Expedido",IF(NETWORKDAYS(C1473,TODAY())&gt;=5,"Risco Alto",IF(NETWORKDAYS(C1473,TODAY())&gt;=3,IF(NETWORKDAYS(C1473,TODAY())&lt;5,"Risco Médio",""),IF(NETWORKDAYS(C1473,TODAY())&lt;=2,"Risco Baixo",""))))</f>
        <v>Expedido</v>
      </c>
      <c r="P1473" s="5" t="s">
        <v>25</v>
      </c>
      <c r="Q1473" s="5" t="s">
        <v>900</v>
      </c>
      <c r="S1473" s="7">
        <f>IF(ISBLANK(M1473),"Aguardando Previsão/Data",NETWORKDAYS(L1473,M1473)-1)</f>
        <v>-6</v>
      </c>
      <c r="T1473" s="5" t="s">
        <v>942</v>
      </c>
    </row>
    <row r="1474" spans="1:20" x14ac:dyDescent="0.35">
      <c r="A1474" s="5">
        <v>8100275428</v>
      </c>
      <c r="B1474" s="5">
        <v>10689</v>
      </c>
      <c r="C1474" s="6">
        <v>45670</v>
      </c>
      <c r="D1474" s="5" t="s">
        <v>239</v>
      </c>
      <c r="E1474" s="5" t="s">
        <v>240</v>
      </c>
      <c r="F1474" s="5" t="s">
        <v>242</v>
      </c>
      <c r="G1474" s="5" t="s">
        <v>243</v>
      </c>
      <c r="H1474" s="5" t="s">
        <v>218</v>
      </c>
      <c r="I1474" s="5" t="s">
        <v>546</v>
      </c>
      <c r="J1474" s="5" t="s">
        <v>355</v>
      </c>
      <c r="K1474" s="5" t="s">
        <v>241</v>
      </c>
      <c r="L1474" s="6">
        <v>45674</v>
      </c>
      <c r="M1474" s="6">
        <v>45670</v>
      </c>
      <c r="N1474" s="6" t="s">
        <v>811</v>
      </c>
      <c r="O1474" s="5" t="str">
        <f ca="1">IF(P1474&lt;&gt;"EXPEDIÇÃO","Expedido",IF(NETWORKDAYS(C1474,TODAY())&gt;=5,"Risco Alto",IF(NETWORKDAYS(C1474,TODAY())&gt;=3,IF(NETWORKDAYS(C1474,TODAY())&lt;5,"Risco Médio",""),IF(NETWORKDAYS(C1474,TODAY())&lt;=2,"Risco Baixo",""))))</f>
        <v>Expedido</v>
      </c>
      <c r="P1474" s="5" t="s">
        <v>25</v>
      </c>
      <c r="Q1474" s="5" t="s">
        <v>900</v>
      </c>
      <c r="S1474" s="7">
        <f>IF(ISBLANK(M1474),"Aguardando Previsão/Data",NETWORKDAYS(L1474,M1474)-1)</f>
        <v>-6</v>
      </c>
      <c r="T1474" s="5" t="s">
        <v>942</v>
      </c>
    </row>
    <row r="1475" spans="1:20" x14ac:dyDescent="0.35">
      <c r="A1475" s="5">
        <v>8100275429</v>
      </c>
      <c r="B1475" s="5">
        <v>10690</v>
      </c>
      <c r="C1475" s="6">
        <v>45670</v>
      </c>
      <c r="D1475" s="5" t="s">
        <v>239</v>
      </c>
      <c r="E1475" s="5" t="s">
        <v>240</v>
      </c>
      <c r="F1475" s="5" t="s">
        <v>160</v>
      </c>
      <c r="G1475" s="5" t="s">
        <v>161</v>
      </c>
      <c r="H1475" s="5" t="s">
        <v>218</v>
      </c>
      <c r="I1475" s="5" t="s">
        <v>546</v>
      </c>
      <c r="J1475" s="5" t="s">
        <v>355</v>
      </c>
      <c r="K1475" s="5" t="s">
        <v>241</v>
      </c>
      <c r="L1475" s="6">
        <v>45674</v>
      </c>
      <c r="M1475" s="6">
        <v>45670</v>
      </c>
      <c r="N1475" s="6" t="s">
        <v>811</v>
      </c>
      <c r="O1475" s="5" t="str">
        <f ca="1">IF(P1475&lt;&gt;"EXPEDIÇÃO","Expedido",IF(NETWORKDAYS(C1475,TODAY())&gt;=5,"Risco Alto",IF(NETWORKDAYS(C1475,TODAY())&gt;=3,IF(NETWORKDAYS(C1475,TODAY())&lt;5,"Risco Médio",""),IF(NETWORKDAYS(C1475,TODAY())&lt;=2,"Risco Baixo",""))))</f>
        <v>Expedido</v>
      </c>
      <c r="P1475" s="5" t="s">
        <v>25</v>
      </c>
      <c r="Q1475" s="5" t="s">
        <v>900</v>
      </c>
      <c r="S1475" s="7">
        <f>IF(ISBLANK(M1475),"Aguardando Previsão/Data",NETWORKDAYS(L1475,M1475)-1)</f>
        <v>-6</v>
      </c>
      <c r="T1475" s="5" t="s">
        <v>942</v>
      </c>
    </row>
    <row r="1476" spans="1:20" x14ac:dyDescent="0.35">
      <c r="A1476" s="5">
        <v>8100275430</v>
      </c>
      <c r="B1476" s="5">
        <v>10691</v>
      </c>
      <c r="C1476" s="6">
        <v>45670</v>
      </c>
      <c r="D1476" s="5" t="s">
        <v>239</v>
      </c>
      <c r="E1476" s="5" t="s">
        <v>240</v>
      </c>
      <c r="F1476" s="5" t="s">
        <v>160</v>
      </c>
      <c r="G1476" s="5" t="s">
        <v>161</v>
      </c>
      <c r="H1476" s="5" t="s">
        <v>218</v>
      </c>
      <c r="I1476" s="5" t="s">
        <v>546</v>
      </c>
      <c r="J1476" s="5" t="s">
        <v>355</v>
      </c>
      <c r="K1476" s="5" t="s">
        <v>241</v>
      </c>
      <c r="L1476" s="6">
        <v>45674</v>
      </c>
      <c r="M1476" s="6">
        <v>45670</v>
      </c>
      <c r="N1476" s="6" t="s">
        <v>811</v>
      </c>
      <c r="O1476" s="5" t="str">
        <f ca="1">IF(P1476&lt;&gt;"EXPEDIÇÃO","Expedido",IF(NETWORKDAYS(C1476,TODAY())&gt;=5,"Risco Alto",IF(NETWORKDAYS(C1476,TODAY())&gt;=3,IF(NETWORKDAYS(C1476,TODAY())&lt;5,"Risco Médio",""),IF(NETWORKDAYS(C1476,TODAY())&lt;=2,"Risco Baixo",""))))</f>
        <v>Expedido</v>
      </c>
      <c r="P1476" s="5" t="s">
        <v>25</v>
      </c>
      <c r="Q1476" s="5" t="s">
        <v>900</v>
      </c>
      <c r="S1476" s="7">
        <f>IF(ISBLANK(M1476),"Aguardando Previsão/Data",NETWORKDAYS(L1476,M1476)-1)</f>
        <v>-6</v>
      </c>
      <c r="T1476" s="5" t="s">
        <v>942</v>
      </c>
    </row>
    <row r="1477" spans="1:20" x14ac:dyDescent="0.35">
      <c r="A1477" s="5">
        <v>8100275431</v>
      </c>
      <c r="B1477" s="5">
        <v>10692</v>
      </c>
      <c r="C1477" s="6">
        <v>45670</v>
      </c>
      <c r="D1477" s="5" t="s">
        <v>239</v>
      </c>
      <c r="E1477" s="5" t="s">
        <v>240</v>
      </c>
      <c r="F1477" s="5" t="s">
        <v>176</v>
      </c>
      <c r="G1477" s="5" t="s">
        <v>177</v>
      </c>
      <c r="H1477" s="5" t="s">
        <v>218</v>
      </c>
      <c r="I1477" s="5" t="s">
        <v>546</v>
      </c>
      <c r="J1477" s="5" t="s">
        <v>355</v>
      </c>
      <c r="K1477" s="5" t="s">
        <v>241</v>
      </c>
      <c r="L1477" s="6">
        <v>45674</v>
      </c>
      <c r="M1477" s="6">
        <v>45670</v>
      </c>
      <c r="N1477" s="6" t="s">
        <v>811</v>
      </c>
      <c r="O1477" s="5" t="str">
        <f ca="1">IF(P1477&lt;&gt;"EXPEDIÇÃO","Expedido",IF(NETWORKDAYS(C1477,TODAY())&gt;=5,"Risco Alto",IF(NETWORKDAYS(C1477,TODAY())&gt;=3,IF(NETWORKDAYS(C1477,TODAY())&lt;5,"Risco Médio",""),IF(NETWORKDAYS(C1477,TODAY())&lt;=2,"Risco Baixo",""))))</f>
        <v>Expedido</v>
      </c>
      <c r="P1477" s="5" t="s">
        <v>25</v>
      </c>
      <c r="Q1477" s="5" t="s">
        <v>900</v>
      </c>
      <c r="S1477" s="7">
        <f>IF(ISBLANK(M1477),"Aguardando Previsão/Data",NETWORKDAYS(L1477,M1477)-1)</f>
        <v>-6</v>
      </c>
      <c r="T1477" s="5" t="s">
        <v>942</v>
      </c>
    </row>
    <row r="1478" spans="1:20" x14ac:dyDescent="0.35">
      <c r="A1478" s="5">
        <v>8100275432</v>
      </c>
      <c r="B1478" s="5">
        <v>10693</v>
      </c>
      <c r="C1478" s="6">
        <v>45670</v>
      </c>
      <c r="D1478" s="5" t="s">
        <v>239</v>
      </c>
      <c r="E1478" s="5" t="s">
        <v>240</v>
      </c>
      <c r="F1478" s="5" t="s">
        <v>160</v>
      </c>
      <c r="G1478" s="5" t="s">
        <v>161</v>
      </c>
      <c r="H1478" s="5" t="s">
        <v>218</v>
      </c>
      <c r="I1478" s="5" t="s">
        <v>546</v>
      </c>
      <c r="J1478" s="5" t="s">
        <v>355</v>
      </c>
      <c r="K1478" s="5" t="s">
        <v>241</v>
      </c>
      <c r="L1478" s="6">
        <v>45674</v>
      </c>
      <c r="M1478" s="6">
        <v>45670</v>
      </c>
      <c r="N1478" s="6" t="s">
        <v>811</v>
      </c>
      <c r="O1478" s="5" t="str">
        <f ca="1">IF(P1478&lt;&gt;"EXPEDIÇÃO","Expedido",IF(NETWORKDAYS(C1478,TODAY())&gt;=5,"Risco Alto",IF(NETWORKDAYS(C1478,TODAY())&gt;=3,IF(NETWORKDAYS(C1478,TODAY())&lt;5,"Risco Médio",""),IF(NETWORKDAYS(C1478,TODAY())&lt;=2,"Risco Baixo",""))))</f>
        <v>Expedido</v>
      </c>
      <c r="P1478" s="5" t="s">
        <v>25</v>
      </c>
      <c r="Q1478" s="5" t="s">
        <v>900</v>
      </c>
      <c r="S1478" s="7">
        <f>IF(ISBLANK(M1478),"Aguardando Previsão/Data",NETWORKDAYS(L1478,M1478)-1)</f>
        <v>-6</v>
      </c>
      <c r="T1478" s="5" t="s">
        <v>942</v>
      </c>
    </row>
    <row r="1479" spans="1:20" x14ac:dyDescent="0.35">
      <c r="A1479" s="5">
        <v>8100275436</v>
      </c>
      <c r="B1479" s="5">
        <v>10694</v>
      </c>
      <c r="C1479" s="6">
        <v>45670</v>
      </c>
      <c r="D1479" s="5" t="s">
        <v>239</v>
      </c>
      <c r="E1479" s="5" t="s">
        <v>240</v>
      </c>
      <c r="F1479" s="5" t="s">
        <v>160</v>
      </c>
      <c r="G1479" s="5" t="s">
        <v>161</v>
      </c>
      <c r="H1479" s="5" t="s">
        <v>218</v>
      </c>
      <c r="I1479" s="5" t="s">
        <v>546</v>
      </c>
      <c r="J1479" s="5" t="s">
        <v>355</v>
      </c>
      <c r="K1479" s="5" t="s">
        <v>241</v>
      </c>
      <c r="L1479" s="6">
        <v>45674</v>
      </c>
      <c r="M1479" s="6">
        <v>45670</v>
      </c>
      <c r="N1479" s="6" t="s">
        <v>811</v>
      </c>
      <c r="O1479" s="5" t="str">
        <f ca="1">IF(P1479&lt;&gt;"EXPEDIÇÃO","Expedido",IF(NETWORKDAYS(C1479,TODAY())&gt;=5,"Risco Alto",IF(NETWORKDAYS(C1479,TODAY())&gt;=3,IF(NETWORKDAYS(C1479,TODAY())&lt;5,"Risco Médio",""),IF(NETWORKDAYS(C1479,TODAY())&lt;=2,"Risco Baixo",""))))</f>
        <v>Expedido</v>
      </c>
      <c r="P1479" s="5" t="s">
        <v>25</v>
      </c>
      <c r="Q1479" s="5" t="s">
        <v>900</v>
      </c>
      <c r="S1479" s="7">
        <f>IF(ISBLANK(M1479),"Aguardando Previsão/Data",NETWORKDAYS(L1479,M1479)-1)</f>
        <v>-6</v>
      </c>
      <c r="T1479" s="5" t="s">
        <v>942</v>
      </c>
    </row>
    <row r="1480" spans="1:20" x14ac:dyDescent="0.35">
      <c r="A1480" s="5">
        <v>8100275437</v>
      </c>
      <c r="B1480" s="5">
        <v>10695</v>
      </c>
      <c r="C1480" s="6">
        <v>45670</v>
      </c>
      <c r="D1480" s="5" t="s">
        <v>239</v>
      </c>
      <c r="E1480" s="5" t="s">
        <v>240</v>
      </c>
      <c r="F1480" s="5" t="s">
        <v>242</v>
      </c>
      <c r="G1480" s="5" t="s">
        <v>243</v>
      </c>
      <c r="H1480" s="5" t="s">
        <v>218</v>
      </c>
      <c r="I1480" s="5" t="s">
        <v>546</v>
      </c>
      <c r="J1480" s="5" t="s">
        <v>355</v>
      </c>
      <c r="K1480" s="5" t="s">
        <v>241</v>
      </c>
      <c r="L1480" s="6">
        <v>45674</v>
      </c>
      <c r="M1480" s="6">
        <v>45670</v>
      </c>
      <c r="N1480" s="6" t="s">
        <v>811</v>
      </c>
      <c r="O1480" s="5" t="str">
        <f ca="1">IF(P1480&lt;&gt;"EXPEDIÇÃO","Expedido",IF(NETWORKDAYS(C1480,TODAY())&gt;=5,"Risco Alto",IF(NETWORKDAYS(C1480,TODAY())&gt;=3,IF(NETWORKDAYS(C1480,TODAY())&lt;5,"Risco Médio",""),IF(NETWORKDAYS(C1480,TODAY())&lt;=2,"Risco Baixo",""))))</f>
        <v>Expedido</v>
      </c>
      <c r="P1480" s="5" t="s">
        <v>25</v>
      </c>
      <c r="Q1480" s="5" t="s">
        <v>900</v>
      </c>
      <c r="S1480" s="7">
        <f>IF(ISBLANK(M1480),"Aguardando Previsão/Data",NETWORKDAYS(L1480,M1480)-1)</f>
        <v>-6</v>
      </c>
      <c r="T1480" s="5" t="s">
        <v>942</v>
      </c>
    </row>
    <row r="1481" spans="1:20" x14ac:dyDescent="0.35">
      <c r="A1481" s="5">
        <v>8100275438</v>
      </c>
      <c r="B1481" s="5">
        <v>10696</v>
      </c>
      <c r="C1481" s="6">
        <v>45670</v>
      </c>
      <c r="D1481" s="5" t="s">
        <v>239</v>
      </c>
      <c r="E1481" s="5" t="s">
        <v>240</v>
      </c>
      <c r="F1481" s="5" t="s">
        <v>160</v>
      </c>
      <c r="G1481" s="5" t="s">
        <v>161</v>
      </c>
      <c r="H1481" s="5" t="s">
        <v>218</v>
      </c>
      <c r="I1481" s="5" t="s">
        <v>546</v>
      </c>
      <c r="J1481" s="5" t="s">
        <v>355</v>
      </c>
      <c r="K1481" s="5" t="s">
        <v>241</v>
      </c>
      <c r="L1481" s="6">
        <v>45674</v>
      </c>
      <c r="M1481" s="6">
        <v>45670</v>
      </c>
      <c r="N1481" s="6" t="s">
        <v>811</v>
      </c>
      <c r="O1481" s="5" t="str">
        <f ca="1">IF(P1481&lt;&gt;"EXPEDIÇÃO","Expedido",IF(NETWORKDAYS(C1481,TODAY())&gt;=5,"Risco Alto",IF(NETWORKDAYS(C1481,TODAY())&gt;=3,IF(NETWORKDAYS(C1481,TODAY())&lt;5,"Risco Médio",""),IF(NETWORKDAYS(C1481,TODAY())&lt;=2,"Risco Baixo",""))))</f>
        <v>Expedido</v>
      </c>
      <c r="P1481" s="5" t="s">
        <v>25</v>
      </c>
      <c r="Q1481" s="5" t="s">
        <v>900</v>
      </c>
      <c r="S1481" s="7">
        <f>IF(ISBLANK(M1481),"Aguardando Previsão/Data",NETWORKDAYS(L1481,M1481)-1)</f>
        <v>-6</v>
      </c>
      <c r="T1481" s="5" t="s">
        <v>942</v>
      </c>
    </row>
    <row r="1482" spans="1:20" x14ac:dyDescent="0.35">
      <c r="A1482" s="5">
        <v>8100275439</v>
      </c>
      <c r="B1482" s="5">
        <v>10697</v>
      </c>
      <c r="C1482" s="6">
        <v>45670</v>
      </c>
      <c r="D1482" s="5" t="s">
        <v>239</v>
      </c>
      <c r="E1482" s="5" t="s">
        <v>240</v>
      </c>
      <c r="F1482" s="5" t="s">
        <v>160</v>
      </c>
      <c r="G1482" s="5" t="s">
        <v>161</v>
      </c>
      <c r="H1482" s="5" t="s">
        <v>218</v>
      </c>
      <c r="I1482" s="5" t="s">
        <v>546</v>
      </c>
      <c r="J1482" s="5" t="s">
        <v>355</v>
      </c>
      <c r="K1482" s="5" t="s">
        <v>241</v>
      </c>
      <c r="L1482" s="6">
        <v>45674</v>
      </c>
      <c r="M1482" s="6">
        <v>45670</v>
      </c>
      <c r="N1482" s="6" t="s">
        <v>811</v>
      </c>
      <c r="O1482" s="5" t="str">
        <f ca="1">IF(P1482&lt;&gt;"EXPEDIÇÃO","Expedido",IF(NETWORKDAYS(C1482,TODAY())&gt;=5,"Risco Alto",IF(NETWORKDAYS(C1482,TODAY())&gt;=3,IF(NETWORKDAYS(C1482,TODAY())&lt;5,"Risco Médio",""),IF(NETWORKDAYS(C1482,TODAY())&lt;=2,"Risco Baixo",""))))</f>
        <v>Expedido</v>
      </c>
      <c r="P1482" s="5" t="s">
        <v>25</v>
      </c>
      <c r="Q1482" s="5" t="s">
        <v>900</v>
      </c>
      <c r="S1482" s="7">
        <f>IF(ISBLANK(M1482),"Aguardando Previsão/Data",NETWORKDAYS(L1482,M1482)-1)</f>
        <v>-6</v>
      </c>
      <c r="T1482" s="5" t="s">
        <v>942</v>
      </c>
    </row>
    <row r="1483" spans="1:20" x14ac:dyDescent="0.35">
      <c r="A1483" s="5">
        <v>8100275445</v>
      </c>
      <c r="B1483" s="5">
        <v>10698</v>
      </c>
      <c r="C1483" s="6">
        <v>45670</v>
      </c>
      <c r="D1483" s="5" t="s">
        <v>239</v>
      </c>
      <c r="E1483" s="5" t="s">
        <v>240</v>
      </c>
      <c r="F1483" s="5" t="s">
        <v>242</v>
      </c>
      <c r="G1483" s="5" t="s">
        <v>243</v>
      </c>
      <c r="H1483" s="5" t="s">
        <v>218</v>
      </c>
      <c r="I1483" s="5" t="s">
        <v>546</v>
      </c>
      <c r="J1483" s="5" t="s">
        <v>355</v>
      </c>
      <c r="K1483" s="5" t="s">
        <v>241</v>
      </c>
      <c r="L1483" s="6">
        <v>45674</v>
      </c>
      <c r="M1483" s="6">
        <v>45670</v>
      </c>
      <c r="N1483" s="6" t="s">
        <v>811</v>
      </c>
      <c r="O1483" s="5" t="str">
        <f ca="1">IF(P1483&lt;&gt;"EXPEDIÇÃO","Expedido",IF(NETWORKDAYS(C1483,TODAY())&gt;=5,"Risco Alto",IF(NETWORKDAYS(C1483,TODAY())&gt;=3,IF(NETWORKDAYS(C1483,TODAY())&lt;5,"Risco Médio",""),IF(NETWORKDAYS(C1483,TODAY())&lt;=2,"Risco Baixo",""))))</f>
        <v>Expedido</v>
      </c>
      <c r="P1483" s="5" t="s">
        <v>25</v>
      </c>
      <c r="Q1483" s="5" t="s">
        <v>900</v>
      </c>
      <c r="S1483" s="7">
        <f>IF(ISBLANK(M1483),"Aguardando Previsão/Data",NETWORKDAYS(L1483,M1483)-1)</f>
        <v>-6</v>
      </c>
      <c r="T1483" s="5" t="s">
        <v>942</v>
      </c>
    </row>
    <row r="1484" spans="1:20" x14ac:dyDescent="0.35">
      <c r="A1484" s="5">
        <v>8100275446</v>
      </c>
      <c r="B1484" s="5">
        <v>10699</v>
      </c>
      <c r="C1484" s="6">
        <v>45670</v>
      </c>
      <c r="D1484" s="5" t="s">
        <v>239</v>
      </c>
      <c r="E1484" s="5" t="s">
        <v>240</v>
      </c>
      <c r="F1484" s="5" t="s">
        <v>242</v>
      </c>
      <c r="G1484" s="5" t="s">
        <v>243</v>
      </c>
      <c r="H1484" s="5" t="s">
        <v>218</v>
      </c>
      <c r="I1484" s="5" t="s">
        <v>546</v>
      </c>
      <c r="J1484" s="5" t="s">
        <v>355</v>
      </c>
      <c r="K1484" s="5" t="s">
        <v>241</v>
      </c>
      <c r="L1484" s="6">
        <v>45674</v>
      </c>
      <c r="M1484" s="6">
        <v>45670</v>
      </c>
      <c r="N1484" s="6" t="s">
        <v>811</v>
      </c>
      <c r="O1484" s="5" t="str">
        <f ca="1">IF(P1484&lt;&gt;"EXPEDIÇÃO","Expedido",IF(NETWORKDAYS(C1484,TODAY())&gt;=5,"Risco Alto",IF(NETWORKDAYS(C1484,TODAY())&gt;=3,IF(NETWORKDAYS(C1484,TODAY())&lt;5,"Risco Médio",""),IF(NETWORKDAYS(C1484,TODAY())&lt;=2,"Risco Baixo",""))))</f>
        <v>Expedido</v>
      </c>
      <c r="P1484" s="5" t="s">
        <v>25</v>
      </c>
      <c r="Q1484" s="5" t="s">
        <v>900</v>
      </c>
      <c r="S1484" s="7">
        <f>IF(ISBLANK(M1484),"Aguardando Previsão/Data",NETWORKDAYS(L1484,M1484)-1)</f>
        <v>-6</v>
      </c>
      <c r="T1484" s="5" t="s">
        <v>942</v>
      </c>
    </row>
    <row r="1485" spans="1:20" x14ac:dyDescent="0.35">
      <c r="A1485" s="5">
        <v>8100275447</v>
      </c>
      <c r="B1485" s="5">
        <v>10700</v>
      </c>
      <c r="C1485" s="6">
        <v>45670</v>
      </c>
      <c r="D1485" s="5" t="s">
        <v>239</v>
      </c>
      <c r="E1485" s="5" t="s">
        <v>240</v>
      </c>
      <c r="F1485" s="5" t="s">
        <v>242</v>
      </c>
      <c r="G1485" s="5" t="s">
        <v>243</v>
      </c>
      <c r="H1485" s="5" t="s">
        <v>218</v>
      </c>
      <c r="I1485" s="5" t="s">
        <v>546</v>
      </c>
      <c r="J1485" s="5" t="s">
        <v>355</v>
      </c>
      <c r="K1485" s="5" t="s">
        <v>241</v>
      </c>
      <c r="L1485" s="6">
        <v>45674</v>
      </c>
      <c r="M1485" s="6">
        <v>45670</v>
      </c>
      <c r="N1485" s="6" t="s">
        <v>811</v>
      </c>
      <c r="O1485" s="5" t="str">
        <f ca="1">IF(P1485&lt;&gt;"EXPEDIÇÃO","Expedido",IF(NETWORKDAYS(C1485,TODAY())&gt;=5,"Risco Alto",IF(NETWORKDAYS(C1485,TODAY())&gt;=3,IF(NETWORKDAYS(C1485,TODAY())&lt;5,"Risco Médio",""),IF(NETWORKDAYS(C1485,TODAY())&lt;=2,"Risco Baixo",""))))</f>
        <v>Expedido</v>
      </c>
      <c r="P1485" s="5" t="s">
        <v>25</v>
      </c>
      <c r="Q1485" s="5" t="s">
        <v>900</v>
      </c>
      <c r="S1485" s="7">
        <f>IF(ISBLANK(M1485),"Aguardando Previsão/Data",NETWORKDAYS(L1485,M1485)-1)</f>
        <v>-6</v>
      </c>
      <c r="T1485" s="5" t="s">
        <v>942</v>
      </c>
    </row>
    <row r="1486" spans="1:20" x14ac:dyDescent="0.35">
      <c r="A1486" s="5">
        <v>8100275448</v>
      </c>
      <c r="B1486" s="5">
        <v>10701</v>
      </c>
      <c r="C1486" s="6">
        <v>45670</v>
      </c>
      <c r="D1486" s="5" t="s">
        <v>239</v>
      </c>
      <c r="E1486" s="5" t="s">
        <v>240</v>
      </c>
      <c r="F1486" s="5" t="s">
        <v>242</v>
      </c>
      <c r="G1486" s="5" t="s">
        <v>243</v>
      </c>
      <c r="H1486" s="5" t="s">
        <v>218</v>
      </c>
      <c r="I1486" s="5" t="s">
        <v>546</v>
      </c>
      <c r="J1486" s="5" t="s">
        <v>355</v>
      </c>
      <c r="K1486" s="5" t="s">
        <v>241</v>
      </c>
      <c r="L1486" s="6">
        <v>45674</v>
      </c>
      <c r="M1486" s="6">
        <v>45670</v>
      </c>
      <c r="N1486" s="6" t="s">
        <v>811</v>
      </c>
      <c r="O1486" s="5" t="str">
        <f ca="1">IF(P1486&lt;&gt;"EXPEDIÇÃO","Expedido",IF(NETWORKDAYS(C1486,TODAY())&gt;=5,"Risco Alto",IF(NETWORKDAYS(C1486,TODAY())&gt;=3,IF(NETWORKDAYS(C1486,TODAY())&lt;5,"Risco Médio",""),IF(NETWORKDAYS(C1486,TODAY())&lt;=2,"Risco Baixo",""))))</f>
        <v>Expedido</v>
      </c>
      <c r="P1486" s="5" t="s">
        <v>25</v>
      </c>
      <c r="Q1486" s="5" t="s">
        <v>900</v>
      </c>
      <c r="S1486" s="7">
        <f>IF(ISBLANK(M1486),"Aguardando Previsão/Data",NETWORKDAYS(L1486,M1486)-1)</f>
        <v>-6</v>
      </c>
      <c r="T1486" s="5" t="s">
        <v>942</v>
      </c>
    </row>
    <row r="1487" spans="1:20" x14ac:dyDescent="0.35">
      <c r="A1487" s="5">
        <v>8100275449</v>
      </c>
      <c r="B1487" s="5">
        <v>10702</v>
      </c>
      <c r="C1487" s="6">
        <v>45670</v>
      </c>
      <c r="D1487" s="5" t="s">
        <v>239</v>
      </c>
      <c r="E1487" s="5" t="s">
        <v>240</v>
      </c>
      <c r="F1487" s="5" t="s">
        <v>242</v>
      </c>
      <c r="G1487" s="5" t="s">
        <v>243</v>
      </c>
      <c r="H1487" s="5" t="s">
        <v>218</v>
      </c>
      <c r="I1487" s="5" t="s">
        <v>546</v>
      </c>
      <c r="J1487" s="5" t="s">
        <v>355</v>
      </c>
      <c r="K1487" s="5" t="s">
        <v>241</v>
      </c>
      <c r="L1487" s="6">
        <v>45674</v>
      </c>
      <c r="M1487" s="6">
        <v>45670</v>
      </c>
      <c r="N1487" s="6" t="s">
        <v>811</v>
      </c>
      <c r="O1487" s="5" t="str">
        <f ca="1">IF(P1487&lt;&gt;"EXPEDIÇÃO","Expedido",IF(NETWORKDAYS(C1487,TODAY())&gt;=5,"Risco Alto",IF(NETWORKDAYS(C1487,TODAY())&gt;=3,IF(NETWORKDAYS(C1487,TODAY())&lt;5,"Risco Médio",""),IF(NETWORKDAYS(C1487,TODAY())&lt;=2,"Risco Baixo",""))))</f>
        <v>Expedido</v>
      </c>
      <c r="P1487" s="5" t="s">
        <v>25</v>
      </c>
      <c r="Q1487" s="5" t="s">
        <v>900</v>
      </c>
      <c r="S1487" s="7">
        <f>IF(ISBLANK(M1487),"Aguardando Previsão/Data",NETWORKDAYS(L1487,M1487)-1)</f>
        <v>-6</v>
      </c>
      <c r="T1487" s="5" t="s">
        <v>942</v>
      </c>
    </row>
    <row r="1488" spans="1:20" x14ac:dyDescent="0.35">
      <c r="A1488" s="5">
        <v>8100275450</v>
      </c>
      <c r="B1488" s="5">
        <v>10703</v>
      </c>
      <c r="C1488" s="6">
        <v>45670</v>
      </c>
      <c r="D1488" s="5" t="s">
        <v>239</v>
      </c>
      <c r="E1488" s="5" t="s">
        <v>240</v>
      </c>
      <c r="F1488" s="5" t="s">
        <v>242</v>
      </c>
      <c r="G1488" s="5" t="s">
        <v>243</v>
      </c>
      <c r="H1488" s="5" t="s">
        <v>218</v>
      </c>
      <c r="I1488" s="5" t="s">
        <v>546</v>
      </c>
      <c r="J1488" s="5" t="s">
        <v>355</v>
      </c>
      <c r="K1488" s="5" t="s">
        <v>241</v>
      </c>
      <c r="L1488" s="6">
        <v>45674</v>
      </c>
      <c r="M1488" s="6">
        <v>45670</v>
      </c>
      <c r="N1488" s="6" t="s">
        <v>811</v>
      </c>
      <c r="O1488" s="5" t="str">
        <f ca="1">IF(P1488&lt;&gt;"EXPEDIÇÃO","Expedido",IF(NETWORKDAYS(C1488,TODAY())&gt;=5,"Risco Alto",IF(NETWORKDAYS(C1488,TODAY())&gt;=3,IF(NETWORKDAYS(C1488,TODAY())&lt;5,"Risco Médio",""),IF(NETWORKDAYS(C1488,TODAY())&lt;=2,"Risco Baixo",""))))</f>
        <v>Expedido</v>
      </c>
      <c r="P1488" s="5" t="s">
        <v>25</v>
      </c>
      <c r="Q1488" s="5" t="s">
        <v>900</v>
      </c>
      <c r="S1488" s="7">
        <f>IF(ISBLANK(M1488),"Aguardando Previsão/Data",NETWORKDAYS(L1488,M1488)-1)</f>
        <v>-6</v>
      </c>
      <c r="T1488" s="5" t="s">
        <v>942</v>
      </c>
    </row>
    <row r="1489" spans="1:20" x14ac:dyDescent="0.35">
      <c r="A1489" s="5">
        <v>8100275451</v>
      </c>
      <c r="B1489" s="5">
        <v>10704</v>
      </c>
      <c r="C1489" s="6">
        <v>45670</v>
      </c>
      <c r="D1489" s="5" t="s">
        <v>239</v>
      </c>
      <c r="E1489" s="5" t="s">
        <v>240</v>
      </c>
      <c r="F1489" s="5" t="s">
        <v>160</v>
      </c>
      <c r="G1489" s="5" t="s">
        <v>161</v>
      </c>
      <c r="H1489" s="5" t="s">
        <v>218</v>
      </c>
      <c r="I1489" s="5" t="s">
        <v>546</v>
      </c>
      <c r="J1489" s="5" t="s">
        <v>355</v>
      </c>
      <c r="K1489" s="5" t="s">
        <v>241</v>
      </c>
      <c r="L1489" s="6">
        <v>45674</v>
      </c>
      <c r="M1489" s="6">
        <v>45670</v>
      </c>
      <c r="N1489" s="6" t="s">
        <v>811</v>
      </c>
      <c r="O1489" s="5" t="str">
        <f ca="1">IF(P1489&lt;&gt;"EXPEDIÇÃO","Expedido",IF(NETWORKDAYS(C1489,TODAY())&gt;=5,"Risco Alto",IF(NETWORKDAYS(C1489,TODAY())&gt;=3,IF(NETWORKDAYS(C1489,TODAY())&lt;5,"Risco Médio",""),IF(NETWORKDAYS(C1489,TODAY())&lt;=2,"Risco Baixo",""))))</f>
        <v>Expedido</v>
      </c>
      <c r="P1489" s="5" t="s">
        <v>25</v>
      </c>
      <c r="Q1489" s="5" t="s">
        <v>900</v>
      </c>
      <c r="S1489" s="7">
        <f>IF(ISBLANK(M1489),"Aguardando Previsão/Data",NETWORKDAYS(L1489,M1489)-1)</f>
        <v>-6</v>
      </c>
      <c r="T1489" s="5" t="s">
        <v>942</v>
      </c>
    </row>
    <row r="1490" spans="1:20" x14ac:dyDescent="0.35">
      <c r="A1490" s="5">
        <v>8100275452</v>
      </c>
      <c r="B1490" s="5">
        <v>10705</v>
      </c>
      <c r="C1490" s="6">
        <v>45670</v>
      </c>
      <c r="D1490" s="5" t="s">
        <v>239</v>
      </c>
      <c r="E1490" s="5" t="s">
        <v>240</v>
      </c>
      <c r="F1490" s="5" t="s">
        <v>242</v>
      </c>
      <c r="G1490" s="5" t="s">
        <v>243</v>
      </c>
      <c r="H1490" s="5" t="s">
        <v>218</v>
      </c>
      <c r="I1490" s="5" t="s">
        <v>546</v>
      </c>
      <c r="J1490" s="5" t="s">
        <v>355</v>
      </c>
      <c r="K1490" s="5" t="s">
        <v>241</v>
      </c>
      <c r="L1490" s="6">
        <v>45674</v>
      </c>
      <c r="M1490" s="6">
        <v>45670</v>
      </c>
      <c r="N1490" s="6" t="s">
        <v>811</v>
      </c>
      <c r="O1490" s="5" t="str">
        <f ca="1">IF(P1490&lt;&gt;"EXPEDIÇÃO","Expedido",IF(NETWORKDAYS(C1490,TODAY())&gt;=5,"Risco Alto",IF(NETWORKDAYS(C1490,TODAY())&gt;=3,IF(NETWORKDAYS(C1490,TODAY())&lt;5,"Risco Médio",""),IF(NETWORKDAYS(C1490,TODAY())&lt;=2,"Risco Baixo",""))))</f>
        <v>Expedido</v>
      </c>
      <c r="P1490" s="5" t="s">
        <v>25</v>
      </c>
      <c r="Q1490" s="5" t="s">
        <v>900</v>
      </c>
      <c r="S1490" s="7">
        <f>IF(ISBLANK(M1490),"Aguardando Previsão/Data",NETWORKDAYS(L1490,M1490)-1)</f>
        <v>-6</v>
      </c>
      <c r="T1490" s="5" t="s">
        <v>942</v>
      </c>
    </row>
    <row r="1491" spans="1:20" x14ac:dyDescent="0.35">
      <c r="A1491" s="5">
        <v>8100275453</v>
      </c>
      <c r="B1491" s="5">
        <v>10706</v>
      </c>
      <c r="C1491" s="6">
        <v>45670</v>
      </c>
      <c r="D1491" s="5" t="s">
        <v>239</v>
      </c>
      <c r="E1491" s="5" t="s">
        <v>240</v>
      </c>
      <c r="F1491" s="5" t="s">
        <v>242</v>
      </c>
      <c r="G1491" s="5" t="s">
        <v>243</v>
      </c>
      <c r="H1491" s="5" t="s">
        <v>218</v>
      </c>
      <c r="I1491" s="5" t="s">
        <v>546</v>
      </c>
      <c r="J1491" s="5" t="s">
        <v>355</v>
      </c>
      <c r="K1491" s="5" t="s">
        <v>241</v>
      </c>
      <c r="L1491" s="6">
        <v>45674</v>
      </c>
      <c r="M1491" s="6">
        <v>45670</v>
      </c>
      <c r="N1491" s="6" t="s">
        <v>811</v>
      </c>
      <c r="O1491" s="5" t="str">
        <f ca="1">IF(P1491&lt;&gt;"EXPEDIÇÃO","Expedido",IF(NETWORKDAYS(C1491,TODAY())&gt;=5,"Risco Alto",IF(NETWORKDAYS(C1491,TODAY())&gt;=3,IF(NETWORKDAYS(C1491,TODAY())&lt;5,"Risco Médio",""),IF(NETWORKDAYS(C1491,TODAY())&lt;=2,"Risco Baixo",""))))</f>
        <v>Expedido</v>
      </c>
      <c r="P1491" s="5" t="s">
        <v>25</v>
      </c>
      <c r="Q1491" s="5" t="s">
        <v>900</v>
      </c>
      <c r="S1491" s="7">
        <f>IF(ISBLANK(M1491),"Aguardando Previsão/Data",NETWORKDAYS(L1491,M1491)-1)</f>
        <v>-6</v>
      </c>
      <c r="T1491" s="5" t="s">
        <v>942</v>
      </c>
    </row>
    <row r="1492" spans="1:20" x14ac:dyDescent="0.35">
      <c r="A1492" s="5">
        <v>8100275454</v>
      </c>
      <c r="B1492" s="5">
        <v>10707</v>
      </c>
      <c r="C1492" s="6">
        <v>45670</v>
      </c>
      <c r="D1492" s="5" t="s">
        <v>239</v>
      </c>
      <c r="E1492" s="5" t="s">
        <v>240</v>
      </c>
      <c r="F1492" s="5" t="s">
        <v>176</v>
      </c>
      <c r="G1492" s="5" t="s">
        <v>177</v>
      </c>
      <c r="H1492" s="5" t="s">
        <v>218</v>
      </c>
      <c r="I1492" s="5" t="s">
        <v>546</v>
      </c>
      <c r="J1492" s="5" t="s">
        <v>355</v>
      </c>
      <c r="K1492" s="5" t="s">
        <v>241</v>
      </c>
      <c r="L1492" s="6">
        <v>45674</v>
      </c>
      <c r="M1492" s="6">
        <v>45670</v>
      </c>
      <c r="N1492" s="6" t="s">
        <v>811</v>
      </c>
      <c r="O1492" s="5" t="str">
        <f ca="1">IF(P1492&lt;&gt;"EXPEDIÇÃO","Expedido",IF(NETWORKDAYS(C1492,TODAY())&gt;=5,"Risco Alto",IF(NETWORKDAYS(C1492,TODAY())&gt;=3,IF(NETWORKDAYS(C1492,TODAY())&lt;5,"Risco Médio",""),IF(NETWORKDAYS(C1492,TODAY())&lt;=2,"Risco Baixo",""))))</f>
        <v>Expedido</v>
      </c>
      <c r="P1492" s="5" t="s">
        <v>25</v>
      </c>
      <c r="Q1492" s="5" t="s">
        <v>900</v>
      </c>
      <c r="S1492" s="7">
        <f>IF(ISBLANK(M1492),"Aguardando Previsão/Data",NETWORKDAYS(L1492,M1492)-1)</f>
        <v>-6</v>
      </c>
      <c r="T1492" s="5" t="s">
        <v>942</v>
      </c>
    </row>
    <row r="1493" spans="1:20" x14ac:dyDescent="0.35">
      <c r="A1493" s="5">
        <v>8100275455</v>
      </c>
      <c r="B1493" s="5">
        <v>10708</v>
      </c>
      <c r="C1493" s="6">
        <v>45670</v>
      </c>
      <c r="D1493" s="5" t="s">
        <v>239</v>
      </c>
      <c r="E1493" s="5" t="s">
        <v>240</v>
      </c>
      <c r="F1493" s="5" t="s">
        <v>242</v>
      </c>
      <c r="G1493" s="5" t="s">
        <v>243</v>
      </c>
      <c r="H1493" s="5" t="s">
        <v>218</v>
      </c>
      <c r="I1493" s="5" t="s">
        <v>546</v>
      </c>
      <c r="J1493" s="5" t="s">
        <v>355</v>
      </c>
      <c r="K1493" s="5" t="s">
        <v>241</v>
      </c>
      <c r="L1493" s="6">
        <v>45674</v>
      </c>
      <c r="M1493" s="6">
        <v>45670</v>
      </c>
      <c r="N1493" s="6" t="s">
        <v>811</v>
      </c>
      <c r="O1493" s="5" t="str">
        <f ca="1">IF(P1493&lt;&gt;"EXPEDIÇÃO","Expedido",IF(NETWORKDAYS(C1493,TODAY())&gt;=5,"Risco Alto",IF(NETWORKDAYS(C1493,TODAY())&gt;=3,IF(NETWORKDAYS(C1493,TODAY())&lt;5,"Risco Médio",""),IF(NETWORKDAYS(C1493,TODAY())&lt;=2,"Risco Baixo",""))))</f>
        <v>Expedido</v>
      </c>
      <c r="P1493" s="5" t="s">
        <v>25</v>
      </c>
      <c r="Q1493" s="5" t="s">
        <v>900</v>
      </c>
      <c r="S1493" s="7">
        <f>IF(ISBLANK(M1493),"Aguardando Previsão/Data",NETWORKDAYS(L1493,M1493)-1)</f>
        <v>-6</v>
      </c>
      <c r="T1493" s="5" t="s">
        <v>942</v>
      </c>
    </row>
    <row r="1494" spans="1:20" x14ac:dyDescent="0.35">
      <c r="A1494" s="5">
        <v>8100275456</v>
      </c>
      <c r="B1494" s="5">
        <v>10709</v>
      </c>
      <c r="C1494" s="6">
        <v>45670</v>
      </c>
      <c r="D1494" s="5" t="s">
        <v>239</v>
      </c>
      <c r="E1494" s="5" t="s">
        <v>240</v>
      </c>
      <c r="F1494" s="5" t="s">
        <v>242</v>
      </c>
      <c r="G1494" s="5" t="s">
        <v>243</v>
      </c>
      <c r="H1494" s="5" t="s">
        <v>218</v>
      </c>
      <c r="I1494" s="5" t="s">
        <v>546</v>
      </c>
      <c r="J1494" s="5" t="s">
        <v>355</v>
      </c>
      <c r="K1494" s="5" t="s">
        <v>241</v>
      </c>
      <c r="L1494" s="6">
        <v>45674</v>
      </c>
      <c r="M1494" s="6">
        <v>45670</v>
      </c>
      <c r="N1494" s="6" t="s">
        <v>811</v>
      </c>
      <c r="O1494" s="5" t="str">
        <f ca="1">IF(P1494&lt;&gt;"EXPEDIÇÃO","Expedido",IF(NETWORKDAYS(C1494,TODAY())&gt;=5,"Risco Alto",IF(NETWORKDAYS(C1494,TODAY())&gt;=3,IF(NETWORKDAYS(C1494,TODAY())&lt;5,"Risco Médio",""),IF(NETWORKDAYS(C1494,TODAY())&lt;=2,"Risco Baixo",""))))</f>
        <v>Expedido</v>
      </c>
      <c r="P1494" s="5" t="s">
        <v>25</v>
      </c>
      <c r="Q1494" s="5" t="s">
        <v>900</v>
      </c>
      <c r="S1494" s="7">
        <f>IF(ISBLANK(M1494),"Aguardando Previsão/Data",NETWORKDAYS(L1494,M1494)-1)</f>
        <v>-6</v>
      </c>
      <c r="T1494" s="5" t="s">
        <v>942</v>
      </c>
    </row>
    <row r="1495" spans="1:20" x14ac:dyDescent="0.35">
      <c r="A1495" s="5">
        <v>8100275457</v>
      </c>
      <c r="B1495" s="5">
        <v>10710</v>
      </c>
      <c r="C1495" s="6">
        <v>45670</v>
      </c>
      <c r="D1495" s="5" t="s">
        <v>239</v>
      </c>
      <c r="E1495" s="5" t="s">
        <v>240</v>
      </c>
      <c r="F1495" s="5" t="s">
        <v>242</v>
      </c>
      <c r="G1495" s="5" t="s">
        <v>243</v>
      </c>
      <c r="H1495" s="5" t="s">
        <v>218</v>
      </c>
      <c r="I1495" s="5" t="s">
        <v>546</v>
      </c>
      <c r="J1495" s="5" t="s">
        <v>355</v>
      </c>
      <c r="K1495" s="5" t="s">
        <v>241</v>
      </c>
      <c r="L1495" s="6">
        <v>45674</v>
      </c>
      <c r="M1495" s="6">
        <v>45670</v>
      </c>
      <c r="N1495" s="6" t="s">
        <v>811</v>
      </c>
      <c r="O1495" s="5" t="str">
        <f ca="1">IF(P1495&lt;&gt;"EXPEDIÇÃO","Expedido",IF(NETWORKDAYS(C1495,TODAY())&gt;=5,"Risco Alto",IF(NETWORKDAYS(C1495,TODAY())&gt;=3,IF(NETWORKDAYS(C1495,TODAY())&lt;5,"Risco Médio",""),IF(NETWORKDAYS(C1495,TODAY())&lt;=2,"Risco Baixo",""))))</f>
        <v>Expedido</v>
      </c>
      <c r="P1495" s="5" t="s">
        <v>25</v>
      </c>
      <c r="Q1495" s="5" t="s">
        <v>900</v>
      </c>
      <c r="S1495" s="7">
        <f>IF(ISBLANK(M1495),"Aguardando Previsão/Data",NETWORKDAYS(L1495,M1495)-1)</f>
        <v>-6</v>
      </c>
      <c r="T1495" s="5" t="s">
        <v>942</v>
      </c>
    </row>
    <row r="1496" spans="1:20" x14ac:dyDescent="0.35">
      <c r="A1496" s="5">
        <v>8100275458</v>
      </c>
      <c r="B1496" s="5">
        <v>10711</v>
      </c>
      <c r="C1496" s="6">
        <v>45670</v>
      </c>
      <c r="D1496" s="5" t="s">
        <v>239</v>
      </c>
      <c r="E1496" s="5" t="s">
        <v>240</v>
      </c>
      <c r="F1496" s="5" t="s">
        <v>176</v>
      </c>
      <c r="G1496" s="5" t="s">
        <v>177</v>
      </c>
      <c r="H1496" s="5" t="s">
        <v>218</v>
      </c>
      <c r="I1496" s="5" t="s">
        <v>546</v>
      </c>
      <c r="J1496" s="5" t="s">
        <v>355</v>
      </c>
      <c r="K1496" s="5" t="s">
        <v>241</v>
      </c>
      <c r="L1496" s="6">
        <v>45674</v>
      </c>
      <c r="M1496" s="6">
        <v>45670</v>
      </c>
      <c r="N1496" s="6" t="s">
        <v>811</v>
      </c>
      <c r="O1496" s="5" t="str">
        <f ca="1">IF(P1496&lt;&gt;"EXPEDIÇÃO","Expedido",IF(NETWORKDAYS(C1496,TODAY())&gt;=5,"Risco Alto",IF(NETWORKDAYS(C1496,TODAY())&gt;=3,IF(NETWORKDAYS(C1496,TODAY())&lt;5,"Risco Médio",""),IF(NETWORKDAYS(C1496,TODAY())&lt;=2,"Risco Baixo",""))))</f>
        <v>Expedido</v>
      </c>
      <c r="P1496" s="5" t="s">
        <v>25</v>
      </c>
      <c r="Q1496" s="5" t="s">
        <v>900</v>
      </c>
      <c r="S1496" s="7">
        <f>IF(ISBLANK(M1496),"Aguardando Previsão/Data",NETWORKDAYS(L1496,M1496)-1)</f>
        <v>-6</v>
      </c>
      <c r="T1496" s="5" t="s">
        <v>942</v>
      </c>
    </row>
    <row r="1497" spans="1:20" x14ac:dyDescent="0.35">
      <c r="A1497" s="5">
        <v>8100275459</v>
      </c>
      <c r="B1497" s="5">
        <v>10712</v>
      </c>
      <c r="C1497" s="6">
        <v>45670</v>
      </c>
      <c r="D1497" s="5" t="s">
        <v>239</v>
      </c>
      <c r="E1497" s="5" t="s">
        <v>240</v>
      </c>
      <c r="F1497" s="5" t="s">
        <v>242</v>
      </c>
      <c r="G1497" s="5" t="s">
        <v>243</v>
      </c>
      <c r="H1497" s="5" t="s">
        <v>218</v>
      </c>
      <c r="I1497" s="5" t="s">
        <v>546</v>
      </c>
      <c r="J1497" s="5" t="s">
        <v>355</v>
      </c>
      <c r="K1497" s="5" t="s">
        <v>241</v>
      </c>
      <c r="L1497" s="6">
        <v>45674</v>
      </c>
      <c r="M1497" s="6">
        <v>45670</v>
      </c>
      <c r="N1497" s="6" t="s">
        <v>811</v>
      </c>
      <c r="O1497" s="5" t="str">
        <f ca="1">IF(P1497&lt;&gt;"EXPEDIÇÃO","Expedido",IF(NETWORKDAYS(C1497,TODAY())&gt;=5,"Risco Alto",IF(NETWORKDAYS(C1497,TODAY())&gt;=3,IF(NETWORKDAYS(C1497,TODAY())&lt;5,"Risco Médio",""),IF(NETWORKDAYS(C1497,TODAY())&lt;=2,"Risco Baixo",""))))</f>
        <v>Expedido</v>
      </c>
      <c r="P1497" s="5" t="s">
        <v>25</v>
      </c>
      <c r="Q1497" s="5" t="s">
        <v>900</v>
      </c>
      <c r="S1497" s="7">
        <f>IF(ISBLANK(M1497),"Aguardando Previsão/Data",NETWORKDAYS(L1497,M1497)-1)</f>
        <v>-6</v>
      </c>
      <c r="T1497" s="5" t="s">
        <v>942</v>
      </c>
    </row>
    <row r="1498" spans="1:20" x14ac:dyDescent="0.35">
      <c r="A1498" s="5">
        <v>8100275460</v>
      </c>
      <c r="B1498" s="5">
        <v>10713</v>
      </c>
      <c r="C1498" s="6">
        <v>45670</v>
      </c>
      <c r="D1498" s="5" t="s">
        <v>239</v>
      </c>
      <c r="E1498" s="5" t="s">
        <v>240</v>
      </c>
      <c r="F1498" s="5" t="s">
        <v>176</v>
      </c>
      <c r="G1498" s="5" t="s">
        <v>177</v>
      </c>
      <c r="H1498" s="5" t="s">
        <v>218</v>
      </c>
      <c r="I1498" s="5" t="s">
        <v>546</v>
      </c>
      <c r="J1498" s="5" t="s">
        <v>355</v>
      </c>
      <c r="K1498" s="5" t="s">
        <v>241</v>
      </c>
      <c r="L1498" s="6">
        <v>45674</v>
      </c>
      <c r="M1498" s="6">
        <v>45670</v>
      </c>
      <c r="N1498" s="6" t="s">
        <v>811</v>
      </c>
      <c r="O1498" s="5" t="str">
        <f ca="1">IF(P1498&lt;&gt;"EXPEDIÇÃO","Expedido",IF(NETWORKDAYS(C1498,TODAY())&gt;=5,"Risco Alto",IF(NETWORKDAYS(C1498,TODAY())&gt;=3,IF(NETWORKDAYS(C1498,TODAY())&lt;5,"Risco Médio",""),IF(NETWORKDAYS(C1498,TODAY())&lt;=2,"Risco Baixo",""))))</f>
        <v>Expedido</v>
      </c>
      <c r="P1498" s="5" t="s">
        <v>25</v>
      </c>
      <c r="Q1498" s="5" t="s">
        <v>900</v>
      </c>
      <c r="S1498" s="7">
        <f>IF(ISBLANK(M1498),"Aguardando Previsão/Data",NETWORKDAYS(L1498,M1498)-1)</f>
        <v>-6</v>
      </c>
      <c r="T1498" s="5" t="s">
        <v>942</v>
      </c>
    </row>
    <row r="1499" spans="1:20" x14ac:dyDescent="0.35">
      <c r="A1499" s="5">
        <v>8100275461</v>
      </c>
      <c r="B1499" s="5">
        <v>10714</v>
      </c>
      <c r="C1499" s="6">
        <v>45670</v>
      </c>
      <c r="D1499" s="5" t="s">
        <v>239</v>
      </c>
      <c r="E1499" s="5" t="s">
        <v>240</v>
      </c>
      <c r="F1499" s="5" t="s">
        <v>242</v>
      </c>
      <c r="G1499" s="5" t="s">
        <v>243</v>
      </c>
      <c r="H1499" s="5" t="s">
        <v>218</v>
      </c>
      <c r="I1499" s="5" t="s">
        <v>546</v>
      </c>
      <c r="J1499" s="5" t="s">
        <v>355</v>
      </c>
      <c r="K1499" s="5" t="s">
        <v>241</v>
      </c>
      <c r="L1499" s="6">
        <v>45674</v>
      </c>
      <c r="M1499" s="6">
        <v>45670</v>
      </c>
      <c r="N1499" s="6" t="s">
        <v>811</v>
      </c>
      <c r="O1499" s="5" t="str">
        <f ca="1">IF(P1499&lt;&gt;"EXPEDIÇÃO","Expedido",IF(NETWORKDAYS(C1499,TODAY())&gt;=5,"Risco Alto",IF(NETWORKDAYS(C1499,TODAY())&gt;=3,IF(NETWORKDAYS(C1499,TODAY())&lt;5,"Risco Médio",""),IF(NETWORKDAYS(C1499,TODAY())&lt;=2,"Risco Baixo",""))))</f>
        <v>Expedido</v>
      </c>
      <c r="P1499" s="5" t="s">
        <v>25</v>
      </c>
      <c r="Q1499" s="5" t="s">
        <v>900</v>
      </c>
      <c r="S1499" s="7">
        <f>IF(ISBLANK(M1499),"Aguardando Previsão/Data",NETWORKDAYS(L1499,M1499)-1)</f>
        <v>-6</v>
      </c>
      <c r="T1499" s="5" t="s">
        <v>942</v>
      </c>
    </row>
    <row r="1500" spans="1:20" x14ac:dyDescent="0.35">
      <c r="A1500" s="5">
        <v>8100275462</v>
      </c>
      <c r="B1500" s="5">
        <v>10715</v>
      </c>
      <c r="C1500" s="6">
        <v>45670</v>
      </c>
      <c r="D1500" s="5" t="s">
        <v>239</v>
      </c>
      <c r="E1500" s="5" t="s">
        <v>240</v>
      </c>
      <c r="F1500" s="5" t="s">
        <v>242</v>
      </c>
      <c r="G1500" s="5" t="s">
        <v>243</v>
      </c>
      <c r="H1500" s="5" t="s">
        <v>218</v>
      </c>
      <c r="I1500" s="5" t="s">
        <v>546</v>
      </c>
      <c r="J1500" s="5" t="s">
        <v>355</v>
      </c>
      <c r="K1500" s="5" t="s">
        <v>241</v>
      </c>
      <c r="L1500" s="6">
        <v>45674</v>
      </c>
      <c r="M1500" s="6">
        <v>45670</v>
      </c>
      <c r="N1500" s="6" t="s">
        <v>811</v>
      </c>
      <c r="O1500" s="5" t="str">
        <f ca="1">IF(P1500&lt;&gt;"EXPEDIÇÃO","Expedido",IF(NETWORKDAYS(C1500,TODAY())&gt;=5,"Risco Alto",IF(NETWORKDAYS(C1500,TODAY())&gt;=3,IF(NETWORKDAYS(C1500,TODAY())&lt;5,"Risco Médio",""),IF(NETWORKDAYS(C1500,TODAY())&lt;=2,"Risco Baixo",""))))</f>
        <v>Expedido</v>
      </c>
      <c r="P1500" s="5" t="s">
        <v>25</v>
      </c>
      <c r="Q1500" s="5" t="s">
        <v>900</v>
      </c>
      <c r="S1500" s="7">
        <f>IF(ISBLANK(M1500),"Aguardando Previsão/Data",NETWORKDAYS(L1500,M1500)-1)</f>
        <v>-6</v>
      </c>
      <c r="T1500" s="5" t="s">
        <v>942</v>
      </c>
    </row>
    <row r="1501" spans="1:20" x14ac:dyDescent="0.35">
      <c r="A1501" s="5">
        <v>8100275463</v>
      </c>
      <c r="B1501" s="5">
        <v>10716</v>
      </c>
      <c r="C1501" s="6">
        <v>45670</v>
      </c>
      <c r="D1501" s="5" t="s">
        <v>239</v>
      </c>
      <c r="E1501" s="5" t="s">
        <v>240</v>
      </c>
      <c r="F1501" s="5" t="s">
        <v>242</v>
      </c>
      <c r="G1501" s="5" t="s">
        <v>243</v>
      </c>
      <c r="H1501" s="5" t="s">
        <v>218</v>
      </c>
      <c r="I1501" s="5" t="s">
        <v>546</v>
      </c>
      <c r="J1501" s="5" t="s">
        <v>355</v>
      </c>
      <c r="K1501" s="5" t="s">
        <v>241</v>
      </c>
      <c r="L1501" s="6">
        <v>45674</v>
      </c>
      <c r="M1501" s="6">
        <v>45670</v>
      </c>
      <c r="N1501" s="6" t="s">
        <v>811</v>
      </c>
      <c r="O1501" s="5" t="str">
        <f ca="1">IF(P1501&lt;&gt;"EXPEDIÇÃO","Expedido",IF(NETWORKDAYS(C1501,TODAY())&gt;=5,"Risco Alto",IF(NETWORKDAYS(C1501,TODAY())&gt;=3,IF(NETWORKDAYS(C1501,TODAY())&lt;5,"Risco Médio",""),IF(NETWORKDAYS(C1501,TODAY())&lt;=2,"Risco Baixo",""))))</f>
        <v>Expedido</v>
      </c>
      <c r="P1501" s="5" t="s">
        <v>25</v>
      </c>
      <c r="Q1501" s="5" t="s">
        <v>900</v>
      </c>
      <c r="S1501" s="7">
        <f>IF(ISBLANK(M1501),"Aguardando Previsão/Data",NETWORKDAYS(L1501,M1501)-1)</f>
        <v>-6</v>
      </c>
      <c r="T1501" s="5" t="s">
        <v>942</v>
      </c>
    </row>
    <row r="1502" spans="1:20" x14ac:dyDescent="0.35">
      <c r="A1502" s="5">
        <v>8100275464</v>
      </c>
      <c r="B1502" s="5">
        <v>10717</v>
      </c>
      <c r="C1502" s="6">
        <v>45670</v>
      </c>
      <c r="D1502" s="5" t="s">
        <v>239</v>
      </c>
      <c r="E1502" s="5" t="s">
        <v>240</v>
      </c>
      <c r="F1502" s="5" t="s">
        <v>176</v>
      </c>
      <c r="G1502" s="5" t="s">
        <v>177</v>
      </c>
      <c r="H1502" s="5" t="s">
        <v>218</v>
      </c>
      <c r="I1502" s="5" t="s">
        <v>546</v>
      </c>
      <c r="J1502" s="5" t="s">
        <v>355</v>
      </c>
      <c r="K1502" s="5" t="s">
        <v>241</v>
      </c>
      <c r="L1502" s="6">
        <v>45674</v>
      </c>
      <c r="M1502" s="6">
        <v>45670</v>
      </c>
      <c r="N1502" s="6" t="s">
        <v>811</v>
      </c>
      <c r="O1502" s="5" t="str">
        <f ca="1">IF(P1502&lt;&gt;"EXPEDIÇÃO","Expedido",IF(NETWORKDAYS(C1502,TODAY())&gt;=5,"Risco Alto",IF(NETWORKDAYS(C1502,TODAY())&gt;=3,IF(NETWORKDAYS(C1502,TODAY())&lt;5,"Risco Médio",""),IF(NETWORKDAYS(C1502,TODAY())&lt;=2,"Risco Baixo",""))))</f>
        <v>Expedido</v>
      </c>
      <c r="P1502" s="5" t="s">
        <v>25</v>
      </c>
      <c r="Q1502" s="5" t="s">
        <v>900</v>
      </c>
      <c r="S1502" s="7">
        <f>IF(ISBLANK(M1502),"Aguardando Previsão/Data",NETWORKDAYS(L1502,M1502)-1)</f>
        <v>-6</v>
      </c>
      <c r="T1502" s="5" t="s">
        <v>942</v>
      </c>
    </row>
    <row r="1503" spans="1:20" x14ac:dyDescent="0.35">
      <c r="A1503" s="5">
        <v>8100275465</v>
      </c>
      <c r="B1503" s="5">
        <v>10718</v>
      </c>
      <c r="C1503" s="6">
        <v>45670</v>
      </c>
      <c r="D1503" s="5" t="s">
        <v>239</v>
      </c>
      <c r="E1503" s="5" t="s">
        <v>240</v>
      </c>
      <c r="F1503" s="5" t="s">
        <v>176</v>
      </c>
      <c r="G1503" s="5" t="s">
        <v>177</v>
      </c>
      <c r="H1503" s="5" t="s">
        <v>218</v>
      </c>
      <c r="I1503" s="5" t="s">
        <v>546</v>
      </c>
      <c r="J1503" s="5" t="s">
        <v>355</v>
      </c>
      <c r="K1503" s="5" t="s">
        <v>241</v>
      </c>
      <c r="L1503" s="6">
        <v>45674</v>
      </c>
      <c r="M1503" s="6">
        <v>45670</v>
      </c>
      <c r="N1503" s="6" t="s">
        <v>811</v>
      </c>
      <c r="O1503" s="5" t="str">
        <f ca="1">IF(P1503&lt;&gt;"EXPEDIÇÃO","Expedido",IF(NETWORKDAYS(C1503,TODAY())&gt;=5,"Risco Alto",IF(NETWORKDAYS(C1503,TODAY())&gt;=3,IF(NETWORKDAYS(C1503,TODAY())&lt;5,"Risco Médio",""),IF(NETWORKDAYS(C1503,TODAY())&lt;=2,"Risco Baixo",""))))</f>
        <v>Expedido</v>
      </c>
      <c r="P1503" s="5" t="s">
        <v>25</v>
      </c>
      <c r="Q1503" s="5" t="s">
        <v>900</v>
      </c>
      <c r="S1503" s="7">
        <f>IF(ISBLANK(M1503),"Aguardando Previsão/Data",NETWORKDAYS(L1503,M1503)-1)</f>
        <v>-6</v>
      </c>
      <c r="T1503" s="5" t="s">
        <v>942</v>
      </c>
    </row>
    <row r="1504" spans="1:20" x14ac:dyDescent="0.35">
      <c r="A1504" s="5">
        <v>8100275466</v>
      </c>
      <c r="B1504" s="5">
        <v>10719</v>
      </c>
      <c r="C1504" s="6">
        <v>45670</v>
      </c>
      <c r="D1504" s="5" t="s">
        <v>239</v>
      </c>
      <c r="E1504" s="5" t="s">
        <v>240</v>
      </c>
      <c r="F1504" s="5" t="s">
        <v>242</v>
      </c>
      <c r="G1504" s="5" t="s">
        <v>243</v>
      </c>
      <c r="H1504" s="5" t="s">
        <v>218</v>
      </c>
      <c r="I1504" s="5" t="s">
        <v>546</v>
      </c>
      <c r="J1504" s="5" t="s">
        <v>355</v>
      </c>
      <c r="K1504" s="5" t="s">
        <v>241</v>
      </c>
      <c r="L1504" s="6">
        <v>45674</v>
      </c>
      <c r="M1504" s="6">
        <v>45670</v>
      </c>
      <c r="N1504" s="6" t="s">
        <v>811</v>
      </c>
      <c r="O1504" s="5" t="str">
        <f ca="1">IF(P1504&lt;&gt;"EXPEDIÇÃO","Expedido",IF(NETWORKDAYS(C1504,TODAY())&gt;=5,"Risco Alto",IF(NETWORKDAYS(C1504,TODAY())&gt;=3,IF(NETWORKDAYS(C1504,TODAY())&lt;5,"Risco Médio",""),IF(NETWORKDAYS(C1504,TODAY())&lt;=2,"Risco Baixo",""))))</f>
        <v>Expedido</v>
      </c>
      <c r="P1504" s="5" t="s">
        <v>25</v>
      </c>
      <c r="Q1504" s="5" t="s">
        <v>900</v>
      </c>
      <c r="S1504" s="7">
        <f>IF(ISBLANK(M1504),"Aguardando Previsão/Data",NETWORKDAYS(L1504,M1504)-1)</f>
        <v>-6</v>
      </c>
      <c r="T1504" s="5" t="s">
        <v>942</v>
      </c>
    </row>
    <row r="1505" spans="1:20" x14ac:dyDescent="0.35">
      <c r="A1505" s="5">
        <v>8100275467</v>
      </c>
      <c r="B1505" s="5">
        <v>10720</v>
      </c>
      <c r="C1505" s="6">
        <v>45670</v>
      </c>
      <c r="D1505" s="5" t="s">
        <v>239</v>
      </c>
      <c r="E1505" s="5" t="s">
        <v>240</v>
      </c>
      <c r="F1505" s="5" t="s">
        <v>242</v>
      </c>
      <c r="G1505" s="5" t="s">
        <v>243</v>
      </c>
      <c r="H1505" s="5" t="s">
        <v>218</v>
      </c>
      <c r="I1505" s="5" t="s">
        <v>546</v>
      </c>
      <c r="J1505" s="5" t="s">
        <v>355</v>
      </c>
      <c r="K1505" s="5" t="s">
        <v>241</v>
      </c>
      <c r="L1505" s="6">
        <v>45674</v>
      </c>
      <c r="M1505" s="6">
        <v>45670</v>
      </c>
      <c r="N1505" s="6" t="s">
        <v>811</v>
      </c>
      <c r="O1505" s="5" t="str">
        <f ca="1">IF(P1505&lt;&gt;"EXPEDIÇÃO","Expedido",IF(NETWORKDAYS(C1505,TODAY())&gt;=5,"Risco Alto",IF(NETWORKDAYS(C1505,TODAY())&gt;=3,IF(NETWORKDAYS(C1505,TODAY())&lt;5,"Risco Médio",""),IF(NETWORKDAYS(C1505,TODAY())&lt;=2,"Risco Baixo",""))))</f>
        <v>Expedido</v>
      </c>
      <c r="P1505" s="5" t="s">
        <v>25</v>
      </c>
      <c r="Q1505" s="5" t="s">
        <v>900</v>
      </c>
      <c r="S1505" s="7">
        <f>IF(ISBLANK(M1505),"Aguardando Previsão/Data",NETWORKDAYS(L1505,M1505)-1)</f>
        <v>-6</v>
      </c>
      <c r="T1505" s="5" t="s">
        <v>942</v>
      </c>
    </row>
    <row r="1506" spans="1:20" x14ac:dyDescent="0.35">
      <c r="A1506" s="5">
        <v>8100275468</v>
      </c>
      <c r="B1506" s="5">
        <v>10721</v>
      </c>
      <c r="C1506" s="6">
        <v>45670</v>
      </c>
      <c r="D1506" s="5" t="s">
        <v>239</v>
      </c>
      <c r="E1506" s="5" t="s">
        <v>240</v>
      </c>
      <c r="F1506" s="5" t="s">
        <v>176</v>
      </c>
      <c r="G1506" s="5" t="s">
        <v>177</v>
      </c>
      <c r="H1506" s="5" t="s">
        <v>218</v>
      </c>
      <c r="I1506" s="5" t="s">
        <v>546</v>
      </c>
      <c r="J1506" s="5" t="s">
        <v>355</v>
      </c>
      <c r="K1506" s="5" t="s">
        <v>241</v>
      </c>
      <c r="L1506" s="6">
        <v>45674</v>
      </c>
      <c r="M1506" s="6">
        <v>45670</v>
      </c>
      <c r="N1506" s="6" t="s">
        <v>811</v>
      </c>
      <c r="O1506" s="5" t="str">
        <f ca="1">IF(P1506&lt;&gt;"EXPEDIÇÃO","Expedido",IF(NETWORKDAYS(C1506,TODAY())&gt;=5,"Risco Alto",IF(NETWORKDAYS(C1506,TODAY())&gt;=3,IF(NETWORKDAYS(C1506,TODAY())&lt;5,"Risco Médio",""),IF(NETWORKDAYS(C1506,TODAY())&lt;=2,"Risco Baixo",""))))</f>
        <v>Expedido</v>
      </c>
      <c r="P1506" s="5" t="s">
        <v>25</v>
      </c>
      <c r="Q1506" s="5" t="s">
        <v>900</v>
      </c>
      <c r="S1506" s="7">
        <f>IF(ISBLANK(M1506),"Aguardando Previsão/Data",NETWORKDAYS(L1506,M1506)-1)</f>
        <v>-6</v>
      </c>
      <c r="T1506" s="5" t="s">
        <v>942</v>
      </c>
    </row>
    <row r="1507" spans="1:20" x14ac:dyDescent="0.35">
      <c r="A1507" s="5">
        <v>8100275469</v>
      </c>
      <c r="B1507" s="5">
        <v>10722</v>
      </c>
      <c r="C1507" s="6">
        <v>45670</v>
      </c>
      <c r="D1507" s="5" t="s">
        <v>239</v>
      </c>
      <c r="E1507" s="5" t="s">
        <v>240</v>
      </c>
      <c r="F1507" s="5" t="s">
        <v>176</v>
      </c>
      <c r="G1507" s="5" t="s">
        <v>177</v>
      </c>
      <c r="H1507" s="5" t="s">
        <v>218</v>
      </c>
      <c r="I1507" s="5" t="s">
        <v>546</v>
      </c>
      <c r="J1507" s="5" t="s">
        <v>355</v>
      </c>
      <c r="K1507" s="5" t="s">
        <v>241</v>
      </c>
      <c r="L1507" s="6">
        <v>45674</v>
      </c>
      <c r="M1507" s="6">
        <v>45670</v>
      </c>
      <c r="N1507" s="6" t="s">
        <v>811</v>
      </c>
      <c r="O1507" s="5" t="str">
        <f ca="1">IF(P1507&lt;&gt;"EXPEDIÇÃO","Expedido",IF(NETWORKDAYS(C1507,TODAY())&gt;=5,"Risco Alto",IF(NETWORKDAYS(C1507,TODAY())&gt;=3,IF(NETWORKDAYS(C1507,TODAY())&lt;5,"Risco Médio",""),IF(NETWORKDAYS(C1507,TODAY())&lt;=2,"Risco Baixo",""))))</f>
        <v>Expedido</v>
      </c>
      <c r="P1507" s="5" t="s">
        <v>25</v>
      </c>
      <c r="Q1507" s="5" t="s">
        <v>900</v>
      </c>
      <c r="S1507" s="7">
        <f>IF(ISBLANK(M1507),"Aguardando Previsão/Data",NETWORKDAYS(L1507,M1507)-1)</f>
        <v>-6</v>
      </c>
      <c r="T1507" s="5" t="s">
        <v>942</v>
      </c>
    </row>
    <row r="1508" spans="1:20" x14ac:dyDescent="0.35">
      <c r="A1508" s="5">
        <v>8100275470</v>
      </c>
      <c r="B1508" s="5">
        <v>10723</v>
      </c>
      <c r="C1508" s="6">
        <v>45670</v>
      </c>
      <c r="D1508" s="5" t="s">
        <v>239</v>
      </c>
      <c r="E1508" s="5" t="s">
        <v>240</v>
      </c>
      <c r="F1508" s="5" t="s">
        <v>176</v>
      </c>
      <c r="G1508" s="5" t="s">
        <v>177</v>
      </c>
      <c r="H1508" s="5" t="s">
        <v>218</v>
      </c>
      <c r="I1508" s="5" t="s">
        <v>546</v>
      </c>
      <c r="J1508" s="5" t="s">
        <v>355</v>
      </c>
      <c r="K1508" s="5" t="s">
        <v>241</v>
      </c>
      <c r="L1508" s="6">
        <v>45674</v>
      </c>
      <c r="M1508" s="6">
        <v>45670</v>
      </c>
      <c r="N1508" s="6" t="s">
        <v>811</v>
      </c>
      <c r="O1508" s="5" t="str">
        <f ca="1">IF(P1508&lt;&gt;"EXPEDIÇÃO","Expedido",IF(NETWORKDAYS(C1508,TODAY())&gt;=5,"Risco Alto",IF(NETWORKDAYS(C1508,TODAY())&gt;=3,IF(NETWORKDAYS(C1508,TODAY())&lt;5,"Risco Médio",""),IF(NETWORKDAYS(C1508,TODAY())&lt;=2,"Risco Baixo",""))))</f>
        <v>Expedido</v>
      </c>
      <c r="P1508" s="5" t="s">
        <v>25</v>
      </c>
      <c r="Q1508" s="5" t="s">
        <v>900</v>
      </c>
      <c r="S1508" s="7">
        <f>IF(ISBLANK(M1508),"Aguardando Previsão/Data",NETWORKDAYS(L1508,M1508)-1)</f>
        <v>-6</v>
      </c>
      <c r="T1508" s="5" t="s">
        <v>942</v>
      </c>
    </row>
    <row r="1509" spans="1:20" x14ac:dyDescent="0.35">
      <c r="A1509" s="5">
        <v>8100275471</v>
      </c>
      <c r="B1509" s="5">
        <v>10724</v>
      </c>
      <c r="C1509" s="6">
        <v>45670</v>
      </c>
      <c r="D1509" s="5" t="s">
        <v>239</v>
      </c>
      <c r="E1509" s="5" t="s">
        <v>240</v>
      </c>
      <c r="F1509" s="5" t="s">
        <v>242</v>
      </c>
      <c r="G1509" s="5" t="s">
        <v>243</v>
      </c>
      <c r="H1509" s="5" t="s">
        <v>218</v>
      </c>
      <c r="I1509" s="5" t="s">
        <v>546</v>
      </c>
      <c r="J1509" s="5" t="s">
        <v>355</v>
      </c>
      <c r="K1509" s="5" t="s">
        <v>241</v>
      </c>
      <c r="L1509" s="6">
        <v>45674</v>
      </c>
      <c r="M1509" s="6">
        <v>45670</v>
      </c>
      <c r="N1509" s="6" t="s">
        <v>811</v>
      </c>
      <c r="O1509" s="5" t="str">
        <f ca="1">IF(P1509&lt;&gt;"EXPEDIÇÃO","Expedido",IF(NETWORKDAYS(C1509,TODAY())&gt;=5,"Risco Alto",IF(NETWORKDAYS(C1509,TODAY())&gt;=3,IF(NETWORKDAYS(C1509,TODAY())&lt;5,"Risco Médio",""),IF(NETWORKDAYS(C1509,TODAY())&lt;=2,"Risco Baixo",""))))</f>
        <v>Expedido</v>
      </c>
      <c r="P1509" s="5" t="s">
        <v>25</v>
      </c>
      <c r="Q1509" s="5" t="s">
        <v>900</v>
      </c>
      <c r="S1509" s="7">
        <f>IF(ISBLANK(M1509),"Aguardando Previsão/Data",NETWORKDAYS(L1509,M1509)-1)</f>
        <v>-6</v>
      </c>
      <c r="T1509" s="5" t="s">
        <v>942</v>
      </c>
    </row>
    <row r="1510" spans="1:20" x14ac:dyDescent="0.35">
      <c r="A1510" s="5">
        <v>8100275472</v>
      </c>
      <c r="B1510" s="5">
        <v>10725</v>
      </c>
      <c r="C1510" s="6">
        <v>45670</v>
      </c>
      <c r="D1510" s="5" t="s">
        <v>239</v>
      </c>
      <c r="E1510" s="5" t="s">
        <v>240</v>
      </c>
      <c r="F1510" s="5" t="s">
        <v>176</v>
      </c>
      <c r="G1510" s="5" t="s">
        <v>177</v>
      </c>
      <c r="H1510" s="5" t="s">
        <v>218</v>
      </c>
      <c r="I1510" s="5" t="s">
        <v>546</v>
      </c>
      <c r="J1510" s="5" t="s">
        <v>355</v>
      </c>
      <c r="K1510" s="5" t="s">
        <v>241</v>
      </c>
      <c r="L1510" s="6">
        <v>45674</v>
      </c>
      <c r="M1510" s="6">
        <v>45670</v>
      </c>
      <c r="N1510" s="6" t="s">
        <v>811</v>
      </c>
      <c r="O1510" s="5" t="str">
        <f ca="1">IF(P1510&lt;&gt;"EXPEDIÇÃO","Expedido",IF(NETWORKDAYS(C1510,TODAY())&gt;=5,"Risco Alto",IF(NETWORKDAYS(C1510,TODAY())&gt;=3,IF(NETWORKDAYS(C1510,TODAY())&lt;5,"Risco Médio",""),IF(NETWORKDAYS(C1510,TODAY())&lt;=2,"Risco Baixo",""))))</f>
        <v>Expedido</v>
      </c>
      <c r="P1510" s="5" t="s">
        <v>25</v>
      </c>
      <c r="Q1510" s="5" t="s">
        <v>900</v>
      </c>
      <c r="S1510" s="7">
        <f>IF(ISBLANK(M1510),"Aguardando Previsão/Data",NETWORKDAYS(L1510,M1510)-1)</f>
        <v>-6</v>
      </c>
      <c r="T1510" s="5" t="s">
        <v>942</v>
      </c>
    </row>
    <row r="1511" spans="1:20" x14ac:dyDescent="0.35">
      <c r="A1511" s="5">
        <v>8100275479</v>
      </c>
      <c r="B1511" s="5">
        <v>10726</v>
      </c>
      <c r="C1511" s="6">
        <v>45670</v>
      </c>
      <c r="D1511" s="5" t="s">
        <v>239</v>
      </c>
      <c r="E1511" s="5" t="s">
        <v>240</v>
      </c>
      <c r="F1511" s="5" t="s">
        <v>242</v>
      </c>
      <c r="G1511" s="5" t="s">
        <v>243</v>
      </c>
      <c r="H1511" s="5" t="s">
        <v>218</v>
      </c>
      <c r="I1511" s="5" t="s">
        <v>546</v>
      </c>
      <c r="J1511" s="5" t="s">
        <v>355</v>
      </c>
      <c r="K1511" s="5" t="s">
        <v>241</v>
      </c>
      <c r="L1511" s="6">
        <v>45674</v>
      </c>
      <c r="M1511" s="6">
        <v>45670</v>
      </c>
      <c r="N1511" s="6" t="s">
        <v>811</v>
      </c>
      <c r="O1511" s="5" t="str">
        <f ca="1">IF(P1511&lt;&gt;"EXPEDIÇÃO","Expedido",IF(NETWORKDAYS(C1511,TODAY())&gt;=5,"Risco Alto",IF(NETWORKDAYS(C1511,TODAY())&gt;=3,IF(NETWORKDAYS(C1511,TODAY())&lt;5,"Risco Médio",""),IF(NETWORKDAYS(C1511,TODAY())&lt;=2,"Risco Baixo",""))))</f>
        <v>Expedido</v>
      </c>
      <c r="P1511" s="5" t="s">
        <v>25</v>
      </c>
      <c r="Q1511" s="5" t="s">
        <v>900</v>
      </c>
      <c r="S1511" s="7">
        <f>IF(ISBLANK(M1511),"Aguardando Previsão/Data",NETWORKDAYS(L1511,M1511)-1)</f>
        <v>-6</v>
      </c>
      <c r="T1511" s="5" t="s">
        <v>942</v>
      </c>
    </row>
    <row r="1512" spans="1:20" x14ac:dyDescent="0.35">
      <c r="A1512" s="5">
        <v>8100275647</v>
      </c>
      <c r="B1512" s="5">
        <v>10732</v>
      </c>
      <c r="C1512" s="6">
        <v>45670</v>
      </c>
      <c r="D1512" s="5" t="s">
        <v>239</v>
      </c>
      <c r="E1512" s="5" t="s">
        <v>240</v>
      </c>
      <c r="F1512" s="5" t="s">
        <v>242</v>
      </c>
      <c r="G1512" s="5" t="s">
        <v>243</v>
      </c>
      <c r="H1512" s="5" t="s">
        <v>218</v>
      </c>
      <c r="I1512" s="5" t="s">
        <v>354</v>
      </c>
      <c r="J1512" s="5" t="s">
        <v>355</v>
      </c>
      <c r="K1512" s="5" t="s">
        <v>241</v>
      </c>
      <c r="L1512" s="6">
        <v>45674</v>
      </c>
      <c r="M1512" s="6">
        <v>45673</v>
      </c>
      <c r="N1512" s="6" t="s">
        <v>811</v>
      </c>
      <c r="O1512" s="5" t="str">
        <f ca="1">IF(P1512&lt;&gt;"EXPEDIÇÃO","Expedido",IF(NETWORKDAYS(C1512,TODAY())&gt;=5,"Risco Alto",IF(NETWORKDAYS(C1512,TODAY())&gt;=3,IF(NETWORKDAYS(C1512,TODAY())&lt;5,"Risco Médio",""),IF(NETWORKDAYS(C1512,TODAY())&lt;=2,"Risco Baixo",""))))</f>
        <v>Expedido</v>
      </c>
      <c r="P1512" s="5" t="s">
        <v>25</v>
      </c>
      <c r="Q1512" s="5" t="s">
        <v>793</v>
      </c>
      <c r="S1512" s="7">
        <f>IF(ISBLANK(M1512),"Aguardando Previsão/Data",NETWORKDAYS(L1512,M1512)-1)</f>
        <v>-3</v>
      </c>
      <c r="T1512" s="5" t="s">
        <v>942</v>
      </c>
    </row>
    <row r="1513" spans="1:20" x14ac:dyDescent="0.35">
      <c r="A1513" s="5">
        <v>8100275648</v>
      </c>
      <c r="B1513" s="5">
        <v>10733</v>
      </c>
      <c r="C1513" s="6">
        <v>45670</v>
      </c>
      <c r="D1513" s="5" t="s">
        <v>239</v>
      </c>
      <c r="E1513" s="5" t="s">
        <v>240</v>
      </c>
      <c r="F1513" s="5" t="s">
        <v>160</v>
      </c>
      <c r="G1513" s="5" t="s">
        <v>161</v>
      </c>
      <c r="H1513" s="5" t="s">
        <v>218</v>
      </c>
      <c r="I1513" s="5" t="s">
        <v>354</v>
      </c>
      <c r="J1513" s="5" t="s">
        <v>355</v>
      </c>
      <c r="K1513" s="5" t="s">
        <v>241</v>
      </c>
      <c r="L1513" s="6">
        <v>45674</v>
      </c>
      <c r="M1513" s="6">
        <v>45673</v>
      </c>
      <c r="N1513" s="6" t="s">
        <v>811</v>
      </c>
      <c r="O1513" s="5" t="str">
        <f ca="1">IF(P1513&lt;&gt;"EXPEDIÇÃO","Expedido",IF(NETWORKDAYS(C1513,TODAY())&gt;=5,"Risco Alto",IF(NETWORKDAYS(C1513,TODAY())&gt;=3,IF(NETWORKDAYS(C1513,TODAY())&lt;5,"Risco Médio",""),IF(NETWORKDAYS(C1513,TODAY())&lt;=2,"Risco Baixo",""))))</f>
        <v>Expedido</v>
      </c>
      <c r="P1513" s="5" t="s">
        <v>25</v>
      </c>
      <c r="Q1513" s="5" t="s">
        <v>793</v>
      </c>
      <c r="S1513" s="7">
        <f>IF(ISBLANK(M1513),"Aguardando Previsão/Data",NETWORKDAYS(L1513,M1513)-1)</f>
        <v>-3</v>
      </c>
      <c r="T1513" s="5" t="s">
        <v>942</v>
      </c>
    </row>
    <row r="1514" spans="1:20" x14ac:dyDescent="0.35">
      <c r="A1514" s="5">
        <v>8100275650</v>
      </c>
      <c r="B1514" s="5">
        <v>10734</v>
      </c>
      <c r="C1514" s="6">
        <v>45670</v>
      </c>
      <c r="D1514" s="5" t="s">
        <v>239</v>
      </c>
      <c r="E1514" s="5" t="s">
        <v>240</v>
      </c>
      <c r="F1514" s="5" t="s">
        <v>242</v>
      </c>
      <c r="G1514" s="5" t="s">
        <v>243</v>
      </c>
      <c r="H1514" s="5" t="s">
        <v>218</v>
      </c>
      <c r="I1514" s="5" t="s">
        <v>354</v>
      </c>
      <c r="J1514" s="5" t="s">
        <v>355</v>
      </c>
      <c r="K1514" s="5" t="s">
        <v>241</v>
      </c>
      <c r="L1514" s="6">
        <v>45674</v>
      </c>
      <c r="M1514" s="6">
        <v>45674</v>
      </c>
      <c r="N1514" s="6" t="s">
        <v>811</v>
      </c>
      <c r="O1514" s="5" t="str">
        <f ca="1">IF(P1514&lt;&gt;"EXPEDIÇÃO","Expedido",IF(NETWORKDAYS(C1514,TODAY())&gt;=5,"Risco Alto",IF(NETWORKDAYS(C1514,TODAY())&gt;=3,IF(NETWORKDAYS(C1514,TODAY())&lt;5,"Risco Médio",""),IF(NETWORKDAYS(C1514,TODAY())&lt;=2,"Risco Baixo",""))))</f>
        <v>Expedido</v>
      </c>
      <c r="P1514" s="5" t="s">
        <v>25</v>
      </c>
      <c r="Q1514" s="5" t="s">
        <v>793</v>
      </c>
      <c r="S1514" s="7">
        <f>IF(ISBLANK(M1514),"Aguardando Previsão/Data",NETWORKDAYS(L1514,M1514)-1)</f>
        <v>0</v>
      </c>
      <c r="T1514" s="5" t="s">
        <v>942</v>
      </c>
    </row>
    <row r="1515" spans="1:20" x14ac:dyDescent="0.35">
      <c r="A1515" s="5">
        <v>8100275664</v>
      </c>
      <c r="B1515" s="5">
        <v>10735</v>
      </c>
      <c r="C1515" s="6">
        <v>45670</v>
      </c>
      <c r="D1515" s="5" t="s">
        <v>239</v>
      </c>
      <c r="E1515" s="5" t="s">
        <v>240</v>
      </c>
      <c r="F1515" s="5" t="s">
        <v>242</v>
      </c>
      <c r="G1515" s="5" t="s">
        <v>243</v>
      </c>
      <c r="H1515" s="5" t="s">
        <v>218</v>
      </c>
      <c r="I1515" s="5" t="s">
        <v>354</v>
      </c>
      <c r="J1515" s="5" t="s">
        <v>355</v>
      </c>
      <c r="K1515" s="5" t="s">
        <v>241</v>
      </c>
      <c r="L1515" s="6">
        <v>45674</v>
      </c>
      <c r="M1515" s="6">
        <v>45674</v>
      </c>
      <c r="N1515" s="6" t="s">
        <v>811</v>
      </c>
      <c r="O1515" s="5" t="str">
        <f ca="1">IF(P1515&lt;&gt;"EXPEDIÇÃO","Expedido",IF(NETWORKDAYS(C1515,TODAY())&gt;=5,"Risco Alto",IF(NETWORKDAYS(C1515,TODAY())&gt;=3,IF(NETWORKDAYS(C1515,TODAY())&lt;5,"Risco Médio",""),IF(NETWORKDAYS(C1515,TODAY())&lt;=2,"Risco Baixo",""))))</f>
        <v>Expedido</v>
      </c>
      <c r="P1515" s="5" t="s">
        <v>25</v>
      </c>
      <c r="Q1515" s="5" t="s">
        <v>793</v>
      </c>
      <c r="S1515" s="7">
        <f>IF(ISBLANK(M1515),"Aguardando Previsão/Data",NETWORKDAYS(L1515,M1515)-1)</f>
        <v>0</v>
      </c>
      <c r="T1515" s="5" t="s">
        <v>942</v>
      </c>
    </row>
    <row r="1516" spans="1:20" x14ac:dyDescent="0.35">
      <c r="A1516" s="5">
        <v>8100275676</v>
      </c>
      <c r="B1516" s="5">
        <v>10731</v>
      </c>
      <c r="C1516" s="6">
        <v>45670</v>
      </c>
      <c r="D1516" s="5" t="s">
        <v>239</v>
      </c>
      <c r="E1516" s="5" t="s">
        <v>240</v>
      </c>
      <c r="F1516" s="5" t="s">
        <v>176</v>
      </c>
      <c r="G1516" s="5" t="s">
        <v>177</v>
      </c>
      <c r="H1516" s="5" t="s">
        <v>218</v>
      </c>
      <c r="I1516" s="5" t="s">
        <v>429</v>
      </c>
      <c r="J1516" s="5" t="s">
        <v>430</v>
      </c>
      <c r="K1516" s="5" t="s">
        <v>241</v>
      </c>
      <c r="L1516" s="6">
        <v>45677</v>
      </c>
      <c r="M1516" s="6">
        <v>45673</v>
      </c>
      <c r="N1516" s="6" t="s">
        <v>811</v>
      </c>
      <c r="O1516" s="5" t="str">
        <f ca="1">IF(P1516&lt;&gt;"EXPEDIÇÃO","Expedido",IF(NETWORKDAYS(C1516,TODAY())&gt;=5,"Risco Alto",IF(NETWORKDAYS(C1516,TODAY())&gt;=3,IF(NETWORKDAYS(C1516,TODAY())&lt;5,"Risco Médio",""),IF(NETWORKDAYS(C1516,TODAY())&lt;=2,"Risco Baixo",""))))</f>
        <v>Expedido</v>
      </c>
      <c r="P1516" s="5" t="s">
        <v>25</v>
      </c>
      <c r="Q1516" s="5" t="s">
        <v>793</v>
      </c>
      <c r="S1516" s="7">
        <f>IF(ISBLANK(M1516),"Aguardando Previsão/Data",NETWORKDAYS(L1516,M1516)-1)</f>
        <v>-4</v>
      </c>
      <c r="T1516" s="5" t="s">
        <v>942</v>
      </c>
    </row>
    <row r="1517" spans="1:20" x14ac:dyDescent="0.35">
      <c r="A1517" s="5">
        <v>8100275677</v>
      </c>
      <c r="B1517" s="5">
        <v>10740</v>
      </c>
      <c r="C1517" s="6">
        <v>45670</v>
      </c>
      <c r="D1517" s="5" t="s">
        <v>239</v>
      </c>
      <c r="E1517" s="5" t="s">
        <v>240</v>
      </c>
      <c r="F1517" s="5" t="s">
        <v>160</v>
      </c>
      <c r="G1517" s="5" t="s">
        <v>161</v>
      </c>
      <c r="H1517" s="5" t="s">
        <v>218</v>
      </c>
      <c r="I1517" s="5" t="s">
        <v>1100</v>
      </c>
      <c r="J1517" s="5" t="s">
        <v>161</v>
      </c>
      <c r="K1517" s="5" t="s">
        <v>241</v>
      </c>
      <c r="L1517" s="6">
        <v>45674</v>
      </c>
      <c r="M1517" s="6">
        <v>45673</v>
      </c>
      <c r="N1517" s="6" t="s">
        <v>811</v>
      </c>
      <c r="O1517" s="5" t="str">
        <f ca="1">IF(P1517&lt;&gt;"EXPEDIÇÃO","Expedido",IF(NETWORKDAYS(C1517,TODAY())&gt;=5,"Risco Alto",IF(NETWORKDAYS(C1517,TODAY())&gt;=3,IF(NETWORKDAYS(C1517,TODAY())&lt;5,"Risco Médio",""),IF(NETWORKDAYS(C1517,TODAY())&lt;=2,"Risco Baixo",""))))</f>
        <v>Expedido</v>
      </c>
      <c r="P1517" s="5" t="s">
        <v>25</v>
      </c>
      <c r="Q1517" s="5" t="s">
        <v>793</v>
      </c>
      <c r="S1517" s="7">
        <f>IF(ISBLANK(M1517),"Aguardando Previsão/Data",NETWORKDAYS(L1517,M1517)-1)</f>
        <v>-3</v>
      </c>
      <c r="T1517" s="5" t="s">
        <v>942</v>
      </c>
    </row>
    <row r="1518" spans="1:20" x14ac:dyDescent="0.35">
      <c r="A1518" s="5">
        <v>8100275692</v>
      </c>
      <c r="B1518" s="5">
        <v>10736</v>
      </c>
      <c r="C1518" s="6">
        <v>45670</v>
      </c>
      <c r="D1518" s="5" t="s">
        <v>239</v>
      </c>
      <c r="E1518" s="5" t="s">
        <v>240</v>
      </c>
      <c r="F1518" s="5" t="s">
        <v>160</v>
      </c>
      <c r="G1518" s="5" t="s">
        <v>161</v>
      </c>
      <c r="H1518" s="5" t="s">
        <v>218</v>
      </c>
      <c r="I1518" s="5" t="s">
        <v>354</v>
      </c>
      <c r="J1518" s="5" t="s">
        <v>355</v>
      </c>
      <c r="K1518" s="5" t="s">
        <v>241</v>
      </c>
      <c r="L1518" s="6">
        <v>45674</v>
      </c>
      <c r="M1518" s="6">
        <v>45673</v>
      </c>
      <c r="N1518" s="6" t="s">
        <v>811</v>
      </c>
      <c r="O1518" s="5" t="str">
        <f ca="1">IF(P1518&lt;&gt;"EXPEDIÇÃO","Expedido",IF(NETWORKDAYS(C1518,TODAY())&gt;=5,"Risco Alto",IF(NETWORKDAYS(C1518,TODAY())&gt;=3,IF(NETWORKDAYS(C1518,TODAY())&lt;5,"Risco Médio",""),IF(NETWORKDAYS(C1518,TODAY())&lt;=2,"Risco Baixo",""))))</f>
        <v>Expedido</v>
      </c>
      <c r="P1518" s="5" t="s">
        <v>25</v>
      </c>
      <c r="Q1518" s="5" t="s">
        <v>793</v>
      </c>
      <c r="S1518" s="7">
        <f>IF(ISBLANK(M1518),"Aguardando Previsão/Data",NETWORKDAYS(L1518,M1518)-1)</f>
        <v>-3</v>
      </c>
      <c r="T1518" s="5" t="s">
        <v>942</v>
      </c>
    </row>
    <row r="1519" spans="1:20" x14ac:dyDescent="0.35">
      <c r="A1519" s="5">
        <v>8100275709</v>
      </c>
      <c r="B1519" s="5">
        <v>10738</v>
      </c>
      <c r="C1519" s="6">
        <v>45670</v>
      </c>
      <c r="D1519" s="5" t="s">
        <v>239</v>
      </c>
      <c r="E1519" s="5" t="s">
        <v>240</v>
      </c>
      <c r="F1519" s="5" t="s">
        <v>176</v>
      </c>
      <c r="G1519" s="5" t="s">
        <v>177</v>
      </c>
      <c r="H1519" s="5" t="s">
        <v>218</v>
      </c>
      <c r="I1519" s="5" t="s">
        <v>247</v>
      </c>
      <c r="J1519" s="5" t="s">
        <v>248</v>
      </c>
      <c r="K1519" s="5" t="s">
        <v>241</v>
      </c>
      <c r="L1519" s="6">
        <v>45677</v>
      </c>
      <c r="M1519" s="6">
        <v>45670</v>
      </c>
      <c r="O1519" s="5" t="str">
        <f ca="1">IF(P1519&lt;&gt;"EXPEDIÇÃO","Expedido",IF(NETWORKDAYS(C1519,TODAY())&gt;=5,"Risco Alto",IF(NETWORKDAYS(C1519,TODAY())&gt;=3,IF(NETWORKDAYS(C1519,TODAY())&lt;5,"Risco Médio",""),IF(NETWORKDAYS(C1519,TODAY())&lt;=2,"Risco Baixo",""))))</f>
        <v>Expedido</v>
      </c>
      <c r="P1519" s="5" t="s">
        <v>629</v>
      </c>
      <c r="Q1519" s="5" t="s">
        <v>363</v>
      </c>
      <c r="S1519" s="7">
        <f>IF(ISBLANK(M1519),"Aguardando Previsão/Data",NETWORKDAYS(L1519,M1519)-1)</f>
        <v>-7</v>
      </c>
      <c r="T1519" s="5" t="s">
        <v>942</v>
      </c>
    </row>
    <row r="1520" spans="1:20" x14ac:dyDescent="0.35">
      <c r="A1520" s="5">
        <v>8100275710</v>
      </c>
      <c r="B1520" s="5">
        <v>10737</v>
      </c>
      <c r="C1520" s="6">
        <v>45670</v>
      </c>
      <c r="D1520" s="5" t="s">
        <v>239</v>
      </c>
      <c r="E1520" s="5" t="s">
        <v>240</v>
      </c>
      <c r="F1520" s="5" t="s">
        <v>160</v>
      </c>
      <c r="G1520" s="5" t="s">
        <v>161</v>
      </c>
      <c r="H1520" s="5" t="s">
        <v>218</v>
      </c>
      <c r="I1520" s="5" t="s">
        <v>354</v>
      </c>
      <c r="J1520" s="5" t="s">
        <v>355</v>
      </c>
      <c r="K1520" s="5" t="s">
        <v>241</v>
      </c>
      <c r="L1520" s="6">
        <v>45674</v>
      </c>
      <c r="M1520" s="6">
        <v>45673</v>
      </c>
      <c r="N1520" s="6" t="s">
        <v>811</v>
      </c>
      <c r="O1520" s="5" t="str">
        <f ca="1">IF(P1520&lt;&gt;"EXPEDIÇÃO","Expedido",IF(NETWORKDAYS(C1520,TODAY())&gt;=5,"Risco Alto",IF(NETWORKDAYS(C1520,TODAY())&gt;=3,IF(NETWORKDAYS(C1520,TODAY())&lt;5,"Risco Médio",""),IF(NETWORKDAYS(C1520,TODAY())&lt;=2,"Risco Baixo",""))))</f>
        <v>Expedido</v>
      </c>
      <c r="P1520" s="5" t="s">
        <v>25</v>
      </c>
      <c r="Q1520" s="5" t="s">
        <v>793</v>
      </c>
      <c r="S1520" s="7">
        <f>IF(ISBLANK(M1520),"Aguardando Previsão/Data",NETWORKDAYS(L1520,M1520)-1)</f>
        <v>-3</v>
      </c>
      <c r="T1520" s="5" t="s">
        <v>942</v>
      </c>
    </row>
    <row r="1521" spans="1:20" x14ac:dyDescent="0.35">
      <c r="A1521" s="5">
        <v>8100275711</v>
      </c>
      <c r="B1521" s="5">
        <v>10739</v>
      </c>
      <c r="C1521" s="6">
        <v>45670</v>
      </c>
      <c r="D1521" s="5" t="s">
        <v>239</v>
      </c>
      <c r="E1521" s="5" t="s">
        <v>240</v>
      </c>
      <c r="F1521" s="5" t="s">
        <v>160</v>
      </c>
      <c r="G1521" s="5" t="s">
        <v>161</v>
      </c>
      <c r="H1521" s="5" t="s">
        <v>218</v>
      </c>
      <c r="I1521" s="5" t="s">
        <v>356</v>
      </c>
      <c r="J1521" s="5" t="s">
        <v>357</v>
      </c>
      <c r="K1521" s="5" t="s">
        <v>241</v>
      </c>
      <c r="L1521" s="6">
        <v>45674</v>
      </c>
      <c r="M1521" s="6">
        <v>45672</v>
      </c>
      <c r="N1521" s="6" t="s">
        <v>811</v>
      </c>
      <c r="O1521" s="5" t="str">
        <f ca="1">IF(P1521&lt;&gt;"EXPEDIÇÃO","Expedido",IF(NETWORKDAYS(C1521,TODAY())&gt;=5,"Risco Alto",IF(NETWORKDAYS(C1521,TODAY())&gt;=3,IF(NETWORKDAYS(C1521,TODAY())&lt;5,"Risco Médio",""),IF(NETWORKDAYS(C1521,TODAY())&lt;=2,"Risco Baixo",""))))</f>
        <v>Expedido</v>
      </c>
      <c r="P1521" s="5" t="s">
        <v>25</v>
      </c>
      <c r="Q1521" s="5" t="s">
        <v>793</v>
      </c>
      <c r="S1521" s="7">
        <f>IF(ISBLANK(M1521),"Aguardando Previsão/Data",NETWORKDAYS(L1521,M1521)-1)</f>
        <v>-4</v>
      </c>
      <c r="T1521" s="5" t="s">
        <v>942</v>
      </c>
    </row>
    <row r="1522" spans="1:20" x14ac:dyDescent="0.35">
      <c r="A1522" s="5">
        <v>8100274399</v>
      </c>
      <c r="B1522" s="5">
        <v>19175</v>
      </c>
      <c r="C1522" s="6">
        <v>45670</v>
      </c>
      <c r="D1522" s="5" t="s">
        <v>106</v>
      </c>
      <c r="E1522" s="5" t="s">
        <v>107</v>
      </c>
      <c r="F1522" s="5" t="s">
        <v>58</v>
      </c>
      <c r="G1522" s="5" t="s">
        <v>59</v>
      </c>
      <c r="H1522" s="5" t="s">
        <v>218</v>
      </c>
      <c r="I1522" s="5" t="s">
        <v>317</v>
      </c>
      <c r="J1522" s="5" t="s">
        <v>1099</v>
      </c>
      <c r="K1522" s="5" t="s">
        <v>233</v>
      </c>
      <c r="L1522" s="6">
        <v>45687</v>
      </c>
      <c r="M1522" s="6">
        <v>45684</v>
      </c>
      <c r="N1522" s="6" t="s">
        <v>811</v>
      </c>
      <c r="O1522" s="5" t="str">
        <f ca="1">IF(P1522&lt;&gt;"EXPEDIÇÃO","Expedido",IF(NETWORKDAYS(C1522,TODAY())&gt;=5,"Risco Alto",IF(NETWORKDAYS(C1522,TODAY())&gt;=3,IF(NETWORKDAYS(C1522,TODAY())&lt;5,"Risco Médio",""),IF(NETWORKDAYS(C1522,TODAY())&lt;=2,"Risco Baixo",""))))</f>
        <v>Expedido</v>
      </c>
      <c r="P1522" s="5" t="s">
        <v>25</v>
      </c>
      <c r="S1522" s="7">
        <f>IF(ISBLANK(M1522),"Aguardando Previsão/Data",NETWORKDAYS(L1522,M1522)-1)</f>
        <v>-5</v>
      </c>
      <c r="T1522" s="5" t="s">
        <v>942</v>
      </c>
    </row>
    <row r="1523" spans="1:20" x14ac:dyDescent="0.35">
      <c r="A1523" s="5">
        <v>8100275538</v>
      </c>
      <c r="B1523" s="5">
        <v>19174</v>
      </c>
      <c r="C1523" s="6">
        <v>45670</v>
      </c>
      <c r="D1523" s="5" t="s">
        <v>106</v>
      </c>
      <c r="E1523" s="5" t="s">
        <v>107</v>
      </c>
      <c r="F1523" s="5" t="s">
        <v>58</v>
      </c>
      <c r="G1523" s="5" t="s">
        <v>59</v>
      </c>
      <c r="H1523" s="5" t="s">
        <v>218</v>
      </c>
      <c r="I1523" s="5" t="s">
        <v>222</v>
      </c>
      <c r="J1523" s="5" t="s">
        <v>220</v>
      </c>
      <c r="K1523" s="5" t="s">
        <v>221</v>
      </c>
      <c r="L1523" s="6">
        <v>45685</v>
      </c>
      <c r="M1523" s="6">
        <v>45681</v>
      </c>
      <c r="N1523" s="6" t="s">
        <v>811</v>
      </c>
      <c r="O1523" s="5" t="str">
        <f ca="1">IF(P1523&lt;&gt;"EXPEDIÇÃO","Expedido",IF(NETWORKDAYS(C1523,TODAY())&gt;=5,"Risco Alto",IF(NETWORKDAYS(C1523,TODAY())&gt;=3,IF(NETWORKDAYS(C1523,TODAY())&lt;5,"Risco Médio",""),IF(NETWORKDAYS(C1523,TODAY())&lt;=2,"Risco Baixo",""))))</f>
        <v>Expedido</v>
      </c>
      <c r="P1523" s="5" t="s">
        <v>25</v>
      </c>
      <c r="S1523" s="7">
        <f>IF(ISBLANK(M1523),"Aguardando Previsão/Data",NETWORKDAYS(L1523,M1523)-1)</f>
        <v>-4</v>
      </c>
      <c r="T1523" s="5" t="s">
        <v>942</v>
      </c>
    </row>
    <row r="1524" spans="1:20" x14ac:dyDescent="0.35">
      <c r="A1524" s="5">
        <v>8100275539</v>
      </c>
      <c r="B1524" s="5">
        <v>19178</v>
      </c>
      <c r="C1524" s="6">
        <v>45670</v>
      </c>
      <c r="D1524" s="5" t="s">
        <v>106</v>
      </c>
      <c r="E1524" s="5" t="s">
        <v>107</v>
      </c>
      <c r="F1524" s="5" t="s">
        <v>69</v>
      </c>
      <c r="G1524" s="5" t="s">
        <v>70</v>
      </c>
      <c r="H1524" s="5" t="s">
        <v>218</v>
      </c>
      <c r="I1524" s="5" t="s">
        <v>235</v>
      </c>
      <c r="J1524" s="5" t="s">
        <v>236</v>
      </c>
      <c r="K1524" s="5" t="s">
        <v>229</v>
      </c>
      <c r="L1524" s="6">
        <v>45687</v>
      </c>
      <c r="M1524" s="6">
        <v>45685</v>
      </c>
      <c r="N1524" s="6" t="s">
        <v>811</v>
      </c>
      <c r="O1524" s="5" t="str">
        <f ca="1">IF(P1524&lt;&gt;"EXPEDIÇÃO","Expedido",IF(NETWORKDAYS(C1524,TODAY())&gt;=5,"Risco Alto",IF(NETWORKDAYS(C1524,TODAY())&gt;=3,IF(NETWORKDAYS(C1524,TODAY())&lt;5,"Risco Médio",""),IF(NETWORKDAYS(C1524,TODAY())&lt;=2,"Risco Baixo",""))))</f>
        <v>Expedido</v>
      </c>
      <c r="P1524" s="5" t="s">
        <v>25</v>
      </c>
      <c r="S1524" s="7">
        <f>IF(ISBLANK(M1524),"Aguardando Previsão/Data",NETWORKDAYS(L1524,M1524)-1)</f>
        <v>-4</v>
      </c>
      <c r="T1524" s="5" t="s">
        <v>942</v>
      </c>
    </row>
    <row r="1525" spans="1:20" x14ac:dyDescent="0.35">
      <c r="A1525" s="5">
        <v>8100275558</v>
      </c>
      <c r="B1525" s="5">
        <v>19176</v>
      </c>
      <c r="C1525" s="6">
        <v>45670</v>
      </c>
      <c r="D1525" s="5" t="s">
        <v>106</v>
      </c>
      <c r="E1525" s="5" t="s">
        <v>107</v>
      </c>
      <c r="F1525" s="5" t="s">
        <v>58</v>
      </c>
      <c r="G1525" s="5" t="s">
        <v>59</v>
      </c>
      <c r="H1525" s="5" t="s">
        <v>218</v>
      </c>
      <c r="I1525" s="5" t="s">
        <v>223</v>
      </c>
      <c r="J1525" s="5" t="s">
        <v>224</v>
      </c>
      <c r="K1525" s="5" t="s">
        <v>221</v>
      </c>
      <c r="L1525" s="6">
        <v>45686</v>
      </c>
      <c r="M1525" s="6">
        <v>45682</v>
      </c>
      <c r="N1525" s="6" t="s">
        <v>811</v>
      </c>
      <c r="O1525" s="5" t="str">
        <f ca="1">IF(P1525&lt;&gt;"EXPEDIÇÃO","Expedido",IF(NETWORKDAYS(C1525,TODAY())&gt;=5,"Risco Alto",IF(NETWORKDAYS(C1525,TODAY())&gt;=3,IF(NETWORKDAYS(C1525,TODAY())&lt;5,"Risco Médio",""),IF(NETWORKDAYS(C1525,TODAY())&lt;=2,"Risco Baixo",""))))</f>
        <v>Expedido</v>
      </c>
      <c r="P1525" s="5" t="s">
        <v>25</v>
      </c>
      <c r="S1525" s="7">
        <f>IF(ISBLANK(M1525),"Aguardando Previsão/Data",NETWORKDAYS(L1525,M1525)-1)</f>
        <v>-4</v>
      </c>
      <c r="T1525" s="5" t="s">
        <v>942</v>
      </c>
    </row>
    <row r="1526" spans="1:20" x14ac:dyDescent="0.35">
      <c r="A1526" s="5">
        <v>8100275580</v>
      </c>
      <c r="B1526" s="5">
        <v>19177</v>
      </c>
      <c r="C1526" s="6">
        <v>45670</v>
      </c>
      <c r="D1526" s="5" t="s">
        <v>106</v>
      </c>
      <c r="E1526" s="5" t="s">
        <v>107</v>
      </c>
      <c r="F1526" s="5" t="s">
        <v>58</v>
      </c>
      <c r="G1526" s="5" t="s">
        <v>59</v>
      </c>
      <c r="H1526" s="5" t="s">
        <v>218</v>
      </c>
      <c r="I1526" s="5" t="s">
        <v>223</v>
      </c>
      <c r="J1526" s="5" t="s">
        <v>224</v>
      </c>
      <c r="K1526" s="5" t="s">
        <v>221</v>
      </c>
      <c r="L1526" s="6">
        <v>45686</v>
      </c>
      <c r="M1526" s="6">
        <v>45682</v>
      </c>
      <c r="N1526" s="6" t="s">
        <v>811</v>
      </c>
      <c r="O1526" s="5" t="str">
        <f ca="1">IF(P1526&lt;&gt;"EXPEDIÇÃO","Expedido",IF(NETWORKDAYS(C1526,TODAY())&gt;=5,"Risco Alto",IF(NETWORKDAYS(C1526,TODAY())&gt;=3,IF(NETWORKDAYS(C1526,TODAY())&lt;5,"Risco Médio",""),IF(NETWORKDAYS(C1526,TODAY())&lt;=2,"Risco Baixo",""))))</f>
        <v>Expedido</v>
      </c>
      <c r="P1526" s="5" t="s">
        <v>25</v>
      </c>
      <c r="S1526" s="7">
        <f>IF(ISBLANK(M1526),"Aguardando Previsão/Data",NETWORKDAYS(L1526,M1526)-1)</f>
        <v>-4</v>
      </c>
      <c r="T1526" s="5" t="s">
        <v>942</v>
      </c>
    </row>
    <row r="1527" spans="1:20" x14ac:dyDescent="0.35">
      <c r="A1527" s="5">
        <v>8100275823</v>
      </c>
      <c r="B1527" s="5">
        <v>19202</v>
      </c>
      <c r="C1527" s="6">
        <v>45670</v>
      </c>
      <c r="D1527" s="5" t="s">
        <v>106</v>
      </c>
      <c r="E1527" s="5" t="s">
        <v>107</v>
      </c>
      <c r="F1527" s="5" t="s">
        <v>58</v>
      </c>
      <c r="G1527" s="5" t="s">
        <v>59</v>
      </c>
      <c r="H1527" s="5" t="s">
        <v>218</v>
      </c>
      <c r="I1527" s="5" t="s">
        <v>223</v>
      </c>
      <c r="J1527" s="5" t="s">
        <v>224</v>
      </c>
      <c r="K1527" s="5" t="s">
        <v>221</v>
      </c>
      <c r="L1527" s="6">
        <v>45686</v>
      </c>
      <c r="M1527" s="6">
        <v>45682</v>
      </c>
      <c r="N1527" s="6" t="s">
        <v>811</v>
      </c>
      <c r="O1527" s="5" t="str">
        <f ca="1">IF(P1527&lt;&gt;"EXPEDIÇÃO","Expedido",IF(NETWORKDAYS(C1527,TODAY())&gt;=5,"Risco Alto",IF(NETWORKDAYS(C1527,TODAY())&gt;=3,IF(NETWORKDAYS(C1527,TODAY())&lt;5,"Risco Médio",""),IF(NETWORKDAYS(C1527,TODAY())&lt;=2,"Risco Baixo",""))))</f>
        <v>Expedido</v>
      </c>
      <c r="P1527" s="5" t="s">
        <v>25</v>
      </c>
      <c r="S1527" s="7">
        <f>IF(ISBLANK(M1527),"Aguardando Previsão/Data",NETWORKDAYS(L1527,M1527)-1)</f>
        <v>-4</v>
      </c>
      <c r="T1527" s="5" t="s">
        <v>942</v>
      </c>
    </row>
    <row r="1528" spans="1:20" x14ac:dyDescent="0.35">
      <c r="A1528" s="5">
        <v>8100275824</v>
      </c>
      <c r="B1528" s="5">
        <v>19203</v>
      </c>
      <c r="C1528" s="6">
        <v>45670</v>
      </c>
      <c r="D1528" s="5" t="s">
        <v>106</v>
      </c>
      <c r="E1528" s="5" t="s">
        <v>107</v>
      </c>
      <c r="F1528" s="5" t="s">
        <v>58</v>
      </c>
      <c r="G1528" s="5" t="s">
        <v>59</v>
      </c>
      <c r="H1528" s="5" t="s">
        <v>218</v>
      </c>
      <c r="I1528" s="5" t="s">
        <v>219</v>
      </c>
      <c r="J1528" s="5" t="s">
        <v>220</v>
      </c>
      <c r="K1528" s="5" t="s">
        <v>221</v>
      </c>
      <c r="L1528" s="6">
        <v>45685</v>
      </c>
      <c r="M1528" s="6">
        <v>45681</v>
      </c>
      <c r="N1528" s="6" t="s">
        <v>811</v>
      </c>
      <c r="O1528" s="5" t="str">
        <f ca="1">IF(P1528&lt;&gt;"EXPEDIÇÃO","Expedido",IF(NETWORKDAYS(C1528,TODAY())&gt;=5,"Risco Alto",IF(NETWORKDAYS(C1528,TODAY())&gt;=3,IF(NETWORKDAYS(C1528,TODAY())&lt;5,"Risco Médio",""),IF(NETWORKDAYS(C1528,TODAY())&lt;=2,"Risco Baixo",""))))</f>
        <v>Expedido</v>
      </c>
      <c r="P1528" s="5" t="s">
        <v>25</v>
      </c>
      <c r="S1528" s="7">
        <f>IF(ISBLANK(M1528),"Aguardando Previsão/Data",NETWORKDAYS(L1528,M1528)-1)</f>
        <v>-4</v>
      </c>
      <c r="T1528" s="5" t="s">
        <v>942</v>
      </c>
    </row>
    <row r="1529" spans="1:20" x14ac:dyDescent="0.35">
      <c r="A1529" s="5">
        <v>8100275012</v>
      </c>
      <c r="B1529" s="5">
        <v>19155</v>
      </c>
      <c r="C1529" s="6">
        <v>45670</v>
      </c>
      <c r="D1529" s="5" t="s">
        <v>106</v>
      </c>
      <c r="E1529" s="5" t="s">
        <v>107</v>
      </c>
      <c r="F1529" s="5" t="s">
        <v>66</v>
      </c>
      <c r="G1529" s="5" t="s">
        <v>67</v>
      </c>
      <c r="H1529" s="5" t="s">
        <v>108</v>
      </c>
      <c r="I1529" s="5" t="s">
        <v>115</v>
      </c>
      <c r="J1529" s="5" t="s">
        <v>449</v>
      </c>
      <c r="K1529" s="5" t="s">
        <v>110</v>
      </c>
      <c r="L1529" s="6">
        <v>45678</v>
      </c>
      <c r="M1529" s="6">
        <v>45672</v>
      </c>
      <c r="N1529" s="6" t="s">
        <v>811</v>
      </c>
      <c r="O1529" s="5" t="str">
        <f ca="1">IF(P1529&lt;&gt;"EXPEDIÇÃO","Expedido",IF(NETWORKDAYS(C1529,TODAY())&gt;=5,"Risco Alto",IF(NETWORKDAYS(C1529,TODAY())&gt;=3,IF(NETWORKDAYS(C1529,TODAY())&lt;5,"Risco Médio",""),IF(NETWORKDAYS(C1529,TODAY())&lt;=2,"Risco Baixo",""))))</f>
        <v>Expedido</v>
      </c>
      <c r="P1529" s="5" t="s">
        <v>25</v>
      </c>
      <c r="S1529" s="7">
        <f>IF(ISBLANK(M1529),"Aguardando Previsão/Data",NETWORKDAYS(L1529,M1529)-1)</f>
        <v>-6</v>
      </c>
      <c r="T1529" s="5" t="s">
        <v>942</v>
      </c>
    </row>
    <row r="1530" spans="1:20" x14ac:dyDescent="0.35">
      <c r="A1530" s="5">
        <v>8100275533</v>
      </c>
      <c r="B1530" s="5">
        <v>19179</v>
      </c>
      <c r="C1530" s="6">
        <v>45670</v>
      </c>
      <c r="D1530" s="5" t="s">
        <v>106</v>
      </c>
      <c r="E1530" s="5" t="s">
        <v>107</v>
      </c>
      <c r="F1530" s="5" t="s">
        <v>58</v>
      </c>
      <c r="G1530" s="5" t="s">
        <v>59</v>
      </c>
      <c r="H1530" s="5" t="s">
        <v>108</v>
      </c>
      <c r="I1530" s="5" t="s">
        <v>140</v>
      </c>
      <c r="J1530" s="5" t="s">
        <v>141</v>
      </c>
      <c r="K1530" s="5" t="s">
        <v>110</v>
      </c>
      <c r="L1530" s="6">
        <v>45674</v>
      </c>
      <c r="M1530" s="6">
        <v>45670</v>
      </c>
      <c r="N1530" s="6" t="s">
        <v>811</v>
      </c>
      <c r="O1530" s="5" t="str">
        <f ca="1">IF(P1530&lt;&gt;"EXPEDIÇÃO","Expedido",IF(NETWORKDAYS(C1530,TODAY())&gt;=5,"Risco Alto",IF(NETWORKDAYS(C1530,TODAY())&gt;=3,IF(NETWORKDAYS(C1530,TODAY())&lt;5,"Risco Médio",""),IF(NETWORKDAYS(C1530,TODAY())&lt;=2,"Risco Baixo",""))))</f>
        <v>Expedido</v>
      </c>
      <c r="P1530" s="5" t="s">
        <v>25</v>
      </c>
      <c r="Q1530" s="5" t="s">
        <v>900</v>
      </c>
      <c r="S1530" s="7">
        <f>IF(ISBLANK(M1530),"Aguardando Previsão/Data",NETWORKDAYS(L1530,M1530)-1)</f>
        <v>-6</v>
      </c>
      <c r="T1530" s="5" t="s">
        <v>942</v>
      </c>
    </row>
    <row r="1531" spans="1:20" x14ac:dyDescent="0.35">
      <c r="A1531" s="5">
        <v>8100275534</v>
      </c>
      <c r="B1531" s="5">
        <v>19154</v>
      </c>
      <c r="C1531" s="6">
        <v>45670</v>
      </c>
      <c r="D1531" s="5" t="s">
        <v>106</v>
      </c>
      <c r="E1531" s="5" t="s">
        <v>107</v>
      </c>
      <c r="F1531" s="5" t="s">
        <v>53</v>
      </c>
      <c r="G1531" s="5" t="s">
        <v>54</v>
      </c>
      <c r="H1531" s="5" t="s">
        <v>108</v>
      </c>
      <c r="I1531" s="5" t="s">
        <v>138</v>
      </c>
      <c r="J1531" s="5" t="s">
        <v>505</v>
      </c>
      <c r="K1531" s="5" t="s">
        <v>110</v>
      </c>
      <c r="L1531" s="6">
        <v>45678</v>
      </c>
      <c r="M1531" s="6">
        <v>45673</v>
      </c>
      <c r="N1531" s="6" t="s">
        <v>811</v>
      </c>
      <c r="O1531" s="5" t="str">
        <f ca="1">IF(P1531&lt;&gt;"EXPEDIÇÃO","Expedido",IF(NETWORKDAYS(C1531,TODAY())&gt;=5,"Risco Alto",IF(NETWORKDAYS(C1531,TODAY())&gt;=3,IF(NETWORKDAYS(C1531,TODAY())&lt;5,"Risco Médio",""),IF(NETWORKDAYS(C1531,TODAY())&lt;=2,"Risco Baixo",""))))</f>
        <v>Expedido</v>
      </c>
      <c r="P1531" s="5" t="s">
        <v>25</v>
      </c>
      <c r="S1531" s="7">
        <f>IF(ISBLANK(M1531),"Aguardando Previsão/Data",NETWORKDAYS(L1531,M1531)-1)</f>
        <v>-5</v>
      </c>
      <c r="T1531" s="5" t="s">
        <v>942</v>
      </c>
    </row>
    <row r="1532" spans="1:20" x14ac:dyDescent="0.35">
      <c r="A1532" s="5">
        <v>8100275535</v>
      </c>
      <c r="B1532" s="5">
        <v>19143</v>
      </c>
      <c r="C1532" s="6">
        <v>45670</v>
      </c>
      <c r="D1532" s="5" t="s">
        <v>106</v>
      </c>
      <c r="E1532" s="5" t="s">
        <v>107</v>
      </c>
      <c r="F1532" s="5" t="s">
        <v>69</v>
      </c>
      <c r="G1532" s="5" t="s">
        <v>70</v>
      </c>
      <c r="H1532" s="5" t="s">
        <v>108</v>
      </c>
      <c r="I1532" s="5" t="s">
        <v>115</v>
      </c>
      <c r="J1532" s="5" t="s">
        <v>343</v>
      </c>
      <c r="K1532" s="5" t="s">
        <v>110</v>
      </c>
      <c r="L1532" s="6">
        <v>45678</v>
      </c>
      <c r="M1532" s="6">
        <v>45674</v>
      </c>
      <c r="N1532" s="6" t="s">
        <v>811</v>
      </c>
      <c r="O1532" s="5" t="str">
        <f ca="1">IF(P1532&lt;&gt;"EXPEDIÇÃO","Expedido",IF(NETWORKDAYS(C1532,TODAY())&gt;=5,"Risco Alto",IF(NETWORKDAYS(C1532,TODAY())&gt;=3,IF(NETWORKDAYS(C1532,TODAY())&lt;5,"Risco Médio",""),IF(NETWORKDAYS(C1532,TODAY())&lt;=2,"Risco Baixo",""))))</f>
        <v>Expedido</v>
      </c>
      <c r="P1532" s="5" t="s">
        <v>25</v>
      </c>
      <c r="S1532" s="7">
        <f>IF(ISBLANK(M1532),"Aguardando Previsão/Data",NETWORKDAYS(L1532,M1532)-1)</f>
        <v>-4</v>
      </c>
      <c r="T1532" s="5" t="s">
        <v>942</v>
      </c>
    </row>
    <row r="1533" spans="1:20" x14ac:dyDescent="0.35">
      <c r="A1533" s="5">
        <v>8100275536</v>
      </c>
      <c r="B1533" s="5">
        <v>19160</v>
      </c>
      <c r="C1533" s="6">
        <v>45670</v>
      </c>
      <c r="D1533" s="5" t="s">
        <v>106</v>
      </c>
      <c r="E1533" s="5" t="s">
        <v>107</v>
      </c>
      <c r="F1533" s="5" t="s">
        <v>69</v>
      </c>
      <c r="G1533" s="5" t="s">
        <v>70</v>
      </c>
      <c r="H1533" s="5" t="s">
        <v>108</v>
      </c>
      <c r="I1533" s="5" t="s">
        <v>115</v>
      </c>
      <c r="J1533" s="5" t="s">
        <v>391</v>
      </c>
      <c r="K1533" s="5" t="s">
        <v>110</v>
      </c>
      <c r="L1533" s="6">
        <v>45678</v>
      </c>
      <c r="M1533" s="6">
        <v>45673</v>
      </c>
      <c r="N1533" s="6" t="s">
        <v>811</v>
      </c>
      <c r="O1533" s="5" t="str">
        <f ca="1">IF(P1533&lt;&gt;"EXPEDIÇÃO","Expedido",IF(NETWORKDAYS(C1533,TODAY())&gt;=5,"Risco Alto",IF(NETWORKDAYS(C1533,TODAY())&gt;=3,IF(NETWORKDAYS(C1533,TODAY())&lt;5,"Risco Médio",""),IF(NETWORKDAYS(C1533,TODAY())&lt;=2,"Risco Baixo",""))))</f>
        <v>Expedido</v>
      </c>
      <c r="P1533" s="5" t="s">
        <v>25</v>
      </c>
      <c r="S1533" s="7">
        <f>IF(ISBLANK(M1533),"Aguardando Previsão/Data",NETWORKDAYS(L1533,M1533)-1)</f>
        <v>-5</v>
      </c>
      <c r="T1533" s="5" t="s">
        <v>942</v>
      </c>
    </row>
    <row r="1534" spans="1:20" x14ac:dyDescent="0.35">
      <c r="A1534" s="5">
        <v>8100275537</v>
      </c>
      <c r="B1534" s="5">
        <v>19164</v>
      </c>
      <c r="C1534" s="6">
        <v>45670</v>
      </c>
      <c r="D1534" s="5" t="s">
        <v>106</v>
      </c>
      <c r="E1534" s="5" t="s">
        <v>107</v>
      </c>
      <c r="F1534" s="5" t="s">
        <v>147</v>
      </c>
      <c r="G1534" s="5" t="s">
        <v>148</v>
      </c>
      <c r="H1534" s="5" t="s">
        <v>108</v>
      </c>
      <c r="I1534" s="5" t="s">
        <v>82</v>
      </c>
      <c r="J1534" s="5" t="s">
        <v>150</v>
      </c>
      <c r="K1534" s="5" t="s">
        <v>110</v>
      </c>
      <c r="L1534" s="6">
        <v>45678</v>
      </c>
      <c r="M1534" s="6">
        <v>45673</v>
      </c>
      <c r="N1534" s="6" t="s">
        <v>811</v>
      </c>
      <c r="O1534" s="5" t="str">
        <f ca="1">IF(P1534&lt;&gt;"EXPEDIÇÃO","Expedido",IF(NETWORKDAYS(C1534,TODAY())&gt;=5,"Risco Alto",IF(NETWORKDAYS(C1534,TODAY())&gt;=3,IF(NETWORKDAYS(C1534,TODAY())&lt;5,"Risco Médio",""),IF(NETWORKDAYS(C1534,TODAY())&lt;=2,"Risco Baixo",""))))</f>
        <v>Expedido</v>
      </c>
      <c r="P1534" s="5" t="s">
        <v>25</v>
      </c>
      <c r="S1534" s="7">
        <f>IF(ISBLANK(M1534),"Aguardando Previsão/Data",NETWORKDAYS(L1534,M1534)-1)</f>
        <v>-5</v>
      </c>
      <c r="T1534" s="5" t="s">
        <v>942</v>
      </c>
    </row>
    <row r="1535" spans="1:20" x14ac:dyDescent="0.35">
      <c r="A1535" s="5">
        <v>8100275540</v>
      </c>
      <c r="B1535" s="5">
        <v>19171</v>
      </c>
      <c r="C1535" s="6">
        <v>45670</v>
      </c>
      <c r="D1535" s="5" t="s">
        <v>106</v>
      </c>
      <c r="E1535" s="5" t="s">
        <v>107</v>
      </c>
      <c r="F1535" s="5" t="s">
        <v>58</v>
      </c>
      <c r="G1535" s="5" t="s">
        <v>59</v>
      </c>
      <c r="H1535" s="5" t="s">
        <v>108</v>
      </c>
      <c r="I1535" s="5" t="s">
        <v>130</v>
      </c>
      <c r="J1535" s="5" t="s">
        <v>131</v>
      </c>
      <c r="K1535" s="5" t="s">
        <v>110</v>
      </c>
      <c r="L1535" s="6">
        <v>45674</v>
      </c>
      <c r="M1535" s="6">
        <v>45673</v>
      </c>
      <c r="N1535" s="6" t="s">
        <v>811</v>
      </c>
      <c r="O1535" s="5" t="str">
        <f ca="1">IF(P1535&lt;&gt;"EXPEDIÇÃO","Expedido",IF(NETWORKDAYS(C1535,TODAY())&gt;=5,"Risco Alto",IF(NETWORKDAYS(C1535,TODAY())&gt;=3,IF(NETWORKDAYS(C1535,TODAY())&lt;5,"Risco Médio",""),IF(NETWORKDAYS(C1535,TODAY())&lt;=2,"Risco Baixo",""))))</f>
        <v>Expedido</v>
      </c>
      <c r="P1535" s="5" t="s">
        <v>25</v>
      </c>
      <c r="S1535" s="7">
        <f>IF(ISBLANK(M1535),"Aguardando Previsão/Data",NETWORKDAYS(L1535,M1535)-1)</f>
        <v>-3</v>
      </c>
      <c r="T1535" s="5" t="s">
        <v>942</v>
      </c>
    </row>
    <row r="1536" spans="1:20" x14ac:dyDescent="0.35">
      <c r="A1536" s="5">
        <v>8100275541</v>
      </c>
      <c r="B1536" s="5">
        <v>19150</v>
      </c>
      <c r="C1536" s="6">
        <v>45670</v>
      </c>
      <c r="D1536" s="5" t="s">
        <v>106</v>
      </c>
      <c r="E1536" s="5" t="s">
        <v>107</v>
      </c>
      <c r="F1536" s="5" t="s">
        <v>147</v>
      </c>
      <c r="G1536" s="5" t="s">
        <v>148</v>
      </c>
      <c r="H1536" s="5" t="s">
        <v>108</v>
      </c>
      <c r="I1536" s="5" t="s">
        <v>128</v>
      </c>
      <c r="J1536" s="5" t="s">
        <v>449</v>
      </c>
      <c r="K1536" s="5" t="s">
        <v>110</v>
      </c>
      <c r="L1536" s="6">
        <v>45678</v>
      </c>
      <c r="M1536" s="6">
        <v>45673</v>
      </c>
      <c r="N1536" s="6" t="s">
        <v>811</v>
      </c>
      <c r="O1536" s="5" t="str">
        <f ca="1">IF(P1536&lt;&gt;"EXPEDIÇÃO","Expedido",IF(NETWORKDAYS(C1536,TODAY())&gt;=5,"Risco Alto",IF(NETWORKDAYS(C1536,TODAY())&gt;=3,IF(NETWORKDAYS(C1536,TODAY())&lt;5,"Risco Médio",""),IF(NETWORKDAYS(C1536,TODAY())&lt;=2,"Risco Baixo",""))))</f>
        <v>Expedido</v>
      </c>
      <c r="P1536" s="5" t="s">
        <v>25</v>
      </c>
      <c r="S1536" s="7">
        <f>IF(ISBLANK(M1536),"Aguardando Previsão/Data",NETWORKDAYS(L1536,M1536)-1)</f>
        <v>-5</v>
      </c>
      <c r="T1536" s="5" t="s">
        <v>942</v>
      </c>
    </row>
    <row r="1537" spans="1:20" x14ac:dyDescent="0.35">
      <c r="A1537" s="5">
        <v>8100275542</v>
      </c>
      <c r="B1537" s="5">
        <v>19149</v>
      </c>
      <c r="C1537" s="6">
        <v>45670</v>
      </c>
      <c r="D1537" s="5" t="s">
        <v>106</v>
      </c>
      <c r="E1537" s="5" t="s">
        <v>107</v>
      </c>
      <c r="F1537" s="5" t="s">
        <v>53</v>
      </c>
      <c r="G1537" s="5" t="s">
        <v>54</v>
      </c>
      <c r="H1537" s="5" t="s">
        <v>108</v>
      </c>
      <c r="I1537" s="5" t="s">
        <v>587</v>
      </c>
      <c r="J1537" s="5" t="s">
        <v>390</v>
      </c>
      <c r="K1537" s="5" t="s">
        <v>110</v>
      </c>
      <c r="L1537" s="6">
        <v>45678</v>
      </c>
      <c r="M1537" s="6">
        <v>45673</v>
      </c>
      <c r="N1537" s="6" t="s">
        <v>811</v>
      </c>
      <c r="O1537" s="5" t="str">
        <f ca="1">IF(P1537&lt;&gt;"EXPEDIÇÃO","Expedido",IF(NETWORKDAYS(C1537,TODAY())&gt;=5,"Risco Alto",IF(NETWORKDAYS(C1537,TODAY())&gt;=3,IF(NETWORKDAYS(C1537,TODAY())&lt;5,"Risco Médio",""),IF(NETWORKDAYS(C1537,TODAY())&lt;=2,"Risco Baixo",""))))</f>
        <v>Expedido</v>
      </c>
      <c r="P1537" s="5" t="s">
        <v>25</v>
      </c>
      <c r="S1537" s="7">
        <f>IF(ISBLANK(M1537),"Aguardando Previsão/Data",NETWORKDAYS(L1537,M1537)-1)</f>
        <v>-5</v>
      </c>
      <c r="T1537" s="5" t="s">
        <v>942</v>
      </c>
    </row>
    <row r="1538" spans="1:20" x14ac:dyDescent="0.35">
      <c r="A1538" s="5">
        <v>8100275543</v>
      </c>
      <c r="B1538" s="5">
        <v>19146</v>
      </c>
      <c r="C1538" s="6">
        <v>45670</v>
      </c>
      <c r="D1538" s="5" t="s">
        <v>106</v>
      </c>
      <c r="E1538" s="5" t="s">
        <v>107</v>
      </c>
      <c r="F1538" s="5" t="s">
        <v>111</v>
      </c>
      <c r="G1538" s="5" t="s">
        <v>112</v>
      </c>
      <c r="H1538" s="5" t="s">
        <v>108</v>
      </c>
      <c r="I1538" s="5" t="s">
        <v>115</v>
      </c>
      <c r="J1538" s="5" t="s">
        <v>344</v>
      </c>
      <c r="K1538" s="5" t="s">
        <v>110</v>
      </c>
      <c r="L1538" s="6">
        <v>45677</v>
      </c>
      <c r="M1538" s="6">
        <v>45672</v>
      </c>
      <c r="N1538" s="6" t="s">
        <v>811</v>
      </c>
      <c r="O1538" s="5" t="str">
        <f ca="1">IF(P1538&lt;&gt;"EXPEDIÇÃO","Expedido",IF(NETWORKDAYS(C1538,TODAY())&gt;=5,"Risco Alto",IF(NETWORKDAYS(C1538,TODAY())&gt;=3,IF(NETWORKDAYS(C1538,TODAY())&lt;5,"Risco Médio",""),IF(NETWORKDAYS(C1538,TODAY())&lt;=2,"Risco Baixo",""))))</f>
        <v>Expedido</v>
      </c>
      <c r="P1538" s="5" t="s">
        <v>25</v>
      </c>
      <c r="S1538" s="7">
        <f>IF(ISBLANK(M1538),"Aguardando Previsão/Data",NETWORKDAYS(L1538,M1538)-1)</f>
        <v>-5</v>
      </c>
      <c r="T1538" s="5" t="s">
        <v>942</v>
      </c>
    </row>
    <row r="1539" spans="1:20" x14ac:dyDescent="0.35">
      <c r="A1539" s="5">
        <v>8100275544</v>
      </c>
      <c r="B1539" s="5">
        <v>19144</v>
      </c>
      <c r="C1539" s="6">
        <v>45670</v>
      </c>
      <c r="D1539" s="5" t="s">
        <v>106</v>
      </c>
      <c r="E1539" s="5" t="s">
        <v>107</v>
      </c>
      <c r="F1539" s="5" t="s">
        <v>111</v>
      </c>
      <c r="G1539" s="5" t="s">
        <v>112</v>
      </c>
      <c r="H1539" s="5" t="s">
        <v>108</v>
      </c>
      <c r="I1539" s="5" t="s">
        <v>115</v>
      </c>
      <c r="J1539" s="5" t="s">
        <v>343</v>
      </c>
      <c r="K1539" s="5" t="s">
        <v>110</v>
      </c>
      <c r="L1539" s="6">
        <v>45678</v>
      </c>
      <c r="M1539" s="6">
        <v>45674</v>
      </c>
      <c r="N1539" s="6" t="s">
        <v>811</v>
      </c>
      <c r="O1539" s="5" t="str">
        <f ca="1">IF(P1539&lt;&gt;"EXPEDIÇÃO","Expedido",IF(NETWORKDAYS(C1539,TODAY())&gt;=5,"Risco Alto",IF(NETWORKDAYS(C1539,TODAY())&gt;=3,IF(NETWORKDAYS(C1539,TODAY())&lt;5,"Risco Médio",""),IF(NETWORKDAYS(C1539,TODAY())&lt;=2,"Risco Baixo",""))))</f>
        <v>Expedido</v>
      </c>
      <c r="P1539" s="5" t="s">
        <v>25</v>
      </c>
      <c r="S1539" s="7">
        <f>IF(ISBLANK(M1539),"Aguardando Previsão/Data",NETWORKDAYS(L1539,M1539)-1)</f>
        <v>-4</v>
      </c>
      <c r="T1539" s="5" t="s">
        <v>942</v>
      </c>
    </row>
    <row r="1540" spans="1:20" x14ac:dyDescent="0.35">
      <c r="A1540" s="5">
        <v>8100275546</v>
      </c>
      <c r="B1540" s="5">
        <v>19142</v>
      </c>
      <c r="C1540" s="6">
        <v>45670</v>
      </c>
      <c r="D1540" s="5" t="s">
        <v>106</v>
      </c>
      <c r="E1540" s="5" t="s">
        <v>107</v>
      </c>
      <c r="F1540" s="5" t="s">
        <v>58</v>
      </c>
      <c r="G1540" s="5" t="s">
        <v>59</v>
      </c>
      <c r="H1540" s="5" t="s">
        <v>108</v>
      </c>
      <c r="I1540" s="5" t="s">
        <v>394</v>
      </c>
      <c r="J1540" s="5" t="s">
        <v>395</v>
      </c>
      <c r="K1540" s="5" t="s">
        <v>110</v>
      </c>
      <c r="L1540" s="6">
        <v>45677</v>
      </c>
      <c r="M1540" s="6">
        <v>45672</v>
      </c>
      <c r="N1540" s="6" t="s">
        <v>811</v>
      </c>
      <c r="O1540" s="5" t="str">
        <f ca="1">IF(P1540&lt;&gt;"EXPEDIÇÃO","Expedido",IF(NETWORKDAYS(C1540,TODAY())&gt;=5,"Risco Alto",IF(NETWORKDAYS(C1540,TODAY())&gt;=3,IF(NETWORKDAYS(C1540,TODAY())&lt;5,"Risco Médio",""),IF(NETWORKDAYS(C1540,TODAY())&lt;=2,"Risco Baixo",""))))</f>
        <v>Expedido</v>
      </c>
      <c r="P1540" s="5" t="s">
        <v>25</v>
      </c>
      <c r="S1540" s="7">
        <f>IF(ISBLANK(M1540),"Aguardando Previsão/Data",NETWORKDAYS(L1540,M1540)-1)</f>
        <v>-5</v>
      </c>
      <c r="T1540" s="5" t="s">
        <v>942</v>
      </c>
    </row>
    <row r="1541" spans="1:20" x14ac:dyDescent="0.35">
      <c r="A1541" s="5">
        <v>8100275547</v>
      </c>
      <c r="B1541" s="5">
        <v>19141</v>
      </c>
      <c r="C1541" s="6">
        <v>45670</v>
      </c>
      <c r="D1541" s="5" t="s">
        <v>106</v>
      </c>
      <c r="E1541" s="5" t="s">
        <v>107</v>
      </c>
      <c r="F1541" s="5" t="s">
        <v>111</v>
      </c>
      <c r="G1541" s="5" t="s">
        <v>112</v>
      </c>
      <c r="H1541" s="5" t="s">
        <v>108</v>
      </c>
      <c r="I1541" s="5" t="s">
        <v>115</v>
      </c>
      <c r="J1541" s="5" t="s">
        <v>125</v>
      </c>
      <c r="K1541" s="5" t="s">
        <v>110</v>
      </c>
      <c r="L1541" s="6">
        <v>45674</v>
      </c>
      <c r="M1541" s="6">
        <v>45672</v>
      </c>
      <c r="N1541" s="6" t="s">
        <v>811</v>
      </c>
      <c r="O1541" s="5" t="str">
        <f ca="1">IF(P1541&lt;&gt;"EXPEDIÇÃO","Expedido",IF(NETWORKDAYS(C1541,TODAY())&gt;=5,"Risco Alto",IF(NETWORKDAYS(C1541,TODAY())&gt;=3,IF(NETWORKDAYS(C1541,TODAY())&lt;5,"Risco Médio",""),IF(NETWORKDAYS(C1541,TODAY())&lt;=2,"Risco Baixo",""))))</f>
        <v>Expedido</v>
      </c>
      <c r="P1541" s="5" t="s">
        <v>25</v>
      </c>
      <c r="S1541" s="7">
        <f>IF(ISBLANK(M1541),"Aguardando Previsão/Data",NETWORKDAYS(L1541,M1541)-1)</f>
        <v>-4</v>
      </c>
      <c r="T1541" s="5" t="s">
        <v>942</v>
      </c>
    </row>
    <row r="1542" spans="1:20" x14ac:dyDescent="0.35">
      <c r="A1542" s="5">
        <v>8100275548</v>
      </c>
      <c r="B1542" s="5">
        <v>19166</v>
      </c>
      <c r="C1542" s="6">
        <v>45670</v>
      </c>
      <c r="D1542" s="5" t="s">
        <v>106</v>
      </c>
      <c r="E1542" s="5" t="s">
        <v>107</v>
      </c>
      <c r="F1542" s="5" t="s">
        <v>111</v>
      </c>
      <c r="G1542" s="5" t="s">
        <v>112</v>
      </c>
      <c r="H1542" s="5" t="s">
        <v>108</v>
      </c>
      <c r="I1542" s="5" t="s">
        <v>115</v>
      </c>
      <c r="J1542" s="5" t="s">
        <v>143</v>
      </c>
      <c r="K1542" s="5" t="s">
        <v>110</v>
      </c>
      <c r="L1542" s="6">
        <v>45677</v>
      </c>
      <c r="M1542" s="6">
        <v>45678</v>
      </c>
      <c r="N1542" s="6" t="s">
        <v>811</v>
      </c>
      <c r="O1542" s="5" t="str">
        <f ca="1">IF(P1542&lt;&gt;"EXPEDIÇÃO","Expedido",IF(NETWORKDAYS(C1542,TODAY())&gt;=5,"Risco Alto",IF(NETWORKDAYS(C1542,TODAY())&gt;=3,IF(NETWORKDAYS(C1542,TODAY())&lt;5,"Risco Médio",""),IF(NETWORKDAYS(C1542,TODAY())&lt;=2,"Risco Baixo",""))))</f>
        <v>Expedido</v>
      </c>
      <c r="P1542" s="5" t="s">
        <v>25</v>
      </c>
      <c r="Q1542" s="5" t="s">
        <v>897</v>
      </c>
      <c r="S1542" s="7">
        <f>IF(ISBLANK(M1542),"Aguardando Previsão/Data",NETWORKDAYS(L1542,M1542)-1)</f>
        <v>1</v>
      </c>
      <c r="T1542" s="5" t="s">
        <v>942</v>
      </c>
    </row>
    <row r="1543" spans="1:20" x14ac:dyDescent="0.35">
      <c r="A1543" s="5">
        <v>8100275549</v>
      </c>
      <c r="B1543" s="5">
        <v>19153</v>
      </c>
      <c r="C1543" s="6">
        <v>45670</v>
      </c>
      <c r="D1543" s="5" t="s">
        <v>106</v>
      </c>
      <c r="E1543" s="5" t="s">
        <v>107</v>
      </c>
      <c r="F1543" s="5" t="s">
        <v>111</v>
      </c>
      <c r="G1543" s="5" t="s">
        <v>112</v>
      </c>
      <c r="H1543" s="5" t="s">
        <v>108</v>
      </c>
      <c r="I1543" s="5" t="s">
        <v>115</v>
      </c>
      <c r="J1543" s="5" t="s">
        <v>117</v>
      </c>
      <c r="K1543" s="5" t="s">
        <v>110</v>
      </c>
      <c r="L1543" s="6">
        <v>45677</v>
      </c>
      <c r="M1543" s="6">
        <v>45672</v>
      </c>
      <c r="N1543" s="6" t="s">
        <v>811</v>
      </c>
      <c r="O1543" s="5" t="str">
        <f ca="1">IF(P1543&lt;&gt;"EXPEDIÇÃO","Expedido",IF(NETWORKDAYS(C1543,TODAY())&gt;=5,"Risco Alto",IF(NETWORKDAYS(C1543,TODAY())&gt;=3,IF(NETWORKDAYS(C1543,TODAY())&lt;5,"Risco Médio",""),IF(NETWORKDAYS(C1543,TODAY())&lt;=2,"Risco Baixo",""))))</f>
        <v>Expedido</v>
      </c>
      <c r="P1543" s="5" t="s">
        <v>25</v>
      </c>
      <c r="S1543" s="7">
        <f>IF(ISBLANK(M1543),"Aguardando Previsão/Data",NETWORKDAYS(L1543,M1543)-1)</f>
        <v>-5</v>
      </c>
      <c r="T1543" s="5" t="s">
        <v>942</v>
      </c>
    </row>
    <row r="1544" spans="1:20" x14ac:dyDescent="0.35">
      <c r="A1544" s="5">
        <v>8100275550</v>
      </c>
      <c r="B1544" s="5">
        <v>19145</v>
      </c>
      <c r="C1544" s="6">
        <v>45670</v>
      </c>
      <c r="D1544" s="5" t="s">
        <v>106</v>
      </c>
      <c r="E1544" s="5" t="s">
        <v>107</v>
      </c>
      <c r="F1544" s="5" t="s">
        <v>111</v>
      </c>
      <c r="G1544" s="5" t="s">
        <v>112</v>
      </c>
      <c r="H1544" s="5" t="s">
        <v>108</v>
      </c>
      <c r="I1544" s="5" t="s">
        <v>115</v>
      </c>
      <c r="J1544" s="5" t="s">
        <v>343</v>
      </c>
      <c r="K1544" s="5" t="s">
        <v>110</v>
      </c>
      <c r="L1544" s="6">
        <v>45678</v>
      </c>
      <c r="M1544" s="6">
        <v>45674</v>
      </c>
      <c r="N1544" s="6" t="s">
        <v>811</v>
      </c>
      <c r="O1544" s="5" t="str">
        <f ca="1">IF(P1544&lt;&gt;"EXPEDIÇÃO","Expedido",IF(NETWORKDAYS(C1544,TODAY())&gt;=5,"Risco Alto",IF(NETWORKDAYS(C1544,TODAY())&gt;=3,IF(NETWORKDAYS(C1544,TODAY())&lt;5,"Risco Médio",""),IF(NETWORKDAYS(C1544,TODAY())&lt;=2,"Risco Baixo",""))))</f>
        <v>Expedido</v>
      </c>
      <c r="P1544" s="5" t="s">
        <v>25</v>
      </c>
      <c r="S1544" s="7">
        <f>IF(ISBLANK(M1544),"Aguardando Previsão/Data",NETWORKDAYS(L1544,M1544)-1)</f>
        <v>-4</v>
      </c>
      <c r="T1544" s="5" t="s">
        <v>942</v>
      </c>
    </row>
    <row r="1545" spans="1:20" x14ac:dyDescent="0.35">
      <c r="A1545" s="5">
        <v>8100275551</v>
      </c>
      <c r="B1545" s="5">
        <v>19173</v>
      </c>
      <c r="C1545" s="6">
        <v>45670</v>
      </c>
      <c r="D1545" s="5" t="s">
        <v>106</v>
      </c>
      <c r="E1545" s="5" t="s">
        <v>107</v>
      </c>
      <c r="F1545" s="5" t="s">
        <v>66</v>
      </c>
      <c r="G1545" s="5" t="s">
        <v>67</v>
      </c>
      <c r="H1545" s="5" t="s">
        <v>108</v>
      </c>
      <c r="I1545" s="5" t="s">
        <v>115</v>
      </c>
      <c r="J1545" s="5" t="s">
        <v>393</v>
      </c>
      <c r="K1545" s="5" t="s">
        <v>110</v>
      </c>
      <c r="L1545" s="6">
        <v>45678</v>
      </c>
      <c r="M1545" s="6">
        <v>45673</v>
      </c>
      <c r="N1545" s="6" t="s">
        <v>811</v>
      </c>
      <c r="O1545" s="5" t="str">
        <f ca="1">IF(P1545&lt;&gt;"EXPEDIÇÃO","Expedido",IF(NETWORKDAYS(C1545,TODAY())&gt;=5,"Risco Alto",IF(NETWORKDAYS(C1545,TODAY())&gt;=3,IF(NETWORKDAYS(C1545,TODAY())&lt;5,"Risco Médio",""),IF(NETWORKDAYS(C1545,TODAY())&lt;=2,"Risco Baixo",""))))</f>
        <v>Expedido</v>
      </c>
      <c r="P1545" s="5" t="s">
        <v>25</v>
      </c>
      <c r="S1545" s="7">
        <f>IF(ISBLANK(M1545),"Aguardando Previsão/Data",NETWORKDAYS(L1545,M1545)-1)</f>
        <v>-5</v>
      </c>
      <c r="T1545" s="5" t="s">
        <v>942</v>
      </c>
    </row>
    <row r="1546" spans="1:20" x14ac:dyDescent="0.35">
      <c r="A1546" s="5">
        <v>8100275552</v>
      </c>
      <c r="B1546" s="5">
        <v>19158</v>
      </c>
      <c r="C1546" s="6">
        <v>45670</v>
      </c>
      <c r="D1546" s="5" t="s">
        <v>106</v>
      </c>
      <c r="E1546" s="5" t="s">
        <v>107</v>
      </c>
      <c r="F1546" s="5" t="s">
        <v>147</v>
      </c>
      <c r="G1546" s="5" t="s">
        <v>148</v>
      </c>
      <c r="H1546" s="5" t="s">
        <v>108</v>
      </c>
      <c r="I1546" s="5" t="s">
        <v>82</v>
      </c>
      <c r="J1546" s="5" t="s">
        <v>449</v>
      </c>
      <c r="K1546" s="5" t="s">
        <v>110</v>
      </c>
      <c r="L1546" s="6">
        <v>45678</v>
      </c>
      <c r="M1546" s="6">
        <v>45678</v>
      </c>
      <c r="O1546" s="5" t="str">
        <f ca="1">IF(P1546&lt;&gt;"EXPEDIÇÃO","Expedido",IF(NETWORKDAYS(C1546,TODAY())&gt;=5,"Risco Alto",IF(NETWORKDAYS(C1546,TODAY())&gt;=3,IF(NETWORKDAYS(C1546,TODAY())&lt;5,"Risco Médio",""),IF(NETWORKDAYS(C1546,TODAY())&lt;=2,"Risco Baixo",""))))</f>
        <v>Expedido</v>
      </c>
      <c r="P1546" s="5" t="s">
        <v>629</v>
      </c>
      <c r="R1546" s="5" t="s">
        <v>990</v>
      </c>
      <c r="S1546" s="7">
        <f>IF(ISBLANK(M1546),"Aguardando Previsão/Data",NETWORKDAYS(L1546,M1546)-1)</f>
        <v>0</v>
      </c>
      <c r="T1546" s="5" t="s">
        <v>942</v>
      </c>
    </row>
    <row r="1547" spans="1:20" x14ac:dyDescent="0.35">
      <c r="A1547" s="5">
        <v>8100275553</v>
      </c>
      <c r="B1547" s="5">
        <v>19157</v>
      </c>
      <c r="C1547" s="6">
        <v>45670</v>
      </c>
      <c r="D1547" s="5" t="s">
        <v>106</v>
      </c>
      <c r="E1547" s="5" t="s">
        <v>107</v>
      </c>
      <c r="F1547" s="5" t="s">
        <v>69</v>
      </c>
      <c r="G1547" s="5" t="s">
        <v>70</v>
      </c>
      <c r="H1547" s="5" t="s">
        <v>108</v>
      </c>
      <c r="I1547" s="5" t="s">
        <v>77</v>
      </c>
      <c r="J1547" s="5" t="s">
        <v>825</v>
      </c>
      <c r="K1547" s="5" t="s">
        <v>110</v>
      </c>
      <c r="L1547" s="6">
        <v>45677</v>
      </c>
      <c r="M1547" s="6">
        <v>45673</v>
      </c>
      <c r="N1547" s="6" t="s">
        <v>811</v>
      </c>
      <c r="O1547" s="5" t="str">
        <f ca="1">IF(P1547&lt;&gt;"EXPEDIÇÃO","Expedido",IF(NETWORKDAYS(C1547,TODAY())&gt;=5,"Risco Alto",IF(NETWORKDAYS(C1547,TODAY())&gt;=3,IF(NETWORKDAYS(C1547,TODAY())&lt;5,"Risco Médio",""),IF(NETWORKDAYS(C1547,TODAY())&lt;=2,"Risco Baixo",""))))</f>
        <v>Expedido</v>
      </c>
      <c r="P1547" s="5" t="s">
        <v>25</v>
      </c>
      <c r="Q1547" s="5" t="s">
        <v>897</v>
      </c>
      <c r="S1547" s="7">
        <f>IF(ISBLANK(M1547),"Aguardando Previsão/Data",NETWORKDAYS(L1547,M1547)-1)</f>
        <v>-4</v>
      </c>
      <c r="T1547" s="5" t="s">
        <v>942</v>
      </c>
    </row>
    <row r="1548" spans="1:20" x14ac:dyDescent="0.35">
      <c r="A1548" s="5">
        <v>8100275554</v>
      </c>
      <c r="B1548" s="5">
        <v>19152</v>
      </c>
      <c r="C1548" s="6">
        <v>45670</v>
      </c>
      <c r="D1548" s="5" t="s">
        <v>106</v>
      </c>
      <c r="E1548" s="5" t="s">
        <v>107</v>
      </c>
      <c r="F1548" s="5" t="s">
        <v>69</v>
      </c>
      <c r="G1548" s="5" t="s">
        <v>70</v>
      </c>
      <c r="H1548" s="5" t="s">
        <v>108</v>
      </c>
      <c r="I1548" s="5" t="s">
        <v>128</v>
      </c>
      <c r="J1548" s="5" t="s">
        <v>581</v>
      </c>
      <c r="K1548" s="5" t="s">
        <v>110</v>
      </c>
      <c r="L1548" s="6">
        <v>45678</v>
      </c>
      <c r="M1548" s="6">
        <v>45674</v>
      </c>
      <c r="N1548" s="6" t="s">
        <v>811</v>
      </c>
      <c r="O1548" s="5" t="str">
        <f ca="1">IF(P1548&lt;&gt;"EXPEDIÇÃO","Expedido",IF(NETWORKDAYS(C1548,TODAY())&gt;=5,"Risco Alto",IF(NETWORKDAYS(C1548,TODAY())&gt;=3,IF(NETWORKDAYS(C1548,TODAY())&lt;5,"Risco Médio",""),IF(NETWORKDAYS(C1548,TODAY())&lt;=2,"Risco Baixo",""))))</f>
        <v>Expedido</v>
      </c>
      <c r="P1548" s="5" t="s">
        <v>25</v>
      </c>
      <c r="S1548" s="7">
        <f>IF(ISBLANK(M1548),"Aguardando Previsão/Data",NETWORKDAYS(L1548,M1548)-1)</f>
        <v>-4</v>
      </c>
      <c r="T1548" s="5" t="s">
        <v>942</v>
      </c>
    </row>
    <row r="1549" spans="1:20" x14ac:dyDescent="0.35">
      <c r="A1549" s="5">
        <v>8100275555</v>
      </c>
      <c r="B1549" s="5">
        <v>19161</v>
      </c>
      <c r="C1549" s="6">
        <v>45670</v>
      </c>
      <c r="D1549" s="5" t="s">
        <v>106</v>
      </c>
      <c r="E1549" s="5" t="s">
        <v>107</v>
      </c>
      <c r="F1549" s="5" t="s">
        <v>66</v>
      </c>
      <c r="G1549" s="5" t="s">
        <v>67</v>
      </c>
      <c r="H1549" s="5" t="s">
        <v>108</v>
      </c>
      <c r="I1549" s="5" t="s">
        <v>508</v>
      </c>
      <c r="J1549" s="5" t="s">
        <v>153</v>
      </c>
      <c r="K1549" s="5" t="s">
        <v>110</v>
      </c>
      <c r="L1549" s="6">
        <v>45677</v>
      </c>
      <c r="M1549" s="6">
        <v>45677</v>
      </c>
      <c r="N1549" s="6" t="s">
        <v>811</v>
      </c>
      <c r="O1549" s="5" t="str">
        <f ca="1">IF(P1549&lt;&gt;"EXPEDIÇÃO","Expedido",IF(NETWORKDAYS(C1549,TODAY())&gt;=5,"Risco Alto",IF(NETWORKDAYS(C1549,TODAY())&gt;=3,IF(NETWORKDAYS(C1549,TODAY())&lt;5,"Risco Médio",""),IF(NETWORKDAYS(C1549,TODAY())&lt;=2,"Risco Baixo",""))))</f>
        <v>Expedido</v>
      </c>
      <c r="P1549" s="5" t="s">
        <v>25</v>
      </c>
      <c r="S1549" s="7">
        <f>IF(ISBLANK(M1549),"Aguardando Previsão/Data",NETWORKDAYS(L1549,M1549)-1)</f>
        <v>0</v>
      </c>
      <c r="T1549" s="5" t="s">
        <v>942</v>
      </c>
    </row>
    <row r="1550" spans="1:20" x14ac:dyDescent="0.35">
      <c r="A1550" s="5">
        <v>8100275556</v>
      </c>
      <c r="B1550" s="5">
        <v>19159</v>
      </c>
      <c r="C1550" s="6">
        <v>45670</v>
      </c>
      <c r="D1550" s="5" t="s">
        <v>106</v>
      </c>
      <c r="E1550" s="5" t="s">
        <v>107</v>
      </c>
      <c r="F1550" s="5" t="s">
        <v>147</v>
      </c>
      <c r="G1550" s="5" t="s">
        <v>148</v>
      </c>
      <c r="H1550" s="5" t="s">
        <v>108</v>
      </c>
      <c r="I1550" s="5" t="s">
        <v>82</v>
      </c>
      <c r="J1550" s="5" t="s">
        <v>507</v>
      </c>
      <c r="K1550" s="5" t="s">
        <v>110</v>
      </c>
      <c r="L1550" s="6">
        <v>45678</v>
      </c>
      <c r="M1550" s="6">
        <v>45678</v>
      </c>
      <c r="N1550" s="6" t="s">
        <v>811</v>
      </c>
      <c r="O1550" s="5" t="str">
        <f ca="1">IF(P1550&lt;&gt;"EXPEDIÇÃO","Expedido",IF(NETWORKDAYS(C1550,TODAY())&gt;=5,"Risco Alto",IF(NETWORKDAYS(C1550,TODAY())&gt;=3,IF(NETWORKDAYS(C1550,TODAY())&lt;5,"Risco Médio",""),IF(NETWORKDAYS(C1550,TODAY())&lt;=2,"Risco Baixo",""))))</f>
        <v>Expedido</v>
      </c>
      <c r="P1550" s="5" t="s">
        <v>25</v>
      </c>
      <c r="S1550" s="7">
        <f>IF(ISBLANK(M1550),"Aguardando Previsão/Data",NETWORKDAYS(L1550,M1550)-1)</f>
        <v>0</v>
      </c>
      <c r="T1550" s="5" t="s">
        <v>942</v>
      </c>
    </row>
    <row r="1551" spans="1:20" x14ac:dyDescent="0.35">
      <c r="A1551" s="5">
        <v>8100275557</v>
      </c>
      <c r="B1551" s="5">
        <v>19162</v>
      </c>
      <c r="C1551" s="6">
        <v>45670</v>
      </c>
      <c r="D1551" s="5" t="s">
        <v>106</v>
      </c>
      <c r="E1551" s="5" t="s">
        <v>107</v>
      </c>
      <c r="F1551" s="5" t="s">
        <v>111</v>
      </c>
      <c r="G1551" s="5" t="s">
        <v>112</v>
      </c>
      <c r="H1551" s="5" t="s">
        <v>108</v>
      </c>
      <c r="I1551" s="5" t="s">
        <v>447</v>
      </c>
      <c r="J1551" s="5" t="s">
        <v>448</v>
      </c>
      <c r="K1551" s="5" t="s">
        <v>110</v>
      </c>
      <c r="L1551" s="6">
        <v>45677</v>
      </c>
      <c r="M1551" s="6">
        <v>45672</v>
      </c>
      <c r="N1551" s="6" t="s">
        <v>811</v>
      </c>
      <c r="O1551" s="5" t="str">
        <f ca="1">IF(P1551&lt;&gt;"EXPEDIÇÃO","Expedido",IF(NETWORKDAYS(C1551,TODAY())&gt;=5,"Risco Alto",IF(NETWORKDAYS(C1551,TODAY())&gt;=3,IF(NETWORKDAYS(C1551,TODAY())&lt;5,"Risco Médio",""),IF(NETWORKDAYS(C1551,TODAY())&lt;=2,"Risco Baixo",""))))</f>
        <v>Expedido</v>
      </c>
      <c r="P1551" s="5" t="s">
        <v>25</v>
      </c>
      <c r="S1551" s="7">
        <f>IF(ISBLANK(M1551),"Aguardando Previsão/Data",NETWORKDAYS(L1551,M1551)-1)</f>
        <v>-5</v>
      </c>
      <c r="T1551" s="5" t="s">
        <v>942</v>
      </c>
    </row>
    <row r="1552" spans="1:20" x14ac:dyDescent="0.35">
      <c r="A1552" s="5">
        <v>8100275568</v>
      </c>
      <c r="B1552" s="5">
        <v>19165</v>
      </c>
      <c r="C1552" s="6">
        <v>45670</v>
      </c>
      <c r="D1552" s="5" t="s">
        <v>106</v>
      </c>
      <c r="E1552" s="5" t="s">
        <v>107</v>
      </c>
      <c r="F1552" s="5" t="s">
        <v>147</v>
      </c>
      <c r="G1552" s="5" t="s">
        <v>148</v>
      </c>
      <c r="H1552" s="5" t="s">
        <v>108</v>
      </c>
      <c r="I1552" s="5" t="s">
        <v>82</v>
      </c>
      <c r="J1552" s="5" t="s">
        <v>150</v>
      </c>
      <c r="K1552" s="5" t="s">
        <v>110</v>
      </c>
      <c r="L1552" s="6">
        <v>45678</v>
      </c>
      <c r="M1552" s="6">
        <v>45673</v>
      </c>
      <c r="N1552" s="6" t="s">
        <v>811</v>
      </c>
      <c r="O1552" s="5" t="str">
        <f ca="1">IF(P1552&lt;&gt;"EXPEDIÇÃO","Expedido",IF(NETWORKDAYS(C1552,TODAY())&gt;=5,"Risco Alto",IF(NETWORKDAYS(C1552,TODAY())&gt;=3,IF(NETWORKDAYS(C1552,TODAY())&lt;5,"Risco Médio",""),IF(NETWORKDAYS(C1552,TODAY())&lt;=2,"Risco Baixo",""))))</f>
        <v>Expedido</v>
      </c>
      <c r="P1552" s="5" t="s">
        <v>25</v>
      </c>
      <c r="S1552" s="7">
        <f>IF(ISBLANK(M1552),"Aguardando Previsão/Data",NETWORKDAYS(L1552,M1552)-1)</f>
        <v>-5</v>
      </c>
      <c r="T1552" s="5" t="s">
        <v>942</v>
      </c>
    </row>
    <row r="1553" spans="1:20" x14ac:dyDescent="0.35">
      <c r="A1553" s="5">
        <v>8100275569</v>
      </c>
      <c r="B1553" s="5">
        <v>19170</v>
      </c>
      <c r="C1553" s="6">
        <v>45670</v>
      </c>
      <c r="D1553" s="5" t="s">
        <v>106</v>
      </c>
      <c r="E1553" s="5" t="s">
        <v>107</v>
      </c>
      <c r="F1553" s="5" t="s">
        <v>58</v>
      </c>
      <c r="G1553" s="5" t="s">
        <v>59</v>
      </c>
      <c r="H1553" s="5" t="s">
        <v>108</v>
      </c>
      <c r="I1553" s="5" t="s">
        <v>126</v>
      </c>
      <c r="J1553" s="5" t="s">
        <v>127</v>
      </c>
      <c r="K1553" s="5" t="s">
        <v>110</v>
      </c>
      <c r="L1553" s="6">
        <v>45674</v>
      </c>
      <c r="M1553" s="6">
        <v>45673</v>
      </c>
      <c r="N1553" s="6" t="s">
        <v>811</v>
      </c>
      <c r="O1553" s="5" t="str">
        <f ca="1">IF(P1553&lt;&gt;"EXPEDIÇÃO","Expedido",IF(NETWORKDAYS(C1553,TODAY())&gt;=5,"Risco Alto",IF(NETWORKDAYS(C1553,TODAY())&gt;=3,IF(NETWORKDAYS(C1553,TODAY())&lt;5,"Risco Médio",""),IF(NETWORKDAYS(C1553,TODAY())&lt;=2,"Risco Baixo",""))))</f>
        <v>Expedido</v>
      </c>
      <c r="P1553" s="5" t="s">
        <v>25</v>
      </c>
      <c r="S1553" s="7">
        <f>IF(ISBLANK(M1553),"Aguardando Previsão/Data",NETWORKDAYS(L1553,M1553)-1)</f>
        <v>-3</v>
      </c>
      <c r="T1553" s="5" t="s">
        <v>942</v>
      </c>
    </row>
    <row r="1554" spans="1:20" x14ac:dyDescent="0.35">
      <c r="A1554" s="5">
        <v>8100275570</v>
      </c>
      <c r="B1554" s="5">
        <v>19180</v>
      </c>
      <c r="C1554" s="6">
        <v>45670</v>
      </c>
      <c r="D1554" s="5" t="s">
        <v>106</v>
      </c>
      <c r="E1554" s="5" t="s">
        <v>107</v>
      </c>
      <c r="F1554" s="5" t="s">
        <v>58</v>
      </c>
      <c r="G1554" s="5" t="s">
        <v>59</v>
      </c>
      <c r="H1554" s="5" t="s">
        <v>108</v>
      </c>
      <c r="I1554" s="5" t="s">
        <v>140</v>
      </c>
      <c r="J1554" s="5" t="s">
        <v>141</v>
      </c>
      <c r="K1554" s="5" t="s">
        <v>110</v>
      </c>
      <c r="L1554" s="6">
        <v>45674</v>
      </c>
      <c r="M1554" s="6">
        <v>45670</v>
      </c>
      <c r="N1554" s="6" t="s">
        <v>811</v>
      </c>
      <c r="O1554" s="5" t="str">
        <f ca="1">IF(P1554&lt;&gt;"EXPEDIÇÃO","Expedido",IF(NETWORKDAYS(C1554,TODAY())&gt;=5,"Risco Alto",IF(NETWORKDAYS(C1554,TODAY())&gt;=3,IF(NETWORKDAYS(C1554,TODAY())&lt;5,"Risco Médio",""),IF(NETWORKDAYS(C1554,TODAY())&lt;=2,"Risco Baixo",""))))</f>
        <v>Expedido</v>
      </c>
      <c r="P1554" s="5" t="s">
        <v>25</v>
      </c>
      <c r="Q1554" s="5" t="s">
        <v>900</v>
      </c>
      <c r="S1554" s="7">
        <f>IF(ISBLANK(M1554),"Aguardando Previsão/Data",NETWORKDAYS(L1554,M1554)-1)</f>
        <v>-6</v>
      </c>
      <c r="T1554" s="5" t="s">
        <v>942</v>
      </c>
    </row>
    <row r="1555" spans="1:20" x14ac:dyDescent="0.35">
      <c r="A1555" s="5">
        <v>8100275571</v>
      </c>
      <c r="B1555" s="5">
        <v>19181</v>
      </c>
      <c r="C1555" s="6">
        <v>45670</v>
      </c>
      <c r="D1555" s="5" t="s">
        <v>106</v>
      </c>
      <c r="E1555" s="5" t="s">
        <v>107</v>
      </c>
      <c r="F1555" s="5" t="s">
        <v>58</v>
      </c>
      <c r="G1555" s="5" t="s">
        <v>59</v>
      </c>
      <c r="H1555" s="5" t="s">
        <v>108</v>
      </c>
      <c r="I1555" s="5" t="s">
        <v>140</v>
      </c>
      <c r="J1555" s="5" t="s">
        <v>141</v>
      </c>
      <c r="K1555" s="5" t="s">
        <v>110</v>
      </c>
      <c r="L1555" s="6">
        <v>45674</v>
      </c>
      <c r="M1555" s="6">
        <v>45670</v>
      </c>
      <c r="N1555" s="6" t="s">
        <v>811</v>
      </c>
      <c r="O1555" s="5" t="str">
        <f ca="1">IF(P1555&lt;&gt;"EXPEDIÇÃO","Expedido",IF(NETWORKDAYS(C1555,TODAY())&gt;=5,"Risco Alto",IF(NETWORKDAYS(C1555,TODAY())&gt;=3,IF(NETWORKDAYS(C1555,TODAY())&lt;5,"Risco Médio",""),IF(NETWORKDAYS(C1555,TODAY())&lt;=2,"Risco Baixo",""))))</f>
        <v>Expedido</v>
      </c>
      <c r="P1555" s="5" t="s">
        <v>25</v>
      </c>
      <c r="Q1555" s="5" t="s">
        <v>900</v>
      </c>
      <c r="S1555" s="7">
        <f>IF(ISBLANK(M1555),"Aguardando Previsão/Data",NETWORKDAYS(L1555,M1555)-1)</f>
        <v>-6</v>
      </c>
      <c r="T1555" s="5" t="s">
        <v>942</v>
      </c>
    </row>
    <row r="1556" spans="1:20" x14ac:dyDescent="0.35">
      <c r="A1556" s="5">
        <v>8100275572</v>
      </c>
      <c r="B1556" s="5">
        <v>19151</v>
      </c>
      <c r="C1556" s="6">
        <v>45670</v>
      </c>
      <c r="D1556" s="5" t="s">
        <v>106</v>
      </c>
      <c r="E1556" s="5" t="s">
        <v>107</v>
      </c>
      <c r="F1556" s="5" t="s">
        <v>147</v>
      </c>
      <c r="G1556" s="5" t="s">
        <v>148</v>
      </c>
      <c r="H1556" s="5" t="s">
        <v>108</v>
      </c>
      <c r="I1556" s="5" t="s">
        <v>128</v>
      </c>
      <c r="J1556" s="5" t="s">
        <v>449</v>
      </c>
      <c r="K1556" s="5" t="s">
        <v>110</v>
      </c>
      <c r="L1556" s="6">
        <v>45678</v>
      </c>
      <c r="M1556" s="6">
        <v>45674</v>
      </c>
      <c r="N1556" s="6" t="s">
        <v>811</v>
      </c>
      <c r="O1556" s="5" t="str">
        <f ca="1">IF(P1556&lt;&gt;"EXPEDIÇÃO","Expedido",IF(NETWORKDAYS(C1556,TODAY())&gt;=5,"Risco Alto",IF(NETWORKDAYS(C1556,TODAY())&gt;=3,IF(NETWORKDAYS(C1556,TODAY())&lt;5,"Risco Médio",""),IF(NETWORKDAYS(C1556,TODAY())&lt;=2,"Risco Baixo",""))))</f>
        <v>Expedido</v>
      </c>
      <c r="P1556" s="5" t="s">
        <v>25</v>
      </c>
      <c r="S1556" s="7">
        <f>IF(ISBLANK(M1556),"Aguardando Previsão/Data",NETWORKDAYS(L1556,M1556)-1)</f>
        <v>-4</v>
      </c>
      <c r="T1556" s="5" t="s">
        <v>942</v>
      </c>
    </row>
    <row r="1557" spans="1:20" x14ac:dyDescent="0.35">
      <c r="A1557" s="5">
        <v>8100275573</v>
      </c>
      <c r="B1557" s="5">
        <v>19147</v>
      </c>
      <c r="C1557" s="6">
        <v>45670</v>
      </c>
      <c r="D1557" s="5" t="s">
        <v>106</v>
      </c>
      <c r="E1557" s="5" t="s">
        <v>107</v>
      </c>
      <c r="F1557" s="5" t="s">
        <v>58</v>
      </c>
      <c r="G1557" s="5" t="s">
        <v>59</v>
      </c>
      <c r="H1557" s="5" t="s">
        <v>108</v>
      </c>
      <c r="I1557" s="5" t="s">
        <v>1054</v>
      </c>
      <c r="J1557" s="5" t="s">
        <v>503</v>
      </c>
      <c r="K1557" s="5" t="s">
        <v>110</v>
      </c>
      <c r="L1557" s="6">
        <v>45677</v>
      </c>
      <c r="M1557" s="6">
        <v>45672</v>
      </c>
      <c r="N1557" s="6" t="s">
        <v>811</v>
      </c>
      <c r="O1557" s="5" t="str">
        <f ca="1">IF(P1557&lt;&gt;"EXPEDIÇÃO","Expedido",IF(NETWORKDAYS(C1557,TODAY())&gt;=5,"Risco Alto",IF(NETWORKDAYS(C1557,TODAY())&gt;=3,IF(NETWORKDAYS(C1557,TODAY())&lt;5,"Risco Médio",""),IF(NETWORKDAYS(C1557,TODAY())&lt;=2,"Risco Baixo",""))))</f>
        <v>Expedido</v>
      </c>
      <c r="P1557" s="5" t="s">
        <v>25</v>
      </c>
      <c r="S1557" s="7">
        <f>IF(ISBLANK(M1557),"Aguardando Previsão/Data",NETWORKDAYS(L1557,M1557)-1)</f>
        <v>-5</v>
      </c>
      <c r="T1557" s="5" t="s">
        <v>942</v>
      </c>
    </row>
    <row r="1558" spans="1:20" x14ac:dyDescent="0.35">
      <c r="A1558" s="5">
        <v>8100275574</v>
      </c>
      <c r="B1558" s="5">
        <v>19167</v>
      </c>
      <c r="C1558" s="6">
        <v>45670</v>
      </c>
      <c r="D1558" s="5" t="s">
        <v>106</v>
      </c>
      <c r="E1558" s="5" t="s">
        <v>107</v>
      </c>
      <c r="F1558" s="5" t="s">
        <v>111</v>
      </c>
      <c r="G1558" s="5" t="s">
        <v>112</v>
      </c>
      <c r="H1558" s="5" t="s">
        <v>108</v>
      </c>
      <c r="I1558" s="5" t="s">
        <v>115</v>
      </c>
      <c r="J1558" s="5" t="s">
        <v>143</v>
      </c>
      <c r="K1558" s="5" t="s">
        <v>110</v>
      </c>
      <c r="L1558" s="6">
        <v>45677</v>
      </c>
      <c r="M1558" s="6">
        <v>45678</v>
      </c>
      <c r="N1558" s="6" t="s">
        <v>811</v>
      </c>
      <c r="O1558" s="5" t="str">
        <f ca="1">IF(P1558&lt;&gt;"EXPEDIÇÃO","Expedido",IF(NETWORKDAYS(C1558,TODAY())&gt;=5,"Risco Alto",IF(NETWORKDAYS(C1558,TODAY())&gt;=3,IF(NETWORKDAYS(C1558,TODAY())&lt;5,"Risco Médio",""),IF(NETWORKDAYS(C1558,TODAY())&lt;=2,"Risco Baixo",""))))</f>
        <v>Expedido</v>
      </c>
      <c r="P1558" s="5" t="s">
        <v>25</v>
      </c>
      <c r="Q1558" s="5" t="s">
        <v>897</v>
      </c>
      <c r="S1558" s="7">
        <f>IF(ISBLANK(M1558),"Aguardando Previsão/Data",NETWORKDAYS(L1558,M1558)-1)</f>
        <v>1</v>
      </c>
      <c r="T1558" s="5" t="s">
        <v>942</v>
      </c>
    </row>
    <row r="1559" spans="1:20" x14ac:dyDescent="0.35">
      <c r="A1559" s="5">
        <v>8100275575</v>
      </c>
      <c r="B1559" s="5">
        <v>19148</v>
      </c>
      <c r="C1559" s="6">
        <v>45670</v>
      </c>
      <c r="D1559" s="5" t="s">
        <v>106</v>
      </c>
      <c r="E1559" s="5" t="s">
        <v>107</v>
      </c>
      <c r="F1559" s="5" t="s">
        <v>66</v>
      </c>
      <c r="G1559" s="5" t="s">
        <v>67</v>
      </c>
      <c r="H1559" s="5" t="s">
        <v>108</v>
      </c>
      <c r="I1559" s="5" t="s">
        <v>115</v>
      </c>
      <c r="J1559" s="5" t="s">
        <v>946</v>
      </c>
      <c r="K1559" s="5" t="s">
        <v>110</v>
      </c>
      <c r="L1559" s="6">
        <v>45678</v>
      </c>
      <c r="M1559" s="6">
        <v>45674</v>
      </c>
      <c r="N1559" s="6" t="s">
        <v>811</v>
      </c>
      <c r="O1559" s="5" t="str">
        <f ca="1">IF(P1559&lt;&gt;"EXPEDIÇÃO","Expedido",IF(NETWORKDAYS(C1559,TODAY())&gt;=5,"Risco Alto",IF(NETWORKDAYS(C1559,TODAY())&gt;=3,IF(NETWORKDAYS(C1559,TODAY())&lt;5,"Risco Médio",""),IF(NETWORKDAYS(C1559,TODAY())&lt;=2,"Risco Baixo",""))))</f>
        <v>Expedido</v>
      </c>
      <c r="P1559" s="5" t="s">
        <v>25</v>
      </c>
      <c r="Q1559" s="5" t="s">
        <v>897</v>
      </c>
      <c r="S1559" s="7">
        <f>IF(ISBLANK(M1559),"Aguardando Previsão/Data",NETWORKDAYS(L1559,M1559)-1)</f>
        <v>-4</v>
      </c>
      <c r="T1559" s="5" t="s">
        <v>942</v>
      </c>
    </row>
    <row r="1560" spans="1:20" x14ac:dyDescent="0.35">
      <c r="A1560" s="5">
        <v>8100275576</v>
      </c>
      <c r="B1560" s="5">
        <v>19172</v>
      </c>
      <c r="C1560" s="6">
        <v>45670</v>
      </c>
      <c r="D1560" s="5" t="s">
        <v>106</v>
      </c>
      <c r="E1560" s="5" t="s">
        <v>107</v>
      </c>
      <c r="F1560" s="5" t="s">
        <v>66</v>
      </c>
      <c r="G1560" s="5" t="s">
        <v>67</v>
      </c>
      <c r="H1560" s="5" t="s">
        <v>108</v>
      </c>
      <c r="I1560" s="5" t="s">
        <v>337</v>
      </c>
      <c r="J1560" s="5" t="s">
        <v>338</v>
      </c>
      <c r="K1560" s="5" t="s">
        <v>110</v>
      </c>
      <c r="L1560" s="6">
        <v>45678</v>
      </c>
      <c r="M1560" s="6">
        <v>45674</v>
      </c>
      <c r="N1560" s="6" t="s">
        <v>811</v>
      </c>
      <c r="O1560" s="5" t="str">
        <f ca="1">IF(P1560&lt;&gt;"EXPEDIÇÃO","Expedido",IF(NETWORKDAYS(C1560,TODAY())&gt;=5,"Risco Alto",IF(NETWORKDAYS(C1560,TODAY())&gt;=3,IF(NETWORKDAYS(C1560,TODAY())&lt;5,"Risco Médio",""),IF(NETWORKDAYS(C1560,TODAY())&lt;=2,"Risco Baixo",""))))</f>
        <v>Expedido</v>
      </c>
      <c r="P1560" s="5" t="s">
        <v>25</v>
      </c>
      <c r="S1560" s="7">
        <f>IF(ISBLANK(M1560),"Aguardando Previsão/Data",NETWORKDAYS(L1560,M1560)-1)</f>
        <v>-4</v>
      </c>
      <c r="T1560" s="5" t="s">
        <v>942</v>
      </c>
    </row>
    <row r="1561" spans="1:20" x14ac:dyDescent="0.35">
      <c r="A1561" s="5">
        <v>8100275577</v>
      </c>
      <c r="B1561" s="5">
        <v>19168</v>
      </c>
      <c r="C1561" s="6">
        <v>45670</v>
      </c>
      <c r="D1561" s="5" t="s">
        <v>106</v>
      </c>
      <c r="E1561" s="5" t="s">
        <v>107</v>
      </c>
      <c r="F1561" s="5" t="s">
        <v>69</v>
      </c>
      <c r="G1561" s="5" t="s">
        <v>70</v>
      </c>
      <c r="H1561" s="5" t="s">
        <v>108</v>
      </c>
      <c r="I1561" s="5" t="s">
        <v>115</v>
      </c>
      <c r="J1561" s="5" t="s">
        <v>143</v>
      </c>
      <c r="K1561" s="5" t="s">
        <v>110</v>
      </c>
      <c r="L1561" s="6">
        <v>45677</v>
      </c>
      <c r="M1561" s="6">
        <v>45678</v>
      </c>
      <c r="N1561" s="6" t="s">
        <v>811</v>
      </c>
      <c r="O1561" s="5" t="str">
        <f ca="1">IF(P1561&lt;&gt;"EXPEDIÇÃO","Expedido",IF(NETWORKDAYS(C1561,TODAY())&gt;=5,"Risco Alto",IF(NETWORKDAYS(C1561,TODAY())&gt;=3,IF(NETWORKDAYS(C1561,TODAY())&lt;5,"Risco Médio",""),IF(NETWORKDAYS(C1561,TODAY())&lt;=2,"Risco Baixo",""))))</f>
        <v>Expedido</v>
      </c>
      <c r="P1561" s="5" t="s">
        <v>25</v>
      </c>
      <c r="Q1561" s="5" t="s">
        <v>897</v>
      </c>
      <c r="S1561" s="7">
        <f>IF(ISBLANK(M1561),"Aguardando Previsão/Data",NETWORKDAYS(L1561,M1561)-1)</f>
        <v>1</v>
      </c>
      <c r="T1561" s="5" t="s">
        <v>942</v>
      </c>
    </row>
    <row r="1562" spans="1:20" x14ac:dyDescent="0.35">
      <c r="A1562" s="5">
        <v>8100275578</v>
      </c>
      <c r="B1562" s="5">
        <v>19169</v>
      </c>
      <c r="C1562" s="6">
        <v>45670</v>
      </c>
      <c r="D1562" s="5" t="s">
        <v>106</v>
      </c>
      <c r="E1562" s="5" t="s">
        <v>107</v>
      </c>
      <c r="F1562" s="5" t="s">
        <v>53</v>
      </c>
      <c r="G1562" s="5" t="s">
        <v>54</v>
      </c>
      <c r="H1562" s="5" t="s">
        <v>108</v>
      </c>
      <c r="I1562" s="5" t="s">
        <v>123</v>
      </c>
      <c r="J1562" s="5" t="s">
        <v>124</v>
      </c>
      <c r="K1562" s="5" t="s">
        <v>110</v>
      </c>
      <c r="L1562" s="6">
        <v>45678</v>
      </c>
      <c r="M1562" s="6">
        <v>45672</v>
      </c>
      <c r="N1562" s="6" t="s">
        <v>811</v>
      </c>
      <c r="O1562" s="5" t="str">
        <f ca="1">IF(P1562&lt;&gt;"EXPEDIÇÃO","Expedido",IF(NETWORKDAYS(C1562,TODAY())&gt;=5,"Risco Alto",IF(NETWORKDAYS(C1562,TODAY())&gt;=3,IF(NETWORKDAYS(C1562,TODAY())&lt;5,"Risco Médio",""),IF(NETWORKDAYS(C1562,TODAY())&lt;=2,"Risco Baixo",""))))</f>
        <v>Expedido</v>
      </c>
      <c r="P1562" s="5" t="s">
        <v>25</v>
      </c>
      <c r="S1562" s="7">
        <f>IF(ISBLANK(M1562),"Aguardando Previsão/Data",NETWORKDAYS(L1562,M1562)-1)</f>
        <v>-6</v>
      </c>
      <c r="T1562" s="5" t="s">
        <v>942</v>
      </c>
    </row>
    <row r="1563" spans="1:20" x14ac:dyDescent="0.35">
      <c r="A1563" s="5">
        <v>8100275579</v>
      </c>
      <c r="B1563" s="5">
        <v>19156</v>
      </c>
      <c r="C1563" s="6">
        <v>45670</v>
      </c>
      <c r="D1563" s="5" t="s">
        <v>106</v>
      </c>
      <c r="E1563" s="5" t="s">
        <v>107</v>
      </c>
      <c r="F1563" s="5" t="s">
        <v>69</v>
      </c>
      <c r="G1563" s="5" t="s">
        <v>70</v>
      </c>
      <c r="H1563" s="5" t="s">
        <v>108</v>
      </c>
      <c r="I1563" s="5" t="s">
        <v>64</v>
      </c>
      <c r="J1563" s="5" t="s">
        <v>124</v>
      </c>
      <c r="K1563" s="5" t="s">
        <v>110</v>
      </c>
      <c r="L1563" s="6">
        <v>45678</v>
      </c>
      <c r="M1563" s="6">
        <v>45672</v>
      </c>
      <c r="N1563" s="6" t="s">
        <v>811</v>
      </c>
      <c r="O1563" s="5" t="str">
        <f ca="1">IF(P1563&lt;&gt;"EXPEDIÇÃO","Expedido",IF(NETWORKDAYS(C1563,TODAY())&gt;=5,"Risco Alto",IF(NETWORKDAYS(C1563,TODAY())&gt;=3,IF(NETWORKDAYS(C1563,TODAY())&lt;5,"Risco Médio",""),IF(NETWORKDAYS(C1563,TODAY())&lt;=2,"Risco Baixo",""))))</f>
        <v>Expedido</v>
      </c>
      <c r="P1563" s="5" t="s">
        <v>25</v>
      </c>
      <c r="S1563" s="7">
        <f>IF(ISBLANK(M1563),"Aguardando Previsão/Data",NETWORKDAYS(L1563,M1563)-1)</f>
        <v>-6</v>
      </c>
      <c r="T1563" s="5" t="s">
        <v>942</v>
      </c>
    </row>
    <row r="1564" spans="1:20" x14ac:dyDescent="0.35">
      <c r="A1564" s="5">
        <v>8100275581</v>
      </c>
      <c r="B1564" s="5">
        <v>19140</v>
      </c>
      <c r="C1564" s="6">
        <v>45670</v>
      </c>
      <c r="D1564" s="5" t="s">
        <v>106</v>
      </c>
      <c r="E1564" s="5" t="s">
        <v>107</v>
      </c>
      <c r="F1564" s="5" t="s">
        <v>58</v>
      </c>
      <c r="G1564" s="5" t="s">
        <v>59</v>
      </c>
      <c r="H1564" s="5" t="s">
        <v>108</v>
      </c>
      <c r="I1564" s="5" t="s">
        <v>504</v>
      </c>
      <c r="J1564" s="5" t="s">
        <v>340</v>
      </c>
      <c r="K1564" s="5" t="s">
        <v>110</v>
      </c>
      <c r="L1564" s="6">
        <v>45674</v>
      </c>
      <c r="M1564" s="6">
        <v>45672</v>
      </c>
      <c r="N1564" s="6" t="s">
        <v>811</v>
      </c>
      <c r="O1564" s="5" t="str">
        <f ca="1">IF(P1564&lt;&gt;"EXPEDIÇÃO","Expedido",IF(NETWORKDAYS(C1564,TODAY())&gt;=5,"Risco Alto",IF(NETWORKDAYS(C1564,TODAY())&gt;=3,IF(NETWORKDAYS(C1564,TODAY())&lt;5,"Risco Médio",""),IF(NETWORKDAYS(C1564,TODAY())&lt;=2,"Risco Baixo",""))))</f>
        <v>Expedido</v>
      </c>
      <c r="P1564" s="5" t="s">
        <v>25</v>
      </c>
      <c r="S1564" s="7">
        <f>IF(ISBLANK(M1564),"Aguardando Previsão/Data",NETWORKDAYS(L1564,M1564)-1)</f>
        <v>-4</v>
      </c>
      <c r="T1564" s="5" t="s">
        <v>942</v>
      </c>
    </row>
    <row r="1565" spans="1:20" x14ac:dyDescent="0.35">
      <c r="A1565" s="5">
        <v>8100275675</v>
      </c>
      <c r="B1565" s="5">
        <v>19195</v>
      </c>
      <c r="C1565" s="6">
        <v>45670</v>
      </c>
      <c r="D1565" s="5" t="s">
        <v>106</v>
      </c>
      <c r="E1565" s="5" t="s">
        <v>107</v>
      </c>
      <c r="F1565" s="5" t="s">
        <v>66</v>
      </c>
      <c r="G1565" s="5" t="s">
        <v>67</v>
      </c>
      <c r="H1565" s="5" t="s">
        <v>108</v>
      </c>
      <c r="I1565" s="5" t="s">
        <v>509</v>
      </c>
      <c r="J1565" s="5" t="s">
        <v>282</v>
      </c>
      <c r="K1565" s="5" t="s">
        <v>110</v>
      </c>
      <c r="L1565" s="6">
        <v>45678</v>
      </c>
      <c r="M1565" s="6">
        <v>45674</v>
      </c>
      <c r="N1565" s="6" t="s">
        <v>811</v>
      </c>
      <c r="O1565" s="5" t="str">
        <f ca="1">IF(P1565&lt;&gt;"EXPEDIÇÃO","Expedido",IF(NETWORKDAYS(C1565,TODAY())&gt;=5,"Risco Alto",IF(NETWORKDAYS(C1565,TODAY())&gt;=3,IF(NETWORKDAYS(C1565,TODAY())&lt;5,"Risco Médio",""),IF(NETWORKDAYS(C1565,TODAY())&lt;=2,"Risco Baixo",""))))</f>
        <v>Expedido</v>
      </c>
      <c r="P1565" s="5" t="s">
        <v>25</v>
      </c>
      <c r="S1565" s="7">
        <f>IF(ISBLANK(M1565),"Aguardando Previsão/Data",NETWORKDAYS(L1565,M1565)-1)</f>
        <v>-4</v>
      </c>
      <c r="T1565" s="5" t="s">
        <v>942</v>
      </c>
    </row>
    <row r="1566" spans="1:20" x14ac:dyDescent="0.35">
      <c r="A1566" s="5">
        <v>8100275820</v>
      </c>
      <c r="B1566" s="5">
        <v>19188</v>
      </c>
      <c r="C1566" s="6">
        <v>45670</v>
      </c>
      <c r="D1566" s="5" t="s">
        <v>106</v>
      </c>
      <c r="E1566" s="5" t="s">
        <v>107</v>
      </c>
      <c r="F1566" s="5" t="s">
        <v>69</v>
      </c>
      <c r="G1566" s="5" t="s">
        <v>70</v>
      </c>
      <c r="H1566" s="5" t="s">
        <v>108</v>
      </c>
      <c r="I1566" s="5" t="s">
        <v>840</v>
      </c>
      <c r="J1566" s="5" t="s">
        <v>582</v>
      </c>
      <c r="K1566" s="5" t="s">
        <v>110</v>
      </c>
      <c r="L1566" s="6">
        <v>45678</v>
      </c>
      <c r="M1566" s="6">
        <v>45678</v>
      </c>
      <c r="N1566" s="6" t="s">
        <v>811</v>
      </c>
      <c r="O1566" s="5" t="str">
        <f ca="1">IF(P1566&lt;&gt;"EXPEDIÇÃO","Expedido",IF(NETWORKDAYS(C1566,TODAY())&gt;=5,"Risco Alto",IF(NETWORKDAYS(C1566,TODAY())&gt;=3,IF(NETWORKDAYS(C1566,TODAY())&lt;5,"Risco Médio",""),IF(NETWORKDAYS(C1566,TODAY())&lt;=2,"Risco Baixo",""))))</f>
        <v>Expedido</v>
      </c>
      <c r="P1566" s="5" t="s">
        <v>25</v>
      </c>
      <c r="S1566" s="7">
        <f>IF(ISBLANK(M1566),"Aguardando Previsão/Data",NETWORKDAYS(L1566,M1566)-1)</f>
        <v>0</v>
      </c>
      <c r="T1566" s="5" t="s">
        <v>942</v>
      </c>
    </row>
    <row r="1567" spans="1:20" x14ac:dyDescent="0.35">
      <c r="A1567" s="5">
        <v>8100275821</v>
      </c>
      <c r="B1567" s="5">
        <v>19182</v>
      </c>
      <c r="C1567" s="6">
        <v>45670</v>
      </c>
      <c r="D1567" s="5" t="s">
        <v>106</v>
      </c>
      <c r="E1567" s="5" t="s">
        <v>107</v>
      </c>
      <c r="F1567" s="5" t="s">
        <v>69</v>
      </c>
      <c r="G1567" s="5" t="s">
        <v>70</v>
      </c>
      <c r="H1567" s="5" t="s">
        <v>108</v>
      </c>
      <c r="I1567" s="5" t="s">
        <v>115</v>
      </c>
      <c r="J1567" s="5" t="s">
        <v>343</v>
      </c>
      <c r="K1567" s="5" t="s">
        <v>110</v>
      </c>
      <c r="L1567" s="6">
        <v>45678</v>
      </c>
      <c r="M1567" s="6">
        <v>45674</v>
      </c>
      <c r="N1567" s="6" t="s">
        <v>811</v>
      </c>
      <c r="O1567" s="5" t="str">
        <f ca="1">IF(P1567&lt;&gt;"EXPEDIÇÃO","Expedido",IF(NETWORKDAYS(C1567,TODAY())&gt;=5,"Risco Alto",IF(NETWORKDAYS(C1567,TODAY())&gt;=3,IF(NETWORKDAYS(C1567,TODAY())&lt;5,"Risco Médio",""),IF(NETWORKDAYS(C1567,TODAY())&lt;=2,"Risco Baixo",""))))</f>
        <v>Expedido</v>
      </c>
      <c r="P1567" s="5" t="s">
        <v>25</v>
      </c>
      <c r="S1567" s="7">
        <f>IF(ISBLANK(M1567),"Aguardando Previsão/Data",NETWORKDAYS(L1567,M1567)-1)</f>
        <v>-4</v>
      </c>
      <c r="T1567" s="5" t="s">
        <v>942</v>
      </c>
    </row>
    <row r="1568" spans="1:20" x14ac:dyDescent="0.35">
      <c r="A1568" s="5">
        <v>8100275822</v>
      </c>
      <c r="B1568" s="5">
        <v>19196</v>
      </c>
      <c r="C1568" s="6">
        <v>45670</v>
      </c>
      <c r="D1568" s="5" t="s">
        <v>106</v>
      </c>
      <c r="E1568" s="5" t="s">
        <v>107</v>
      </c>
      <c r="F1568" s="5" t="s">
        <v>147</v>
      </c>
      <c r="G1568" s="5" t="s">
        <v>148</v>
      </c>
      <c r="H1568" s="5" t="s">
        <v>108</v>
      </c>
      <c r="I1568" s="5" t="s">
        <v>82</v>
      </c>
      <c r="J1568" s="5" t="s">
        <v>150</v>
      </c>
      <c r="K1568" s="5" t="s">
        <v>110</v>
      </c>
      <c r="L1568" s="6">
        <v>45678</v>
      </c>
      <c r="M1568" s="6">
        <v>45673</v>
      </c>
      <c r="N1568" s="6" t="s">
        <v>811</v>
      </c>
      <c r="O1568" s="5" t="str">
        <f ca="1">IF(P1568&lt;&gt;"EXPEDIÇÃO","Expedido",IF(NETWORKDAYS(C1568,TODAY())&gt;=5,"Risco Alto",IF(NETWORKDAYS(C1568,TODAY())&gt;=3,IF(NETWORKDAYS(C1568,TODAY())&lt;5,"Risco Médio",""),IF(NETWORKDAYS(C1568,TODAY())&lt;=2,"Risco Baixo",""))))</f>
        <v>Expedido</v>
      </c>
      <c r="P1568" s="5" t="s">
        <v>25</v>
      </c>
      <c r="S1568" s="7">
        <f>IF(ISBLANK(M1568),"Aguardando Previsão/Data",NETWORKDAYS(L1568,M1568)-1)</f>
        <v>-5</v>
      </c>
      <c r="T1568" s="5" t="s">
        <v>942</v>
      </c>
    </row>
    <row r="1569" spans="1:20" x14ac:dyDescent="0.35">
      <c r="A1569" s="5">
        <v>8100275825</v>
      </c>
      <c r="B1569" s="5">
        <v>19199</v>
      </c>
      <c r="C1569" s="6">
        <v>45670</v>
      </c>
      <c r="D1569" s="5" t="s">
        <v>106</v>
      </c>
      <c r="E1569" s="5" t="s">
        <v>107</v>
      </c>
      <c r="F1569" s="5" t="s">
        <v>111</v>
      </c>
      <c r="G1569" s="5" t="s">
        <v>112</v>
      </c>
      <c r="H1569" s="5" t="s">
        <v>108</v>
      </c>
      <c r="I1569" s="5" t="s">
        <v>115</v>
      </c>
      <c r="J1569" s="5" t="s">
        <v>116</v>
      </c>
      <c r="K1569" s="5" t="s">
        <v>110</v>
      </c>
      <c r="L1569" s="6">
        <v>45677</v>
      </c>
      <c r="M1569" s="6">
        <v>45673</v>
      </c>
      <c r="N1569" s="6" t="s">
        <v>811</v>
      </c>
      <c r="O1569" s="5" t="str">
        <f ca="1">IF(P1569&lt;&gt;"EXPEDIÇÃO","Expedido",IF(NETWORKDAYS(C1569,TODAY())&gt;=5,"Risco Alto",IF(NETWORKDAYS(C1569,TODAY())&gt;=3,IF(NETWORKDAYS(C1569,TODAY())&lt;5,"Risco Médio",""),IF(NETWORKDAYS(C1569,TODAY())&lt;=2,"Risco Baixo",""))))</f>
        <v>Expedido</v>
      </c>
      <c r="P1569" s="5" t="s">
        <v>25</v>
      </c>
      <c r="S1569" s="7">
        <f>IF(ISBLANK(M1569),"Aguardando Previsão/Data",NETWORKDAYS(L1569,M1569)-1)</f>
        <v>-4</v>
      </c>
      <c r="T1569" s="5" t="s">
        <v>942</v>
      </c>
    </row>
    <row r="1570" spans="1:20" x14ac:dyDescent="0.35">
      <c r="A1570" s="5">
        <v>8100275827</v>
      </c>
      <c r="B1570" s="5">
        <v>19191</v>
      </c>
      <c r="C1570" s="6">
        <v>45670</v>
      </c>
      <c r="D1570" s="5" t="s">
        <v>106</v>
      </c>
      <c r="E1570" s="5" t="s">
        <v>107</v>
      </c>
      <c r="F1570" s="5" t="s">
        <v>147</v>
      </c>
      <c r="G1570" s="5" t="s">
        <v>148</v>
      </c>
      <c r="H1570" s="5" t="s">
        <v>108</v>
      </c>
      <c r="I1570" s="5" t="s">
        <v>128</v>
      </c>
      <c r="J1570" s="5" t="s">
        <v>449</v>
      </c>
      <c r="K1570" s="5" t="s">
        <v>110</v>
      </c>
      <c r="L1570" s="6">
        <v>45678</v>
      </c>
      <c r="M1570" s="6">
        <v>45673</v>
      </c>
      <c r="N1570" s="6" t="s">
        <v>811</v>
      </c>
      <c r="O1570" s="5" t="str">
        <f ca="1">IF(P1570&lt;&gt;"EXPEDIÇÃO","Expedido",IF(NETWORKDAYS(C1570,TODAY())&gt;=5,"Risco Alto",IF(NETWORKDAYS(C1570,TODAY())&gt;=3,IF(NETWORKDAYS(C1570,TODAY())&lt;5,"Risco Médio",""),IF(NETWORKDAYS(C1570,TODAY())&lt;=2,"Risco Baixo",""))))</f>
        <v>Expedido</v>
      </c>
      <c r="P1570" s="5" t="s">
        <v>25</v>
      </c>
      <c r="S1570" s="7">
        <f>IF(ISBLANK(M1570),"Aguardando Previsão/Data",NETWORKDAYS(L1570,M1570)-1)</f>
        <v>-5</v>
      </c>
      <c r="T1570" s="5" t="s">
        <v>942</v>
      </c>
    </row>
    <row r="1571" spans="1:20" x14ac:dyDescent="0.35">
      <c r="A1571" s="5">
        <v>8100275828</v>
      </c>
      <c r="B1571" s="5">
        <v>19204</v>
      </c>
      <c r="C1571" s="6">
        <v>45670</v>
      </c>
      <c r="D1571" s="5" t="s">
        <v>106</v>
      </c>
      <c r="E1571" s="5" t="s">
        <v>107</v>
      </c>
      <c r="F1571" s="5" t="s">
        <v>111</v>
      </c>
      <c r="G1571" s="5" t="s">
        <v>112</v>
      </c>
      <c r="H1571" s="5" t="s">
        <v>108</v>
      </c>
      <c r="I1571" s="5" t="s">
        <v>115</v>
      </c>
      <c r="J1571" s="5" t="s">
        <v>143</v>
      </c>
      <c r="K1571" s="5" t="s">
        <v>110</v>
      </c>
      <c r="L1571" s="6">
        <v>45677</v>
      </c>
      <c r="M1571" s="6">
        <v>45678</v>
      </c>
      <c r="N1571" s="6" t="s">
        <v>811</v>
      </c>
      <c r="O1571" s="5" t="str">
        <f ca="1">IF(P1571&lt;&gt;"EXPEDIÇÃO","Expedido",IF(NETWORKDAYS(C1571,TODAY())&gt;=5,"Risco Alto",IF(NETWORKDAYS(C1571,TODAY())&gt;=3,IF(NETWORKDAYS(C1571,TODAY())&lt;5,"Risco Médio",""),IF(NETWORKDAYS(C1571,TODAY())&lt;=2,"Risco Baixo",""))))</f>
        <v>Expedido</v>
      </c>
      <c r="P1571" s="5" t="s">
        <v>25</v>
      </c>
      <c r="Q1571" s="5" t="s">
        <v>897</v>
      </c>
      <c r="S1571" s="7">
        <f>IF(ISBLANK(M1571),"Aguardando Previsão/Data",NETWORKDAYS(L1571,M1571)-1)</f>
        <v>1</v>
      </c>
      <c r="T1571" s="5" t="s">
        <v>942</v>
      </c>
    </row>
    <row r="1572" spans="1:20" x14ac:dyDescent="0.35">
      <c r="A1572" s="5">
        <v>8100275829</v>
      </c>
      <c r="B1572" s="5">
        <v>19183</v>
      </c>
      <c r="C1572" s="6">
        <v>45670</v>
      </c>
      <c r="D1572" s="5" t="s">
        <v>106</v>
      </c>
      <c r="E1572" s="5" t="s">
        <v>107</v>
      </c>
      <c r="F1572" s="5" t="s">
        <v>111</v>
      </c>
      <c r="G1572" s="5" t="s">
        <v>112</v>
      </c>
      <c r="H1572" s="5" t="s">
        <v>108</v>
      </c>
      <c r="I1572" s="5" t="s">
        <v>115</v>
      </c>
      <c r="J1572" s="5" t="s">
        <v>343</v>
      </c>
      <c r="K1572" s="5" t="s">
        <v>110</v>
      </c>
      <c r="L1572" s="6">
        <v>45678</v>
      </c>
      <c r="M1572" s="6">
        <v>45674</v>
      </c>
      <c r="N1572" s="6" t="s">
        <v>811</v>
      </c>
      <c r="O1572" s="5" t="str">
        <f ca="1">IF(P1572&lt;&gt;"EXPEDIÇÃO","Expedido",IF(NETWORKDAYS(C1572,TODAY())&gt;=5,"Risco Alto",IF(NETWORKDAYS(C1572,TODAY())&gt;=3,IF(NETWORKDAYS(C1572,TODAY())&lt;5,"Risco Médio",""),IF(NETWORKDAYS(C1572,TODAY())&lt;=2,"Risco Baixo",""))))</f>
        <v>Expedido</v>
      </c>
      <c r="P1572" s="5" t="s">
        <v>25</v>
      </c>
      <c r="S1572" s="7">
        <f>IF(ISBLANK(M1572),"Aguardando Previsão/Data",NETWORKDAYS(L1572,M1572)-1)</f>
        <v>-4</v>
      </c>
      <c r="T1572" s="5" t="s">
        <v>942</v>
      </c>
    </row>
    <row r="1573" spans="1:20" x14ac:dyDescent="0.35">
      <c r="A1573" s="5">
        <v>8100275830</v>
      </c>
      <c r="B1573" s="5">
        <v>19205</v>
      </c>
      <c r="C1573" s="6">
        <v>45670</v>
      </c>
      <c r="D1573" s="5" t="s">
        <v>106</v>
      </c>
      <c r="E1573" s="5" t="s">
        <v>107</v>
      </c>
      <c r="F1573" s="5" t="s">
        <v>111</v>
      </c>
      <c r="G1573" s="5" t="s">
        <v>112</v>
      </c>
      <c r="H1573" s="5" t="s">
        <v>108</v>
      </c>
      <c r="I1573" s="5" t="s">
        <v>115</v>
      </c>
      <c r="J1573" s="5" t="s">
        <v>116</v>
      </c>
      <c r="K1573" s="5" t="s">
        <v>110</v>
      </c>
      <c r="L1573" s="6">
        <v>45677</v>
      </c>
      <c r="M1573" s="6">
        <v>45673</v>
      </c>
      <c r="N1573" s="6" t="s">
        <v>811</v>
      </c>
      <c r="O1573" s="5" t="str">
        <f ca="1">IF(P1573&lt;&gt;"EXPEDIÇÃO","Expedido",IF(NETWORKDAYS(C1573,TODAY())&gt;=5,"Risco Alto",IF(NETWORKDAYS(C1573,TODAY())&gt;=3,IF(NETWORKDAYS(C1573,TODAY())&lt;5,"Risco Médio",""),IF(NETWORKDAYS(C1573,TODAY())&lt;=2,"Risco Baixo",""))))</f>
        <v>Expedido</v>
      </c>
      <c r="P1573" s="5" t="s">
        <v>25</v>
      </c>
      <c r="S1573" s="7">
        <f>IF(ISBLANK(M1573),"Aguardando Previsão/Data",NETWORKDAYS(L1573,M1573)-1)</f>
        <v>-4</v>
      </c>
      <c r="T1573" s="5" t="s">
        <v>942</v>
      </c>
    </row>
    <row r="1574" spans="1:20" x14ac:dyDescent="0.35">
      <c r="A1574" s="5">
        <v>8100275831</v>
      </c>
      <c r="B1574" s="5">
        <v>19192</v>
      </c>
      <c r="C1574" s="6">
        <v>45670</v>
      </c>
      <c r="D1574" s="5" t="s">
        <v>106</v>
      </c>
      <c r="E1574" s="5" t="s">
        <v>107</v>
      </c>
      <c r="F1574" s="5" t="s">
        <v>111</v>
      </c>
      <c r="G1574" s="5" t="s">
        <v>112</v>
      </c>
      <c r="H1574" s="5" t="s">
        <v>108</v>
      </c>
      <c r="I1574" s="5" t="s">
        <v>115</v>
      </c>
      <c r="J1574" s="5" t="s">
        <v>117</v>
      </c>
      <c r="K1574" s="5" t="s">
        <v>110</v>
      </c>
      <c r="L1574" s="6">
        <v>45677</v>
      </c>
      <c r="M1574" s="6">
        <v>45672</v>
      </c>
      <c r="N1574" s="6" t="s">
        <v>811</v>
      </c>
      <c r="O1574" s="5" t="str">
        <f ca="1">IF(P1574&lt;&gt;"EXPEDIÇÃO","Expedido",IF(NETWORKDAYS(C1574,TODAY())&gt;=5,"Risco Alto",IF(NETWORKDAYS(C1574,TODAY())&gt;=3,IF(NETWORKDAYS(C1574,TODAY())&lt;5,"Risco Médio",""),IF(NETWORKDAYS(C1574,TODAY())&lt;=2,"Risco Baixo",""))))</f>
        <v>Expedido</v>
      </c>
      <c r="P1574" s="5" t="s">
        <v>25</v>
      </c>
      <c r="S1574" s="7">
        <f>IF(ISBLANK(M1574),"Aguardando Previsão/Data",NETWORKDAYS(L1574,M1574)-1)</f>
        <v>-5</v>
      </c>
      <c r="T1574" s="5" t="s">
        <v>942</v>
      </c>
    </row>
    <row r="1575" spans="1:20" x14ac:dyDescent="0.35">
      <c r="A1575" s="5">
        <v>8100275832</v>
      </c>
      <c r="B1575" s="5">
        <v>19197</v>
      </c>
      <c r="C1575" s="6">
        <v>45670</v>
      </c>
      <c r="D1575" s="5" t="s">
        <v>106</v>
      </c>
      <c r="E1575" s="5" t="s">
        <v>107</v>
      </c>
      <c r="F1575" s="5" t="s">
        <v>147</v>
      </c>
      <c r="G1575" s="5" t="s">
        <v>148</v>
      </c>
      <c r="H1575" s="5" t="s">
        <v>108</v>
      </c>
      <c r="I1575" s="5" t="s">
        <v>82</v>
      </c>
      <c r="J1575" s="5" t="s">
        <v>150</v>
      </c>
      <c r="K1575" s="5" t="s">
        <v>110</v>
      </c>
      <c r="L1575" s="6">
        <v>45678</v>
      </c>
      <c r="M1575" s="6">
        <v>45673</v>
      </c>
      <c r="N1575" s="6" t="s">
        <v>811</v>
      </c>
      <c r="O1575" s="5" t="str">
        <f ca="1">IF(P1575&lt;&gt;"EXPEDIÇÃO","Expedido",IF(NETWORKDAYS(C1575,TODAY())&gt;=5,"Risco Alto",IF(NETWORKDAYS(C1575,TODAY())&gt;=3,IF(NETWORKDAYS(C1575,TODAY())&lt;5,"Risco Médio",""),IF(NETWORKDAYS(C1575,TODAY())&lt;=2,"Risco Baixo",""))))</f>
        <v>Expedido</v>
      </c>
      <c r="P1575" s="5" t="s">
        <v>25</v>
      </c>
      <c r="S1575" s="7">
        <f>IF(ISBLANK(M1575),"Aguardando Previsão/Data",NETWORKDAYS(L1575,M1575)-1)</f>
        <v>-5</v>
      </c>
      <c r="T1575" s="5" t="s">
        <v>942</v>
      </c>
    </row>
    <row r="1576" spans="1:20" x14ac:dyDescent="0.35">
      <c r="A1576" s="5">
        <v>8100275834</v>
      </c>
      <c r="B1576" s="5">
        <v>19190</v>
      </c>
      <c r="C1576" s="6">
        <v>45670</v>
      </c>
      <c r="D1576" s="5" t="s">
        <v>106</v>
      </c>
      <c r="E1576" s="5" t="s">
        <v>107</v>
      </c>
      <c r="F1576" s="5" t="s">
        <v>66</v>
      </c>
      <c r="G1576" s="5" t="s">
        <v>67</v>
      </c>
      <c r="H1576" s="5" t="s">
        <v>108</v>
      </c>
      <c r="I1576" s="5" t="s">
        <v>115</v>
      </c>
      <c r="J1576" s="5" t="s">
        <v>946</v>
      </c>
      <c r="K1576" s="5" t="s">
        <v>110</v>
      </c>
      <c r="L1576" s="6">
        <v>45678</v>
      </c>
      <c r="M1576" s="6">
        <v>45674</v>
      </c>
      <c r="N1576" s="6" t="s">
        <v>811</v>
      </c>
      <c r="O1576" s="5" t="str">
        <f ca="1">IF(P1576&lt;&gt;"EXPEDIÇÃO","Expedido",IF(NETWORKDAYS(C1576,TODAY())&gt;=5,"Risco Alto",IF(NETWORKDAYS(C1576,TODAY())&gt;=3,IF(NETWORKDAYS(C1576,TODAY())&lt;5,"Risco Médio",""),IF(NETWORKDAYS(C1576,TODAY())&lt;=2,"Risco Baixo",""))))</f>
        <v>Expedido</v>
      </c>
      <c r="P1576" s="5" t="s">
        <v>25</v>
      </c>
      <c r="Q1576" s="5" t="s">
        <v>897</v>
      </c>
      <c r="S1576" s="7">
        <f>IF(ISBLANK(M1576),"Aguardando Previsão/Data",NETWORKDAYS(L1576,M1576)-1)</f>
        <v>-4</v>
      </c>
      <c r="T1576" s="5" t="s">
        <v>942</v>
      </c>
    </row>
    <row r="1577" spans="1:20" x14ac:dyDescent="0.35">
      <c r="A1577" s="5">
        <v>8100275835</v>
      </c>
      <c r="B1577" s="5">
        <v>19201</v>
      </c>
      <c r="C1577" s="6">
        <v>45670</v>
      </c>
      <c r="D1577" s="5" t="s">
        <v>106</v>
      </c>
      <c r="E1577" s="5" t="s">
        <v>107</v>
      </c>
      <c r="F1577" s="5" t="s">
        <v>66</v>
      </c>
      <c r="G1577" s="5" t="s">
        <v>67</v>
      </c>
      <c r="H1577" s="5" t="s">
        <v>108</v>
      </c>
      <c r="I1577" s="5" t="s">
        <v>115</v>
      </c>
      <c r="J1577" s="5" t="s">
        <v>393</v>
      </c>
      <c r="K1577" s="5" t="s">
        <v>110</v>
      </c>
      <c r="L1577" s="6">
        <v>45678</v>
      </c>
      <c r="M1577" s="6">
        <v>45673</v>
      </c>
      <c r="N1577" s="6" t="s">
        <v>811</v>
      </c>
      <c r="O1577" s="5" t="str">
        <f ca="1">IF(P1577&lt;&gt;"EXPEDIÇÃO","Expedido",IF(NETWORKDAYS(C1577,TODAY())&gt;=5,"Risco Alto",IF(NETWORKDAYS(C1577,TODAY())&gt;=3,IF(NETWORKDAYS(C1577,TODAY())&lt;5,"Risco Médio",""),IF(NETWORKDAYS(C1577,TODAY())&lt;=2,"Risco Baixo",""))))</f>
        <v>Expedido</v>
      </c>
      <c r="P1577" s="5" t="s">
        <v>25</v>
      </c>
      <c r="S1577" s="7">
        <f>IF(ISBLANK(M1577),"Aguardando Previsão/Data",NETWORKDAYS(L1577,M1577)-1)</f>
        <v>-5</v>
      </c>
      <c r="T1577" s="5" t="s">
        <v>942</v>
      </c>
    </row>
    <row r="1578" spans="1:20" x14ac:dyDescent="0.35">
      <c r="A1578" s="5">
        <v>8100275836</v>
      </c>
      <c r="B1578" s="5">
        <v>19193</v>
      </c>
      <c r="C1578" s="6">
        <v>45670</v>
      </c>
      <c r="D1578" s="5" t="s">
        <v>106</v>
      </c>
      <c r="E1578" s="5" t="s">
        <v>107</v>
      </c>
      <c r="F1578" s="5" t="s">
        <v>147</v>
      </c>
      <c r="G1578" s="5" t="s">
        <v>148</v>
      </c>
      <c r="H1578" s="5" t="s">
        <v>108</v>
      </c>
      <c r="I1578" s="5" t="s">
        <v>82</v>
      </c>
      <c r="J1578" s="5" t="s">
        <v>449</v>
      </c>
      <c r="K1578" s="5" t="s">
        <v>110</v>
      </c>
      <c r="L1578" s="6">
        <v>45678</v>
      </c>
      <c r="M1578" s="6">
        <v>45673</v>
      </c>
      <c r="N1578" s="6" t="s">
        <v>811</v>
      </c>
      <c r="O1578" s="5" t="str">
        <f ca="1">IF(P1578&lt;&gt;"EXPEDIÇÃO","Expedido",IF(NETWORKDAYS(C1578,TODAY())&gt;=5,"Risco Alto",IF(NETWORKDAYS(C1578,TODAY())&gt;=3,IF(NETWORKDAYS(C1578,TODAY())&lt;5,"Risco Médio",""),IF(NETWORKDAYS(C1578,TODAY())&lt;=2,"Risco Baixo",""))))</f>
        <v>Expedido</v>
      </c>
      <c r="P1578" s="5" t="s">
        <v>25</v>
      </c>
      <c r="S1578" s="7">
        <f>IF(ISBLANK(M1578),"Aguardando Previsão/Data",NETWORKDAYS(L1578,M1578)-1)</f>
        <v>-5</v>
      </c>
      <c r="T1578" s="5" t="s">
        <v>942</v>
      </c>
    </row>
    <row r="1579" spans="1:20" x14ac:dyDescent="0.35">
      <c r="A1579" s="5">
        <v>8100275837</v>
      </c>
      <c r="B1579" s="5">
        <v>19194</v>
      </c>
      <c r="C1579" s="6">
        <v>45670</v>
      </c>
      <c r="D1579" s="5" t="s">
        <v>106</v>
      </c>
      <c r="E1579" s="5" t="s">
        <v>107</v>
      </c>
      <c r="F1579" s="5" t="s">
        <v>147</v>
      </c>
      <c r="G1579" s="5" t="s">
        <v>148</v>
      </c>
      <c r="H1579" s="5" t="s">
        <v>108</v>
      </c>
      <c r="I1579" s="5" t="s">
        <v>82</v>
      </c>
      <c r="J1579" s="5" t="s">
        <v>1149</v>
      </c>
      <c r="K1579" s="5" t="s">
        <v>110</v>
      </c>
      <c r="L1579" s="6">
        <v>45678</v>
      </c>
      <c r="M1579" s="6">
        <v>45674</v>
      </c>
      <c r="N1579" s="6" t="s">
        <v>811</v>
      </c>
      <c r="O1579" s="5" t="str">
        <f ca="1">IF(P1579&lt;&gt;"EXPEDIÇÃO","Expedido",IF(NETWORKDAYS(C1579,TODAY())&gt;=5,"Risco Alto",IF(NETWORKDAYS(C1579,TODAY())&gt;=3,IF(NETWORKDAYS(C1579,TODAY())&lt;5,"Risco Médio",""),IF(NETWORKDAYS(C1579,TODAY())&lt;=2,"Risco Baixo",""))))</f>
        <v>Expedido</v>
      </c>
      <c r="P1579" s="5" t="s">
        <v>25</v>
      </c>
      <c r="S1579" s="7">
        <f>IF(ISBLANK(M1579),"Aguardando Previsão/Data",NETWORKDAYS(L1579,M1579)-1)</f>
        <v>-4</v>
      </c>
      <c r="T1579" s="5" t="s">
        <v>942</v>
      </c>
    </row>
    <row r="1580" spans="1:20" x14ac:dyDescent="0.35">
      <c r="A1580" s="5">
        <v>8100275838</v>
      </c>
      <c r="B1580" s="5">
        <v>19189</v>
      </c>
      <c r="C1580" s="6">
        <v>45670</v>
      </c>
      <c r="D1580" s="5" t="s">
        <v>106</v>
      </c>
      <c r="E1580" s="5" t="s">
        <v>107</v>
      </c>
      <c r="F1580" s="5" t="s">
        <v>69</v>
      </c>
      <c r="G1580" s="5" t="s">
        <v>70</v>
      </c>
      <c r="H1580" s="5" t="s">
        <v>108</v>
      </c>
      <c r="I1580" s="5" t="s">
        <v>115</v>
      </c>
      <c r="J1580" s="5" t="s">
        <v>346</v>
      </c>
      <c r="K1580" s="5" t="s">
        <v>110</v>
      </c>
      <c r="L1580" s="6">
        <v>45677</v>
      </c>
      <c r="M1580" s="6">
        <v>45672</v>
      </c>
      <c r="N1580" s="6" t="s">
        <v>811</v>
      </c>
      <c r="O1580" s="5" t="str">
        <f ca="1">IF(P1580&lt;&gt;"EXPEDIÇÃO","Expedido",IF(NETWORKDAYS(C1580,TODAY())&gt;=5,"Risco Alto",IF(NETWORKDAYS(C1580,TODAY())&gt;=3,IF(NETWORKDAYS(C1580,TODAY())&lt;5,"Risco Médio",""),IF(NETWORKDAYS(C1580,TODAY())&lt;=2,"Risco Baixo",""))))</f>
        <v>Expedido</v>
      </c>
      <c r="P1580" s="5" t="s">
        <v>25</v>
      </c>
      <c r="S1580" s="7">
        <f>IF(ISBLANK(M1580),"Aguardando Previsão/Data",NETWORKDAYS(L1580,M1580)-1)</f>
        <v>-5</v>
      </c>
      <c r="T1580" s="5" t="s">
        <v>942</v>
      </c>
    </row>
    <row r="1581" spans="1:20" x14ac:dyDescent="0.35">
      <c r="A1581" s="5">
        <v>8100275839</v>
      </c>
      <c r="B1581" s="5">
        <v>19200</v>
      </c>
      <c r="C1581" s="6">
        <v>45670</v>
      </c>
      <c r="D1581" s="5" t="s">
        <v>106</v>
      </c>
      <c r="E1581" s="5" t="s">
        <v>107</v>
      </c>
      <c r="F1581" s="5" t="s">
        <v>69</v>
      </c>
      <c r="G1581" s="5" t="s">
        <v>70</v>
      </c>
      <c r="H1581" s="5" t="s">
        <v>108</v>
      </c>
      <c r="I1581" s="5" t="s">
        <v>115</v>
      </c>
      <c r="J1581" s="5" t="s">
        <v>116</v>
      </c>
      <c r="K1581" s="5" t="s">
        <v>110</v>
      </c>
      <c r="L1581" s="6">
        <v>45677</v>
      </c>
      <c r="M1581" s="6">
        <v>45673</v>
      </c>
      <c r="N1581" s="6" t="s">
        <v>811</v>
      </c>
      <c r="O1581" s="5" t="str">
        <f ca="1">IF(P1581&lt;&gt;"EXPEDIÇÃO","Expedido",IF(NETWORKDAYS(C1581,TODAY())&gt;=5,"Risco Alto",IF(NETWORKDAYS(C1581,TODAY())&gt;=3,IF(NETWORKDAYS(C1581,TODAY())&lt;5,"Risco Médio",""),IF(NETWORKDAYS(C1581,TODAY())&lt;=2,"Risco Baixo",""))))</f>
        <v>Expedido</v>
      </c>
      <c r="P1581" s="5" t="s">
        <v>25</v>
      </c>
      <c r="S1581" s="7">
        <f>IF(ISBLANK(M1581),"Aguardando Previsão/Data",NETWORKDAYS(L1581,M1581)-1)</f>
        <v>-4</v>
      </c>
      <c r="T1581" s="5" t="s">
        <v>942</v>
      </c>
    </row>
    <row r="1582" spans="1:20" x14ac:dyDescent="0.35">
      <c r="A1582" s="5">
        <v>8100275840</v>
      </c>
      <c r="B1582" s="5">
        <v>19185</v>
      </c>
      <c r="C1582" s="6">
        <v>45670</v>
      </c>
      <c r="D1582" s="5" t="s">
        <v>106</v>
      </c>
      <c r="E1582" s="5" t="s">
        <v>107</v>
      </c>
      <c r="F1582" s="5" t="s">
        <v>69</v>
      </c>
      <c r="G1582" s="5" t="s">
        <v>70</v>
      </c>
      <c r="H1582" s="5" t="s">
        <v>108</v>
      </c>
      <c r="I1582" s="5" t="s">
        <v>115</v>
      </c>
      <c r="J1582" s="5" t="s">
        <v>344</v>
      </c>
      <c r="K1582" s="5" t="s">
        <v>110</v>
      </c>
      <c r="L1582" s="6">
        <v>45677</v>
      </c>
      <c r="M1582" s="6">
        <v>45672</v>
      </c>
      <c r="N1582" s="6" t="s">
        <v>811</v>
      </c>
      <c r="O1582" s="5" t="str">
        <f ca="1">IF(P1582&lt;&gt;"EXPEDIÇÃO","Expedido",IF(NETWORKDAYS(C1582,TODAY())&gt;=5,"Risco Alto",IF(NETWORKDAYS(C1582,TODAY())&gt;=3,IF(NETWORKDAYS(C1582,TODAY())&lt;5,"Risco Médio",""),IF(NETWORKDAYS(C1582,TODAY())&lt;=2,"Risco Baixo",""))))</f>
        <v>Expedido</v>
      </c>
      <c r="P1582" s="5" t="s">
        <v>25</v>
      </c>
      <c r="S1582" s="7">
        <f>IF(ISBLANK(M1582),"Aguardando Previsão/Data",NETWORKDAYS(L1582,M1582)-1)</f>
        <v>-5</v>
      </c>
      <c r="T1582" s="5" t="s">
        <v>942</v>
      </c>
    </row>
    <row r="1583" spans="1:20" x14ac:dyDescent="0.35">
      <c r="A1583" s="5">
        <v>8100275841</v>
      </c>
      <c r="B1583" s="5">
        <v>19184</v>
      </c>
      <c r="C1583" s="6">
        <v>45670</v>
      </c>
      <c r="D1583" s="5" t="s">
        <v>106</v>
      </c>
      <c r="E1583" s="5" t="s">
        <v>107</v>
      </c>
      <c r="F1583" s="5" t="s">
        <v>69</v>
      </c>
      <c r="G1583" s="5" t="s">
        <v>70</v>
      </c>
      <c r="H1583" s="5" t="s">
        <v>108</v>
      </c>
      <c r="I1583" s="5" t="s">
        <v>115</v>
      </c>
      <c r="J1583" s="5" t="s">
        <v>343</v>
      </c>
      <c r="K1583" s="5" t="s">
        <v>110</v>
      </c>
      <c r="L1583" s="6">
        <v>45678</v>
      </c>
      <c r="M1583" s="6">
        <v>45674</v>
      </c>
      <c r="N1583" s="6" t="s">
        <v>811</v>
      </c>
      <c r="O1583" s="5" t="str">
        <f ca="1">IF(P1583&lt;&gt;"EXPEDIÇÃO","Expedido",IF(NETWORKDAYS(C1583,TODAY())&gt;=5,"Risco Alto",IF(NETWORKDAYS(C1583,TODAY())&gt;=3,IF(NETWORKDAYS(C1583,TODAY())&lt;5,"Risco Médio",""),IF(NETWORKDAYS(C1583,TODAY())&lt;=2,"Risco Baixo",""))))</f>
        <v>Expedido</v>
      </c>
      <c r="P1583" s="5" t="s">
        <v>25</v>
      </c>
      <c r="S1583" s="7">
        <f>IF(ISBLANK(M1583),"Aguardando Previsão/Data",NETWORKDAYS(L1583,M1583)-1)</f>
        <v>-4</v>
      </c>
      <c r="T1583" s="5" t="s">
        <v>942</v>
      </c>
    </row>
    <row r="1584" spans="1:20" x14ac:dyDescent="0.35">
      <c r="A1584" s="5">
        <v>8100275842</v>
      </c>
      <c r="B1584" s="5">
        <v>19198</v>
      </c>
      <c r="C1584" s="6">
        <v>45670</v>
      </c>
      <c r="D1584" s="5" t="s">
        <v>106</v>
      </c>
      <c r="E1584" s="5" t="s">
        <v>107</v>
      </c>
      <c r="F1584" s="5" t="s">
        <v>69</v>
      </c>
      <c r="G1584" s="5" t="s">
        <v>70</v>
      </c>
      <c r="H1584" s="5" t="s">
        <v>108</v>
      </c>
      <c r="I1584" s="5" t="s">
        <v>115</v>
      </c>
      <c r="J1584" s="5" t="s">
        <v>143</v>
      </c>
      <c r="K1584" s="5" t="s">
        <v>110</v>
      </c>
      <c r="L1584" s="6">
        <v>45677</v>
      </c>
      <c r="M1584" s="6">
        <v>45678</v>
      </c>
      <c r="N1584" s="6" t="s">
        <v>811</v>
      </c>
      <c r="O1584" s="5" t="str">
        <f ca="1">IF(P1584&lt;&gt;"EXPEDIÇÃO","Expedido",IF(NETWORKDAYS(C1584,TODAY())&gt;=5,"Risco Alto",IF(NETWORKDAYS(C1584,TODAY())&gt;=3,IF(NETWORKDAYS(C1584,TODAY())&lt;5,"Risco Médio",""),IF(NETWORKDAYS(C1584,TODAY())&lt;=2,"Risco Baixo",""))))</f>
        <v>Expedido</v>
      </c>
      <c r="P1584" s="5" t="s">
        <v>25</v>
      </c>
      <c r="Q1584" s="5" t="s">
        <v>897</v>
      </c>
      <c r="S1584" s="7">
        <f>IF(ISBLANK(M1584),"Aguardando Previsão/Data",NETWORKDAYS(L1584,M1584)-1)</f>
        <v>1</v>
      </c>
      <c r="T1584" s="5" t="s">
        <v>942</v>
      </c>
    </row>
    <row r="1585" spans="1:20" x14ac:dyDescent="0.35">
      <c r="A1585" s="5">
        <v>8100275843</v>
      </c>
      <c r="B1585" s="5">
        <v>19186</v>
      </c>
      <c r="C1585" s="6">
        <v>45670</v>
      </c>
      <c r="D1585" s="5" t="s">
        <v>106</v>
      </c>
      <c r="E1585" s="5" t="s">
        <v>107</v>
      </c>
      <c r="F1585" s="5" t="s">
        <v>69</v>
      </c>
      <c r="G1585" s="5" t="s">
        <v>70</v>
      </c>
      <c r="H1585" s="5" t="s">
        <v>108</v>
      </c>
      <c r="I1585" s="5" t="s">
        <v>115</v>
      </c>
      <c r="J1585" s="5" t="s">
        <v>345</v>
      </c>
      <c r="K1585" s="5" t="s">
        <v>110</v>
      </c>
      <c r="L1585" s="6">
        <v>45678</v>
      </c>
      <c r="M1585" s="6">
        <v>45672</v>
      </c>
      <c r="N1585" s="6" t="s">
        <v>811</v>
      </c>
      <c r="O1585" s="5" t="str">
        <f ca="1">IF(P1585&lt;&gt;"EXPEDIÇÃO","Expedido",IF(NETWORKDAYS(C1585,TODAY())&gt;=5,"Risco Alto",IF(NETWORKDAYS(C1585,TODAY())&gt;=3,IF(NETWORKDAYS(C1585,TODAY())&lt;5,"Risco Médio",""),IF(NETWORKDAYS(C1585,TODAY())&lt;=2,"Risco Baixo",""))))</f>
        <v>Expedido</v>
      </c>
      <c r="P1585" s="5" t="s">
        <v>25</v>
      </c>
      <c r="S1585" s="7">
        <f>IF(ISBLANK(M1585),"Aguardando Previsão/Data",NETWORKDAYS(L1585,M1585)-1)</f>
        <v>-6</v>
      </c>
      <c r="T1585" s="5" t="s">
        <v>942</v>
      </c>
    </row>
    <row r="1586" spans="1:20" x14ac:dyDescent="0.35">
      <c r="A1586" s="5">
        <v>8100275844</v>
      </c>
      <c r="B1586" s="5">
        <v>19187</v>
      </c>
      <c r="C1586" s="6">
        <v>45670</v>
      </c>
      <c r="D1586" s="5" t="s">
        <v>106</v>
      </c>
      <c r="E1586" s="5" t="s">
        <v>107</v>
      </c>
      <c r="F1586" s="5" t="s">
        <v>69</v>
      </c>
      <c r="G1586" s="5" t="s">
        <v>70</v>
      </c>
      <c r="H1586" s="5" t="s">
        <v>108</v>
      </c>
      <c r="I1586" s="5" t="s">
        <v>701</v>
      </c>
      <c r="J1586" s="5" t="s">
        <v>124</v>
      </c>
      <c r="K1586" s="5" t="s">
        <v>110</v>
      </c>
      <c r="L1586" s="6">
        <v>45678</v>
      </c>
      <c r="M1586" s="6">
        <v>45672</v>
      </c>
      <c r="N1586" s="6" t="s">
        <v>811</v>
      </c>
      <c r="O1586" s="5" t="str">
        <f ca="1">IF(P1586&lt;&gt;"EXPEDIÇÃO","Expedido",IF(NETWORKDAYS(C1586,TODAY())&gt;=5,"Risco Alto",IF(NETWORKDAYS(C1586,TODAY())&gt;=3,IF(NETWORKDAYS(C1586,TODAY())&lt;5,"Risco Médio",""),IF(NETWORKDAYS(C1586,TODAY())&lt;=2,"Risco Baixo",""))))</f>
        <v>Expedido</v>
      </c>
      <c r="P1586" s="5" t="s">
        <v>25</v>
      </c>
      <c r="S1586" s="7">
        <f>IF(ISBLANK(M1586),"Aguardando Previsão/Data",NETWORKDAYS(L1586,M1586)-1)</f>
        <v>-6</v>
      </c>
      <c r="T1586" s="5" t="s">
        <v>942</v>
      </c>
    </row>
    <row r="1587" spans="1:20" x14ac:dyDescent="0.35">
      <c r="A1587" s="5">
        <v>8100275545</v>
      </c>
      <c r="B1587" s="5">
        <v>19163</v>
      </c>
      <c r="C1587" s="6">
        <v>45670</v>
      </c>
      <c r="D1587" s="5" t="s">
        <v>106</v>
      </c>
      <c r="E1587" s="5" t="s">
        <v>107</v>
      </c>
      <c r="F1587" s="5" t="s">
        <v>69</v>
      </c>
      <c r="G1587" s="5" t="s">
        <v>70</v>
      </c>
      <c r="H1587" s="5" t="s">
        <v>108</v>
      </c>
      <c r="I1587" s="5" t="s">
        <v>278</v>
      </c>
      <c r="J1587" s="5" t="s">
        <v>279</v>
      </c>
      <c r="K1587" s="5" t="s">
        <v>110</v>
      </c>
      <c r="L1587" s="6">
        <v>45677</v>
      </c>
      <c r="M1587" s="6">
        <v>45681</v>
      </c>
      <c r="N1587" s="6" t="s">
        <v>811</v>
      </c>
      <c r="O1587" s="5" t="str">
        <f ca="1">IF(P1587&lt;&gt;"EXPEDIÇÃO","Expedido",IF(NETWORKDAYS(C1587,TODAY())&gt;=5,"Risco Alto",IF(NETWORKDAYS(C1587,TODAY())&gt;=3,IF(NETWORKDAYS(C1587,TODAY())&lt;5,"Risco Médio",""),IF(NETWORKDAYS(C1587,TODAY())&lt;=2,"Risco Baixo",""))))</f>
        <v>Expedido</v>
      </c>
      <c r="P1587" s="5" t="s">
        <v>25</v>
      </c>
      <c r="Q1587" s="5" t="s">
        <v>897</v>
      </c>
      <c r="R1587" s="5" t="s">
        <v>1424</v>
      </c>
      <c r="S1587" s="7">
        <f>IF(ISBLANK(M1587),"Aguardando Previsão/Data",NETWORKDAYS(L1587,M1587)-1)</f>
        <v>4</v>
      </c>
      <c r="T1587" s="5" t="s">
        <v>942</v>
      </c>
    </row>
    <row r="1588" spans="1:20" x14ac:dyDescent="0.35">
      <c r="A1588" s="5">
        <v>8100275135</v>
      </c>
      <c r="B1588" s="5">
        <v>7122</v>
      </c>
      <c r="C1588" s="6">
        <v>45670</v>
      </c>
      <c r="D1588" s="5" t="s">
        <v>194</v>
      </c>
      <c r="E1588" s="5" t="s">
        <v>195</v>
      </c>
      <c r="F1588" s="5" t="s">
        <v>199</v>
      </c>
      <c r="G1588" s="5" t="s">
        <v>200</v>
      </c>
      <c r="H1588" s="5" t="s">
        <v>108</v>
      </c>
      <c r="I1588" s="5" t="s">
        <v>1292</v>
      </c>
      <c r="J1588" s="5" t="s">
        <v>690</v>
      </c>
      <c r="K1588" s="5" t="s">
        <v>198</v>
      </c>
      <c r="L1588" s="6">
        <v>45678</v>
      </c>
      <c r="M1588" s="6">
        <v>45681</v>
      </c>
      <c r="N1588" s="6" t="s">
        <v>812</v>
      </c>
      <c r="O1588" s="5" t="str">
        <f ca="1">IF(P1588&lt;&gt;"EXPEDIÇÃO","Expedido",IF(NETWORKDAYS(C1588,TODAY())&gt;=5,"Risco Alto",IF(NETWORKDAYS(C1588,TODAY())&gt;=3,IF(NETWORKDAYS(C1588,TODAY())&lt;5,"Risco Médio",""),IF(NETWORKDAYS(C1588,TODAY())&lt;=2,"Risco Baixo",""))))</f>
        <v>Expedido</v>
      </c>
      <c r="P1588" s="5" t="s">
        <v>25</v>
      </c>
      <c r="Q1588" s="5" t="s">
        <v>899</v>
      </c>
      <c r="S1588" s="7">
        <f>IF(ISBLANK(M1588),"Aguardando Previsão/Data",NETWORKDAYS(L1588,M1588)-1)</f>
        <v>3</v>
      </c>
      <c r="T1588" s="5" t="s">
        <v>942</v>
      </c>
    </row>
    <row r="1589" spans="1:20" x14ac:dyDescent="0.35">
      <c r="A1589" s="5">
        <v>8100275013</v>
      </c>
      <c r="B1589" s="5">
        <v>7121</v>
      </c>
      <c r="C1589" s="6">
        <v>45670</v>
      </c>
      <c r="D1589" s="5" t="s">
        <v>194</v>
      </c>
      <c r="E1589" s="5" t="s">
        <v>195</v>
      </c>
      <c r="F1589" s="5" t="s">
        <v>69</v>
      </c>
      <c r="G1589" s="5" t="s">
        <v>70</v>
      </c>
      <c r="H1589" s="5" t="s">
        <v>108</v>
      </c>
      <c r="I1589" s="5" t="s">
        <v>311</v>
      </c>
      <c r="J1589" s="5" t="s">
        <v>202</v>
      </c>
      <c r="K1589" s="5" t="s">
        <v>198</v>
      </c>
      <c r="L1589" s="6">
        <v>45677</v>
      </c>
      <c r="M1589" s="6">
        <v>45674</v>
      </c>
      <c r="N1589" s="6" t="s">
        <v>811</v>
      </c>
      <c r="O1589" s="5" t="str">
        <f ca="1">IF(P1589&lt;&gt;"EXPEDIÇÃO","Expedido",IF(NETWORKDAYS(C1589,TODAY())&gt;=5,"Risco Alto",IF(NETWORKDAYS(C1589,TODAY())&gt;=3,IF(NETWORKDAYS(C1589,TODAY())&lt;5,"Risco Médio",""),IF(NETWORKDAYS(C1589,TODAY())&lt;=2,"Risco Baixo",""))))</f>
        <v>Expedido</v>
      </c>
      <c r="P1589" s="5" t="s">
        <v>25</v>
      </c>
      <c r="Q1589" s="5" t="s">
        <v>1366</v>
      </c>
      <c r="S1589" s="7">
        <f>IF(ISBLANK(M1589),"Aguardando Previsão/Data",NETWORKDAYS(L1589,M1589)-1)</f>
        <v>-3</v>
      </c>
      <c r="T1589" s="5" t="s">
        <v>942</v>
      </c>
    </row>
    <row r="1590" spans="1:20" x14ac:dyDescent="0.35">
      <c r="A1590" s="5">
        <v>8100275137</v>
      </c>
      <c r="B1590" s="5">
        <v>7127</v>
      </c>
      <c r="C1590" s="6">
        <v>45670</v>
      </c>
      <c r="D1590" s="5" t="s">
        <v>194</v>
      </c>
      <c r="E1590" s="5" t="s">
        <v>195</v>
      </c>
      <c r="F1590" s="5" t="s">
        <v>406</v>
      </c>
      <c r="G1590" s="5" t="s">
        <v>407</v>
      </c>
      <c r="H1590" s="5" t="s">
        <v>108</v>
      </c>
      <c r="I1590" s="5" t="s">
        <v>1102</v>
      </c>
      <c r="J1590" s="5" t="s">
        <v>290</v>
      </c>
      <c r="K1590" s="5" t="s">
        <v>198</v>
      </c>
      <c r="L1590" s="6">
        <v>45674</v>
      </c>
      <c r="M1590" s="6">
        <v>45673</v>
      </c>
      <c r="N1590" s="6" t="s">
        <v>811</v>
      </c>
      <c r="O1590" s="5" t="str">
        <f ca="1">IF(P1590&lt;&gt;"EXPEDIÇÃO","Expedido",IF(NETWORKDAYS(C1590,TODAY())&gt;=5,"Risco Alto",IF(NETWORKDAYS(C1590,TODAY())&gt;=3,IF(NETWORKDAYS(C1590,TODAY())&lt;5,"Risco Médio",""),IF(NETWORKDAYS(C1590,TODAY())&lt;=2,"Risco Baixo",""))))</f>
        <v>Expedido</v>
      </c>
      <c r="P1590" s="5" t="s">
        <v>25</v>
      </c>
      <c r="S1590" s="7">
        <f>IF(ISBLANK(M1590),"Aguardando Previsão/Data",NETWORKDAYS(L1590,M1590)-1)</f>
        <v>-3</v>
      </c>
      <c r="T1590" s="5" t="s">
        <v>942</v>
      </c>
    </row>
    <row r="1591" spans="1:20" x14ac:dyDescent="0.35">
      <c r="A1591" s="5">
        <v>8100275165</v>
      </c>
      <c r="B1591" s="5">
        <v>7123</v>
      </c>
      <c r="C1591" s="6">
        <v>45670</v>
      </c>
      <c r="D1591" s="5" t="s">
        <v>194</v>
      </c>
      <c r="E1591" s="5" t="s">
        <v>195</v>
      </c>
      <c r="F1591" s="5" t="s">
        <v>199</v>
      </c>
      <c r="G1591" s="5" t="s">
        <v>200</v>
      </c>
      <c r="H1591" s="5" t="s">
        <v>108</v>
      </c>
      <c r="I1591" s="5" t="s">
        <v>731</v>
      </c>
      <c r="J1591" s="5" t="s">
        <v>200</v>
      </c>
      <c r="K1591" s="5" t="s">
        <v>198</v>
      </c>
      <c r="L1591" s="6">
        <v>45677</v>
      </c>
      <c r="M1591" s="6">
        <v>45678</v>
      </c>
      <c r="N1591" s="6" t="s">
        <v>812</v>
      </c>
      <c r="O1591" s="5" t="str">
        <f ca="1">IF(P1591&lt;&gt;"EXPEDIÇÃO","Expedido",IF(NETWORKDAYS(C1591,TODAY())&gt;=5,"Risco Alto",IF(NETWORKDAYS(C1591,TODAY())&gt;=3,IF(NETWORKDAYS(C1591,TODAY())&lt;5,"Risco Médio",""),IF(NETWORKDAYS(C1591,TODAY())&lt;=2,"Risco Baixo",""))))</f>
        <v>Expedido</v>
      </c>
      <c r="P1591" s="5" t="s">
        <v>25</v>
      </c>
      <c r="Q1591" s="5" t="s">
        <v>1416</v>
      </c>
      <c r="S1591" s="7">
        <f>IF(ISBLANK(M1591),"Aguardando Previsão/Data",NETWORKDAYS(L1591,M1591)-1)</f>
        <v>1</v>
      </c>
      <c r="T1591" s="5" t="s">
        <v>942</v>
      </c>
    </row>
    <row r="1592" spans="1:20" x14ac:dyDescent="0.35">
      <c r="A1592" s="5">
        <v>8100275171</v>
      </c>
      <c r="B1592" s="5">
        <v>7116</v>
      </c>
      <c r="C1592" s="6">
        <v>45670</v>
      </c>
      <c r="D1592" s="5" t="s">
        <v>723</v>
      </c>
      <c r="E1592" s="5" t="s">
        <v>195</v>
      </c>
      <c r="F1592" s="5" t="s">
        <v>724</v>
      </c>
      <c r="G1592" s="5" t="s">
        <v>725</v>
      </c>
      <c r="H1592" s="5" t="s">
        <v>108</v>
      </c>
      <c r="I1592" s="5" t="s">
        <v>868</v>
      </c>
      <c r="J1592" s="5" t="s">
        <v>691</v>
      </c>
      <c r="K1592" s="5" t="s">
        <v>198</v>
      </c>
      <c r="L1592" s="6">
        <v>45677</v>
      </c>
      <c r="M1592" s="6">
        <v>45670</v>
      </c>
      <c r="N1592" s="6" t="s">
        <v>811</v>
      </c>
      <c r="O1592" s="5" t="str">
        <f ca="1">IF(P1592&lt;&gt;"EXPEDIÇÃO","Expedido",IF(NETWORKDAYS(C1592,TODAY())&gt;=5,"Risco Alto",IF(NETWORKDAYS(C1592,TODAY())&gt;=3,IF(NETWORKDAYS(C1592,TODAY())&lt;5,"Risco Médio",""),IF(NETWORKDAYS(C1592,TODAY())&lt;=2,"Risco Baixo",""))))</f>
        <v>Expedido</v>
      </c>
      <c r="P1592" s="5" t="s">
        <v>25</v>
      </c>
      <c r="S1592" s="7">
        <f>IF(ISBLANK(M1592),"Aguardando Previsão/Data",NETWORKDAYS(L1592,M1592)-1)</f>
        <v>-7</v>
      </c>
      <c r="T1592" s="5" t="s">
        <v>942</v>
      </c>
    </row>
    <row r="1593" spans="1:20" x14ac:dyDescent="0.35">
      <c r="A1593" s="5">
        <v>8100275172</v>
      </c>
      <c r="B1593" s="5">
        <v>7117</v>
      </c>
      <c r="C1593" s="6">
        <v>45670</v>
      </c>
      <c r="D1593" s="5" t="s">
        <v>723</v>
      </c>
      <c r="E1593" s="5" t="s">
        <v>195</v>
      </c>
      <c r="F1593" s="5" t="s">
        <v>724</v>
      </c>
      <c r="G1593" s="5" t="s">
        <v>725</v>
      </c>
      <c r="H1593" s="5" t="s">
        <v>108</v>
      </c>
      <c r="I1593" s="5" t="s">
        <v>868</v>
      </c>
      <c r="J1593" s="5" t="s">
        <v>691</v>
      </c>
      <c r="K1593" s="5" t="s">
        <v>198</v>
      </c>
      <c r="L1593" s="6">
        <v>45677</v>
      </c>
      <c r="M1593" s="6">
        <v>45670</v>
      </c>
      <c r="N1593" s="6" t="s">
        <v>811</v>
      </c>
      <c r="O1593" s="5" t="str">
        <f ca="1">IF(P1593&lt;&gt;"EXPEDIÇÃO","Expedido",IF(NETWORKDAYS(C1593,TODAY())&gt;=5,"Risco Alto",IF(NETWORKDAYS(C1593,TODAY())&gt;=3,IF(NETWORKDAYS(C1593,TODAY())&lt;5,"Risco Médio",""),IF(NETWORKDAYS(C1593,TODAY())&lt;=2,"Risco Baixo",""))))</f>
        <v>Expedido</v>
      </c>
      <c r="P1593" s="5" t="s">
        <v>25</v>
      </c>
      <c r="S1593" s="7">
        <f>IF(ISBLANK(M1593),"Aguardando Previsão/Data",NETWORKDAYS(L1593,M1593)-1)</f>
        <v>-7</v>
      </c>
      <c r="T1593" s="5" t="s">
        <v>942</v>
      </c>
    </row>
    <row r="1594" spans="1:20" x14ac:dyDescent="0.35">
      <c r="A1594" s="5">
        <v>8100275179</v>
      </c>
      <c r="B1594" s="5">
        <v>7126</v>
      </c>
      <c r="C1594" s="6">
        <v>45670</v>
      </c>
      <c r="D1594" s="5" t="s">
        <v>194</v>
      </c>
      <c r="E1594" s="5" t="s">
        <v>195</v>
      </c>
      <c r="F1594" s="5" t="s">
        <v>199</v>
      </c>
      <c r="G1594" s="5" t="s">
        <v>200</v>
      </c>
      <c r="H1594" s="5" t="s">
        <v>108</v>
      </c>
      <c r="I1594" s="5" t="s">
        <v>1295</v>
      </c>
      <c r="J1594" s="5" t="s">
        <v>205</v>
      </c>
      <c r="K1594" s="5" t="s">
        <v>198</v>
      </c>
      <c r="L1594" s="6">
        <v>45678</v>
      </c>
      <c r="M1594" s="6">
        <v>45675</v>
      </c>
      <c r="N1594" s="6" t="s">
        <v>811</v>
      </c>
      <c r="O1594" s="5" t="str">
        <f ca="1">IF(P1594&lt;&gt;"EXPEDIÇÃO","Expedido",IF(NETWORKDAYS(C1594,TODAY())&gt;=5,"Risco Alto",IF(NETWORKDAYS(C1594,TODAY())&gt;=3,IF(NETWORKDAYS(C1594,TODAY())&lt;5,"Risco Médio",""),IF(NETWORKDAYS(C1594,TODAY())&lt;=2,"Risco Baixo",""))))</f>
        <v>Expedido</v>
      </c>
      <c r="P1594" s="5" t="s">
        <v>25</v>
      </c>
      <c r="S1594" s="7">
        <f>IF(ISBLANK(M1594),"Aguardando Previsão/Data",NETWORKDAYS(L1594,M1594)-1)</f>
        <v>-3</v>
      </c>
      <c r="T1594" s="5" t="s">
        <v>942</v>
      </c>
    </row>
    <row r="1595" spans="1:20" x14ac:dyDescent="0.35">
      <c r="A1595" s="5">
        <v>8100275201</v>
      </c>
      <c r="B1595" s="5">
        <v>7128</v>
      </c>
      <c r="C1595" s="6">
        <v>45670</v>
      </c>
      <c r="D1595" s="5" t="s">
        <v>194</v>
      </c>
      <c r="E1595" s="5" t="s">
        <v>195</v>
      </c>
      <c r="F1595" s="5" t="s">
        <v>199</v>
      </c>
      <c r="G1595" s="5" t="s">
        <v>200</v>
      </c>
      <c r="H1595" s="5" t="s">
        <v>108</v>
      </c>
      <c r="I1595" s="5" t="s">
        <v>1283</v>
      </c>
      <c r="J1595" s="5" t="s">
        <v>628</v>
      </c>
      <c r="K1595" s="5" t="s">
        <v>198</v>
      </c>
      <c r="L1595" s="6">
        <v>45678</v>
      </c>
      <c r="M1595" s="6">
        <v>45674</v>
      </c>
      <c r="N1595" s="6" t="s">
        <v>811</v>
      </c>
      <c r="O1595" s="5" t="str">
        <f ca="1">IF(P1595&lt;&gt;"EXPEDIÇÃO","Expedido",IF(NETWORKDAYS(C1595,TODAY())&gt;=5,"Risco Alto",IF(NETWORKDAYS(C1595,TODAY())&gt;=3,IF(NETWORKDAYS(C1595,TODAY())&lt;5,"Risco Médio",""),IF(NETWORKDAYS(C1595,TODAY())&lt;=2,"Risco Baixo",""))))</f>
        <v>Expedido</v>
      </c>
      <c r="P1595" s="5" t="s">
        <v>25</v>
      </c>
      <c r="Q1595" s="5" t="s">
        <v>1365</v>
      </c>
      <c r="R1595" s="5">
        <v>3087600</v>
      </c>
      <c r="S1595" s="7">
        <f>IF(ISBLANK(M1595),"Aguardando Previsão/Data",NETWORKDAYS(L1595,M1595)-1)</f>
        <v>-4</v>
      </c>
      <c r="T1595" s="5" t="s">
        <v>942</v>
      </c>
    </row>
    <row r="1596" spans="1:20" x14ac:dyDescent="0.35">
      <c r="A1596" s="5">
        <v>8100275327</v>
      </c>
      <c r="B1596" s="5">
        <v>7125</v>
      </c>
      <c r="C1596" s="6">
        <v>45670</v>
      </c>
      <c r="D1596" s="5" t="s">
        <v>194</v>
      </c>
      <c r="E1596" s="5" t="s">
        <v>195</v>
      </c>
      <c r="F1596" s="5" t="s">
        <v>406</v>
      </c>
      <c r="G1596" s="5" t="s">
        <v>407</v>
      </c>
      <c r="H1596" s="5" t="s">
        <v>108</v>
      </c>
      <c r="I1596" s="5" t="s">
        <v>633</v>
      </c>
      <c r="J1596" s="5" t="s">
        <v>407</v>
      </c>
      <c r="K1596" s="5" t="s">
        <v>198</v>
      </c>
      <c r="L1596" s="6">
        <v>45674</v>
      </c>
      <c r="M1596" s="6">
        <v>45673</v>
      </c>
      <c r="N1596" s="6" t="s">
        <v>811</v>
      </c>
      <c r="O1596" s="5" t="str">
        <f ca="1">IF(P1596&lt;&gt;"EXPEDIÇÃO","Expedido",IF(NETWORKDAYS(C1596,TODAY())&gt;=5,"Risco Alto",IF(NETWORKDAYS(C1596,TODAY())&gt;=3,IF(NETWORKDAYS(C1596,TODAY())&lt;5,"Risco Médio",""),IF(NETWORKDAYS(C1596,TODAY())&lt;=2,"Risco Baixo",""))))</f>
        <v>Expedido</v>
      </c>
      <c r="P1596" s="5" t="s">
        <v>25</v>
      </c>
      <c r="S1596" s="7">
        <f>IF(ISBLANK(M1596),"Aguardando Previsão/Data",NETWORKDAYS(L1596,M1596)-1)</f>
        <v>-3</v>
      </c>
      <c r="T1596" s="5" t="s">
        <v>942</v>
      </c>
    </row>
    <row r="1597" spans="1:20" x14ac:dyDescent="0.35">
      <c r="A1597" s="5">
        <v>8100275379</v>
      </c>
      <c r="B1597" s="5">
        <v>7119</v>
      </c>
      <c r="C1597" s="6">
        <v>45670</v>
      </c>
      <c r="D1597" s="5" t="s">
        <v>723</v>
      </c>
      <c r="E1597" s="5" t="s">
        <v>195</v>
      </c>
      <c r="F1597" s="5" t="s">
        <v>724</v>
      </c>
      <c r="G1597" s="5" t="s">
        <v>725</v>
      </c>
      <c r="H1597" s="5" t="s">
        <v>108</v>
      </c>
      <c r="I1597" s="5" t="s">
        <v>1201</v>
      </c>
      <c r="J1597" s="5" t="s">
        <v>1202</v>
      </c>
      <c r="K1597" s="5" t="s">
        <v>198</v>
      </c>
      <c r="L1597" s="6">
        <v>45677</v>
      </c>
      <c r="M1597" s="6">
        <v>45670</v>
      </c>
      <c r="N1597" s="6" t="s">
        <v>811</v>
      </c>
      <c r="O1597" s="5" t="str">
        <f ca="1">IF(P1597&lt;&gt;"EXPEDIÇÃO","Expedido",IF(NETWORKDAYS(C1597,TODAY())&gt;=5,"Risco Alto",IF(NETWORKDAYS(C1597,TODAY())&gt;=3,IF(NETWORKDAYS(C1597,TODAY())&lt;5,"Risco Médio",""),IF(NETWORKDAYS(C1597,TODAY())&lt;=2,"Risco Baixo",""))))</f>
        <v>Expedido</v>
      </c>
      <c r="P1597" s="5" t="s">
        <v>25</v>
      </c>
      <c r="S1597" s="7">
        <f>IF(ISBLANK(M1597),"Aguardando Previsão/Data",NETWORKDAYS(L1597,M1597)-1)</f>
        <v>-7</v>
      </c>
      <c r="T1597" s="5" t="s">
        <v>942</v>
      </c>
    </row>
    <row r="1598" spans="1:20" x14ac:dyDescent="0.35">
      <c r="A1598" s="5">
        <v>8100275390</v>
      </c>
      <c r="B1598" s="5">
        <v>7118</v>
      </c>
      <c r="C1598" s="6">
        <v>45670</v>
      </c>
      <c r="D1598" s="5" t="s">
        <v>723</v>
      </c>
      <c r="E1598" s="5" t="s">
        <v>195</v>
      </c>
      <c r="F1598" s="5" t="s">
        <v>724</v>
      </c>
      <c r="G1598" s="5" t="s">
        <v>725</v>
      </c>
      <c r="H1598" s="5" t="s">
        <v>108</v>
      </c>
      <c r="I1598" s="5" t="s">
        <v>832</v>
      </c>
      <c r="J1598" s="5" t="s">
        <v>407</v>
      </c>
      <c r="K1598" s="5" t="s">
        <v>198</v>
      </c>
      <c r="L1598" s="6">
        <v>45674</v>
      </c>
      <c r="M1598" s="6">
        <v>45670</v>
      </c>
      <c r="N1598" s="6" t="s">
        <v>811</v>
      </c>
      <c r="O1598" s="5" t="str">
        <f ca="1">IF(P1598&lt;&gt;"EXPEDIÇÃO","Expedido",IF(NETWORKDAYS(C1598,TODAY())&gt;=5,"Risco Alto",IF(NETWORKDAYS(C1598,TODAY())&gt;=3,IF(NETWORKDAYS(C1598,TODAY())&lt;5,"Risco Médio",""),IF(NETWORKDAYS(C1598,TODAY())&lt;=2,"Risco Baixo",""))))</f>
        <v>Expedido</v>
      </c>
      <c r="P1598" s="5" t="s">
        <v>25</v>
      </c>
      <c r="S1598" s="7">
        <f>IF(ISBLANK(M1598),"Aguardando Previsão/Data",NETWORKDAYS(L1598,M1598)-1)</f>
        <v>-6</v>
      </c>
      <c r="T1598" s="5" t="s">
        <v>942</v>
      </c>
    </row>
    <row r="1599" spans="1:20" x14ac:dyDescent="0.35">
      <c r="A1599" s="5">
        <v>8100275393</v>
      </c>
      <c r="B1599" s="5">
        <v>7120</v>
      </c>
      <c r="C1599" s="6">
        <v>45670</v>
      </c>
      <c r="D1599" s="5" t="s">
        <v>723</v>
      </c>
      <c r="E1599" s="5" t="s">
        <v>195</v>
      </c>
      <c r="F1599" s="5" t="s">
        <v>724</v>
      </c>
      <c r="G1599" s="5" t="s">
        <v>725</v>
      </c>
      <c r="H1599" s="5" t="s">
        <v>108</v>
      </c>
      <c r="I1599" s="5" t="s">
        <v>1201</v>
      </c>
      <c r="J1599" s="5" t="s">
        <v>1202</v>
      </c>
      <c r="K1599" s="5" t="s">
        <v>198</v>
      </c>
      <c r="L1599" s="6">
        <v>45677</v>
      </c>
      <c r="M1599" s="6">
        <v>45670</v>
      </c>
      <c r="N1599" s="6" t="s">
        <v>811</v>
      </c>
      <c r="O1599" s="5" t="str">
        <f ca="1">IF(P1599&lt;&gt;"EXPEDIÇÃO","Expedido",IF(NETWORKDAYS(C1599,TODAY())&gt;=5,"Risco Alto",IF(NETWORKDAYS(C1599,TODAY())&gt;=3,IF(NETWORKDAYS(C1599,TODAY())&lt;5,"Risco Médio",""),IF(NETWORKDAYS(C1599,TODAY())&lt;=2,"Risco Baixo",""))))</f>
        <v>Expedido</v>
      </c>
      <c r="P1599" s="5" t="s">
        <v>25</v>
      </c>
      <c r="S1599" s="7">
        <f>IF(ISBLANK(M1599),"Aguardando Previsão/Data",NETWORKDAYS(L1599,M1599)-1)</f>
        <v>-7</v>
      </c>
      <c r="T1599" s="5" t="s">
        <v>942</v>
      </c>
    </row>
    <row r="1600" spans="1:20" x14ac:dyDescent="0.35">
      <c r="A1600" s="5">
        <v>8100275516</v>
      </c>
      <c r="B1600" s="5">
        <v>7124</v>
      </c>
      <c r="C1600" s="6">
        <v>45670</v>
      </c>
      <c r="D1600" s="5" t="s">
        <v>723</v>
      </c>
      <c r="E1600" s="5" t="s">
        <v>195</v>
      </c>
      <c r="F1600" s="5" t="s">
        <v>724</v>
      </c>
      <c r="G1600" s="5" t="s">
        <v>725</v>
      </c>
      <c r="H1600" s="5" t="s">
        <v>108</v>
      </c>
      <c r="I1600" s="5" t="s">
        <v>920</v>
      </c>
      <c r="J1600" s="5" t="s">
        <v>408</v>
      </c>
      <c r="K1600" s="5" t="s">
        <v>198</v>
      </c>
      <c r="L1600" s="6">
        <v>45674</v>
      </c>
      <c r="M1600" s="6">
        <v>45670</v>
      </c>
      <c r="N1600" s="6" t="s">
        <v>811</v>
      </c>
      <c r="O1600" s="5" t="str">
        <f ca="1">IF(P1600&lt;&gt;"EXPEDIÇÃO","Expedido",IF(NETWORKDAYS(C1600,TODAY())&gt;=5,"Risco Alto",IF(NETWORKDAYS(C1600,TODAY())&gt;=3,IF(NETWORKDAYS(C1600,TODAY())&lt;5,"Risco Médio",""),IF(NETWORKDAYS(C1600,TODAY())&lt;=2,"Risco Baixo",""))))</f>
        <v>Expedido</v>
      </c>
      <c r="P1600" s="5" t="s">
        <v>25</v>
      </c>
      <c r="S1600" s="7">
        <f>IF(ISBLANK(M1600),"Aguardando Previsão/Data",NETWORKDAYS(L1600,M1600)-1)</f>
        <v>-6</v>
      </c>
      <c r="T1600" s="5" t="s">
        <v>942</v>
      </c>
    </row>
    <row r="1601" spans="1:20" x14ac:dyDescent="0.35">
      <c r="A1601" s="5">
        <v>8100275202</v>
      </c>
      <c r="B1601" s="5">
        <v>14367</v>
      </c>
      <c r="C1601" s="6">
        <v>45670</v>
      </c>
      <c r="D1601" s="5" t="s">
        <v>211</v>
      </c>
      <c r="E1601" s="5" t="s">
        <v>212</v>
      </c>
      <c r="F1601" s="5" t="s">
        <v>171</v>
      </c>
      <c r="G1601" s="5" t="s">
        <v>172</v>
      </c>
      <c r="H1601" s="5" t="s">
        <v>108</v>
      </c>
      <c r="I1601" s="5" t="s">
        <v>276</v>
      </c>
      <c r="J1601" s="5" t="s">
        <v>277</v>
      </c>
      <c r="K1601" s="5" t="s">
        <v>170</v>
      </c>
      <c r="L1601" s="6">
        <v>45679</v>
      </c>
      <c r="M1601" s="6">
        <v>45680</v>
      </c>
      <c r="N1601" s="6" t="s">
        <v>812</v>
      </c>
      <c r="O1601" s="5" t="str">
        <f ca="1">IF(P1601&lt;&gt;"EXPEDIÇÃO","Expedido",IF(NETWORKDAYS(C1601,TODAY())&gt;=5,"Risco Alto",IF(NETWORKDAYS(C1601,TODAY())&gt;=3,IF(NETWORKDAYS(C1601,TODAY())&lt;5,"Risco Médio",""),IF(NETWORKDAYS(C1601,TODAY())&lt;=2,"Risco Baixo",""))))</f>
        <v>Expedido</v>
      </c>
      <c r="P1601" s="5" t="s">
        <v>25</v>
      </c>
      <c r="Q1601" s="5" t="s">
        <v>809</v>
      </c>
      <c r="S1601" s="7">
        <f>IF(ISBLANK(M1601),"Aguardando Previsão/Data",NETWORKDAYS(L1601,M1601)-1)</f>
        <v>1</v>
      </c>
      <c r="T1601" s="5" t="s">
        <v>942</v>
      </c>
    </row>
    <row r="1602" spans="1:20" x14ac:dyDescent="0.35">
      <c r="A1602" s="5">
        <v>8100275527</v>
      </c>
      <c r="B1602" s="5">
        <v>14369</v>
      </c>
      <c r="C1602" s="6">
        <v>45670</v>
      </c>
      <c r="D1602" s="5" t="s">
        <v>211</v>
      </c>
      <c r="E1602" s="5" t="s">
        <v>212</v>
      </c>
      <c r="F1602" s="5" t="s">
        <v>66</v>
      </c>
      <c r="G1602" s="5" t="s">
        <v>67</v>
      </c>
      <c r="H1602" s="5" t="s">
        <v>108</v>
      </c>
      <c r="I1602" s="5" t="s">
        <v>154</v>
      </c>
      <c r="J1602" s="5" t="s">
        <v>155</v>
      </c>
      <c r="K1602" s="5" t="s">
        <v>156</v>
      </c>
      <c r="L1602" s="6">
        <v>45679</v>
      </c>
      <c r="M1602" s="6">
        <v>45674</v>
      </c>
      <c r="N1602" s="6" t="s">
        <v>811</v>
      </c>
      <c r="O1602" s="5" t="str">
        <f ca="1">IF(P1602&lt;&gt;"EXPEDIÇÃO","Expedido",IF(NETWORKDAYS(C1602,TODAY())&gt;=5,"Risco Alto",IF(NETWORKDAYS(C1602,TODAY())&gt;=3,IF(NETWORKDAYS(C1602,TODAY())&lt;5,"Risco Médio",""),IF(NETWORKDAYS(C1602,TODAY())&lt;=2,"Risco Baixo",""))))</f>
        <v>Expedido</v>
      </c>
      <c r="P1602" s="5" t="s">
        <v>25</v>
      </c>
      <c r="S1602" s="7">
        <f>IF(ISBLANK(M1602),"Aguardando Previsão/Data",NETWORKDAYS(L1602,M1602)-1)</f>
        <v>-5</v>
      </c>
      <c r="T1602" s="5" t="s">
        <v>942</v>
      </c>
    </row>
    <row r="1603" spans="1:20" x14ac:dyDescent="0.35">
      <c r="A1603" s="5">
        <v>8100275528</v>
      </c>
      <c r="B1603" s="5">
        <v>14371</v>
      </c>
      <c r="C1603" s="6">
        <v>45670</v>
      </c>
      <c r="D1603" s="5" t="s">
        <v>211</v>
      </c>
      <c r="E1603" s="5" t="s">
        <v>212</v>
      </c>
      <c r="F1603" s="5" t="s">
        <v>58</v>
      </c>
      <c r="G1603" s="5" t="s">
        <v>59</v>
      </c>
      <c r="H1603" s="5" t="s">
        <v>108</v>
      </c>
      <c r="I1603" s="5" t="s">
        <v>1137</v>
      </c>
      <c r="J1603" s="5" t="s">
        <v>1138</v>
      </c>
      <c r="K1603" s="5" t="s">
        <v>156</v>
      </c>
      <c r="L1603" s="6">
        <v>45679</v>
      </c>
      <c r="M1603" s="6">
        <v>45677</v>
      </c>
      <c r="N1603" s="6" t="s">
        <v>811</v>
      </c>
      <c r="O1603" s="5" t="str">
        <f ca="1">IF(P1603&lt;&gt;"EXPEDIÇÃO","Expedido",IF(NETWORKDAYS(C1603,TODAY())&gt;=5,"Risco Alto",IF(NETWORKDAYS(C1603,TODAY())&gt;=3,IF(NETWORKDAYS(C1603,TODAY())&lt;5,"Risco Médio",""),IF(NETWORKDAYS(C1603,TODAY())&lt;=2,"Risco Baixo",""))))</f>
        <v>Expedido</v>
      </c>
      <c r="P1603" s="5" t="s">
        <v>25</v>
      </c>
      <c r="S1603" s="7">
        <f>IF(ISBLANK(M1603),"Aguardando Previsão/Data",NETWORKDAYS(L1603,M1603)-1)</f>
        <v>-4</v>
      </c>
      <c r="T1603" s="5" t="s">
        <v>942</v>
      </c>
    </row>
    <row r="1604" spans="1:20" x14ac:dyDescent="0.35">
      <c r="A1604" s="5">
        <v>8100275529</v>
      </c>
      <c r="B1604" s="5">
        <v>14366</v>
      </c>
      <c r="C1604" s="6">
        <v>45670</v>
      </c>
      <c r="D1604" s="5" t="s">
        <v>211</v>
      </c>
      <c r="E1604" s="5" t="s">
        <v>212</v>
      </c>
      <c r="F1604" s="5" t="s">
        <v>58</v>
      </c>
      <c r="G1604" s="5" t="s">
        <v>59</v>
      </c>
      <c r="H1604" s="5" t="s">
        <v>108</v>
      </c>
      <c r="I1604" s="5" t="s">
        <v>1139</v>
      </c>
      <c r="J1604" s="5" t="s">
        <v>1140</v>
      </c>
      <c r="K1604" s="5" t="s">
        <v>119</v>
      </c>
      <c r="L1604" s="6">
        <v>45677</v>
      </c>
      <c r="M1604" s="6">
        <v>45673</v>
      </c>
      <c r="N1604" s="6" t="s">
        <v>811</v>
      </c>
      <c r="O1604" s="5" t="str">
        <f ca="1">IF(P1604&lt;&gt;"EXPEDIÇÃO","Expedido",IF(NETWORKDAYS(C1604,TODAY())&gt;=5,"Risco Alto",IF(NETWORKDAYS(C1604,TODAY())&gt;=3,IF(NETWORKDAYS(C1604,TODAY())&lt;5,"Risco Médio",""),IF(NETWORKDAYS(C1604,TODAY())&lt;=2,"Risco Baixo",""))))</f>
        <v>Expedido</v>
      </c>
      <c r="P1604" s="5" t="s">
        <v>25</v>
      </c>
      <c r="S1604" s="7">
        <f>IF(ISBLANK(M1604),"Aguardando Previsão/Data",NETWORKDAYS(L1604,M1604)-1)</f>
        <v>-4</v>
      </c>
      <c r="T1604" s="5" t="s">
        <v>942</v>
      </c>
    </row>
    <row r="1605" spans="1:20" x14ac:dyDescent="0.35">
      <c r="A1605" s="5">
        <v>8100275530</v>
      </c>
      <c r="B1605" s="5">
        <v>14365</v>
      </c>
      <c r="C1605" s="6">
        <v>45670</v>
      </c>
      <c r="D1605" s="5" t="s">
        <v>211</v>
      </c>
      <c r="E1605" s="5" t="s">
        <v>212</v>
      </c>
      <c r="F1605" s="5" t="s">
        <v>58</v>
      </c>
      <c r="G1605" s="5" t="s">
        <v>59</v>
      </c>
      <c r="H1605" s="5" t="s">
        <v>108</v>
      </c>
      <c r="I1605" s="5" t="s">
        <v>1141</v>
      </c>
      <c r="J1605" s="5" t="s">
        <v>1142</v>
      </c>
      <c r="K1605" s="5" t="s">
        <v>119</v>
      </c>
      <c r="L1605" s="6">
        <v>45677</v>
      </c>
      <c r="M1605" s="6">
        <v>45673</v>
      </c>
      <c r="N1605" s="6" t="s">
        <v>811</v>
      </c>
      <c r="O1605" s="5" t="str">
        <f ca="1">IF(P1605&lt;&gt;"EXPEDIÇÃO","Expedido",IF(NETWORKDAYS(C1605,TODAY())&gt;=5,"Risco Alto",IF(NETWORKDAYS(C1605,TODAY())&gt;=3,IF(NETWORKDAYS(C1605,TODAY())&lt;5,"Risco Médio",""),IF(NETWORKDAYS(C1605,TODAY())&lt;=2,"Risco Baixo",""))))</f>
        <v>Expedido</v>
      </c>
      <c r="P1605" s="5" t="s">
        <v>25</v>
      </c>
      <c r="S1605" s="7">
        <f>IF(ISBLANK(M1605),"Aguardando Previsão/Data",NETWORKDAYS(L1605,M1605)-1)</f>
        <v>-4</v>
      </c>
      <c r="T1605" s="5" t="s">
        <v>942</v>
      </c>
    </row>
    <row r="1606" spans="1:20" x14ac:dyDescent="0.35">
      <c r="A1606" s="5">
        <v>8100275531</v>
      </c>
      <c r="B1606" s="5">
        <v>14368</v>
      </c>
      <c r="C1606" s="6">
        <v>45670</v>
      </c>
      <c r="D1606" s="5" t="s">
        <v>211</v>
      </c>
      <c r="E1606" s="5" t="s">
        <v>212</v>
      </c>
      <c r="F1606" s="5" t="s">
        <v>167</v>
      </c>
      <c r="G1606" s="5" t="s">
        <v>168</v>
      </c>
      <c r="H1606" s="5" t="s">
        <v>108</v>
      </c>
      <c r="I1606" s="5" t="s">
        <v>888</v>
      </c>
      <c r="J1606" s="5" t="s">
        <v>889</v>
      </c>
      <c r="K1606" s="5" t="s">
        <v>170</v>
      </c>
      <c r="L1606" s="6">
        <v>45678</v>
      </c>
      <c r="M1606" s="6">
        <v>45678</v>
      </c>
      <c r="O1606" s="5" t="str">
        <f ca="1">IF(P1606&lt;&gt;"EXPEDIÇÃO","Expedido",IF(NETWORKDAYS(C1606,TODAY())&gt;=5,"Risco Alto",IF(NETWORKDAYS(C1606,TODAY())&gt;=3,IF(NETWORKDAYS(C1606,TODAY())&lt;5,"Risco Médio",""),IF(NETWORKDAYS(C1606,TODAY())&lt;=2,"Risco Baixo",""))))</f>
        <v>Expedido</v>
      </c>
      <c r="P1606" s="5" t="s">
        <v>629</v>
      </c>
      <c r="S1606" s="7">
        <f>IF(ISBLANK(M1606),"Aguardando Previsão/Data",NETWORKDAYS(L1606,M1606)-1)</f>
        <v>0</v>
      </c>
      <c r="T1606" s="5" t="s">
        <v>942</v>
      </c>
    </row>
    <row r="1607" spans="1:20" x14ac:dyDescent="0.35">
      <c r="A1607" s="5">
        <v>8100275532</v>
      </c>
      <c r="B1607" s="5">
        <v>14370</v>
      </c>
      <c r="C1607" s="6">
        <v>45670</v>
      </c>
      <c r="D1607" s="5" t="s">
        <v>211</v>
      </c>
      <c r="E1607" s="5" t="s">
        <v>212</v>
      </c>
      <c r="F1607" s="5" t="s">
        <v>66</v>
      </c>
      <c r="G1607" s="5" t="s">
        <v>67</v>
      </c>
      <c r="H1607" s="5" t="s">
        <v>108</v>
      </c>
      <c r="I1607" s="5" t="s">
        <v>154</v>
      </c>
      <c r="J1607" s="5" t="s">
        <v>155</v>
      </c>
      <c r="K1607" s="5" t="s">
        <v>156</v>
      </c>
      <c r="L1607" s="6">
        <v>45679</v>
      </c>
      <c r="M1607" s="6">
        <v>45674</v>
      </c>
      <c r="N1607" s="6" t="s">
        <v>811</v>
      </c>
      <c r="O1607" s="5" t="str">
        <f ca="1">IF(P1607&lt;&gt;"EXPEDIÇÃO","Expedido",IF(NETWORKDAYS(C1607,TODAY())&gt;=5,"Risco Alto",IF(NETWORKDAYS(C1607,TODAY())&gt;=3,IF(NETWORKDAYS(C1607,TODAY())&lt;5,"Risco Médio",""),IF(NETWORKDAYS(C1607,TODAY())&lt;=2,"Risco Baixo",""))))</f>
        <v>Expedido</v>
      </c>
      <c r="P1607" s="5" t="s">
        <v>25</v>
      </c>
      <c r="S1607" s="7">
        <f>IF(ISBLANK(M1607),"Aguardando Previsão/Data",NETWORKDAYS(L1607,M1607)-1)</f>
        <v>-5</v>
      </c>
      <c r="T1607" s="5" t="s">
        <v>942</v>
      </c>
    </row>
    <row r="1608" spans="1:20" x14ac:dyDescent="0.35">
      <c r="A1608" s="8">
        <v>8100275367</v>
      </c>
      <c r="B1608" s="5">
        <v>12227</v>
      </c>
      <c r="C1608" s="6">
        <v>45670</v>
      </c>
      <c r="D1608" s="5" t="s">
        <v>158</v>
      </c>
      <c r="E1608" s="5" t="s">
        <v>159</v>
      </c>
      <c r="F1608" s="5" t="s">
        <v>176</v>
      </c>
      <c r="G1608" s="5" t="s">
        <v>177</v>
      </c>
      <c r="H1608" s="5" t="s">
        <v>108</v>
      </c>
      <c r="I1608" s="5" t="s">
        <v>299</v>
      </c>
      <c r="J1608" s="5" t="s">
        <v>300</v>
      </c>
      <c r="K1608" s="5" t="s">
        <v>175</v>
      </c>
      <c r="L1608" s="6">
        <v>45680</v>
      </c>
      <c r="M1608" s="6">
        <v>45681</v>
      </c>
      <c r="N1608" s="6" t="s">
        <v>811</v>
      </c>
      <c r="O1608" s="5" t="str">
        <f ca="1">IF(P1608&lt;&gt;"EXPEDIÇÃO","Expedido",IF(NETWORKDAYS(C1608,TODAY())&gt;=5,"Risco Alto",IF(NETWORKDAYS(C1608,TODAY())&gt;=3,IF(NETWORKDAYS(C1608,TODAY())&lt;5,"Risco Médio",""),IF(NETWORKDAYS(C1608,TODAY())&lt;=2,"Risco Baixo",""))))</f>
        <v>Expedido</v>
      </c>
      <c r="P1608" s="5" t="s">
        <v>25</v>
      </c>
      <c r="Q1608" s="5" t="s">
        <v>897</v>
      </c>
      <c r="S1608" s="7">
        <f>IF(ISBLANK(M1608),"Aguardando Previsão/Data",NETWORKDAYS(L1608,M1608)-1)</f>
        <v>1</v>
      </c>
      <c r="T1608" s="5" t="s">
        <v>942</v>
      </c>
    </row>
    <row r="1609" spans="1:20" x14ac:dyDescent="0.35">
      <c r="A1609" s="8">
        <v>8100275371</v>
      </c>
      <c r="B1609" s="5">
        <v>12228</v>
      </c>
      <c r="C1609" s="6">
        <v>45670</v>
      </c>
      <c r="D1609" s="5" t="s">
        <v>158</v>
      </c>
      <c r="E1609" s="5" t="s">
        <v>159</v>
      </c>
      <c r="F1609" s="5" t="s">
        <v>176</v>
      </c>
      <c r="G1609" s="5" t="s">
        <v>177</v>
      </c>
      <c r="H1609" s="5" t="s">
        <v>108</v>
      </c>
      <c r="I1609" s="5" t="s">
        <v>299</v>
      </c>
      <c r="J1609" s="5" t="s">
        <v>300</v>
      </c>
      <c r="K1609" s="5" t="s">
        <v>175</v>
      </c>
      <c r="L1609" s="6">
        <v>45680</v>
      </c>
      <c r="M1609" s="6">
        <v>45681</v>
      </c>
      <c r="N1609" s="6" t="s">
        <v>811</v>
      </c>
      <c r="O1609" s="5" t="str">
        <f ca="1">IF(P1609&lt;&gt;"EXPEDIÇÃO","Expedido",IF(NETWORKDAYS(C1609,TODAY())&gt;=5,"Risco Alto",IF(NETWORKDAYS(C1609,TODAY())&gt;=3,IF(NETWORKDAYS(C1609,TODAY())&lt;5,"Risco Médio",""),IF(NETWORKDAYS(C1609,TODAY())&lt;=2,"Risco Baixo",""))))</f>
        <v>Expedido</v>
      </c>
      <c r="P1609" s="5" t="s">
        <v>25</v>
      </c>
      <c r="Q1609" s="5" t="s">
        <v>897</v>
      </c>
      <c r="S1609" s="7">
        <f>IF(ISBLANK(M1609),"Aguardando Previsão/Data",NETWORKDAYS(L1609,M1609)-1)</f>
        <v>1</v>
      </c>
      <c r="T1609" s="5" t="s">
        <v>942</v>
      </c>
    </row>
    <row r="1610" spans="1:20" x14ac:dyDescent="0.35">
      <c r="A1610" s="5">
        <v>8100275681</v>
      </c>
      <c r="B1610" s="5">
        <v>12241</v>
      </c>
      <c r="C1610" s="6">
        <v>45670</v>
      </c>
      <c r="D1610" s="5" t="s">
        <v>158</v>
      </c>
      <c r="E1610" s="5" t="s">
        <v>159</v>
      </c>
      <c r="F1610" s="5" t="s">
        <v>176</v>
      </c>
      <c r="G1610" s="5" t="s">
        <v>177</v>
      </c>
      <c r="H1610" s="5" t="s">
        <v>108</v>
      </c>
      <c r="I1610" s="5" t="s">
        <v>894</v>
      </c>
      <c r="J1610" s="5" t="s">
        <v>895</v>
      </c>
      <c r="K1610" s="5" t="s">
        <v>175</v>
      </c>
      <c r="L1610" s="6">
        <v>45680</v>
      </c>
      <c r="M1610" s="6">
        <v>45681</v>
      </c>
      <c r="N1610" s="6" t="s">
        <v>812</v>
      </c>
      <c r="O1610" s="5" t="str">
        <f ca="1">IF(P1610&lt;&gt;"EXPEDIÇÃO","Expedido",IF(NETWORKDAYS(C1610,TODAY())&gt;=5,"Risco Alto",IF(NETWORKDAYS(C1610,TODAY())&gt;=3,IF(NETWORKDAYS(C1610,TODAY())&lt;5,"Risco Médio",""),IF(NETWORKDAYS(C1610,TODAY())&lt;=2,"Risco Baixo",""))))</f>
        <v>Expedido</v>
      </c>
      <c r="P1610" s="5" t="s">
        <v>25</v>
      </c>
      <c r="Q1610" s="5" t="s">
        <v>810</v>
      </c>
      <c r="R1610" s="5">
        <v>3100685</v>
      </c>
      <c r="S1610" s="7">
        <f>IF(ISBLANK(M1610),"Aguardando Previsão/Data",NETWORKDAYS(L1610,M1610)-1)</f>
        <v>1</v>
      </c>
      <c r="T1610" s="5" t="s">
        <v>942</v>
      </c>
    </row>
    <row r="1611" spans="1:20" x14ac:dyDescent="0.35">
      <c r="A1611" s="5">
        <v>8100274854</v>
      </c>
      <c r="B1611" s="5">
        <v>12219</v>
      </c>
      <c r="C1611" s="6">
        <v>45670</v>
      </c>
      <c r="D1611" s="5" t="s">
        <v>158</v>
      </c>
      <c r="E1611" s="5" t="s">
        <v>159</v>
      </c>
      <c r="F1611" s="5" t="s">
        <v>136</v>
      </c>
      <c r="G1611" s="5" t="s">
        <v>137</v>
      </c>
      <c r="H1611" s="5" t="s">
        <v>108</v>
      </c>
      <c r="I1611" s="5" t="s">
        <v>404</v>
      </c>
      <c r="J1611" s="5" t="s">
        <v>405</v>
      </c>
      <c r="K1611" s="5" t="s">
        <v>170</v>
      </c>
      <c r="L1611" s="6">
        <v>45677</v>
      </c>
      <c r="M1611" s="6">
        <v>45673</v>
      </c>
      <c r="N1611" s="6" t="s">
        <v>811</v>
      </c>
      <c r="O1611" s="5" t="str">
        <f ca="1">IF(P1611&lt;&gt;"EXPEDIÇÃO","Expedido",IF(NETWORKDAYS(C1611,TODAY())&gt;=5,"Risco Alto",IF(NETWORKDAYS(C1611,TODAY())&gt;=3,IF(NETWORKDAYS(C1611,TODAY())&lt;5,"Risco Médio",""),IF(NETWORKDAYS(C1611,TODAY())&lt;=2,"Risco Baixo",""))))</f>
        <v>Expedido</v>
      </c>
      <c r="P1611" s="5" t="s">
        <v>25</v>
      </c>
      <c r="S1611" s="7">
        <f>IF(ISBLANK(M1611),"Aguardando Previsão/Data",NETWORKDAYS(L1611,M1611)-1)</f>
        <v>-4</v>
      </c>
      <c r="T1611" s="5" t="s">
        <v>942</v>
      </c>
    </row>
    <row r="1612" spans="1:20" x14ac:dyDescent="0.35">
      <c r="A1612" s="8">
        <v>8100275011</v>
      </c>
      <c r="B1612" s="5">
        <v>12218</v>
      </c>
      <c r="C1612" s="6">
        <v>45670</v>
      </c>
      <c r="D1612" s="5" t="s">
        <v>158</v>
      </c>
      <c r="E1612" s="5" t="s">
        <v>159</v>
      </c>
      <c r="F1612" s="5" t="s">
        <v>176</v>
      </c>
      <c r="G1612" s="5" t="s">
        <v>177</v>
      </c>
      <c r="H1612" s="5" t="s">
        <v>108</v>
      </c>
      <c r="I1612" s="5" t="s">
        <v>191</v>
      </c>
      <c r="J1612" s="5" t="s">
        <v>192</v>
      </c>
      <c r="K1612" s="5" t="s">
        <v>175</v>
      </c>
      <c r="L1612" s="6">
        <v>45679</v>
      </c>
      <c r="M1612" s="6">
        <v>45678</v>
      </c>
      <c r="N1612" s="6" t="s">
        <v>811</v>
      </c>
      <c r="O1612" s="5" t="str">
        <f ca="1">IF(P1612&lt;&gt;"EXPEDIÇÃO","Expedido",IF(NETWORKDAYS(C1612,TODAY())&gt;=5,"Risco Alto",IF(NETWORKDAYS(C1612,TODAY())&gt;=3,IF(NETWORKDAYS(C1612,TODAY())&lt;5,"Risco Médio",""),IF(NETWORKDAYS(C1612,TODAY())&lt;=2,"Risco Baixo",""))))</f>
        <v>Expedido</v>
      </c>
      <c r="P1612" s="5" t="s">
        <v>25</v>
      </c>
      <c r="Q1612" s="5" t="s">
        <v>810</v>
      </c>
      <c r="R1612" s="5">
        <v>3095212</v>
      </c>
      <c r="S1612" s="7">
        <f>IF(ISBLANK(M1612),"Aguardando Previsão/Data",NETWORKDAYS(L1612,M1612)-1)</f>
        <v>-3</v>
      </c>
      <c r="T1612" s="5" t="s">
        <v>942</v>
      </c>
    </row>
    <row r="1613" spans="1:20" x14ac:dyDescent="0.35">
      <c r="A1613" s="5">
        <v>8100275157</v>
      </c>
      <c r="B1613" s="5">
        <v>12222</v>
      </c>
      <c r="C1613" s="6">
        <v>45670</v>
      </c>
      <c r="D1613" s="5" t="s">
        <v>158</v>
      </c>
      <c r="E1613" s="5" t="s">
        <v>159</v>
      </c>
      <c r="F1613" s="5" t="s">
        <v>171</v>
      </c>
      <c r="G1613" s="5" t="s">
        <v>172</v>
      </c>
      <c r="H1613" s="5" t="s">
        <v>108</v>
      </c>
      <c r="I1613" s="5" t="s">
        <v>307</v>
      </c>
      <c r="J1613" s="5" t="s">
        <v>172</v>
      </c>
      <c r="K1613" s="5" t="s">
        <v>170</v>
      </c>
      <c r="L1613" s="6">
        <v>45677</v>
      </c>
      <c r="M1613" s="6">
        <v>45677</v>
      </c>
      <c r="N1613" s="6" t="s">
        <v>811</v>
      </c>
      <c r="O1613" s="5" t="str">
        <f ca="1">IF(P1613&lt;&gt;"EXPEDIÇÃO","Expedido",IF(NETWORKDAYS(C1613,TODAY())&gt;=5,"Risco Alto",IF(NETWORKDAYS(C1613,TODAY())&gt;=3,IF(NETWORKDAYS(C1613,TODAY())&lt;5,"Risco Médio",""),IF(NETWORKDAYS(C1613,TODAY())&lt;=2,"Risco Baixo",""))))</f>
        <v>Expedido</v>
      </c>
      <c r="P1613" s="5" t="s">
        <v>25</v>
      </c>
      <c r="S1613" s="7">
        <f>IF(ISBLANK(M1613),"Aguardando Previsão/Data",NETWORKDAYS(L1613,M1613)-1)</f>
        <v>0</v>
      </c>
      <c r="T1613" s="5" t="s">
        <v>942</v>
      </c>
    </row>
    <row r="1614" spans="1:20" x14ac:dyDescent="0.35">
      <c r="A1614" s="5">
        <v>8100275360</v>
      </c>
      <c r="B1614" s="5">
        <v>12230</v>
      </c>
      <c r="C1614" s="6">
        <v>45670</v>
      </c>
      <c r="D1614" s="5" t="s">
        <v>158</v>
      </c>
      <c r="E1614" s="5" t="s">
        <v>159</v>
      </c>
      <c r="F1614" s="5" t="s">
        <v>176</v>
      </c>
      <c r="G1614" s="5" t="s">
        <v>177</v>
      </c>
      <c r="H1614" s="5" t="s">
        <v>108</v>
      </c>
      <c r="I1614" s="5" t="s">
        <v>915</v>
      </c>
      <c r="J1614" s="5" t="s">
        <v>301</v>
      </c>
      <c r="K1614" s="5" t="s">
        <v>175</v>
      </c>
      <c r="L1614" s="6">
        <v>45678</v>
      </c>
      <c r="M1614" s="6">
        <v>45674</v>
      </c>
      <c r="N1614" s="6" t="s">
        <v>811</v>
      </c>
      <c r="O1614" s="5" t="str">
        <f ca="1">IF(P1614&lt;&gt;"EXPEDIÇÃO","Expedido",IF(NETWORKDAYS(C1614,TODAY())&gt;=5,"Risco Alto",IF(NETWORKDAYS(C1614,TODAY())&gt;=3,IF(NETWORKDAYS(C1614,TODAY())&lt;5,"Risco Médio",""),IF(NETWORKDAYS(C1614,TODAY())&lt;=2,"Risco Baixo",""))))</f>
        <v>Expedido</v>
      </c>
      <c r="P1614" s="5" t="s">
        <v>25</v>
      </c>
      <c r="S1614" s="7">
        <f>IF(ISBLANK(M1614),"Aguardando Previsão/Data",NETWORKDAYS(L1614,M1614)-1)</f>
        <v>-4</v>
      </c>
      <c r="T1614" s="5" t="s">
        <v>942</v>
      </c>
    </row>
    <row r="1615" spans="1:20" x14ac:dyDescent="0.35">
      <c r="A1615" s="5">
        <v>8100275361</v>
      </c>
      <c r="B1615" s="5">
        <v>12231</v>
      </c>
      <c r="C1615" s="6">
        <v>45670</v>
      </c>
      <c r="D1615" s="5" t="s">
        <v>158</v>
      </c>
      <c r="E1615" s="5" t="s">
        <v>159</v>
      </c>
      <c r="F1615" s="5" t="s">
        <v>176</v>
      </c>
      <c r="G1615" s="5" t="s">
        <v>177</v>
      </c>
      <c r="H1615" s="5" t="s">
        <v>108</v>
      </c>
      <c r="I1615" s="5" t="s">
        <v>915</v>
      </c>
      <c r="J1615" s="5" t="s">
        <v>301</v>
      </c>
      <c r="K1615" s="5" t="s">
        <v>175</v>
      </c>
      <c r="L1615" s="6">
        <v>45678</v>
      </c>
      <c r="M1615" s="6">
        <v>45674</v>
      </c>
      <c r="N1615" s="6" t="s">
        <v>811</v>
      </c>
      <c r="O1615" s="5" t="str">
        <f ca="1">IF(P1615&lt;&gt;"EXPEDIÇÃO","Expedido",IF(NETWORKDAYS(C1615,TODAY())&gt;=5,"Risco Alto",IF(NETWORKDAYS(C1615,TODAY())&gt;=3,IF(NETWORKDAYS(C1615,TODAY())&lt;5,"Risco Médio",""),IF(NETWORKDAYS(C1615,TODAY())&lt;=2,"Risco Baixo",""))))</f>
        <v>Expedido</v>
      </c>
      <c r="P1615" s="5" t="s">
        <v>25</v>
      </c>
      <c r="S1615" s="7">
        <f>IF(ISBLANK(M1615),"Aguardando Previsão/Data",NETWORKDAYS(L1615,M1615)-1)</f>
        <v>-4</v>
      </c>
      <c r="T1615" s="5" t="s">
        <v>942</v>
      </c>
    </row>
    <row r="1616" spans="1:20" x14ac:dyDescent="0.35">
      <c r="A1616" s="5">
        <v>8100275363</v>
      </c>
      <c r="B1616" s="5">
        <v>12229</v>
      </c>
      <c r="C1616" s="6">
        <v>45670</v>
      </c>
      <c r="D1616" s="5" t="s">
        <v>158</v>
      </c>
      <c r="E1616" s="5" t="s">
        <v>159</v>
      </c>
      <c r="F1616" s="5" t="s">
        <v>176</v>
      </c>
      <c r="G1616" s="5" t="s">
        <v>177</v>
      </c>
      <c r="H1616" s="5" t="s">
        <v>108</v>
      </c>
      <c r="I1616" s="5" t="s">
        <v>1111</v>
      </c>
      <c r="J1616" s="5" t="s">
        <v>1162</v>
      </c>
      <c r="K1616" s="5" t="s">
        <v>175</v>
      </c>
      <c r="L1616" s="6">
        <v>45679</v>
      </c>
      <c r="M1616" s="6">
        <v>45678</v>
      </c>
      <c r="N1616" s="6" t="s">
        <v>811</v>
      </c>
      <c r="O1616" s="5" t="str">
        <f ca="1">IF(P1616&lt;&gt;"EXPEDIÇÃO","Expedido",IF(NETWORKDAYS(C1616,TODAY())&gt;=5,"Risco Alto",IF(NETWORKDAYS(C1616,TODAY())&gt;=3,IF(NETWORKDAYS(C1616,TODAY())&lt;5,"Risco Médio",""),IF(NETWORKDAYS(C1616,TODAY())&lt;=2,"Risco Baixo",""))))</f>
        <v>Expedido</v>
      </c>
      <c r="P1616" s="5" t="s">
        <v>25</v>
      </c>
      <c r="Q1616" s="5" t="s">
        <v>810</v>
      </c>
      <c r="R1616" s="5">
        <v>3095212</v>
      </c>
      <c r="S1616" s="7">
        <f>IF(ISBLANK(M1616),"Aguardando Previsão/Data",NETWORKDAYS(L1616,M1616)-1)</f>
        <v>-3</v>
      </c>
      <c r="T1616" s="5" t="s">
        <v>942</v>
      </c>
    </row>
    <row r="1617" spans="1:20" x14ac:dyDescent="0.35">
      <c r="A1617" s="5">
        <v>8100275364</v>
      </c>
      <c r="B1617" s="5">
        <v>12239</v>
      </c>
      <c r="C1617" s="6">
        <v>45670</v>
      </c>
      <c r="D1617" s="5" t="s">
        <v>158</v>
      </c>
      <c r="E1617" s="5" t="s">
        <v>159</v>
      </c>
      <c r="F1617" s="5" t="s">
        <v>176</v>
      </c>
      <c r="G1617" s="5" t="s">
        <v>177</v>
      </c>
      <c r="H1617" s="5" t="s">
        <v>108</v>
      </c>
      <c r="I1617" s="5" t="s">
        <v>1161</v>
      </c>
      <c r="J1617" s="5" t="s">
        <v>908</v>
      </c>
      <c r="K1617" s="5" t="s">
        <v>170</v>
      </c>
      <c r="L1617" s="6">
        <v>45677</v>
      </c>
      <c r="M1617" s="6">
        <v>45677</v>
      </c>
      <c r="N1617" s="6" t="s">
        <v>811</v>
      </c>
      <c r="O1617" s="5" t="str">
        <f ca="1">IF(P1617&lt;&gt;"EXPEDIÇÃO","Expedido",IF(NETWORKDAYS(C1617,TODAY())&gt;=5,"Risco Alto",IF(NETWORKDAYS(C1617,TODAY())&gt;=3,IF(NETWORKDAYS(C1617,TODAY())&lt;5,"Risco Médio",""),IF(NETWORKDAYS(C1617,TODAY())&lt;=2,"Risco Baixo",""))))</f>
        <v>Expedido</v>
      </c>
      <c r="P1617" s="5" t="s">
        <v>25</v>
      </c>
      <c r="S1617" s="7">
        <f>IF(ISBLANK(M1617),"Aguardando Previsão/Data",NETWORKDAYS(L1617,M1617)-1)</f>
        <v>0</v>
      </c>
      <c r="T1617" s="5" t="s">
        <v>942</v>
      </c>
    </row>
    <row r="1618" spans="1:20" x14ac:dyDescent="0.35">
      <c r="A1618" s="5">
        <v>8100275365</v>
      </c>
      <c r="B1618" s="5">
        <v>12220</v>
      </c>
      <c r="C1618" s="6">
        <v>45670</v>
      </c>
      <c r="D1618" s="5" t="s">
        <v>158</v>
      </c>
      <c r="E1618" s="5" t="s">
        <v>159</v>
      </c>
      <c r="F1618" s="5" t="s">
        <v>147</v>
      </c>
      <c r="G1618" s="5" t="s">
        <v>148</v>
      </c>
      <c r="H1618" s="5" t="s">
        <v>108</v>
      </c>
      <c r="I1618" s="5" t="s">
        <v>128</v>
      </c>
      <c r="J1618" s="5" t="s">
        <v>305</v>
      </c>
      <c r="K1618" s="5" t="s">
        <v>170</v>
      </c>
      <c r="L1618" s="6">
        <v>45674</v>
      </c>
      <c r="M1618" s="6">
        <v>45673</v>
      </c>
      <c r="N1618" s="6" t="s">
        <v>811</v>
      </c>
      <c r="O1618" s="5" t="str">
        <f ca="1">IF(P1618&lt;&gt;"EXPEDIÇÃO","Expedido",IF(NETWORKDAYS(C1618,TODAY())&gt;=5,"Risco Alto",IF(NETWORKDAYS(C1618,TODAY())&gt;=3,IF(NETWORKDAYS(C1618,TODAY())&lt;5,"Risco Médio",""),IF(NETWORKDAYS(C1618,TODAY())&lt;=2,"Risco Baixo",""))))</f>
        <v>Expedido</v>
      </c>
      <c r="P1618" s="5" t="s">
        <v>25</v>
      </c>
      <c r="S1618" s="7">
        <f>IF(ISBLANK(M1618),"Aguardando Previsão/Data",NETWORKDAYS(L1618,M1618)-1)</f>
        <v>-3</v>
      </c>
      <c r="T1618" s="5" t="s">
        <v>942</v>
      </c>
    </row>
    <row r="1619" spans="1:20" x14ac:dyDescent="0.35">
      <c r="A1619" s="5">
        <v>8100275366</v>
      </c>
      <c r="B1619" s="5">
        <v>12223</v>
      </c>
      <c r="C1619" s="6">
        <v>45670</v>
      </c>
      <c r="D1619" s="5" t="s">
        <v>158</v>
      </c>
      <c r="E1619" s="5" t="s">
        <v>159</v>
      </c>
      <c r="F1619" s="5" t="s">
        <v>147</v>
      </c>
      <c r="G1619" s="5" t="s">
        <v>148</v>
      </c>
      <c r="H1619" s="5" t="s">
        <v>108</v>
      </c>
      <c r="I1619" s="5" t="s">
        <v>128</v>
      </c>
      <c r="J1619" s="5" t="s">
        <v>163</v>
      </c>
      <c r="K1619" s="5" t="s">
        <v>80</v>
      </c>
      <c r="L1619" s="6">
        <v>45678</v>
      </c>
      <c r="M1619" s="6">
        <v>45678</v>
      </c>
      <c r="N1619" s="6" t="s">
        <v>811</v>
      </c>
      <c r="O1619" s="5" t="str">
        <f ca="1">IF(P1619&lt;&gt;"EXPEDIÇÃO","Expedido",IF(NETWORKDAYS(C1619,TODAY())&gt;=5,"Risco Alto",IF(NETWORKDAYS(C1619,TODAY())&gt;=3,IF(NETWORKDAYS(C1619,TODAY())&lt;5,"Risco Médio",""),IF(NETWORKDAYS(C1619,TODAY())&lt;=2,"Risco Baixo",""))))</f>
        <v>Expedido</v>
      </c>
      <c r="P1619" s="5" t="s">
        <v>25</v>
      </c>
      <c r="Q1619" s="5" t="s">
        <v>897</v>
      </c>
      <c r="S1619" s="7">
        <f>IF(ISBLANK(M1619),"Aguardando Previsão/Data",NETWORKDAYS(L1619,M1619)-1)</f>
        <v>0</v>
      </c>
      <c r="T1619" s="5" t="s">
        <v>942</v>
      </c>
    </row>
    <row r="1620" spans="1:20" x14ac:dyDescent="0.35">
      <c r="A1620" s="5">
        <v>8100275368</v>
      </c>
      <c r="B1620" s="5">
        <v>12225</v>
      </c>
      <c r="C1620" s="6">
        <v>45670</v>
      </c>
      <c r="D1620" s="5" t="s">
        <v>158</v>
      </c>
      <c r="E1620" s="5" t="s">
        <v>159</v>
      </c>
      <c r="F1620" s="5" t="s">
        <v>79</v>
      </c>
      <c r="G1620" s="5" t="s">
        <v>80</v>
      </c>
      <c r="H1620" s="5" t="s">
        <v>108</v>
      </c>
      <c r="I1620" s="5" t="s">
        <v>180</v>
      </c>
      <c r="J1620" s="5" t="s">
        <v>181</v>
      </c>
      <c r="K1620" s="5" t="s">
        <v>80</v>
      </c>
      <c r="L1620" s="6">
        <v>45678</v>
      </c>
      <c r="M1620" s="6">
        <v>45678</v>
      </c>
      <c r="N1620" s="6" t="s">
        <v>811</v>
      </c>
      <c r="O1620" s="5" t="str">
        <f ca="1">IF(P1620&lt;&gt;"EXPEDIÇÃO","Expedido",IF(NETWORKDAYS(C1620,TODAY())&gt;=5,"Risco Alto",IF(NETWORKDAYS(C1620,TODAY())&gt;=3,IF(NETWORKDAYS(C1620,TODAY())&lt;5,"Risco Médio",""),IF(NETWORKDAYS(C1620,TODAY())&lt;=2,"Risco Baixo",""))))</f>
        <v>Expedido</v>
      </c>
      <c r="P1620" s="5" t="s">
        <v>25</v>
      </c>
      <c r="S1620" s="7">
        <f>IF(ISBLANK(M1620),"Aguardando Previsão/Data",NETWORKDAYS(L1620,M1620)-1)</f>
        <v>0</v>
      </c>
      <c r="T1620" s="5" t="s">
        <v>942</v>
      </c>
    </row>
    <row r="1621" spans="1:20" x14ac:dyDescent="0.35">
      <c r="A1621" s="5">
        <v>8100275369</v>
      </c>
      <c r="B1621" s="5">
        <v>12224</v>
      </c>
      <c r="C1621" s="6">
        <v>45670</v>
      </c>
      <c r="D1621" s="5" t="s">
        <v>158</v>
      </c>
      <c r="E1621" s="5" t="s">
        <v>159</v>
      </c>
      <c r="F1621" s="5" t="s">
        <v>171</v>
      </c>
      <c r="G1621" s="5" t="s">
        <v>172</v>
      </c>
      <c r="H1621" s="5" t="s">
        <v>108</v>
      </c>
      <c r="I1621" s="5" t="s">
        <v>511</v>
      </c>
      <c r="J1621" s="5" t="s">
        <v>512</v>
      </c>
      <c r="K1621" s="5" t="s">
        <v>170</v>
      </c>
      <c r="L1621" s="6">
        <v>45678</v>
      </c>
      <c r="M1621" s="6">
        <v>45673</v>
      </c>
      <c r="N1621" s="6" t="s">
        <v>811</v>
      </c>
      <c r="O1621" s="5" t="str">
        <f ca="1">IF(P1621&lt;&gt;"EXPEDIÇÃO","Expedido",IF(NETWORKDAYS(C1621,TODAY())&gt;=5,"Risco Alto",IF(NETWORKDAYS(C1621,TODAY())&gt;=3,IF(NETWORKDAYS(C1621,TODAY())&lt;5,"Risco Médio",""),IF(NETWORKDAYS(C1621,TODAY())&lt;=2,"Risco Baixo",""))))</f>
        <v>Expedido</v>
      </c>
      <c r="P1621" s="5" t="s">
        <v>25</v>
      </c>
      <c r="S1621" s="7">
        <f>IF(ISBLANK(M1621),"Aguardando Previsão/Data",NETWORKDAYS(L1621,M1621)-1)</f>
        <v>-5</v>
      </c>
      <c r="T1621" s="5" t="s">
        <v>942</v>
      </c>
    </row>
    <row r="1622" spans="1:20" x14ac:dyDescent="0.35">
      <c r="A1622" s="5">
        <v>8100275370</v>
      </c>
      <c r="B1622" s="5">
        <v>12245</v>
      </c>
      <c r="C1622" s="6">
        <v>45670</v>
      </c>
      <c r="D1622" s="5" t="s">
        <v>158</v>
      </c>
      <c r="E1622" s="5" t="s">
        <v>159</v>
      </c>
      <c r="F1622" s="5" t="s">
        <v>136</v>
      </c>
      <c r="G1622" s="5" t="s">
        <v>137</v>
      </c>
      <c r="H1622" s="5" t="s">
        <v>108</v>
      </c>
      <c r="I1622" s="5" t="s">
        <v>404</v>
      </c>
      <c r="J1622" s="5" t="s">
        <v>405</v>
      </c>
      <c r="K1622" s="5" t="s">
        <v>170</v>
      </c>
      <c r="L1622" s="6">
        <v>45677</v>
      </c>
      <c r="M1622" s="6">
        <v>45673</v>
      </c>
      <c r="N1622" s="6" t="s">
        <v>811</v>
      </c>
      <c r="O1622" s="5" t="str">
        <f ca="1">IF(P1622&lt;&gt;"EXPEDIÇÃO","Expedido",IF(NETWORKDAYS(C1622,TODAY())&gt;=5,"Risco Alto",IF(NETWORKDAYS(C1622,TODAY())&gt;=3,IF(NETWORKDAYS(C1622,TODAY())&lt;5,"Risco Médio",""),IF(NETWORKDAYS(C1622,TODAY())&lt;=2,"Risco Baixo",""))))</f>
        <v>Expedido</v>
      </c>
      <c r="P1622" s="5" t="s">
        <v>25</v>
      </c>
      <c r="S1622" s="7">
        <f>IF(ISBLANK(M1622),"Aguardando Previsão/Data",NETWORKDAYS(L1622,M1622)-1)</f>
        <v>-4</v>
      </c>
      <c r="T1622" s="5" t="s">
        <v>942</v>
      </c>
    </row>
    <row r="1623" spans="1:20" x14ac:dyDescent="0.35">
      <c r="A1623" s="5">
        <v>8100275480</v>
      </c>
      <c r="B1623" s="5">
        <v>12232</v>
      </c>
      <c r="C1623" s="6">
        <v>45670</v>
      </c>
      <c r="D1623" s="5" t="s">
        <v>158</v>
      </c>
      <c r="E1623" s="5" t="s">
        <v>159</v>
      </c>
      <c r="F1623" s="5" t="s">
        <v>176</v>
      </c>
      <c r="G1623" s="5" t="s">
        <v>177</v>
      </c>
      <c r="H1623" s="5" t="s">
        <v>108</v>
      </c>
      <c r="I1623" s="5" t="s">
        <v>915</v>
      </c>
      <c r="J1623" s="5" t="s">
        <v>455</v>
      </c>
      <c r="K1623" s="5" t="s">
        <v>175</v>
      </c>
      <c r="L1623" s="6">
        <v>45679</v>
      </c>
      <c r="M1623" s="6">
        <v>45678</v>
      </c>
      <c r="N1623" s="6" t="s">
        <v>811</v>
      </c>
      <c r="O1623" s="5" t="str">
        <f ca="1">IF(P1623&lt;&gt;"EXPEDIÇÃO","Expedido",IF(NETWORKDAYS(C1623,TODAY())&gt;=5,"Risco Alto",IF(NETWORKDAYS(C1623,TODAY())&gt;=3,IF(NETWORKDAYS(C1623,TODAY())&lt;5,"Risco Médio",""),IF(NETWORKDAYS(C1623,TODAY())&lt;=2,"Risco Baixo",""))))</f>
        <v>Expedido</v>
      </c>
      <c r="P1623" s="5" t="s">
        <v>25</v>
      </c>
      <c r="S1623" s="7">
        <f>IF(ISBLANK(M1623),"Aguardando Previsão/Data",NETWORKDAYS(L1623,M1623)-1)</f>
        <v>-3</v>
      </c>
      <c r="T1623" s="5" t="s">
        <v>942</v>
      </c>
    </row>
    <row r="1624" spans="1:20" x14ac:dyDescent="0.35">
      <c r="A1624" s="5">
        <v>8100275481</v>
      </c>
      <c r="B1624" s="5">
        <v>12233</v>
      </c>
      <c r="C1624" s="6">
        <v>45670</v>
      </c>
      <c r="D1624" s="5" t="s">
        <v>158</v>
      </c>
      <c r="E1624" s="5" t="s">
        <v>159</v>
      </c>
      <c r="F1624" s="5" t="s">
        <v>176</v>
      </c>
      <c r="G1624" s="5" t="s">
        <v>177</v>
      </c>
      <c r="H1624" s="5" t="s">
        <v>108</v>
      </c>
      <c r="I1624" s="5" t="s">
        <v>915</v>
      </c>
      <c r="J1624" s="5" t="s">
        <v>455</v>
      </c>
      <c r="K1624" s="5" t="s">
        <v>175</v>
      </c>
      <c r="L1624" s="6">
        <v>45679</v>
      </c>
      <c r="M1624" s="6">
        <v>45678</v>
      </c>
      <c r="N1624" s="6" t="s">
        <v>811</v>
      </c>
      <c r="O1624" s="5" t="str">
        <f ca="1">IF(P1624&lt;&gt;"EXPEDIÇÃO","Expedido",IF(NETWORKDAYS(C1624,TODAY())&gt;=5,"Risco Alto",IF(NETWORKDAYS(C1624,TODAY())&gt;=3,IF(NETWORKDAYS(C1624,TODAY())&lt;5,"Risco Médio",""),IF(NETWORKDAYS(C1624,TODAY())&lt;=2,"Risco Baixo",""))))</f>
        <v>Expedido</v>
      </c>
      <c r="P1624" s="5" t="s">
        <v>25</v>
      </c>
      <c r="S1624" s="7">
        <f>IF(ISBLANK(M1624),"Aguardando Previsão/Data",NETWORKDAYS(L1624,M1624)-1)</f>
        <v>-3</v>
      </c>
      <c r="T1624" s="5" t="s">
        <v>942</v>
      </c>
    </row>
    <row r="1625" spans="1:20" x14ac:dyDescent="0.35">
      <c r="A1625" s="5">
        <v>8100275483</v>
      </c>
      <c r="B1625" s="5">
        <v>12234</v>
      </c>
      <c r="C1625" s="6">
        <v>45670</v>
      </c>
      <c r="D1625" s="5" t="s">
        <v>158</v>
      </c>
      <c r="E1625" s="5" t="s">
        <v>159</v>
      </c>
      <c r="F1625" s="5" t="s">
        <v>160</v>
      </c>
      <c r="G1625" s="5" t="s">
        <v>161</v>
      </c>
      <c r="H1625" s="5" t="s">
        <v>108</v>
      </c>
      <c r="I1625" s="5" t="s">
        <v>162</v>
      </c>
      <c r="J1625" s="5" t="s">
        <v>1050</v>
      </c>
      <c r="K1625" s="5" t="s">
        <v>175</v>
      </c>
      <c r="L1625" s="6">
        <v>45678</v>
      </c>
      <c r="M1625" s="6">
        <v>45677</v>
      </c>
      <c r="N1625" s="6" t="s">
        <v>811</v>
      </c>
      <c r="O1625" s="5" t="str">
        <f ca="1">IF(P1625&lt;&gt;"EXPEDIÇÃO","Expedido",IF(NETWORKDAYS(C1625,TODAY())&gt;=5,"Risco Alto",IF(NETWORKDAYS(C1625,TODAY())&gt;=3,IF(NETWORKDAYS(C1625,TODAY())&lt;5,"Risco Médio",""),IF(NETWORKDAYS(C1625,TODAY())&lt;=2,"Risco Baixo",""))))</f>
        <v>Expedido</v>
      </c>
      <c r="P1625" s="5" t="s">
        <v>25</v>
      </c>
      <c r="S1625" s="7">
        <f>IF(ISBLANK(M1625),"Aguardando Previsão/Data",NETWORKDAYS(L1625,M1625)-1)</f>
        <v>-3</v>
      </c>
      <c r="T1625" s="5" t="s">
        <v>942</v>
      </c>
    </row>
    <row r="1626" spans="1:20" x14ac:dyDescent="0.35">
      <c r="A1626" s="5">
        <v>8100275484</v>
      </c>
      <c r="B1626" s="5">
        <v>12246</v>
      </c>
      <c r="C1626" s="6">
        <v>45670</v>
      </c>
      <c r="D1626" s="5" t="s">
        <v>158</v>
      </c>
      <c r="E1626" s="5" t="s">
        <v>159</v>
      </c>
      <c r="F1626" s="5" t="s">
        <v>136</v>
      </c>
      <c r="G1626" s="5" t="s">
        <v>137</v>
      </c>
      <c r="H1626" s="5" t="s">
        <v>108</v>
      </c>
      <c r="I1626" s="5" t="s">
        <v>404</v>
      </c>
      <c r="J1626" s="5" t="s">
        <v>405</v>
      </c>
      <c r="K1626" s="5" t="s">
        <v>170</v>
      </c>
      <c r="L1626" s="6">
        <v>45677</v>
      </c>
      <c r="M1626" s="6">
        <v>45673</v>
      </c>
      <c r="N1626" s="6" t="s">
        <v>811</v>
      </c>
      <c r="O1626" s="5" t="str">
        <f ca="1">IF(P1626&lt;&gt;"EXPEDIÇÃO","Expedido",IF(NETWORKDAYS(C1626,TODAY())&gt;=5,"Risco Alto",IF(NETWORKDAYS(C1626,TODAY())&gt;=3,IF(NETWORKDAYS(C1626,TODAY())&lt;5,"Risco Médio",""),IF(NETWORKDAYS(C1626,TODAY())&lt;=2,"Risco Baixo",""))))</f>
        <v>Expedido</v>
      </c>
      <c r="P1626" s="5" t="s">
        <v>25</v>
      </c>
      <c r="S1626" s="7">
        <f>IF(ISBLANK(M1626),"Aguardando Previsão/Data",NETWORKDAYS(L1626,M1626)-1)</f>
        <v>-4</v>
      </c>
      <c r="T1626" s="5" t="s">
        <v>942</v>
      </c>
    </row>
    <row r="1627" spans="1:20" x14ac:dyDescent="0.35">
      <c r="A1627" s="5">
        <v>8100275485</v>
      </c>
      <c r="B1627" s="5">
        <v>12244</v>
      </c>
      <c r="C1627" s="6">
        <v>45670</v>
      </c>
      <c r="D1627" s="5" t="s">
        <v>158</v>
      </c>
      <c r="E1627" s="5" t="s">
        <v>159</v>
      </c>
      <c r="F1627" s="5" t="s">
        <v>171</v>
      </c>
      <c r="G1627" s="5" t="s">
        <v>172</v>
      </c>
      <c r="H1627" s="5" t="s">
        <v>108</v>
      </c>
      <c r="I1627" s="5" t="s">
        <v>510</v>
      </c>
      <c r="J1627" s="5" t="s">
        <v>172</v>
      </c>
      <c r="K1627" s="5" t="s">
        <v>170</v>
      </c>
      <c r="L1627" s="6">
        <v>45677</v>
      </c>
      <c r="M1627" s="6">
        <v>45677</v>
      </c>
      <c r="N1627" s="6" t="s">
        <v>811</v>
      </c>
      <c r="O1627" s="5" t="str">
        <f ca="1">IF(P1627&lt;&gt;"EXPEDIÇÃO","Expedido",IF(NETWORKDAYS(C1627,TODAY())&gt;=5,"Risco Alto",IF(NETWORKDAYS(C1627,TODAY())&gt;=3,IF(NETWORKDAYS(C1627,TODAY())&lt;5,"Risco Médio",""),IF(NETWORKDAYS(C1627,TODAY())&lt;=2,"Risco Baixo",""))))</f>
        <v>Expedido</v>
      </c>
      <c r="P1627" s="5" t="s">
        <v>25</v>
      </c>
      <c r="S1627" s="7">
        <f>IF(ISBLANK(M1627),"Aguardando Previsão/Data",NETWORKDAYS(L1627,M1627)-1)</f>
        <v>0</v>
      </c>
      <c r="T1627" s="5" t="s">
        <v>942</v>
      </c>
    </row>
    <row r="1628" spans="1:20" x14ac:dyDescent="0.35">
      <c r="A1628" s="5">
        <v>8100275503</v>
      </c>
      <c r="B1628" s="5">
        <v>12235</v>
      </c>
      <c r="C1628" s="6">
        <v>45670</v>
      </c>
      <c r="D1628" s="5" t="s">
        <v>158</v>
      </c>
      <c r="E1628" s="5" t="s">
        <v>159</v>
      </c>
      <c r="F1628" s="5" t="s">
        <v>160</v>
      </c>
      <c r="G1628" s="5" t="s">
        <v>161</v>
      </c>
      <c r="H1628" s="5" t="s">
        <v>108</v>
      </c>
      <c r="I1628" s="5" t="s">
        <v>162</v>
      </c>
      <c r="J1628" s="5" t="s">
        <v>1050</v>
      </c>
      <c r="K1628" s="5" t="s">
        <v>175</v>
      </c>
      <c r="L1628" s="6">
        <v>45678</v>
      </c>
      <c r="M1628" s="6">
        <v>45677</v>
      </c>
      <c r="N1628" s="6" t="s">
        <v>811</v>
      </c>
      <c r="O1628" s="5" t="str">
        <f ca="1">IF(P1628&lt;&gt;"EXPEDIÇÃO","Expedido",IF(NETWORKDAYS(C1628,TODAY())&gt;=5,"Risco Alto",IF(NETWORKDAYS(C1628,TODAY())&gt;=3,IF(NETWORKDAYS(C1628,TODAY())&lt;5,"Risco Médio",""),IF(NETWORKDAYS(C1628,TODAY())&lt;=2,"Risco Baixo",""))))</f>
        <v>Expedido</v>
      </c>
      <c r="P1628" s="5" t="s">
        <v>25</v>
      </c>
      <c r="S1628" s="7">
        <f>IF(ISBLANK(M1628),"Aguardando Previsão/Data",NETWORKDAYS(L1628,M1628)-1)</f>
        <v>-3</v>
      </c>
      <c r="T1628" s="5" t="s">
        <v>942</v>
      </c>
    </row>
    <row r="1629" spans="1:20" x14ac:dyDescent="0.35">
      <c r="A1629" s="5">
        <v>8100275504</v>
      </c>
      <c r="B1629" s="5">
        <v>12236</v>
      </c>
      <c r="C1629" s="6">
        <v>45670</v>
      </c>
      <c r="D1629" s="5" t="s">
        <v>158</v>
      </c>
      <c r="E1629" s="5" t="s">
        <v>159</v>
      </c>
      <c r="F1629" s="5" t="s">
        <v>176</v>
      </c>
      <c r="G1629" s="5" t="s">
        <v>177</v>
      </c>
      <c r="H1629" s="5" t="s">
        <v>108</v>
      </c>
      <c r="I1629" s="5" t="s">
        <v>162</v>
      </c>
      <c r="J1629" s="5" t="s">
        <v>348</v>
      </c>
      <c r="K1629" s="5" t="s">
        <v>175</v>
      </c>
      <c r="L1629" s="6">
        <v>45678</v>
      </c>
      <c r="M1629" s="6">
        <v>45674</v>
      </c>
      <c r="N1629" s="6" t="s">
        <v>811</v>
      </c>
      <c r="O1629" s="5" t="str">
        <f ca="1">IF(P1629&lt;&gt;"EXPEDIÇÃO","Expedido",IF(NETWORKDAYS(C1629,TODAY())&gt;=5,"Risco Alto",IF(NETWORKDAYS(C1629,TODAY())&gt;=3,IF(NETWORKDAYS(C1629,TODAY())&lt;5,"Risco Médio",""),IF(NETWORKDAYS(C1629,TODAY())&lt;=2,"Risco Baixo",""))))</f>
        <v>Expedido</v>
      </c>
      <c r="P1629" s="5" t="s">
        <v>25</v>
      </c>
      <c r="S1629" s="7">
        <f>IF(ISBLANK(M1629),"Aguardando Previsão/Data",NETWORKDAYS(L1629,M1629)-1)</f>
        <v>-4</v>
      </c>
      <c r="T1629" s="5" t="s">
        <v>942</v>
      </c>
    </row>
    <row r="1630" spans="1:20" x14ac:dyDescent="0.35">
      <c r="A1630" s="5">
        <v>8100275505</v>
      </c>
      <c r="B1630" s="5">
        <v>12237</v>
      </c>
      <c r="C1630" s="6">
        <v>45670</v>
      </c>
      <c r="D1630" s="5" t="s">
        <v>158</v>
      </c>
      <c r="E1630" s="5" t="s">
        <v>159</v>
      </c>
      <c r="F1630" s="5" t="s">
        <v>160</v>
      </c>
      <c r="G1630" s="5" t="s">
        <v>161</v>
      </c>
      <c r="H1630" s="5" t="s">
        <v>108</v>
      </c>
      <c r="I1630" s="5" t="s">
        <v>347</v>
      </c>
      <c r="J1630" s="5" t="s">
        <v>310</v>
      </c>
      <c r="K1630" s="5" t="s">
        <v>175</v>
      </c>
      <c r="L1630" s="6">
        <v>45679</v>
      </c>
      <c r="M1630" s="6">
        <v>45679</v>
      </c>
      <c r="N1630" s="6" t="s">
        <v>811</v>
      </c>
      <c r="O1630" s="5" t="str">
        <f ca="1">IF(P1630&lt;&gt;"EXPEDIÇÃO","Expedido",IF(NETWORKDAYS(C1630,TODAY())&gt;=5,"Risco Alto",IF(NETWORKDAYS(C1630,TODAY())&gt;=3,IF(NETWORKDAYS(C1630,TODAY())&lt;5,"Risco Médio",""),IF(NETWORKDAYS(C1630,TODAY())&lt;=2,"Risco Baixo",""))))</f>
        <v>Expedido</v>
      </c>
      <c r="P1630" s="5" t="s">
        <v>25</v>
      </c>
      <c r="S1630" s="7">
        <f>IF(ISBLANK(M1630),"Aguardando Previsão/Data",NETWORKDAYS(L1630,M1630)-1)</f>
        <v>0</v>
      </c>
      <c r="T1630" s="5" t="s">
        <v>942</v>
      </c>
    </row>
    <row r="1631" spans="1:20" x14ac:dyDescent="0.35">
      <c r="A1631" s="5">
        <v>8100275506</v>
      </c>
      <c r="B1631" s="5">
        <v>12226</v>
      </c>
      <c r="C1631" s="6">
        <v>45670</v>
      </c>
      <c r="D1631" s="5" t="s">
        <v>158</v>
      </c>
      <c r="E1631" s="5" t="s">
        <v>159</v>
      </c>
      <c r="F1631" s="5" t="s">
        <v>147</v>
      </c>
      <c r="G1631" s="5" t="s">
        <v>148</v>
      </c>
      <c r="H1631" s="5" t="s">
        <v>108</v>
      </c>
      <c r="I1631" s="5" t="s">
        <v>82</v>
      </c>
      <c r="J1631" s="5" t="s">
        <v>296</v>
      </c>
      <c r="K1631" s="5" t="s">
        <v>80</v>
      </c>
      <c r="L1631" s="6">
        <v>45678</v>
      </c>
      <c r="M1631" s="6">
        <v>45673</v>
      </c>
      <c r="N1631" s="6" t="s">
        <v>811</v>
      </c>
      <c r="O1631" s="5" t="str">
        <f ca="1">IF(P1631&lt;&gt;"EXPEDIÇÃO","Expedido",IF(NETWORKDAYS(C1631,TODAY())&gt;=5,"Risco Alto",IF(NETWORKDAYS(C1631,TODAY())&gt;=3,IF(NETWORKDAYS(C1631,TODAY())&lt;5,"Risco Médio",""),IF(NETWORKDAYS(C1631,TODAY())&lt;=2,"Risco Baixo",""))))</f>
        <v>Expedido</v>
      </c>
      <c r="P1631" s="5" t="s">
        <v>25</v>
      </c>
      <c r="S1631" s="7">
        <f>IF(ISBLANK(M1631),"Aguardando Previsão/Data",NETWORKDAYS(L1631,M1631)-1)</f>
        <v>-5</v>
      </c>
      <c r="T1631" s="5" t="s">
        <v>942</v>
      </c>
    </row>
    <row r="1632" spans="1:20" x14ac:dyDescent="0.35">
      <c r="A1632" s="5">
        <v>8100275682</v>
      </c>
      <c r="B1632" s="5">
        <v>12238</v>
      </c>
      <c r="C1632" s="6">
        <v>45670</v>
      </c>
      <c r="D1632" s="5" t="s">
        <v>158</v>
      </c>
      <c r="E1632" s="5" t="s">
        <v>159</v>
      </c>
      <c r="F1632" s="5" t="s">
        <v>176</v>
      </c>
      <c r="G1632" s="5" t="s">
        <v>177</v>
      </c>
      <c r="H1632" s="5" t="s">
        <v>108</v>
      </c>
      <c r="I1632" s="5" t="s">
        <v>915</v>
      </c>
      <c r="J1632" s="5" t="s">
        <v>301</v>
      </c>
      <c r="K1632" s="5" t="s">
        <v>175</v>
      </c>
      <c r="L1632" s="6">
        <v>45678</v>
      </c>
      <c r="M1632" s="6">
        <v>45674</v>
      </c>
      <c r="N1632" s="6" t="s">
        <v>811</v>
      </c>
      <c r="O1632" s="5" t="str">
        <f ca="1">IF(P1632&lt;&gt;"EXPEDIÇÃO","Expedido",IF(NETWORKDAYS(C1632,TODAY())&gt;=5,"Risco Alto",IF(NETWORKDAYS(C1632,TODAY())&gt;=3,IF(NETWORKDAYS(C1632,TODAY())&lt;5,"Risco Médio",""),IF(NETWORKDAYS(C1632,TODAY())&lt;=2,"Risco Baixo",""))))</f>
        <v>Expedido</v>
      </c>
      <c r="P1632" s="5" t="s">
        <v>25</v>
      </c>
      <c r="S1632" s="7">
        <f>IF(ISBLANK(M1632),"Aguardando Previsão/Data",NETWORKDAYS(L1632,M1632)-1)</f>
        <v>-4</v>
      </c>
      <c r="T1632" s="5" t="s">
        <v>942</v>
      </c>
    </row>
    <row r="1633" spans="1:20" x14ac:dyDescent="0.35">
      <c r="A1633" s="5">
        <v>8100275683</v>
      </c>
      <c r="B1633" s="5">
        <v>12240</v>
      </c>
      <c r="C1633" s="6">
        <v>45670</v>
      </c>
      <c r="D1633" s="5" t="s">
        <v>158</v>
      </c>
      <c r="E1633" s="5" t="s">
        <v>159</v>
      </c>
      <c r="F1633" s="5" t="s">
        <v>176</v>
      </c>
      <c r="G1633" s="5" t="s">
        <v>177</v>
      </c>
      <c r="H1633" s="5" t="s">
        <v>108</v>
      </c>
      <c r="I1633" s="5" t="s">
        <v>915</v>
      </c>
      <c r="J1633" s="5" t="s">
        <v>1145</v>
      </c>
      <c r="K1633" s="5" t="s">
        <v>170</v>
      </c>
      <c r="L1633" s="6">
        <v>45677</v>
      </c>
      <c r="M1633" s="6">
        <v>45677</v>
      </c>
      <c r="N1633" s="6" t="s">
        <v>811</v>
      </c>
      <c r="O1633" s="5" t="str">
        <f ca="1">IF(P1633&lt;&gt;"EXPEDIÇÃO","Expedido",IF(NETWORKDAYS(C1633,TODAY())&gt;=5,"Risco Alto",IF(NETWORKDAYS(C1633,TODAY())&gt;=3,IF(NETWORKDAYS(C1633,TODAY())&lt;5,"Risco Médio",""),IF(NETWORKDAYS(C1633,TODAY())&lt;=2,"Risco Baixo",""))))</f>
        <v>Expedido</v>
      </c>
      <c r="P1633" s="5" t="s">
        <v>25</v>
      </c>
      <c r="S1633" s="7">
        <f>IF(ISBLANK(M1633),"Aguardando Previsão/Data",NETWORKDAYS(L1633,M1633)-1)</f>
        <v>0</v>
      </c>
      <c r="T1633" s="5" t="s">
        <v>942</v>
      </c>
    </row>
    <row r="1634" spans="1:20" x14ac:dyDescent="0.35">
      <c r="A1634" s="5">
        <v>8100275684</v>
      </c>
      <c r="B1634" s="5">
        <v>12242</v>
      </c>
      <c r="C1634" s="6">
        <v>45670</v>
      </c>
      <c r="D1634" s="5" t="s">
        <v>158</v>
      </c>
      <c r="E1634" s="5" t="s">
        <v>159</v>
      </c>
      <c r="F1634" s="5" t="s">
        <v>176</v>
      </c>
      <c r="G1634" s="5" t="s">
        <v>177</v>
      </c>
      <c r="H1634" s="5" t="s">
        <v>108</v>
      </c>
      <c r="I1634" s="5" t="s">
        <v>929</v>
      </c>
      <c r="J1634" s="5" t="s">
        <v>348</v>
      </c>
      <c r="K1634" s="5" t="s">
        <v>175</v>
      </c>
      <c r="L1634" s="6">
        <v>45678</v>
      </c>
      <c r="M1634" s="6">
        <v>45674</v>
      </c>
      <c r="N1634" s="6" t="s">
        <v>811</v>
      </c>
      <c r="O1634" s="5" t="str">
        <f ca="1">IF(P1634&lt;&gt;"EXPEDIÇÃO","Expedido",IF(NETWORKDAYS(C1634,TODAY())&gt;=5,"Risco Alto",IF(NETWORKDAYS(C1634,TODAY())&gt;=3,IF(NETWORKDAYS(C1634,TODAY())&lt;5,"Risco Médio",""),IF(NETWORKDAYS(C1634,TODAY())&lt;=2,"Risco Baixo",""))))</f>
        <v>Expedido</v>
      </c>
      <c r="P1634" s="5" t="s">
        <v>25</v>
      </c>
      <c r="S1634" s="7">
        <f>IF(ISBLANK(M1634),"Aguardando Previsão/Data",NETWORKDAYS(L1634,M1634)-1)</f>
        <v>-4</v>
      </c>
      <c r="T1634" s="5" t="s">
        <v>942</v>
      </c>
    </row>
    <row r="1635" spans="1:20" x14ac:dyDescent="0.35">
      <c r="A1635" s="5">
        <v>8100275685</v>
      </c>
      <c r="B1635" s="5">
        <v>12243</v>
      </c>
      <c r="C1635" s="6">
        <v>45670</v>
      </c>
      <c r="D1635" s="5" t="s">
        <v>158</v>
      </c>
      <c r="E1635" s="5" t="s">
        <v>159</v>
      </c>
      <c r="F1635" s="5" t="s">
        <v>176</v>
      </c>
      <c r="G1635" s="5" t="s">
        <v>177</v>
      </c>
      <c r="H1635" s="5" t="s">
        <v>108</v>
      </c>
      <c r="I1635" s="5" t="s">
        <v>929</v>
      </c>
      <c r="J1635" s="5" t="s">
        <v>455</v>
      </c>
      <c r="K1635" s="5" t="s">
        <v>175</v>
      </c>
      <c r="L1635" s="6">
        <v>45679</v>
      </c>
      <c r="M1635" s="6">
        <v>45678</v>
      </c>
      <c r="N1635" s="6" t="s">
        <v>811</v>
      </c>
      <c r="O1635" s="5" t="str">
        <f ca="1">IF(P1635&lt;&gt;"EXPEDIÇÃO","Expedido",IF(NETWORKDAYS(C1635,TODAY())&gt;=5,"Risco Alto",IF(NETWORKDAYS(C1635,TODAY())&gt;=3,IF(NETWORKDAYS(C1635,TODAY())&lt;5,"Risco Médio",""),IF(NETWORKDAYS(C1635,TODAY())&lt;=2,"Risco Baixo",""))))</f>
        <v>Expedido</v>
      </c>
      <c r="P1635" s="5" t="s">
        <v>25</v>
      </c>
      <c r="S1635" s="7">
        <f>IF(ISBLANK(M1635),"Aguardando Previsão/Data",NETWORKDAYS(L1635,M1635)-1)</f>
        <v>-3</v>
      </c>
      <c r="T1635" s="5" t="s">
        <v>942</v>
      </c>
    </row>
    <row r="1636" spans="1:20" x14ac:dyDescent="0.35">
      <c r="A1636" s="5">
        <v>8100275200</v>
      </c>
      <c r="B1636" s="5">
        <v>17377</v>
      </c>
      <c r="C1636" s="6">
        <v>45671</v>
      </c>
      <c r="D1636" s="5" t="s">
        <v>51</v>
      </c>
      <c r="E1636" s="5" t="s">
        <v>52</v>
      </c>
      <c r="F1636" s="5" t="s">
        <v>406</v>
      </c>
      <c r="G1636" s="5" t="s">
        <v>407</v>
      </c>
      <c r="H1636" s="5" t="s">
        <v>21</v>
      </c>
      <c r="I1636" s="5" t="s">
        <v>751</v>
      </c>
      <c r="J1636" s="5" t="s">
        <v>265</v>
      </c>
      <c r="K1636" s="5" t="s">
        <v>80</v>
      </c>
      <c r="L1636" s="6">
        <v>45678</v>
      </c>
      <c r="M1636" s="6">
        <v>45677</v>
      </c>
      <c r="N1636" s="6" t="s">
        <v>811</v>
      </c>
      <c r="O1636" s="5" t="str">
        <f ca="1">IF(P1636&lt;&gt;"EXPEDIÇÃO","Expedido",IF(NETWORKDAYS(C1636,TODAY())&gt;=5,"Risco Alto",IF(NETWORKDAYS(C1636,TODAY())&gt;=3,IF(NETWORKDAYS(C1636,TODAY())&lt;5,"Risco Médio",""),IF(NETWORKDAYS(C1636,TODAY())&lt;=2,"Risco Baixo",""))))</f>
        <v>Expedido</v>
      </c>
      <c r="P1636" s="5" t="s">
        <v>25</v>
      </c>
      <c r="S1636" s="7">
        <f>IF(ISBLANK(M1636),"Aguardando Previsão/Data",NETWORKDAYS(L1636,M1636)-1)</f>
        <v>-3</v>
      </c>
      <c r="T1636" s="5" t="s">
        <v>942</v>
      </c>
    </row>
    <row r="1637" spans="1:20" x14ac:dyDescent="0.35">
      <c r="A1637" s="5">
        <v>8100276160</v>
      </c>
      <c r="B1637" s="5">
        <v>17362</v>
      </c>
      <c r="C1637" s="6">
        <v>45671</v>
      </c>
      <c r="D1637" s="5" t="s">
        <v>51</v>
      </c>
      <c r="E1637" s="5" t="s">
        <v>52</v>
      </c>
      <c r="F1637" s="5" t="s">
        <v>66</v>
      </c>
      <c r="G1637" s="5" t="s">
        <v>67</v>
      </c>
      <c r="H1637" s="5" t="s">
        <v>21</v>
      </c>
      <c r="I1637" s="5" t="s">
        <v>434</v>
      </c>
      <c r="J1637" s="5" t="s">
        <v>435</v>
      </c>
      <c r="K1637" s="5" t="s">
        <v>57</v>
      </c>
      <c r="L1637" s="6">
        <v>45678</v>
      </c>
      <c r="M1637" s="6">
        <v>45674</v>
      </c>
      <c r="N1637" s="6" t="s">
        <v>811</v>
      </c>
      <c r="O1637" s="5" t="str">
        <f ca="1">IF(P1637&lt;&gt;"EXPEDIÇÃO","Expedido",IF(NETWORKDAYS(C1637,TODAY())&gt;=5,"Risco Alto",IF(NETWORKDAYS(C1637,TODAY())&gt;=3,IF(NETWORKDAYS(C1637,TODAY())&lt;5,"Risco Médio",""),IF(NETWORKDAYS(C1637,TODAY())&lt;=2,"Risco Baixo",""))))</f>
        <v>Expedido</v>
      </c>
      <c r="P1637" s="5" t="s">
        <v>25</v>
      </c>
      <c r="S1637" s="7">
        <f>IF(ISBLANK(M1637),"Aguardando Previsão/Data",NETWORKDAYS(L1637,M1637)-1)</f>
        <v>-4</v>
      </c>
      <c r="T1637" s="5" t="s">
        <v>942</v>
      </c>
    </row>
    <row r="1638" spans="1:20" x14ac:dyDescent="0.35">
      <c r="A1638" s="5">
        <v>8100276161</v>
      </c>
      <c r="B1638" s="5">
        <v>17361</v>
      </c>
      <c r="C1638" s="6">
        <v>45671</v>
      </c>
      <c r="D1638" s="5" t="s">
        <v>51</v>
      </c>
      <c r="E1638" s="5" t="s">
        <v>52</v>
      </c>
      <c r="F1638" s="5" t="s">
        <v>66</v>
      </c>
      <c r="G1638" s="5" t="s">
        <v>67</v>
      </c>
      <c r="H1638" s="5" t="s">
        <v>21</v>
      </c>
      <c r="I1638" s="5" t="s">
        <v>517</v>
      </c>
      <c r="J1638" s="5" t="s">
        <v>270</v>
      </c>
      <c r="K1638" s="5" t="s">
        <v>57</v>
      </c>
      <c r="L1638" s="6">
        <v>45679</v>
      </c>
      <c r="M1638" s="6">
        <v>45678</v>
      </c>
      <c r="N1638" s="6" t="s">
        <v>811</v>
      </c>
      <c r="O1638" s="5" t="str">
        <f ca="1">IF(P1638&lt;&gt;"EXPEDIÇÃO","Expedido",IF(NETWORKDAYS(C1638,TODAY())&gt;=5,"Risco Alto",IF(NETWORKDAYS(C1638,TODAY())&gt;=3,IF(NETWORKDAYS(C1638,TODAY())&lt;5,"Risco Médio",""),IF(NETWORKDAYS(C1638,TODAY())&lt;=2,"Risco Baixo",""))))</f>
        <v>Expedido</v>
      </c>
      <c r="P1638" s="5" t="s">
        <v>25</v>
      </c>
      <c r="S1638" s="7">
        <f>IF(ISBLANK(M1638),"Aguardando Previsão/Data",NETWORKDAYS(L1638,M1638)-1)</f>
        <v>-3</v>
      </c>
      <c r="T1638" s="5" t="s">
        <v>942</v>
      </c>
    </row>
    <row r="1639" spans="1:20" x14ac:dyDescent="0.35">
      <c r="A1639" s="5">
        <v>8100276162</v>
      </c>
      <c r="B1639" s="5">
        <v>17357</v>
      </c>
      <c r="C1639" s="6">
        <v>45671</v>
      </c>
      <c r="D1639" s="5" t="s">
        <v>51</v>
      </c>
      <c r="E1639" s="5" t="s">
        <v>52</v>
      </c>
      <c r="F1639" s="5" t="s">
        <v>66</v>
      </c>
      <c r="G1639" s="5" t="s">
        <v>67</v>
      </c>
      <c r="H1639" s="5" t="s">
        <v>21</v>
      </c>
      <c r="I1639" s="5" t="s">
        <v>269</v>
      </c>
      <c r="J1639" s="5" t="s">
        <v>270</v>
      </c>
      <c r="K1639" s="5" t="s">
        <v>57</v>
      </c>
      <c r="L1639" s="6">
        <v>45679</v>
      </c>
      <c r="M1639" s="6">
        <v>45678</v>
      </c>
      <c r="N1639" s="6" t="s">
        <v>811</v>
      </c>
      <c r="O1639" s="5" t="str">
        <f ca="1">IF(P1639&lt;&gt;"EXPEDIÇÃO","Expedido",IF(NETWORKDAYS(C1639,TODAY())&gt;=5,"Risco Alto",IF(NETWORKDAYS(C1639,TODAY())&gt;=3,IF(NETWORKDAYS(C1639,TODAY())&lt;5,"Risco Médio",""),IF(NETWORKDAYS(C1639,TODAY())&lt;=2,"Risco Baixo",""))))</f>
        <v>Expedido</v>
      </c>
      <c r="P1639" s="5" t="s">
        <v>25</v>
      </c>
      <c r="S1639" s="7">
        <f>IF(ISBLANK(M1639),"Aguardando Previsão/Data",NETWORKDAYS(L1639,M1639)-1)</f>
        <v>-3</v>
      </c>
      <c r="T1639" s="5" t="s">
        <v>942</v>
      </c>
    </row>
    <row r="1640" spans="1:20" x14ac:dyDescent="0.35">
      <c r="A1640" s="5">
        <v>8100276163</v>
      </c>
      <c r="B1640" s="5">
        <v>17376</v>
      </c>
      <c r="C1640" s="6">
        <v>45671</v>
      </c>
      <c r="D1640" s="5" t="s">
        <v>51</v>
      </c>
      <c r="E1640" s="5" t="s">
        <v>52</v>
      </c>
      <c r="F1640" s="5" t="s">
        <v>69</v>
      </c>
      <c r="G1640" s="5" t="s">
        <v>70</v>
      </c>
      <c r="H1640" s="5" t="s">
        <v>21</v>
      </c>
      <c r="I1640" s="5" t="s">
        <v>1277</v>
      </c>
      <c r="J1640" s="5" t="s">
        <v>1297</v>
      </c>
      <c r="K1640" s="5" t="s">
        <v>57</v>
      </c>
      <c r="L1640" s="6">
        <v>45678</v>
      </c>
      <c r="M1640" s="6">
        <v>45674</v>
      </c>
      <c r="N1640" s="6" t="s">
        <v>811</v>
      </c>
      <c r="O1640" s="5" t="str">
        <f ca="1">IF(P1640&lt;&gt;"EXPEDIÇÃO","Expedido",IF(NETWORKDAYS(C1640,TODAY())&gt;=5,"Risco Alto",IF(NETWORKDAYS(C1640,TODAY())&gt;=3,IF(NETWORKDAYS(C1640,TODAY())&lt;5,"Risco Médio",""),IF(NETWORKDAYS(C1640,TODAY())&lt;=2,"Risco Baixo",""))))</f>
        <v>Expedido</v>
      </c>
      <c r="P1640" s="5" t="s">
        <v>25</v>
      </c>
      <c r="S1640" s="7">
        <f>IF(ISBLANK(M1640),"Aguardando Previsão/Data",NETWORKDAYS(L1640,M1640)-1)</f>
        <v>-4</v>
      </c>
      <c r="T1640" s="5" t="s">
        <v>942</v>
      </c>
    </row>
    <row r="1641" spans="1:20" x14ac:dyDescent="0.35">
      <c r="A1641" s="5">
        <v>8100276164</v>
      </c>
      <c r="B1641" s="5">
        <v>17360</v>
      </c>
      <c r="C1641" s="6">
        <v>45671</v>
      </c>
      <c r="D1641" s="5" t="s">
        <v>51</v>
      </c>
      <c r="E1641" s="5" t="s">
        <v>52</v>
      </c>
      <c r="F1641" s="5" t="s">
        <v>66</v>
      </c>
      <c r="G1641" s="5" t="s">
        <v>67</v>
      </c>
      <c r="H1641" s="5" t="s">
        <v>21</v>
      </c>
      <c r="I1641" s="5" t="s">
        <v>552</v>
      </c>
      <c r="J1641" s="5" t="s">
        <v>553</v>
      </c>
      <c r="K1641" s="5" t="s">
        <v>57</v>
      </c>
      <c r="L1641" s="6">
        <v>45679</v>
      </c>
      <c r="M1641" s="6">
        <v>45677</v>
      </c>
      <c r="N1641" s="6" t="s">
        <v>811</v>
      </c>
      <c r="O1641" s="5" t="str">
        <f ca="1">IF(P1641&lt;&gt;"EXPEDIÇÃO","Expedido",IF(NETWORKDAYS(C1641,TODAY())&gt;=5,"Risco Alto",IF(NETWORKDAYS(C1641,TODAY())&gt;=3,IF(NETWORKDAYS(C1641,TODAY())&lt;5,"Risco Médio",""),IF(NETWORKDAYS(C1641,TODAY())&lt;=2,"Risco Baixo",""))))</f>
        <v>Expedido</v>
      </c>
      <c r="P1641" s="5" t="s">
        <v>25</v>
      </c>
      <c r="S1641" s="7">
        <f>IF(ISBLANK(M1641),"Aguardando Previsão/Data",NETWORKDAYS(L1641,M1641)-1)</f>
        <v>-4</v>
      </c>
      <c r="T1641" s="5" t="s">
        <v>942</v>
      </c>
    </row>
    <row r="1642" spans="1:20" x14ac:dyDescent="0.35">
      <c r="A1642" s="5">
        <v>8100276165</v>
      </c>
      <c r="B1642" s="5">
        <v>17342</v>
      </c>
      <c r="C1642" s="6">
        <v>45671</v>
      </c>
      <c r="D1642" s="5" t="s">
        <v>51</v>
      </c>
      <c r="E1642" s="5" t="s">
        <v>52</v>
      </c>
      <c r="F1642" s="5" t="s">
        <v>58</v>
      </c>
      <c r="G1642" s="5" t="s">
        <v>59</v>
      </c>
      <c r="H1642" s="5" t="s">
        <v>21</v>
      </c>
      <c r="I1642" s="5" t="s">
        <v>22</v>
      </c>
      <c r="J1642" s="5" t="s">
        <v>65</v>
      </c>
      <c r="K1642" s="5" t="s">
        <v>57</v>
      </c>
      <c r="L1642" s="6">
        <v>45674</v>
      </c>
      <c r="M1642" s="6">
        <v>45672</v>
      </c>
      <c r="N1642" s="6" t="s">
        <v>811</v>
      </c>
      <c r="O1642" s="5" t="str">
        <f ca="1">IF(P1642&lt;&gt;"EXPEDIÇÃO","Expedido",IF(NETWORKDAYS(C1642,TODAY())&gt;=5,"Risco Alto",IF(NETWORKDAYS(C1642,TODAY())&gt;=3,IF(NETWORKDAYS(C1642,TODAY())&lt;5,"Risco Médio",""),IF(NETWORKDAYS(C1642,TODAY())&lt;=2,"Risco Baixo",""))))</f>
        <v>Expedido</v>
      </c>
      <c r="P1642" s="5" t="s">
        <v>25</v>
      </c>
      <c r="Q1642" s="5" t="s">
        <v>900</v>
      </c>
      <c r="S1642" s="7">
        <f>IF(ISBLANK(M1642),"Aguardando Previsão/Data",NETWORKDAYS(L1642,M1642)-1)</f>
        <v>-4</v>
      </c>
      <c r="T1642" s="5" t="s">
        <v>942</v>
      </c>
    </row>
    <row r="1643" spans="1:20" x14ac:dyDescent="0.35">
      <c r="A1643" s="5">
        <v>8100276166</v>
      </c>
      <c r="B1643" s="5">
        <v>17358</v>
      </c>
      <c r="C1643" s="6">
        <v>45671</v>
      </c>
      <c r="D1643" s="5" t="s">
        <v>51</v>
      </c>
      <c r="E1643" s="5" t="s">
        <v>52</v>
      </c>
      <c r="F1643" s="5" t="s">
        <v>66</v>
      </c>
      <c r="G1643" s="5" t="s">
        <v>67</v>
      </c>
      <c r="H1643" s="5" t="s">
        <v>21</v>
      </c>
      <c r="I1643" s="5" t="s">
        <v>1306</v>
      </c>
      <c r="J1643" s="5" t="s">
        <v>1307</v>
      </c>
      <c r="K1643" s="5" t="s">
        <v>57</v>
      </c>
      <c r="L1643" s="6">
        <v>45678</v>
      </c>
      <c r="M1643" s="6">
        <v>45677</v>
      </c>
      <c r="N1643" s="6" t="s">
        <v>811</v>
      </c>
      <c r="O1643" s="5" t="str">
        <f ca="1">IF(P1643&lt;&gt;"EXPEDIÇÃO","Expedido",IF(NETWORKDAYS(C1643,TODAY())&gt;=5,"Risco Alto",IF(NETWORKDAYS(C1643,TODAY())&gt;=3,IF(NETWORKDAYS(C1643,TODAY())&lt;5,"Risco Médio",""),IF(NETWORKDAYS(C1643,TODAY())&lt;=2,"Risco Baixo",""))))</f>
        <v>Expedido</v>
      </c>
      <c r="P1643" s="5" t="s">
        <v>25</v>
      </c>
      <c r="S1643" s="7">
        <f>IF(ISBLANK(M1643),"Aguardando Previsão/Data",NETWORKDAYS(L1643,M1643)-1)</f>
        <v>-3</v>
      </c>
      <c r="T1643" s="5" t="s">
        <v>942</v>
      </c>
    </row>
    <row r="1644" spans="1:20" x14ac:dyDescent="0.35">
      <c r="A1644" s="5">
        <v>8100276167</v>
      </c>
      <c r="B1644" s="5">
        <v>17359</v>
      </c>
      <c r="C1644" s="6">
        <v>45671</v>
      </c>
      <c r="D1644" s="5" t="s">
        <v>51</v>
      </c>
      <c r="E1644" s="5" t="s">
        <v>52</v>
      </c>
      <c r="F1644" s="5" t="s">
        <v>58</v>
      </c>
      <c r="G1644" s="5" t="s">
        <v>59</v>
      </c>
      <c r="H1644" s="5" t="s">
        <v>21</v>
      </c>
      <c r="I1644" s="5" t="s">
        <v>376</v>
      </c>
      <c r="J1644" s="5" t="s">
        <v>377</v>
      </c>
      <c r="K1644" s="5" t="s">
        <v>57</v>
      </c>
      <c r="L1644" s="6">
        <v>45678</v>
      </c>
      <c r="M1644" s="6">
        <v>45677</v>
      </c>
      <c r="N1644" s="6" t="s">
        <v>811</v>
      </c>
      <c r="O1644" s="5" t="str">
        <f ca="1">IF(P1644&lt;&gt;"EXPEDIÇÃO","Expedido",IF(NETWORKDAYS(C1644,TODAY())&gt;=5,"Risco Alto",IF(NETWORKDAYS(C1644,TODAY())&gt;=3,IF(NETWORKDAYS(C1644,TODAY())&lt;5,"Risco Médio",""),IF(NETWORKDAYS(C1644,TODAY())&lt;=2,"Risco Baixo",""))))</f>
        <v>Expedido</v>
      </c>
      <c r="P1644" s="5" t="s">
        <v>25</v>
      </c>
      <c r="S1644" s="7">
        <f>IF(ISBLANK(M1644),"Aguardando Previsão/Data",NETWORKDAYS(L1644,M1644)-1)</f>
        <v>-3</v>
      </c>
      <c r="T1644" s="5" t="s">
        <v>942</v>
      </c>
    </row>
    <row r="1645" spans="1:20" x14ac:dyDescent="0.35">
      <c r="A1645" s="5">
        <v>8100276212</v>
      </c>
      <c r="B1645" s="5">
        <v>17356</v>
      </c>
      <c r="C1645" s="6">
        <v>45671</v>
      </c>
      <c r="D1645" s="5" t="s">
        <v>51</v>
      </c>
      <c r="E1645" s="5" t="s">
        <v>52</v>
      </c>
      <c r="F1645" s="5" t="s">
        <v>58</v>
      </c>
      <c r="G1645" s="5" t="s">
        <v>59</v>
      </c>
      <c r="H1645" s="5" t="s">
        <v>21</v>
      </c>
      <c r="I1645" s="5" t="s">
        <v>748</v>
      </c>
      <c r="J1645" s="5" t="s">
        <v>620</v>
      </c>
      <c r="K1645" s="5" t="s">
        <v>57</v>
      </c>
      <c r="L1645" s="6">
        <v>45679</v>
      </c>
      <c r="M1645" s="6">
        <v>45674</v>
      </c>
      <c r="N1645" s="6" t="s">
        <v>811</v>
      </c>
      <c r="O1645" s="5" t="str">
        <f ca="1">IF(P1645&lt;&gt;"EXPEDIÇÃO","Expedido",IF(NETWORKDAYS(C1645,TODAY())&gt;=5,"Risco Alto",IF(NETWORKDAYS(C1645,TODAY())&gt;=3,IF(NETWORKDAYS(C1645,TODAY())&lt;5,"Risco Médio",""),IF(NETWORKDAYS(C1645,TODAY())&lt;=2,"Risco Baixo",""))))</f>
        <v>Expedido</v>
      </c>
      <c r="P1645" s="5" t="s">
        <v>25</v>
      </c>
      <c r="S1645" s="7">
        <f>IF(ISBLANK(M1645),"Aguardando Previsão/Data",NETWORKDAYS(L1645,M1645)-1)</f>
        <v>-5</v>
      </c>
      <c r="T1645" s="5" t="s">
        <v>942</v>
      </c>
    </row>
    <row r="1646" spans="1:20" x14ac:dyDescent="0.35">
      <c r="A1646" s="5">
        <v>8100276213</v>
      </c>
      <c r="B1646" s="5">
        <v>17363</v>
      </c>
      <c r="C1646" s="6">
        <v>45671</v>
      </c>
      <c r="D1646" s="5" t="s">
        <v>51</v>
      </c>
      <c r="E1646" s="5" t="s">
        <v>52</v>
      </c>
      <c r="F1646" s="5" t="s">
        <v>58</v>
      </c>
      <c r="G1646" s="5" t="s">
        <v>59</v>
      </c>
      <c r="H1646" s="5" t="s">
        <v>21</v>
      </c>
      <c r="I1646" s="5" t="s">
        <v>748</v>
      </c>
      <c r="J1646" s="5" t="s">
        <v>620</v>
      </c>
      <c r="K1646" s="5" t="s">
        <v>57</v>
      </c>
      <c r="L1646" s="6">
        <v>45679</v>
      </c>
      <c r="M1646" s="6">
        <v>45674</v>
      </c>
      <c r="N1646" s="6" t="s">
        <v>811</v>
      </c>
      <c r="O1646" s="5" t="str">
        <f ca="1">IF(P1646&lt;&gt;"EXPEDIÇÃO","Expedido",IF(NETWORKDAYS(C1646,TODAY())&gt;=5,"Risco Alto",IF(NETWORKDAYS(C1646,TODAY())&gt;=3,IF(NETWORKDAYS(C1646,TODAY())&lt;5,"Risco Médio",""),IF(NETWORKDAYS(C1646,TODAY())&lt;=2,"Risco Baixo",""))))</f>
        <v>Expedido</v>
      </c>
      <c r="P1646" s="5" t="s">
        <v>25</v>
      </c>
      <c r="S1646" s="7">
        <f>IF(ISBLANK(M1646),"Aguardando Previsão/Data",NETWORKDAYS(L1646,M1646)-1)</f>
        <v>-5</v>
      </c>
      <c r="T1646" s="5" t="s">
        <v>942</v>
      </c>
    </row>
    <row r="1647" spans="1:20" x14ac:dyDescent="0.35">
      <c r="A1647" s="5">
        <v>8100276214</v>
      </c>
      <c r="B1647" s="5">
        <v>17371</v>
      </c>
      <c r="C1647" s="6">
        <v>45671</v>
      </c>
      <c r="D1647" s="5" t="s">
        <v>51</v>
      </c>
      <c r="E1647" s="5" t="s">
        <v>52</v>
      </c>
      <c r="F1647" s="5" t="s">
        <v>58</v>
      </c>
      <c r="G1647" s="5" t="s">
        <v>59</v>
      </c>
      <c r="H1647" s="5" t="s">
        <v>21</v>
      </c>
      <c r="I1647" s="5" t="s">
        <v>497</v>
      </c>
      <c r="J1647" s="5" t="s">
        <v>498</v>
      </c>
      <c r="K1647" s="5" t="s">
        <v>57</v>
      </c>
      <c r="L1647" s="6">
        <v>45679</v>
      </c>
      <c r="M1647" s="6">
        <v>45677</v>
      </c>
      <c r="N1647" s="6" t="s">
        <v>811</v>
      </c>
      <c r="O1647" s="5" t="str">
        <f ca="1">IF(P1647&lt;&gt;"EXPEDIÇÃO","Expedido",IF(NETWORKDAYS(C1647,TODAY())&gt;=5,"Risco Alto",IF(NETWORKDAYS(C1647,TODAY())&gt;=3,IF(NETWORKDAYS(C1647,TODAY())&lt;5,"Risco Médio",""),IF(NETWORKDAYS(C1647,TODAY())&lt;=2,"Risco Baixo",""))))</f>
        <v>Expedido</v>
      </c>
      <c r="P1647" s="5" t="s">
        <v>25</v>
      </c>
      <c r="S1647" s="7">
        <f>IF(ISBLANK(M1647),"Aguardando Previsão/Data",NETWORKDAYS(L1647,M1647)-1)</f>
        <v>-4</v>
      </c>
      <c r="T1647" s="5" t="s">
        <v>942</v>
      </c>
    </row>
    <row r="1648" spans="1:20" x14ac:dyDescent="0.35">
      <c r="A1648" s="5">
        <v>8100276215</v>
      </c>
      <c r="B1648" s="5">
        <v>17367</v>
      </c>
      <c r="C1648" s="6">
        <v>45671</v>
      </c>
      <c r="D1648" s="5" t="s">
        <v>51</v>
      </c>
      <c r="E1648" s="5" t="s">
        <v>52</v>
      </c>
      <c r="F1648" s="5" t="s">
        <v>66</v>
      </c>
      <c r="G1648" s="5" t="s">
        <v>67</v>
      </c>
      <c r="H1648" s="5" t="s">
        <v>21</v>
      </c>
      <c r="I1648" s="5" t="s">
        <v>89</v>
      </c>
      <c r="J1648" s="5" t="s">
        <v>90</v>
      </c>
      <c r="K1648" s="5" t="s">
        <v>57</v>
      </c>
      <c r="L1648" s="6">
        <v>45679</v>
      </c>
      <c r="M1648" s="6">
        <v>45679</v>
      </c>
      <c r="N1648" s="6" t="s">
        <v>811</v>
      </c>
      <c r="O1648" s="5" t="str">
        <f ca="1">IF(P1648&lt;&gt;"EXPEDIÇÃO","Expedido",IF(NETWORKDAYS(C1648,TODAY())&gt;=5,"Risco Alto",IF(NETWORKDAYS(C1648,TODAY())&gt;=3,IF(NETWORKDAYS(C1648,TODAY())&lt;5,"Risco Médio",""),IF(NETWORKDAYS(C1648,TODAY())&lt;=2,"Risco Baixo",""))))</f>
        <v>Expedido</v>
      </c>
      <c r="P1648" s="5" t="s">
        <v>25</v>
      </c>
      <c r="S1648" s="7">
        <f>IF(ISBLANK(M1648),"Aguardando Previsão/Data",NETWORKDAYS(L1648,M1648)-1)</f>
        <v>0</v>
      </c>
      <c r="T1648" s="5" t="s">
        <v>942</v>
      </c>
    </row>
    <row r="1649" spans="1:20" x14ac:dyDescent="0.35">
      <c r="A1649" s="5">
        <v>8100276216</v>
      </c>
      <c r="B1649" s="5">
        <v>17364</v>
      </c>
      <c r="C1649" s="6">
        <v>45671</v>
      </c>
      <c r="D1649" s="5" t="s">
        <v>51</v>
      </c>
      <c r="E1649" s="5" t="s">
        <v>52</v>
      </c>
      <c r="F1649" s="5" t="s">
        <v>66</v>
      </c>
      <c r="G1649" s="5" t="s">
        <v>67</v>
      </c>
      <c r="H1649" s="5" t="s">
        <v>21</v>
      </c>
      <c r="I1649" s="5" t="s">
        <v>269</v>
      </c>
      <c r="J1649" s="5" t="s">
        <v>270</v>
      </c>
      <c r="K1649" s="5" t="s">
        <v>57</v>
      </c>
      <c r="L1649" s="6">
        <v>45679</v>
      </c>
      <c r="M1649" s="6">
        <v>45678</v>
      </c>
      <c r="N1649" s="6" t="s">
        <v>811</v>
      </c>
      <c r="O1649" s="5" t="str">
        <f ca="1">IF(P1649&lt;&gt;"EXPEDIÇÃO","Expedido",IF(NETWORKDAYS(C1649,TODAY())&gt;=5,"Risco Alto",IF(NETWORKDAYS(C1649,TODAY())&gt;=3,IF(NETWORKDAYS(C1649,TODAY())&lt;5,"Risco Médio",""),IF(NETWORKDAYS(C1649,TODAY())&lt;=2,"Risco Baixo",""))))</f>
        <v>Expedido</v>
      </c>
      <c r="P1649" s="5" t="s">
        <v>25</v>
      </c>
      <c r="S1649" s="7">
        <f>IF(ISBLANK(M1649),"Aguardando Previsão/Data",NETWORKDAYS(L1649,M1649)-1)</f>
        <v>-3</v>
      </c>
      <c r="T1649" s="5" t="s">
        <v>942</v>
      </c>
    </row>
    <row r="1650" spans="1:20" x14ac:dyDescent="0.35">
      <c r="A1650" s="5">
        <v>8100276218</v>
      </c>
      <c r="B1650" s="5">
        <v>17365</v>
      </c>
      <c r="C1650" s="6">
        <v>45671</v>
      </c>
      <c r="D1650" s="5" t="s">
        <v>51</v>
      </c>
      <c r="E1650" s="5" t="s">
        <v>52</v>
      </c>
      <c r="F1650" s="5" t="s">
        <v>66</v>
      </c>
      <c r="G1650" s="5" t="s">
        <v>67</v>
      </c>
      <c r="H1650" s="5" t="s">
        <v>21</v>
      </c>
      <c r="I1650" s="5" t="s">
        <v>269</v>
      </c>
      <c r="J1650" s="5" t="s">
        <v>270</v>
      </c>
      <c r="K1650" s="5" t="s">
        <v>57</v>
      </c>
      <c r="L1650" s="6">
        <v>45679</v>
      </c>
      <c r="M1650" s="6">
        <v>45678</v>
      </c>
      <c r="N1650" s="6" t="s">
        <v>811</v>
      </c>
      <c r="O1650" s="5" t="str">
        <f ca="1">IF(P1650&lt;&gt;"EXPEDIÇÃO","Expedido",IF(NETWORKDAYS(C1650,TODAY())&gt;=5,"Risco Alto",IF(NETWORKDAYS(C1650,TODAY())&gt;=3,IF(NETWORKDAYS(C1650,TODAY())&lt;5,"Risco Médio",""),IF(NETWORKDAYS(C1650,TODAY())&lt;=2,"Risco Baixo",""))))</f>
        <v>Expedido</v>
      </c>
      <c r="P1650" s="5" t="s">
        <v>25</v>
      </c>
      <c r="S1650" s="7">
        <f>IF(ISBLANK(M1650),"Aguardando Previsão/Data",NETWORKDAYS(L1650,M1650)-1)</f>
        <v>-3</v>
      </c>
      <c r="T1650" s="5" t="s">
        <v>942</v>
      </c>
    </row>
    <row r="1651" spans="1:20" x14ac:dyDescent="0.35">
      <c r="A1651" s="5">
        <v>8100276219</v>
      </c>
      <c r="B1651" s="5">
        <v>17370</v>
      </c>
      <c r="C1651" s="6">
        <v>45671</v>
      </c>
      <c r="D1651" s="5" t="s">
        <v>51</v>
      </c>
      <c r="E1651" s="5" t="s">
        <v>52</v>
      </c>
      <c r="F1651" s="5" t="s">
        <v>66</v>
      </c>
      <c r="G1651" s="5" t="s">
        <v>67</v>
      </c>
      <c r="H1651" s="5" t="s">
        <v>21</v>
      </c>
      <c r="I1651" s="5" t="s">
        <v>552</v>
      </c>
      <c r="J1651" s="5" t="s">
        <v>553</v>
      </c>
      <c r="K1651" s="5" t="s">
        <v>57</v>
      </c>
      <c r="L1651" s="6">
        <v>45679</v>
      </c>
      <c r="M1651" s="6">
        <v>45677</v>
      </c>
      <c r="N1651" s="6" t="s">
        <v>811</v>
      </c>
      <c r="O1651" s="5" t="str">
        <f ca="1">IF(P1651&lt;&gt;"EXPEDIÇÃO","Expedido",IF(NETWORKDAYS(C1651,TODAY())&gt;=5,"Risco Alto",IF(NETWORKDAYS(C1651,TODAY())&gt;=3,IF(NETWORKDAYS(C1651,TODAY())&lt;5,"Risco Médio",""),IF(NETWORKDAYS(C1651,TODAY())&lt;=2,"Risco Baixo",""))))</f>
        <v>Expedido</v>
      </c>
      <c r="P1651" s="5" t="s">
        <v>25</v>
      </c>
      <c r="S1651" s="7">
        <f>IF(ISBLANK(M1651),"Aguardando Previsão/Data",NETWORKDAYS(L1651,M1651)-1)</f>
        <v>-4</v>
      </c>
      <c r="T1651" s="5" t="s">
        <v>942</v>
      </c>
    </row>
    <row r="1652" spans="1:20" x14ac:dyDescent="0.35">
      <c r="A1652" s="5">
        <v>8100276220</v>
      </c>
      <c r="B1652" s="5">
        <v>17343</v>
      </c>
      <c r="C1652" s="6">
        <v>45671</v>
      </c>
      <c r="D1652" s="5" t="s">
        <v>51</v>
      </c>
      <c r="E1652" s="5" t="s">
        <v>52</v>
      </c>
      <c r="F1652" s="5" t="s">
        <v>58</v>
      </c>
      <c r="G1652" s="5" t="s">
        <v>59</v>
      </c>
      <c r="H1652" s="5" t="s">
        <v>21</v>
      </c>
      <c r="I1652" s="5" t="s">
        <v>22</v>
      </c>
      <c r="J1652" s="5" t="s">
        <v>65</v>
      </c>
      <c r="K1652" s="5" t="s">
        <v>57</v>
      </c>
      <c r="L1652" s="6">
        <v>45674</v>
      </c>
      <c r="M1652" s="6">
        <v>45672</v>
      </c>
      <c r="N1652" s="6" t="s">
        <v>811</v>
      </c>
      <c r="O1652" s="5" t="str">
        <f ca="1">IF(P1652&lt;&gt;"EXPEDIÇÃO","Expedido",IF(NETWORKDAYS(C1652,TODAY())&gt;=5,"Risco Alto",IF(NETWORKDAYS(C1652,TODAY())&gt;=3,IF(NETWORKDAYS(C1652,TODAY())&lt;5,"Risco Médio",""),IF(NETWORKDAYS(C1652,TODAY())&lt;=2,"Risco Baixo",""))))</f>
        <v>Expedido</v>
      </c>
      <c r="P1652" s="5" t="s">
        <v>25</v>
      </c>
      <c r="Q1652" s="5" t="s">
        <v>900</v>
      </c>
      <c r="S1652" s="7">
        <f>IF(ISBLANK(M1652),"Aguardando Previsão/Data",NETWORKDAYS(L1652,M1652)-1)</f>
        <v>-4</v>
      </c>
      <c r="T1652" s="5" t="s">
        <v>942</v>
      </c>
    </row>
    <row r="1653" spans="1:20" x14ac:dyDescent="0.35">
      <c r="A1653" s="5">
        <v>8100276224</v>
      </c>
      <c r="B1653" s="5">
        <v>17344</v>
      </c>
      <c r="C1653" s="6">
        <v>45671</v>
      </c>
      <c r="D1653" s="5" t="s">
        <v>51</v>
      </c>
      <c r="E1653" s="5" t="s">
        <v>52</v>
      </c>
      <c r="F1653" s="5" t="s">
        <v>58</v>
      </c>
      <c r="G1653" s="5" t="s">
        <v>59</v>
      </c>
      <c r="H1653" s="5" t="s">
        <v>21</v>
      </c>
      <c r="I1653" s="5" t="s">
        <v>22</v>
      </c>
      <c r="J1653" s="5" t="s">
        <v>65</v>
      </c>
      <c r="K1653" s="5" t="s">
        <v>57</v>
      </c>
      <c r="L1653" s="6">
        <v>45674</v>
      </c>
      <c r="M1653" s="6">
        <v>45672</v>
      </c>
      <c r="N1653" s="6" t="s">
        <v>811</v>
      </c>
      <c r="O1653" s="5" t="str">
        <f ca="1">IF(P1653&lt;&gt;"EXPEDIÇÃO","Expedido",IF(NETWORKDAYS(C1653,TODAY())&gt;=5,"Risco Alto",IF(NETWORKDAYS(C1653,TODAY())&gt;=3,IF(NETWORKDAYS(C1653,TODAY())&lt;5,"Risco Médio",""),IF(NETWORKDAYS(C1653,TODAY())&lt;=2,"Risco Baixo",""))))</f>
        <v>Expedido</v>
      </c>
      <c r="P1653" s="5" t="s">
        <v>25</v>
      </c>
      <c r="Q1653" s="5" t="s">
        <v>900</v>
      </c>
      <c r="S1653" s="7">
        <f>IF(ISBLANK(M1653),"Aguardando Previsão/Data",NETWORKDAYS(L1653,M1653)-1)</f>
        <v>-4</v>
      </c>
      <c r="T1653" s="5" t="s">
        <v>942</v>
      </c>
    </row>
    <row r="1654" spans="1:20" x14ac:dyDescent="0.35">
      <c r="A1654" s="5">
        <v>8100276371</v>
      </c>
      <c r="B1654" s="5">
        <v>17368</v>
      </c>
      <c r="C1654" s="6">
        <v>45671</v>
      </c>
      <c r="D1654" s="5" t="s">
        <v>51</v>
      </c>
      <c r="E1654" s="5" t="s">
        <v>52</v>
      </c>
      <c r="F1654" s="5" t="s">
        <v>58</v>
      </c>
      <c r="G1654" s="5" t="s">
        <v>59</v>
      </c>
      <c r="H1654" s="5" t="s">
        <v>21</v>
      </c>
      <c r="I1654" s="5" t="s">
        <v>376</v>
      </c>
      <c r="J1654" s="5" t="s">
        <v>377</v>
      </c>
      <c r="K1654" s="5" t="s">
        <v>57</v>
      </c>
      <c r="L1654" s="6">
        <v>45678</v>
      </c>
      <c r="M1654" s="6">
        <v>45677</v>
      </c>
      <c r="N1654" s="6" t="s">
        <v>811</v>
      </c>
      <c r="O1654" s="5" t="str">
        <f ca="1">IF(P1654&lt;&gt;"EXPEDIÇÃO","Expedido",IF(NETWORKDAYS(C1654,TODAY())&gt;=5,"Risco Alto",IF(NETWORKDAYS(C1654,TODAY())&gt;=3,IF(NETWORKDAYS(C1654,TODAY())&lt;5,"Risco Médio",""),IF(NETWORKDAYS(C1654,TODAY())&lt;=2,"Risco Baixo",""))))</f>
        <v>Expedido</v>
      </c>
      <c r="P1654" s="5" t="s">
        <v>25</v>
      </c>
      <c r="S1654" s="7">
        <f>IF(ISBLANK(M1654),"Aguardando Previsão/Data",NETWORKDAYS(L1654,M1654)-1)</f>
        <v>-3</v>
      </c>
      <c r="T1654" s="5" t="s">
        <v>942</v>
      </c>
    </row>
    <row r="1655" spans="1:20" x14ac:dyDescent="0.35">
      <c r="A1655" s="5">
        <v>8100276372</v>
      </c>
      <c r="B1655" s="5">
        <v>17369</v>
      </c>
      <c r="C1655" s="6">
        <v>45671</v>
      </c>
      <c r="D1655" s="5" t="s">
        <v>51</v>
      </c>
      <c r="E1655" s="5" t="s">
        <v>52</v>
      </c>
      <c r="F1655" s="5" t="s">
        <v>53</v>
      </c>
      <c r="G1655" s="5" t="s">
        <v>54</v>
      </c>
      <c r="H1655" s="5" t="s">
        <v>21</v>
      </c>
      <c r="I1655" s="5" t="s">
        <v>64</v>
      </c>
      <c r="J1655" s="5" t="s">
        <v>65</v>
      </c>
      <c r="K1655" s="5" t="s">
        <v>57</v>
      </c>
      <c r="L1655" s="6">
        <v>45674</v>
      </c>
      <c r="M1655" s="6">
        <v>45672</v>
      </c>
      <c r="N1655" s="6" t="s">
        <v>811</v>
      </c>
      <c r="O1655" s="5" t="str">
        <f ca="1">IF(P1655&lt;&gt;"EXPEDIÇÃO","Expedido",IF(NETWORKDAYS(C1655,TODAY())&gt;=5,"Risco Alto",IF(NETWORKDAYS(C1655,TODAY())&gt;=3,IF(NETWORKDAYS(C1655,TODAY())&lt;5,"Risco Médio",""),IF(NETWORKDAYS(C1655,TODAY())&lt;=2,"Risco Baixo",""))))</f>
        <v>Expedido</v>
      </c>
      <c r="P1655" s="5" t="s">
        <v>25</v>
      </c>
      <c r="Q1655" s="5" t="s">
        <v>900</v>
      </c>
      <c r="S1655" s="7">
        <f>IF(ISBLANK(M1655),"Aguardando Previsão/Data",NETWORKDAYS(L1655,M1655)-1)</f>
        <v>-4</v>
      </c>
      <c r="T1655" s="5" t="s">
        <v>942</v>
      </c>
    </row>
    <row r="1656" spans="1:20" x14ac:dyDescent="0.35">
      <c r="A1656" s="5">
        <v>8100276373</v>
      </c>
      <c r="B1656" s="5">
        <v>17366</v>
      </c>
      <c r="C1656" s="6">
        <v>45671</v>
      </c>
      <c r="D1656" s="5" t="s">
        <v>51</v>
      </c>
      <c r="E1656" s="5" t="s">
        <v>52</v>
      </c>
      <c r="F1656" s="5" t="s">
        <v>58</v>
      </c>
      <c r="G1656" s="5" t="s">
        <v>59</v>
      </c>
      <c r="H1656" s="5" t="s">
        <v>21</v>
      </c>
      <c r="I1656" s="5" t="s">
        <v>304</v>
      </c>
      <c r="J1656" s="5" t="s">
        <v>65</v>
      </c>
      <c r="K1656" s="5" t="s">
        <v>57</v>
      </c>
      <c r="L1656" s="6">
        <v>45674</v>
      </c>
      <c r="M1656" s="6">
        <v>45673</v>
      </c>
      <c r="N1656" s="6" t="s">
        <v>811</v>
      </c>
      <c r="O1656" s="5" t="str">
        <f ca="1">IF(P1656&lt;&gt;"EXPEDIÇÃO","Expedido",IF(NETWORKDAYS(C1656,TODAY())&gt;=5,"Risco Alto",IF(NETWORKDAYS(C1656,TODAY())&gt;=3,IF(NETWORKDAYS(C1656,TODAY())&lt;5,"Risco Médio",""),IF(NETWORKDAYS(C1656,TODAY())&lt;=2,"Risco Baixo",""))))</f>
        <v>Expedido</v>
      </c>
      <c r="P1656" s="5" t="s">
        <v>25</v>
      </c>
      <c r="S1656" s="7">
        <f>IF(ISBLANK(M1656),"Aguardando Previsão/Data",NETWORKDAYS(L1656,M1656)-1)</f>
        <v>-3</v>
      </c>
      <c r="T1656" s="5" t="s">
        <v>942</v>
      </c>
    </row>
    <row r="1657" spans="1:20" x14ac:dyDescent="0.35">
      <c r="A1657" s="5">
        <v>8100276374</v>
      </c>
      <c r="B1657" s="5">
        <v>17355</v>
      </c>
      <c r="C1657" s="6">
        <v>45671</v>
      </c>
      <c r="D1657" s="5" t="s">
        <v>51</v>
      </c>
      <c r="E1657" s="5" t="s">
        <v>52</v>
      </c>
      <c r="F1657" s="5" t="s">
        <v>58</v>
      </c>
      <c r="G1657" s="5" t="s">
        <v>59</v>
      </c>
      <c r="H1657" s="5" t="s">
        <v>21</v>
      </c>
      <c r="I1657" s="5" t="s">
        <v>22</v>
      </c>
      <c r="J1657" s="5" t="s">
        <v>65</v>
      </c>
      <c r="K1657" s="5" t="s">
        <v>57</v>
      </c>
      <c r="L1657" s="6">
        <v>45674</v>
      </c>
      <c r="M1657" s="6">
        <v>45672</v>
      </c>
      <c r="N1657" s="6" t="s">
        <v>811</v>
      </c>
      <c r="O1657" s="5" t="str">
        <f ca="1">IF(P1657&lt;&gt;"EXPEDIÇÃO","Expedido",IF(NETWORKDAYS(C1657,TODAY())&gt;=5,"Risco Alto",IF(NETWORKDAYS(C1657,TODAY())&gt;=3,IF(NETWORKDAYS(C1657,TODAY())&lt;5,"Risco Médio",""),IF(NETWORKDAYS(C1657,TODAY())&lt;=2,"Risco Baixo",""))))</f>
        <v>Expedido</v>
      </c>
      <c r="P1657" s="5" t="s">
        <v>25</v>
      </c>
      <c r="Q1657" s="5" t="s">
        <v>900</v>
      </c>
      <c r="S1657" s="7">
        <f>IF(ISBLANK(M1657),"Aguardando Previsão/Data",NETWORKDAYS(L1657,M1657)-1)</f>
        <v>-4</v>
      </c>
      <c r="T1657" s="5" t="s">
        <v>942</v>
      </c>
    </row>
    <row r="1658" spans="1:20" x14ac:dyDescent="0.35">
      <c r="A1658" s="5">
        <v>8100276543</v>
      </c>
      <c r="B1658" s="5">
        <v>17385</v>
      </c>
      <c r="C1658" s="6">
        <v>45671</v>
      </c>
      <c r="D1658" s="5" t="s">
        <v>51</v>
      </c>
      <c r="E1658" s="5" t="s">
        <v>52</v>
      </c>
      <c r="F1658" s="5" t="s">
        <v>406</v>
      </c>
      <c r="G1658" s="5" t="s">
        <v>407</v>
      </c>
      <c r="H1658" s="5" t="s">
        <v>21</v>
      </c>
      <c r="I1658" s="5" t="s">
        <v>751</v>
      </c>
      <c r="J1658" s="5" t="s">
        <v>265</v>
      </c>
      <c r="K1658" s="5" t="s">
        <v>80</v>
      </c>
      <c r="L1658" s="6">
        <v>45678</v>
      </c>
      <c r="M1658" s="6">
        <v>45673</v>
      </c>
      <c r="O1658" s="5" t="str">
        <f ca="1">IF(P1658&lt;&gt;"EXPEDIÇÃO","Expedido",IF(NETWORKDAYS(C1658,TODAY())&gt;=5,"Risco Alto",IF(NETWORKDAYS(C1658,TODAY())&gt;=3,IF(NETWORKDAYS(C1658,TODAY())&lt;5,"Risco Médio",""),IF(NETWORKDAYS(C1658,TODAY())&lt;=2,"Risco Baixo",""))))</f>
        <v>Expedido</v>
      </c>
      <c r="P1658" s="5" t="s">
        <v>629</v>
      </c>
      <c r="Q1658" s="5" t="s">
        <v>363</v>
      </c>
      <c r="S1658" s="7">
        <f>IF(ISBLANK(M1658),"Aguardando Previsão/Data",NETWORKDAYS(L1658,M1658)-1)</f>
        <v>-5</v>
      </c>
      <c r="T1658" s="5" t="s">
        <v>942</v>
      </c>
    </row>
    <row r="1659" spans="1:20" x14ac:dyDescent="0.35">
      <c r="A1659" s="5">
        <v>8100276544</v>
      </c>
      <c r="B1659" s="5">
        <v>17379</v>
      </c>
      <c r="C1659" s="6">
        <v>45671</v>
      </c>
      <c r="D1659" s="5" t="s">
        <v>51</v>
      </c>
      <c r="E1659" s="5" t="s">
        <v>52</v>
      </c>
      <c r="F1659" s="5" t="s">
        <v>58</v>
      </c>
      <c r="G1659" s="5" t="s">
        <v>59</v>
      </c>
      <c r="H1659" s="5" t="s">
        <v>21</v>
      </c>
      <c r="I1659" s="5" t="s">
        <v>71</v>
      </c>
      <c r="J1659" s="5" t="s">
        <v>72</v>
      </c>
      <c r="K1659" s="5" t="s">
        <v>57</v>
      </c>
      <c r="L1659" s="6">
        <v>45677</v>
      </c>
      <c r="M1659" s="6">
        <v>45674</v>
      </c>
      <c r="N1659" s="6" t="s">
        <v>811</v>
      </c>
      <c r="O1659" s="5" t="str">
        <f ca="1">IF(P1659&lt;&gt;"EXPEDIÇÃO","Expedido",IF(NETWORKDAYS(C1659,TODAY())&gt;=5,"Risco Alto",IF(NETWORKDAYS(C1659,TODAY())&gt;=3,IF(NETWORKDAYS(C1659,TODAY())&lt;5,"Risco Médio",""),IF(NETWORKDAYS(C1659,TODAY())&lt;=2,"Risco Baixo",""))))</f>
        <v>Expedido</v>
      </c>
      <c r="P1659" s="5" t="s">
        <v>25</v>
      </c>
      <c r="S1659" s="7">
        <f>IF(ISBLANK(M1659),"Aguardando Previsão/Data",NETWORKDAYS(L1659,M1659)-1)</f>
        <v>-3</v>
      </c>
      <c r="T1659" s="5" t="s">
        <v>942</v>
      </c>
    </row>
    <row r="1660" spans="1:20" x14ac:dyDescent="0.35">
      <c r="A1660" s="5">
        <v>8100276545</v>
      </c>
      <c r="B1660" s="5">
        <v>17380</v>
      </c>
      <c r="C1660" s="6">
        <v>45671</v>
      </c>
      <c r="D1660" s="5" t="s">
        <v>51</v>
      </c>
      <c r="E1660" s="5" t="s">
        <v>52</v>
      </c>
      <c r="F1660" s="5" t="s">
        <v>329</v>
      </c>
      <c r="G1660" s="5" t="s">
        <v>330</v>
      </c>
      <c r="H1660" s="5" t="s">
        <v>21</v>
      </c>
      <c r="I1660" s="5" t="s">
        <v>438</v>
      </c>
      <c r="J1660" s="5" t="s">
        <v>439</v>
      </c>
      <c r="K1660" s="5" t="s">
        <v>57</v>
      </c>
      <c r="L1660" s="6">
        <v>45677</v>
      </c>
      <c r="M1660" s="6">
        <v>45673</v>
      </c>
      <c r="N1660" s="6" t="s">
        <v>811</v>
      </c>
      <c r="O1660" s="5" t="str">
        <f ca="1">IF(P1660&lt;&gt;"EXPEDIÇÃO","Expedido",IF(NETWORKDAYS(C1660,TODAY())&gt;=5,"Risco Alto",IF(NETWORKDAYS(C1660,TODAY())&gt;=3,IF(NETWORKDAYS(C1660,TODAY())&lt;5,"Risco Médio",""),IF(NETWORKDAYS(C1660,TODAY())&lt;=2,"Risco Baixo",""))))</f>
        <v>Expedido</v>
      </c>
      <c r="P1660" s="5" t="s">
        <v>25</v>
      </c>
      <c r="S1660" s="7">
        <f>IF(ISBLANK(M1660),"Aguardando Previsão/Data",NETWORKDAYS(L1660,M1660)-1)</f>
        <v>-4</v>
      </c>
      <c r="T1660" s="5" t="s">
        <v>942</v>
      </c>
    </row>
    <row r="1661" spans="1:20" x14ac:dyDescent="0.35">
      <c r="A1661" s="5">
        <v>8100276546</v>
      </c>
      <c r="B1661" s="5">
        <v>17384</v>
      </c>
      <c r="C1661" s="6">
        <v>45671</v>
      </c>
      <c r="D1661" s="5" t="s">
        <v>51</v>
      </c>
      <c r="E1661" s="5" t="s">
        <v>52</v>
      </c>
      <c r="F1661" s="5" t="s">
        <v>66</v>
      </c>
      <c r="G1661" s="5" t="s">
        <v>67</v>
      </c>
      <c r="H1661" s="5" t="s">
        <v>21</v>
      </c>
      <c r="I1661" s="5" t="s">
        <v>1337</v>
      </c>
      <c r="J1661" s="5" t="s">
        <v>68</v>
      </c>
      <c r="K1661" s="5" t="s">
        <v>57</v>
      </c>
      <c r="L1661" s="6">
        <v>45678</v>
      </c>
      <c r="M1661" s="6">
        <v>45678</v>
      </c>
      <c r="N1661" s="6" t="s">
        <v>811</v>
      </c>
      <c r="O1661" s="5" t="str">
        <f ca="1">IF(P1661&lt;&gt;"EXPEDIÇÃO","Expedido",IF(NETWORKDAYS(C1661,TODAY())&gt;=5,"Risco Alto",IF(NETWORKDAYS(C1661,TODAY())&gt;=3,IF(NETWORKDAYS(C1661,TODAY())&lt;5,"Risco Médio",""),IF(NETWORKDAYS(C1661,TODAY())&lt;=2,"Risco Baixo",""))))</f>
        <v>Expedido</v>
      </c>
      <c r="P1661" s="5" t="s">
        <v>25</v>
      </c>
      <c r="S1661" s="7">
        <f>IF(ISBLANK(M1661),"Aguardando Previsão/Data",NETWORKDAYS(L1661,M1661)-1)</f>
        <v>0</v>
      </c>
      <c r="T1661" s="5" t="s">
        <v>942</v>
      </c>
    </row>
    <row r="1662" spans="1:20" x14ac:dyDescent="0.35">
      <c r="A1662" s="5">
        <v>8100276547</v>
      </c>
      <c r="B1662" s="5">
        <v>17381</v>
      </c>
      <c r="C1662" s="6">
        <v>45671</v>
      </c>
      <c r="D1662" s="5" t="s">
        <v>51</v>
      </c>
      <c r="E1662" s="5" t="s">
        <v>52</v>
      </c>
      <c r="F1662" s="5" t="s">
        <v>58</v>
      </c>
      <c r="G1662" s="5" t="s">
        <v>59</v>
      </c>
      <c r="H1662" s="5" t="s">
        <v>21</v>
      </c>
      <c r="I1662" s="5" t="s">
        <v>60</v>
      </c>
      <c r="J1662" s="5" t="s">
        <v>61</v>
      </c>
      <c r="K1662" s="5" t="s">
        <v>57</v>
      </c>
      <c r="L1662" s="6">
        <v>45679</v>
      </c>
      <c r="M1662" s="6">
        <v>45674</v>
      </c>
      <c r="N1662" s="6" t="s">
        <v>811</v>
      </c>
      <c r="O1662" s="5" t="str">
        <f ca="1">IF(P1662&lt;&gt;"EXPEDIÇÃO","Expedido",IF(NETWORKDAYS(C1662,TODAY())&gt;=5,"Risco Alto",IF(NETWORKDAYS(C1662,TODAY())&gt;=3,IF(NETWORKDAYS(C1662,TODAY())&lt;5,"Risco Médio",""),IF(NETWORKDAYS(C1662,TODAY())&lt;=2,"Risco Baixo",""))))</f>
        <v>Expedido</v>
      </c>
      <c r="P1662" s="5" t="s">
        <v>25</v>
      </c>
      <c r="S1662" s="7">
        <f>IF(ISBLANK(M1662),"Aguardando Previsão/Data",NETWORKDAYS(L1662,M1662)-1)</f>
        <v>-5</v>
      </c>
      <c r="T1662" s="5" t="s">
        <v>942</v>
      </c>
    </row>
    <row r="1663" spans="1:20" x14ac:dyDescent="0.35">
      <c r="A1663" s="5">
        <v>8100276548</v>
      </c>
      <c r="B1663" s="5">
        <v>17382</v>
      </c>
      <c r="C1663" s="6">
        <v>45671</v>
      </c>
      <c r="D1663" s="5" t="s">
        <v>51</v>
      </c>
      <c r="E1663" s="5" t="s">
        <v>52</v>
      </c>
      <c r="F1663" s="5" t="s">
        <v>58</v>
      </c>
      <c r="G1663" s="5" t="s">
        <v>59</v>
      </c>
      <c r="H1663" s="5" t="s">
        <v>21</v>
      </c>
      <c r="I1663" s="5" t="s">
        <v>60</v>
      </c>
      <c r="J1663" s="5" t="s">
        <v>61</v>
      </c>
      <c r="K1663" s="5" t="s">
        <v>57</v>
      </c>
      <c r="L1663" s="6">
        <v>45679</v>
      </c>
      <c r="M1663" s="6">
        <v>45674</v>
      </c>
      <c r="N1663" s="6" t="s">
        <v>811</v>
      </c>
      <c r="O1663" s="5" t="str">
        <f ca="1">IF(P1663&lt;&gt;"EXPEDIÇÃO","Expedido",IF(NETWORKDAYS(C1663,TODAY())&gt;=5,"Risco Alto",IF(NETWORKDAYS(C1663,TODAY())&gt;=3,IF(NETWORKDAYS(C1663,TODAY())&lt;5,"Risco Médio",""),IF(NETWORKDAYS(C1663,TODAY())&lt;=2,"Risco Baixo",""))))</f>
        <v>Expedido</v>
      </c>
      <c r="P1663" s="5" t="s">
        <v>25</v>
      </c>
      <c r="S1663" s="7">
        <f>IF(ISBLANK(M1663),"Aguardando Previsão/Data",NETWORKDAYS(L1663,M1663)-1)</f>
        <v>-5</v>
      </c>
      <c r="T1663" s="5" t="s">
        <v>942</v>
      </c>
    </row>
    <row r="1664" spans="1:20" x14ac:dyDescent="0.35">
      <c r="A1664" s="5">
        <v>8100276549</v>
      </c>
      <c r="B1664" s="5">
        <v>17383</v>
      </c>
      <c r="C1664" s="6">
        <v>45671</v>
      </c>
      <c r="D1664" s="5" t="s">
        <v>51</v>
      </c>
      <c r="E1664" s="5" t="s">
        <v>52</v>
      </c>
      <c r="F1664" s="5" t="s">
        <v>58</v>
      </c>
      <c r="G1664" s="5" t="s">
        <v>59</v>
      </c>
      <c r="H1664" s="5" t="s">
        <v>21</v>
      </c>
      <c r="I1664" s="5" t="s">
        <v>88</v>
      </c>
      <c r="J1664" s="5" t="s">
        <v>72</v>
      </c>
      <c r="K1664" s="5" t="s">
        <v>57</v>
      </c>
      <c r="L1664" s="6">
        <v>45677</v>
      </c>
      <c r="M1664" s="6">
        <v>45674</v>
      </c>
      <c r="N1664" s="6" t="s">
        <v>811</v>
      </c>
      <c r="O1664" s="5" t="str">
        <f ca="1">IF(P1664&lt;&gt;"EXPEDIÇÃO","Expedido",IF(NETWORKDAYS(C1664,TODAY())&gt;=5,"Risco Alto",IF(NETWORKDAYS(C1664,TODAY())&gt;=3,IF(NETWORKDAYS(C1664,TODAY())&lt;5,"Risco Médio",""),IF(NETWORKDAYS(C1664,TODAY())&lt;=2,"Risco Baixo",""))))</f>
        <v>Expedido</v>
      </c>
      <c r="P1664" s="5" t="s">
        <v>25</v>
      </c>
      <c r="S1664" s="7">
        <f>IF(ISBLANK(M1664),"Aguardando Previsão/Data",NETWORKDAYS(L1664,M1664)-1)</f>
        <v>-3</v>
      </c>
      <c r="T1664" s="5" t="s">
        <v>942</v>
      </c>
    </row>
    <row r="1665" spans="1:20" x14ac:dyDescent="0.35">
      <c r="A1665" s="5">
        <v>8100276696</v>
      </c>
      <c r="B1665" s="5">
        <v>17388</v>
      </c>
      <c r="C1665" s="6">
        <v>45671</v>
      </c>
      <c r="D1665" s="5" t="s">
        <v>51</v>
      </c>
      <c r="E1665" s="5" t="s">
        <v>52</v>
      </c>
      <c r="F1665" s="5" t="s">
        <v>58</v>
      </c>
      <c r="G1665" s="5" t="s">
        <v>59</v>
      </c>
      <c r="H1665" s="5" t="s">
        <v>21</v>
      </c>
      <c r="I1665" s="5" t="s">
        <v>497</v>
      </c>
      <c r="J1665" s="5" t="s">
        <v>498</v>
      </c>
      <c r="K1665" s="5" t="s">
        <v>57</v>
      </c>
      <c r="L1665" s="6">
        <v>45679</v>
      </c>
      <c r="M1665" s="6">
        <v>45677</v>
      </c>
      <c r="N1665" s="6" t="s">
        <v>811</v>
      </c>
      <c r="O1665" s="5" t="str">
        <f ca="1">IF(P1665&lt;&gt;"EXPEDIÇÃO","Expedido",IF(NETWORKDAYS(C1665,TODAY())&gt;=5,"Risco Alto",IF(NETWORKDAYS(C1665,TODAY())&gt;=3,IF(NETWORKDAYS(C1665,TODAY())&lt;5,"Risco Médio",""),IF(NETWORKDAYS(C1665,TODAY())&lt;=2,"Risco Baixo",""))))</f>
        <v>Expedido</v>
      </c>
      <c r="P1665" s="5" t="s">
        <v>25</v>
      </c>
      <c r="S1665" s="7">
        <f>IF(ISBLANK(M1665),"Aguardando Previsão/Data",NETWORKDAYS(L1665,M1665)-1)</f>
        <v>-4</v>
      </c>
      <c r="T1665" s="5" t="s">
        <v>942</v>
      </c>
    </row>
    <row r="1666" spans="1:20" x14ac:dyDescent="0.35">
      <c r="A1666" s="5">
        <v>8100276697</v>
      </c>
      <c r="B1666" s="5">
        <v>17386</v>
      </c>
      <c r="C1666" s="6">
        <v>45671</v>
      </c>
      <c r="D1666" s="5" t="s">
        <v>51</v>
      </c>
      <c r="E1666" s="5" t="s">
        <v>52</v>
      </c>
      <c r="F1666" s="5" t="s">
        <v>69</v>
      </c>
      <c r="G1666" s="5" t="s">
        <v>70</v>
      </c>
      <c r="H1666" s="5" t="s">
        <v>21</v>
      </c>
      <c r="I1666" s="5" t="s">
        <v>82</v>
      </c>
      <c r="J1666" s="5" t="s">
        <v>351</v>
      </c>
      <c r="K1666" s="5" t="s">
        <v>57</v>
      </c>
      <c r="L1666" s="6">
        <v>45677</v>
      </c>
      <c r="M1666" s="6">
        <v>45672</v>
      </c>
      <c r="N1666" s="6" t="s">
        <v>811</v>
      </c>
      <c r="O1666" s="5" t="str">
        <f ca="1">IF(P1666&lt;&gt;"EXPEDIÇÃO","Expedido",IF(NETWORKDAYS(C1666,TODAY())&gt;=5,"Risco Alto",IF(NETWORKDAYS(C1666,TODAY())&gt;=3,IF(NETWORKDAYS(C1666,TODAY())&lt;5,"Risco Médio",""),IF(NETWORKDAYS(C1666,TODAY())&lt;=2,"Risco Baixo",""))))</f>
        <v>Expedido</v>
      </c>
      <c r="P1666" s="5" t="s">
        <v>25</v>
      </c>
      <c r="S1666" s="7">
        <f>IF(ISBLANK(M1666),"Aguardando Previsão/Data",NETWORKDAYS(L1666,M1666)-1)</f>
        <v>-5</v>
      </c>
      <c r="T1666" s="5" t="s">
        <v>942</v>
      </c>
    </row>
    <row r="1667" spans="1:20" x14ac:dyDescent="0.35">
      <c r="A1667" s="5">
        <v>8100276698</v>
      </c>
      <c r="B1667" s="5">
        <v>17387</v>
      </c>
      <c r="C1667" s="6">
        <v>45671</v>
      </c>
      <c r="D1667" s="5" t="s">
        <v>51</v>
      </c>
      <c r="E1667" s="5" t="s">
        <v>52</v>
      </c>
      <c r="F1667" s="5" t="s">
        <v>69</v>
      </c>
      <c r="G1667" s="5" t="s">
        <v>70</v>
      </c>
      <c r="H1667" s="5" t="s">
        <v>21</v>
      </c>
      <c r="I1667" s="5" t="s">
        <v>82</v>
      </c>
      <c r="J1667" s="5" t="s">
        <v>351</v>
      </c>
      <c r="K1667" s="5" t="s">
        <v>57</v>
      </c>
      <c r="L1667" s="6">
        <v>45677</v>
      </c>
      <c r="M1667" s="6">
        <v>45672</v>
      </c>
      <c r="N1667" s="6" t="s">
        <v>811</v>
      </c>
      <c r="O1667" s="5" t="str">
        <f ca="1">IF(P1667&lt;&gt;"EXPEDIÇÃO","Expedido",IF(NETWORKDAYS(C1667,TODAY())&gt;=5,"Risco Alto",IF(NETWORKDAYS(C1667,TODAY())&gt;=3,IF(NETWORKDAYS(C1667,TODAY())&lt;5,"Risco Médio",""),IF(NETWORKDAYS(C1667,TODAY())&lt;=2,"Risco Baixo",""))))</f>
        <v>Expedido</v>
      </c>
      <c r="P1667" s="5" t="s">
        <v>25</v>
      </c>
      <c r="S1667" s="7">
        <f>IF(ISBLANK(M1667),"Aguardando Previsão/Data",NETWORKDAYS(L1667,M1667)-1)</f>
        <v>-5</v>
      </c>
      <c r="T1667" s="5" t="s">
        <v>942</v>
      </c>
    </row>
    <row r="1668" spans="1:20" x14ac:dyDescent="0.35">
      <c r="A1668" s="5">
        <v>8100276796</v>
      </c>
      <c r="B1668" s="5">
        <v>17389</v>
      </c>
      <c r="C1668" s="6">
        <v>45671</v>
      </c>
      <c r="D1668" s="5" t="s">
        <v>51</v>
      </c>
      <c r="E1668" s="5" t="s">
        <v>52</v>
      </c>
      <c r="F1668" s="5" t="s">
        <v>53</v>
      </c>
      <c r="G1668" s="5" t="s">
        <v>54</v>
      </c>
      <c r="H1668" s="5" t="s">
        <v>21</v>
      </c>
      <c r="I1668" s="5" t="s">
        <v>748</v>
      </c>
      <c r="J1668" s="5" t="s">
        <v>620</v>
      </c>
      <c r="K1668" s="5" t="s">
        <v>57</v>
      </c>
      <c r="L1668" s="6">
        <v>45679</v>
      </c>
      <c r="M1668" s="6">
        <v>45674</v>
      </c>
      <c r="N1668" s="6" t="s">
        <v>811</v>
      </c>
      <c r="O1668" s="5" t="str">
        <f ca="1">IF(P1668&lt;&gt;"EXPEDIÇÃO","Expedido",IF(NETWORKDAYS(C1668,TODAY())&gt;=5,"Risco Alto",IF(NETWORKDAYS(C1668,TODAY())&gt;=3,IF(NETWORKDAYS(C1668,TODAY())&lt;5,"Risco Médio",""),IF(NETWORKDAYS(C1668,TODAY())&lt;=2,"Risco Baixo",""))))</f>
        <v>Expedido</v>
      </c>
      <c r="P1668" s="5" t="s">
        <v>25</v>
      </c>
      <c r="S1668" s="7">
        <f>IF(ISBLANK(M1668),"Aguardando Previsão/Data",NETWORKDAYS(L1668,M1668)-1)</f>
        <v>-5</v>
      </c>
      <c r="T1668" s="5" t="s">
        <v>942</v>
      </c>
    </row>
    <row r="1669" spans="1:20" x14ac:dyDescent="0.35">
      <c r="A1669" s="5">
        <v>8100276797</v>
      </c>
      <c r="B1669" s="5">
        <v>17390</v>
      </c>
      <c r="C1669" s="6">
        <v>45671</v>
      </c>
      <c r="D1669" s="5" t="s">
        <v>51</v>
      </c>
      <c r="E1669" s="5" t="s">
        <v>52</v>
      </c>
      <c r="F1669" s="5" t="s">
        <v>53</v>
      </c>
      <c r="G1669" s="5" t="s">
        <v>54</v>
      </c>
      <c r="H1669" s="5" t="s">
        <v>21</v>
      </c>
      <c r="I1669" s="5" t="s">
        <v>748</v>
      </c>
      <c r="J1669" s="5" t="s">
        <v>620</v>
      </c>
      <c r="K1669" s="5" t="s">
        <v>57</v>
      </c>
      <c r="L1669" s="6">
        <v>45679</v>
      </c>
      <c r="M1669" s="6">
        <v>45674</v>
      </c>
      <c r="N1669" s="6" t="s">
        <v>811</v>
      </c>
      <c r="O1669" s="5" t="str">
        <f ca="1">IF(P1669&lt;&gt;"EXPEDIÇÃO","Expedido",IF(NETWORKDAYS(C1669,TODAY())&gt;=5,"Risco Alto",IF(NETWORKDAYS(C1669,TODAY())&gt;=3,IF(NETWORKDAYS(C1669,TODAY())&lt;5,"Risco Médio",""),IF(NETWORKDAYS(C1669,TODAY())&lt;=2,"Risco Baixo",""))))</f>
        <v>Expedido</v>
      </c>
      <c r="P1669" s="5" t="s">
        <v>25</v>
      </c>
      <c r="S1669" s="7">
        <f>IF(ISBLANK(M1669),"Aguardando Previsão/Data",NETWORKDAYS(L1669,M1669)-1)</f>
        <v>-5</v>
      </c>
      <c r="T1669" s="5" t="s">
        <v>942</v>
      </c>
    </row>
    <row r="1670" spans="1:20" x14ac:dyDescent="0.35">
      <c r="A1670" s="5">
        <v>8100276798</v>
      </c>
      <c r="B1670" s="5">
        <v>17392</v>
      </c>
      <c r="C1670" s="6">
        <v>45671</v>
      </c>
      <c r="D1670" s="5" t="s">
        <v>51</v>
      </c>
      <c r="E1670" s="5" t="s">
        <v>52</v>
      </c>
      <c r="F1670" s="5" t="s">
        <v>53</v>
      </c>
      <c r="G1670" s="5" t="s">
        <v>54</v>
      </c>
      <c r="H1670" s="5" t="s">
        <v>21</v>
      </c>
      <c r="I1670" s="5" t="s">
        <v>569</v>
      </c>
      <c r="J1670" s="5" t="s">
        <v>570</v>
      </c>
      <c r="K1670" s="5" t="s">
        <v>57</v>
      </c>
      <c r="L1670" s="6">
        <v>45679</v>
      </c>
      <c r="M1670" s="6">
        <v>45679</v>
      </c>
      <c r="N1670" s="6" t="s">
        <v>811</v>
      </c>
      <c r="O1670" s="5" t="str">
        <f ca="1">IF(P1670&lt;&gt;"EXPEDIÇÃO","Expedido",IF(NETWORKDAYS(C1670,TODAY())&gt;=5,"Risco Alto",IF(NETWORKDAYS(C1670,TODAY())&gt;=3,IF(NETWORKDAYS(C1670,TODAY())&lt;5,"Risco Médio",""),IF(NETWORKDAYS(C1670,TODAY())&lt;=2,"Risco Baixo",""))))</f>
        <v>Expedido</v>
      </c>
      <c r="P1670" s="5" t="s">
        <v>25</v>
      </c>
      <c r="S1670" s="7">
        <f>IF(ISBLANK(M1670),"Aguardando Previsão/Data",NETWORKDAYS(L1670,M1670)-1)</f>
        <v>0</v>
      </c>
      <c r="T1670" s="5" t="s">
        <v>942</v>
      </c>
    </row>
    <row r="1671" spans="1:20" x14ac:dyDescent="0.35">
      <c r="A1671" s="5">
        <v>8100276830</v>
      </c>
      <c r="B1671" s="5">
        <v>17391</v>
      </c>
      <c r="C1671" s="6">
        <v>45671</v>
      </c>
      <c r="D1671" s="5" t="s">
        <v>51</v>
      </c>
      <c r="E1671" s="5" t="s">
        <v>52</v>
      </c>
      <c r="F1671" s="5" t="s">
        <v>53</v>
      </c>
      <c r="G1671" s="5" t="s">
        <v>54</v>
      </c>
      <c r="H1671" s="5" t="s">
        <v>21</v>
      </c>
      <c r="I1671" s="5" t="s">
        <v>748</v>
      </c>
      <c r="J1671" s="5" t="s">
        <v>620</v>
      </c>
      <c r="K1671" s="5" t="s">
        <v>57</v>
      </c>
      <c r="L1671" s="6">
        <v>45679</v>
      </c>
      <c r="M1671" s="6">
        <v>45674</v>
      </c>
      <c r="N1671" s="6" t="s">
        <v>811</v>
      </c>
      <c r="O1671" s="5" t="str">
        <f ca="1">IF(P1671&lt;&gt;"EXPEDIÇÃO","Expedido",IF(NETWORKDAYS(C1671,TODAY())&gt;=5,"Risco Alto",IF(NETWORKDAYS(C1671,TODAY())&gt;=3,IF(NETWORKDAYS(C1671,TODAY())&lt;5,"Risco Médio",""),IF(NETWORKDAYS(C1671,TODAY())&lt;=2,"Risco Baixo",""))))</f>
        <v>Expedido</v>
      </c>
      <c r="P1671" s="5" t="s">
        <v>25</v>
      </c>
      <c r="S1671" s="7">
        <f>IF(ISBLANK(M1671),"Aguardando Previsão/Data",NETWORKDAYS(L1671,M1671)-1)</f>
        <v>-5</v>
      </c>
      <c r="T1671" s="5" t="s">
        <v>942</v>
      </c>
    </row>
    <row r="1672" spans="1:20" x14ac:dyDescent="0.35">
      <c r="A1672" s="5">
        <v>8100276831</v>
      </c>
      <c r="B1672" s="5">
        <v>17393</v>
      </c>
      <c r="C1672" s="6">
        <v>45671</v>
      </c>
      <c r="D1672" s="5" t="s">
        <v>51</v>
      </c>
      <c r="E1672" s="5" t="s">
        <v>52</v>
      </c>
      <c r="F1672" s="5" t="s">
        <v>53</v>
      </c>
      <c r="G1672" s="5" t="s">
        <v>54</v>
      </c>
      <c r="H1672" s="5" t="s">
        <v>21</v>
      </c>
      <c r="I1672" s="5" t="s">
        <v>569</v>
      </c>
      <c r="J1672" s="5" t="s">
        <v>570</v>
      </c>
      <c r="K1672" s="5" t="s">
        <v>57</v>
      </c>
      <c r="L1672" s="6">
        <v>45679</v>
      </c>
      <c r="M1672" s="6">
        <v>45679</v>
      </c>
      <c r="N1672" s="6" t="s">
        <v>811</v>
      </c>
      <c r="O1672" s="5" t="str">
        <f ca="1">IF(P1672&lt;&gt;"EXPEDIÇÃO","Expedido",IF(NETWORKDAYS(C1672,TODAY())&gt;=5,"Risco Alto",IF(NETWORKDAYS(C1672,TODAY())&gt;=3,IF(NETWORKDAYS(C1672,TODAY())&lt;5,"Risco Médio",""),IF(NETWORKDAYS(C1672,TODAY())&lt;=2,"Risco Baixo",""))))</f>
        <v>Expedido</v>
      </c>
      <c r="P1672" s="5" t="s">
        <v>25</v>
      </c>
      <c r="S1672" s="7">
        <f>IF(ISBLANK(M1672),"Aguardando Previsão/Data",NETWORKDAYS(L1672,M1672)-1)</f>
        <v>0</v>
      </c>
      <c r="T1672" s="5" t="s">
        <v>942</v>
      </c>
    </row>
    <row r="1673" spans="1:20" x14ac:dyDescent="0.35">
      <c r="A1673" s="5">
        <v>8100265646</v>
      </c>
      <c r="B1673" s="5">
        <v>21228</v>
      </c>
      <c r="C1673" s="6">
        <v>45671</v>
      </c>
      <c r="D1673" s="5" t="s">
        <v>17</v>
      </c>
      <c r="E1673" s="5" t="s">
        <v>18</v>
      </c>
      <c r="F1673" s="5" t="s">
        <v>32</v>
      </c>
      <c r="G1673" s="5" t="s">
        <v>33</v>
      </c>
      <c r="H1673" s="5" t="s">
        <v>21</v>
      </c>
      <c r="I1673" s="5" t="s">
        <v>1310</v>
      </c>
      <c r="J1673" s="5" t="s">
        <v>1311</v>
      </c>
      <c r="K1673" s="5" t="s">
        <v>36</v>
      </c>
      <c r="L1673" s="6">
        <v>45686</v>
      </c>
      <c r="M1673" s="6">
        <v>45679</v>
      </c>
      <c r="N1673" s="6" t="s">
        <v>811</v>
      </c>
      <c r="O1673" s="5" t="str">
        <f ca="1">IF(P1673&lt;&gt;"EXPEDIÇÃO","Expedido",IF(NETWORKDAYS(C1673,TODAY())&gt;=5,"Risco Alto",IF(NETWORKDAYS(C1673,TODAY())&gt;=3,IF(NETWORKDAYS(C1673,TODAY())&lt;5,"Risco Médio",""),IF(NETWORKDAYS(C1673,TODAY())&lt;=2,"Risco Baixo",""))))</f>
        <v>Expedido</v>
      </c>
      <c r="P1673" s="5" t="s">
        <v>25</v>
      </c>
      <c r="S1673" s="7">
        <f>IF(ISBLANK(M1673),"Aguardando Previsão/Data",NETWORKDAYS(L1673,M1673)-1)</f>
        <v>-7</v>
      </c>
      <c r="T1673" s="5" t="s">
        <v>942</v>
      </c>
    </row>
    <row r="1674" spans="1:20" x14ac:dyDescent="0.35">
      <c r="A1674" s="5">
        <v>8100275182</v>
      </c>
      <c r="B1674" s="5">
        <v>21235</v>
      </c>
      <c r="C1674" s="6">
        <v>45671</v>
      </c>
      <c r="D1674" s="5" t="s">
        <v>17</v>
      </c>
      <c r="E1674" s="5" t="s">
        <v>18</v>
      </c>
      <c r="F1674" s="5" t="s">
        <v>32</v>
      </c>
      <c r="G1674" s="5" t="s">
        <v>33</v>
      </c>
      <c r="H1674" s="5" t="s">
        <v>21</v>
      </c>
      <c r="I1674" s="5" t="s">
        <v>1312</v>
      </c>
      <c r="J1674" s="5" t="s">
        <v>875</v>
      </c>
      <c r="K1674" s="5" t="s">
        <v>24</v>
      </c>
      <c r="L1674" s="6">
        <v>45679</v>
      </c>
      <c r="M1674" s="6">
        <v>45679</v>
      </c>
      <c r="N1674" s="6" t="s">
        <v>811</v>
      </c>
      <c r="O1674" s="5" t="str">
        <f ca="1">IF(P1674&lt;&gt;"EXPEDIÇÃO","Expedido",IF(NETWORKDAYS(C1674,TODAY())&gt;=5,"Risco Alto",IF(NETWORKDAYS(C1674,TODAY())&gt;=3,IF(NETWORKDAYS(C1674,TODAY())&lt;5,"Risco Médio",""),IF(NETWORKDAYS(C1674,TODAY())&lt;=2,"Risco Baixo",""))))</f>
        <v>Expedido</v>
      </c>
      <c r="P1674" s="5" t="s">
        <v>25</v>
      </c>
      <c r="S1674" s="7">
        <f>IF(ISBLANK(M1674),"Aguardando Previsão/Data",NETWORKDAYS(L1674,M1674)-1)</f>
        <v>0</v>
      </c>
      <c r="T1674" s="5" t="s">
        <v>942</v>
      </c>
    </row>
    <row r="1675" spans="1:20" x14ac:dyDescent="0.35">
      <c r="A1675" s="5">
        <v>8100275339</v>
      </c>
      <c r="B1675" s="5">
        <v>21229</v>
      </c>
      <c r="C1675" s="6">
        <v>45671</v>
      </c>
      <c r="D1675" s="5" t="s">
        <v>17</v>
      </c>
      <c r="E1675" s="5" t="s">
        <v>18</v>
      </c>
      <c r="F1675" s="5" t="s">
        <v>32</v>
      </c>
      <c r="G1675" s="5" t="s">
        <v>33</v>
      </c>
      <c r="H1675" s="5" t="s">
        <v>21</v>
      </c>
      <c r="I1675" s="5" t="s">
        <v>830</v>
      </c>
      <c r="J1675" s="5" t="s">
        <v>368</v>
      </c>
      <c r="K1675" s="5" t="s">
        <v>24</v>
      </c>
      <c r="L1675" s="6">
        <v>45679</v>
      </c>
      <c r="M1675" s="6">
        <v>45684</v>
      </c>
      <c r="N1675" s="6" t="s">
        <v>812</v>
      </c>
      <c r="O1675" s="5" t="str">
        <f ca="1">IF(P1675&lt;&gt;"EXPEDIÇÃO","Expedido",IF(NETWORKDAYS(C1675,TODAY())&gt;=5,"Risco Alto",IF(NETWORKDAYS(C1675,TODAY())&gt;=3,IF(NETWORKDAYS(C1675,TODAY())&lt;5,"Risco Médio",""),IF(NETWORKDAYS(C1675,TODAY())&lt;=2,"Risco Baixo",""))))</f>
        <v>Expedido</v>
      </c>
      <c r="P1675" s="5" t="s">
        <v>25</v>
      </c>
      <c r="Q1675" s="5" t="s">
        <v>897</v>
      </c>
      <c r="R1675" s="5">
        <v>1694767</v>
      </c>
      <c r="S1675" s="7">
        <f>IF(ISBLANK(M1675),"Aguardando Previsão/Data",NETWORKDAYS(L1675,M1675)-1)</f>
        <v>3</v>
      </c>
      <c r="T1675" s="5" t="s">
        <v>942</v>
      </c>
    </row>
    <row r="1676" spans="1:20" x14ac:dyDescent="0.35">
      <c r="A1676" s="5">
        <v>8100275346</v>
      </c>
      <c r="B1676" s="5">
        <v>21237</v>
      </c>
      <c r="C1676" s="6">
        <v>45671</v>
      </c>
      <c r="D1676" s="5" t="s">
        <v>17</v>
      </c>
      <c r="E1676" s="5" t="s">
        <v>18</v>
      </c>
      <c r="F1676" s="5" t="s">
        <v>27</v>
      </c>
      <c r="G1676" s="5" t="s">
        <v>28</v>
      </c>
      <c r="H1676" s="5" t="s">
        <v>21</v>
      </c>
      <c r="I1676" s="5" t="s">
        <v>1314</v>
      </c>
      <c r="J1676" s="5" t="s">
        <v>49</v>
      </c>
      <c r="K1676" s="5" t="s">
        <v>24</v>
      </c>
      <c r="L1676" s="6">
        <v>45679</v>
      </c>
      <c r="M1676" s="6">
        <v>45678</v>
      </c>
      <c r="N1676" s="6" t="s">
        <v>811</v>
      </c>
      <c r="O1676" s="5" t="str">
        <f ca="1">IF(P1676&lt;&gt;"EXPEDIÇÃO","Expedido",IF(NETWORKDAYS(C1676,TODAY())&gt;=5,"Risco Alto",IF(NETWORKDAYS(C1676,TODAY())&gt;=3,IF(NETWORKDAYS(C1676,TODAY())&lt;5,"Risco Médio",""),IF(NETWORKDAYS(C1676,TODAY())&lt;=2,"Risco Baixo",""))))</f>
        <v>Expedido</v>
      </c>
      <c r="P1676" s="5" t="s">
        <v>25</v>
      </c>
      <c r="S1676" s="7">
        <f>IF(ISBLANK(M1676),"Aguardando Previsão/Data",NETWORKDAYS(L1676,M1676)-1)</f>
        <v>-3</v>
      </c>
      <c r="T1676" s="5" t="s">
        <v>942</v>
      </c>
    </row>
    <row r="1677" spans="1:20" x14ac:dyDescent="0.35">
      <c r="A1677" s="5">
        <v>8100275512</v>
      </c>
      <c r="B1677" s="5">
        <v>21234</v>
      </c>
      <c r="C1677" s="6">
        <v>45671</v>
      </c>
      <c r="D1677" s="5" t="s">
        <v>17</v>
      </c>
      <c r="E1677" s="5" t="s">
        <v>18</v>
      </c>
      <c r="F1677" s="5" t="s">
        <v>32</v>
      </c>
      <c r="G1677" s="5" t="s">
        <v>33</v>
      </c>
      <c r="H1677" s="5" t="s">
        <v>21</v>
      </c>
      <c r="I1677" s="5" t="s">
        <v>1316</v>
      </c>
      <c r="J1677" s="5" t="s">
        <v>1317</v>
      </c>
      <c r="K1677" s="5" t="s">
        <v>24</v>
      </c>
      <c r="L1677" s="6">
        <v>45680</v>
      </c>
      <c r="M1677" s="6">
        <v>45679</v>
      </c>
      <c r="N1677" s="6" t="s">
        <v>811</v>
      </c>
      <c r="O1677" s="5" t="str">
        <f ca="1">IF(P1677&lt;&gt;"EXPEDIÇÃO","Expedido",IF(NETWORKDAYS(C1677,TODAY())&gt;=5,"Risco Alto",IF(NETWORKDAYS(C1677,TODAY())&gt;=3,IF(NETWORKDAYS(C1677,TODAY())&lt;5,"Risco Médio",""),IF(NETWORKDAYS(C1677,TODAY())&lt;=2,"Risco Baixo",""))))</f>
        <v>Expedido</v>
      </c>
      <c r="P1677" s="5" t="s">
        <v>25</v>
      </c>
      <c r="S1677" s="7">
        <f>IF(ISBLANK(M1677),"Aguardando Previsão/Data",NETWORKDAYS(L1677,M1677)-1)</f>
        <v>-3</v>
      </c>
      <c r="T1677" s="5" t="s">
        <v>942</v>
      </c>
    </row>
    <row r="1678" spans="1:20" x14ac:dyDescent="0.35">
      <c r="A1678" s="5">
        <v>8100276192</v>
      </c>
      <c r="B1678" s="5">
        <v>21264</v>
      </c>
      <c r="C1678" s="6">
        <v>45671</v>
      </c>
      <c r="D1678" s="5" t="s">
        <v>17</v>
      </c>
      <c r="E1678" s="5" t="s">
        <v>18</v>
      </c>
      <c r="F1678" s="5" t="s">
        <v>27</v>
      </c>
      <c r="G1678" s="5" t="s">
        <v>28</v>
      </c>
      <c r="H1678" s="5" t="s">
        <v>21</v>
      </c>
      <c r="I1678" s="5" t="s">
        <v>415</v>
      </c>
      <c r="J1678" s="5" t="s">
        <v>364</v>
      </c>
      <c r="K1678" s="5" t="s">
        <v>24</v>
      </c>
      <c r="L1678" s="6">
        <v>45678</v>
      </c>
      <c r="M1678" s="6">
        <v>45677</v>
      </c>
      <c r="N1678" s="6" t="s">
        <v>811</v>
      </c>
      <c r="O1678" s="5" t="str">
        <f ca="1">IF(P1678&lt;&gt;"EXPEDIÇÃO","Expedido",IF(NETWORKDAYS(C1678,TODAY())&gt;=5,"Risco Alto",IF(NETWORKDAYS(C1678,TODAY())&gt;=3,IF(NETWORKDAYS(C1678,TODAY())&lt;5,"Risco Médio",""),IF(NETWORKDAYS(C1678,TODAY())&lt;=2,"Risco Baixo",""))))</f>
        <v>Expedido</v>
      </c>
      <c r="P1678" s="5" t="s">
        <v>25</v>
      </c>
      <c r="Q1678" s="5" t="s">
        <v>897</v>
      </c>
      <c r="S1678" s="7">
        <f>IF(ISBLANK(M1678),"Aguardando Previsão/Data",NETWORKDAYS(L1678,M1678)-1)</f>
        <v>-3</v>
      </c>
      <c r="T1678" s="5" t="s">
        <v>942</v>
      </c>
    </row>
    <row r="1679" spans="1:20" x14ac:dyDescent="0.35">
      <c r="A1679" s="5">
        <v>8100276193</v>
      </c>
      <c r="B1679" s="5">
        <v>21258</v>
      </c>
      <c r="C1679" s="6">
        <v>45671</v>
      </c>
      <c r="D1679" s="5" t="s">
        <v>17</v>
      </c>
      <c r="E1679" s="5" t="s">
        <v>18</v>
      </c>
      <c r="F1679" s="5" t="s">
        <v>27</v>
      </c>
      <c r="G1679" s="5" t="s">
        <v>28</v>
      </c>
      <c r="H1679" s="5" t="s">
        <v>21</v>
      </c>
      <c r="I1679" s="5" t="s">
        <v>415</v>
      </c>
      <c r="J1679" s="5" t="s">
        <v>364</v>
      </c>
      <c r="K1679" s="5" t="s">
        <v>24</v>
      </c>
      <c r="L1679" s="6">
        <v>45678</v>
      </c>
      <c r="M1679" s="6">
        <v>45677</v>
      </c>
      <c r="N1679" s="6" t="s">
        <v>811</v>
      </c>
      <c r="O1679" s="5" t="str">
        <f ca="1">IF(P1679&lt;&gt;"EXPEDIÇÃO","Expedido",IF(NETWORKDAYS(C1679,TODAY())&gt;=5,"Risco Alto",IF(NETWORKDAYS(C1679,TODAY())&gt;=3,IF(NETWORKDAYS(C1679,TODAY())&lt;5,"Risco Médio",""),IF(NETWORKDAYS(C1679,TODAY())&lt;=2,"Risco Baixo",""))))</f>
        <v>Expedido</v>
      </c>
      <c r="P1679" s="5" t="s">
        <v>25</v>
      </c>
      <c r="Q1679" s="5" t="s">
        <v>897</v>
      </c>
      <c r="S1679" s="7">
        <f>IF(ISBLANK(M1679),"Aguardando Previsão/Data",NETWORKDAYS(L1679,M1679)-1)</f>
        <v>-3</v>
      </c>
      <c r="T1679" s="5" t="s">
        <v>942</v>
      </c>
    </row>
    <row r="1680" spans="1:20" x14ac:dyDescent="0.35">
      <c r="A1680" s="5">
        <v>8100276194</v>
      </c>
      <c r="B1680" s="5">
        <v>21250</v>
      </c>
      <c r="C1680" s="6">
        <v>45671</v>
      </c>
      <c r="D1680" s="5" t="s">
        <v>17</v>
      </c>
      <c r="E1680" s="5" t="s">
        <v>18</v>
      </c>
      <c r="F1680" s="5" t="s">
        <v>27</v>
      </c>
      <c r="G1680" s="5" t="s">
        <v>28</v>
      </c>
      <c r="H1680" s="5" t="s">
        <v>21</v>
      </c>
      <c r="I1680" s="5" t="s">
        <v>415</v>
      </c>
      <c r="J1680" s="5" t="s">
        <v>364</v>
      </c>
      <c r="K1680" s="5" t="s">
        <v>24</v>
      </c>
      <c r="L1680" s="6">
        <v>45678</v>
      </c>
      <c r="M1680" s="6">
        <v>45677</v>
      </c>
      <c r="N1680" s="6" t="s">
        <v>811</v>
      </c>
      <c r="O1680" s="5" t="str">
        <f ca="1">IF(P1680&lt;&gt;"EXPEDIÇÃO","Expedido",IF(NETWORKDAYS(C1680,TODAY())&gt;=5,"Risco Alto",IF(NETWORKDAYS(C1680,TODAY())&gt;=3,IF(NETWORKDAYS(C1680,TODAY())&lt;5,"Risco Médio",""),IF(NETWORKDAYS(C1680,TODAY())&lt;=2,"Risco Baixo",""))))</f>
        <v>Expedido</v>
      </c>
      <c r="P1680" s="5" t="s">
        <v>25</v>
      </c>
      <c r="Q1680" s="5" t="s">
        <v>897</v>
      </c>
      <c r="S1680" s="7">
        <f>IF(ISBLANK(M1680),"Aguardando Previsão/Data",NETWORKDAYS(L1680,M1680)-1)</f>
        <v>-3</v>
      </c>
      <c r="T1680" s="5" t="s">
        <v>942</v>
      </c>
    </row>
    <row r="1681" spans="1:20" x14ac:dyDescent="0.35">
      <c r="A1681" s="5">
        <v>8100276195</v>
      </c>
      <c r="B1681" s="5">
        <v>21253</v>
      </c>
      <c r="C1681" s="6">
        <v>45671</v>
      </c>
      <c r="D1681" s="5" t="s">
        <v>17</v>
      </c>
      <c r="E1681" s="5" t="s">
        <v>18</v>
      </c>
      <c r="F1681" s="5" t="s">
        <v>32</v>
      </c>
      <c r="G1681" s="5" t="s">
        <v>33</v>
      </c>
      <c r="H1681" s="5" t="s">
        <v>21</v>
      </c>
      <c r="I1681" s="5" t="s">
        <v>1326</v>
      </c>
      <c r="J1681" s="5" t="s">
        <v>604</v>
      </c>
      <c r="K1681" s="5" t="s">
        <v>24</v>
      </c>
      <c r="L1681" s="6">
        <v>45679</v>
      </c>
      <c r="M1681" s="6">
        <v>45677</v>
      </c>
      <c r="N1681" s="6" t="s">
        <v>811</v>
      </c>
      <c r="O1681" s="5" t="str">
        <f ca="1">IF(P1681&lt;&gt;"EXPEDIÇÃO","Expedido",IF(NETWORKDAYS(C1681,TODAY())&gt;=5,"Risco Alto",IF(NETWORKDAYS(C1681,TODAY())&gt;=3,IF(NETWORKDAYS(C1681,TODAY())&lt;5,"Risco Médio",""),IF(NETWORKDAYS(C1681,TODAY())&lt;=2,"Risco Baixo",""))))</f>
        <v>Expedido</v>
      </c>
      <c r="P1681" s="5" t="s">
        <v>25</v>
      </c>
      <c r="S1681" s="7">
        <f>IF(ISBLANK(M1681),"Aguardando Previsão/Data",NETWORKDAYS(L1681,M1681)-1)</f>
        <v>-4</v>
      </c>
      <c r="T1681" s="5" t="s">
        <v>942</v>
      </c>
    </row>
    <row r="1682" spans="1:20" x14ac:dyDescent="0.35">
      <c r="A1682" s="5">
        <v>8100276196</v>
      </c>
      <c r="B1682" s="5">
        <v>21252</v>
      </c>
      <c r="C1682" s="6">
        <v>45671</v>
      </c>
      <c r="D1682" s="5" t="s">
        <v>17</v>
      </c>
      <c r="E1682" s="5" t="s">
        <v>18</v>
      </c>
      <c r="F1682" s="5" t="s">
        <v>32</v>
      </c>
      <c r="G1682" s="5" t="s">
        <v>33</v>
      </c>
      <c r="H1682" s="5" t="s">
        <v>21</v>
      </c>
      <c r="I1682" s="5" t="s">
        <v>1327</v>
      </c>
      <c r="J1682" s="5" t="s">
        <v>38</v>
      </c>
      <c r="K1682" s="5" t="s">
        <v>24</v>
      </c>
      <c r="L1682" s="6">
        <v>45679</v>
      </c>
      <c r="M1682" s="6">
        <v>45673</v>
      </c>
      <c r="O1682" s="5" t="str">
        <f ca="1">IF(P1682&lt;&gt;"EXPEDIÇÃO","Expedido",IF(NETWORKDAYS(C1682,TODAY())&gt;=5,"Risco Alto",IF(NETWORKDAYS(C1682,TODAY())&gt;=3,IF(NETWORKDAYS(C1682,TODAY())&lt;5,"Risco Médio",""),IF(NETWORKDAYS(C1682,TODAY())&lt;=2,"Risco Baixo",""))))</f>
        <v>Expedido</v>
      </c>
      <c r="P1682" s="5" t="s">
        <v>145</v>
      </c>
      <c r="Q1682" s="5" t="s">
        <v>363</v>
      </c>
      <c r="S1682" s="7">
        <f>IF(ISBLANK(M1682),"Aguardando Previsão/Data",NETWORKDAYS(L1682,M1682)-1)</f>
        <v>-6</v>
      </c>
      <c r="T1682" s="5" t="s">
        <v>942</v>
      </c>
    </row>
    <row r="1683" spans="1:20" x14ac:dyDescent="0.35">
      <c r="A1683" s="5">
        <v>8100276197</v>
      </c>
      <c r="B1683" s="5">
        <v>21233</v>
      </c>
      <c r="C1683" s="6">
        <v>45671</v>
      </c>
      <c r="D1683" s="5" t="s">
        <v>17</v>
      </c>
      <c r="E1683" s="5" t="s">
        <v>18</v>
      </c>
      <c r="F1683" s="5" t="s">
        <v>147</v>
      </c>
      <c r="G1683" s="5" t="s">
        <v>148</v>
      </c>
      <c r="H1683" s="5" t="s">
        <v>21</v>
      </c>
      <c r="I1683" s="5" t="s">
        <v>263</v>
      </c>
      <c r="J1683" s="5" t="s">
        <v>264</v>
      </c>
      <c r="K1683" s="5" t="s">
        <v>24</v>
      </c>
      <c r="L1683" s="6">
        <v>45678</v>
      </c>
      <c r="M1683" s="6">
        <v>45678</v>
      </c>
      <c r="N1683" s="6" t="s">
        <v>811</v>
      </c>
      <c r="O1683" s="5" t="str">
        <f ca="1">IF(P1683&lt;&gt;"EXPEDIÇÃO","Expedido",IF(NETWORKDAYS(C1683,TODAY())&gt;=5,"Risco Alto",IF(NETWORKDAYS(C1683,TODAY())&gt;=3,IF(NETWORKDAYS(C1683,TODAY())&lt;5,"Risco Médio",""),IF(NETWORKDAYS(C1683,TODAY())&lt;=2,"Risco Baixo",""))))</f>
        <v>Expedido</v>
      </c>
      <c r="P1683" s="5" t="s">
        <v>25</v>
      </c>
      <c r="Q1683" s="5" t="s">
        <v>897</v>
      </c>
      <c r="S1683" s="7">
        <f>IF(ISBLANK(M1683),"Aguardando Previsão/Data",NETWORKDAYS(L1683,M1683)-1)</f>
        <v>0</v>
      </c>
      <c r="T1683" s="5" t="s">
        <v>942</v>
      </c>
    </row>
    <row r="1684" spans="1:20" x14ac:dyDescent="0.35">
      <c r="A1684" s="5">
        <v>8100276200</v>
      </c>
      <c r="B1684" s="5">
        <v>21251</v>
      </c>
      <c r="C1684" s="6">
        <v>45671</v>
      </c>
      <c r="D1684" s="5" t="s">
        <v>17</v>
      </c>
      <c r="E1684" s="5" t="s">
        <v>18</v>
      </c>
      <c r="F1684" s="5" t="s">
        <v>27</v>
      </c>
      <c r="G1684" s="5" t="s">
        <v>28</v>
      </c>
      <c r="H1684" s="5" t="s">
        <v>21</v>
      </c>
      <c r="I1684" s="5" t="s">
        <v>1328</v>
      </c>
      <c r="J1684" s="5" t="s">
        <v>364</v>
      </c>
      <c r="K1684" s="5" t="s">
        <v>24</v>
      </c>
      <c r="L1684" s="6">
        <v>45678</v>
      </c>
      <c r="M1684" s="6">
        <v>45677</v>
      </c>
      <c r="N1684" s="6" t="s">
        <v>811</v>
      </c>
      <c r="O1684" s="5" t="str">
        <f ca="1">IF(P1684&lt;&gt;"EXPEDIÇÃO","Expedido",IF(NETWORKDAYS(C1684,TODAY())&gt;=5,"Risco Alto",IF(NETWORKDAYS(C1684,TODAY())&gt;=3,IF(NETWORKDAYS(C1684,TODAY())&lt;5,"Risco Médio",""),IF(NETWORKDAYS(C1684,TODAY())&lt;=2,"Risco Baixo",""))))</f>
        <v>Expedido</v>
      </c>
      <c r="P1684" s="5" t="s">
        <v>25</v>
      </c>
      <c r="S1684" s="7">
        <f>IF(ISBLANK(M1684),"Aguardando Previsão/Data",NETWORKDAYS(L1684,M1684)-1)</f>
        <v>-3</v>
      </c>
      <c r="T1684" s="5" t="s">
        <v>942</v>
      </c>
    </row>
    <row r="1685" spans="1:20" x14ac:dyDescent="0.35">
      <c r="A1685" s="5">
        <v>8100276201</v>
      </c>
      <c r="B1685" s="5">
        <v>21259</v>
      </c>
      <c r="C1685" s="6">
        <v>45671</v>
      </c>
      <c r="D1685" s="5" t="s">
        <v>17</v>
      </c>
      <c r="E1685" s="5" t="s">
        <v>18</v>
      </c>
      <c r="F1685" s="5" t="s">
        <v>27</v>
      </c>
      <c r="G1685" s="5" t="s">
        <v>28</v>
      </c>
      <c r="H1685" s="5" t="s">
        <v>21</v>
      </c>
      <c r="I1685" s="5" t="s">
        <v>1329</v>
      </c>
      <c r="J1685" s="5" t="s">
        <v>49</v>
      </c>
      <c r="K1685" s="5" t="s">
        <v>24</v>
      </c>
      <c r="L1685" s="6">
        <v>45679</v>
      </c>
      <c r="M1685" s="6">
        <v>45677</v>
      </c>
      <c r="N1685" s="6" t="s">
        <v>811</v>
      </c>
      <c r="O1685" s="5" t="str">
        <f ca="1">IF(P1685&lt;&gt;"EXPEDIÇÃO","Expedido",IF(NETWORKDAYS(C1685,TODAY())&gt;=5,"Risco Alto",IF(NETWORKDAYS(C1685,TODAY())&gt;=3,IF(NETWORKDAYS(C1685,TODAY())&lt;5,"Risco Médio",""),IF(NETWORKDAYS(C1685,TODAY())&lt;=2,"Risco Baixo",""))))</f>
        <v>Expedido</v>
      </c>
      <c r="P1685" s="5" t="s">
        <v>25</v>
      </c>
      <c r="S1685" s="7">
        <f>IF(ISBLANK(M1685),"Aguardando Previsão/Data",NETWORKDAYS(L1685,M1685)-1)</f>
        <v>-4</v>
      </c>
      <c r="T1685" s="5" t="s">
        <v>942</v>
      </c>
    </row>
    <row r="1686" spans="1:20" x14ac:dyDescent="0.35">
      <c r="A1686" s="5">
        <v>8100276202</v>
      </c>
      <c r="B1686" s="5">
        <v>21260</v>
      </c>
      <c r="C1686" s="6">
        <v>45671</v>
      </c>
      <c r="D1686" s="5" t="s">
        <v>17</v>
      </c>
      <c r="E1686" s="5" t="s">
        <v>18</v>
      </c>
      <c r="F1686" s="5" t="s">
        <v>19</v>
      </c>
      <c r="G1686" s="5" t="s">
        <v>20</v>
      </c>
      <c r="H1686" s="5" t="s">
        <v>21</v>
      </c>
      <c r="I1686" s="5" t="s">
        <v>1330</v>
      </c>
      <c r="J1686" s="5" t="s">
        <v>857</v>
      </c>
      <c r="K1686" s="5" t="s">
        <v>24</v>
      </c>
      <c r="L1686" s="6">
        <v>45679</v>
      </c>
      <c r="M1686" s="6">
        <v>45673</v>
      </c>
      <c r="N1686" s="6" t="s">
        <v>811</v>
      </c>
      <c r="O1686" s="5" t="str">
        <f ca="1">IF(P1686&lt;&gt;"EXPEDIÇÃO","Expedido",IF(NETWORKDAYS(C1686,TODAY())&gt;=5,"Risco Alto",IF(NETWORKDAYS(C1686,TODAY())&gt;=3,IF(NETWORKDAYS(C1686,TODAY())&lt;5,"Risco Médio",""),IF(NETWORKDAYS(C1686,TODAY())&lt;=2,"Risco Baixo",""))))</f>
        <v>Expedido</v>
      </c>
      <c r="P1686" s="5" t="s">
        <v>25</v>
      </c>
      <c r="S1686" s="7">
        <f>IF(ISBLANK(M1686),"Aguardando Previsão/Data",NETWORKDAYS(L1686,M1686)-1)</f>
        <v>-6</v>
      </c>
      <c r="T1686" s="5" t="s">
        <v>942</v>
      </c>
    </row>
    <row r="1687" spans="1:20" x14ac:dyDescent="0.35">
      <c r="A1687" s="5">
        <v>8100276203</v>
      </c>
      <c r="B1687" s="5">
        <v>21257</v>
      </c>
      <c r="C1687" s="6">
        <v>45671</v>
      </c>
      <c r="D1687" s="5" t="s">
        <v>17</v>
      </c>
      <c r="E1687" s="5" t="s">
        <v>18</v>
      </c>
      <c r="F1687" s="5" t="s">
        <v>19</v>
      </c>
      <c r="G1687" s="5" t="s">
        <v>20</v>
      </c>
      <c r="H1687" s="5" t="s">
        <v>21</v>
      </c>
      <c r="I1687" s="5" t="s">
        <v>1331</v>
      </c>
      <c r="J1687" s="5" t="s">
        <v>592</v>
      </c>
      <c r="K1687" s="5" t="s">
        <v>24</v>
      </c>
      <c r="L1687" s="6">
        <v>45678</v>
      </c>
      <c r="M1687" s="6">
        <v>45674</v>
      </c>
      <c r="N1687" s="6" t="s">
        <v>811</v>
      </c>
      <c r="O1687" s="5" t="str">
        <f ca="1">IF(P1687&lt;&gt;"EXPEDIÇÃO","Expedido",IF(NETWORKDAYS(C1687,TODAY())&gt;=5,"Risco Alto",IF(NETWORKDAYS(C1687,TODAY())&gt;=3,IF(NETWORKDAYS(C1687,TODAY())&lt;5,"Risco Médio",""),IF(NETWORKDAYS(C1687,TODAY())&lt;=2,"Risco Baixo",""))))</f>
        <v>Expedido</v>
      </c>
      <c r="P1687" s="5" t="s">
        <v>25</v>
      </c>
      <c r="S1687" s="7">
        <f>IF(ISBLANK(M1687),"Aguardando Previsão/Data",NETWORKDAYS(L1687,M1687)-1)</f>
        <v>-4</v>
      </c>
      <c r="T1687" s="5" t="s">
        <v>942</v>
      </c>
    </row>
    <row r="1688" spans="1:20" x14ac:dyDescent="0.35">
      <c r="A1688" s="5">
        <v>8100276204</v>
      </c>
      <c r="B1688" s="5">
        <v>21236</v>
      </c>
      <c r="C1688" s="6">
        <v>45671</v>
      </c>
      <c r="D1688" s="5" t="s">
        <v>17</v>
      </c>
      <c r="E1688" s="5" t="s">
        <v>18</v>
      </c>
      <c r="F1688" s="5" t="s">
        <v>44</v>
      </c>
      <c r="G1688" s="5" t="s">
        <v>45</v>
      </c>
      <c r="H1688" s="5" t="s">
        <v>21</v>
      </c>
      <c r="I1688" s="5" t="s">
        <v>524</v>
      </c>
      <c r="J1688" s="5" t="s">
        <v>47</v>
      </c>
      <c r="K1688" s="5" t="s">
        <v>24</v>
      </c>
      <c r="L1688" s="6">
        <v>45678</v>
      </c>
      <c r="M1688" s="6">
        <v>45673</v>
      </c>
      <c r="N1688" s="6" t="s">
        <v>811</v>
      </c>
      <c r="O1688" s="5" t="str">
        <f ca="1">IF(P1688&lt;&gt;"EXPEDIÇÃO","Expedido",IF(NETWORKDAYS(C1688,TODAY())&gt;=5,"Risco Alto",IF(NETWORKDAYS(C1688,TODAY())&gt;=3,IF(NETWORKDAYS(C1688,TODAY())&lt;5,"Risco Médio",""),IF(NETWORKDAYS(C1688,TODAY())&lt;=2,"Risco Baixo",""))))</f>
        <v>Expedido</v>
      </c>
      <c r="P1688" s="5" t="s">
        <v>25</v>
      </c>
      <c r="S1688" s="7">
        <f>IF(ISBLANK(M1688),"Aguardando Previsão/Data",NETWORKDAYS(L1688,M1688)-1)</f>
        <v>-5</v>
      </c>
      <c r="T1688" s="5" t="s">
        <v>942</v>
      </c>
    </row>
    <row r="1689" spans="1:20" x14ac:dyDescent="0.35">
      <c r="A1689" s="5">
        <v>8100276205</v>
      </c>
      <c r="B1689" s="5">
        <v>21255</v>
      </c>
      <c r="C1689" s="6">
        <v>45671</v>
      </c>
      <c r="D1689" s="5" t="s">
        <v>17</v>
      </c>
      <c r="E1689" s="5" t="s">
        <v>18</v>
      </c>
      <c r="F1689" s="5" t="s">
        <v>32</v>
      </c>
      <c r="G1689" s="5" t="s">
        <v>33</v>
      </c>
      <c r="H1689" s="5" t="s">
        <v>21</v>
      </c>
      <c r="I1689" s="5" t="s">
        <v>761</v>
      </c>
      <c r="J1689" s="5" t="s">
        <v>368</v>
      </c>
      <c r="K1689" s="5" t="s">
        <v>24</v>
      </c>
      <c r="L1689" s="6">
        <v>45679</v>
      </c>
      <c r="M1689" s="6">
        <v>45675</v>
      </c>
      <c r="N1689" s="6" t="s">
        <v>811</v>
      </c>
      <c r="O1689" s="5" t="str">
        <f ca="1">IF(P1689&lt;&gt;"EXPEDIÇÃO","Expedido",IF(NETWORKDAYS(C1689,TODAY())&gt;=5,"Risco Alto",IF(NETWORKDAYS(C1689,TODAY())&gt;=3,IF(NETWORKDAYS(C1689,TODAY())&lt;5,"Risco Médio",""),IF(NETWORKDAYS(C1689,TODAY())&lt;=2,"Risco Baixo",""))))</f>
        <v>Expedido</v>
      </c>
      <c r="P1689" s="5" t="s">
        <v>25</v>
      </c>
      <c r="S1689" s="7">
        <f>IF(ISBLANK(M1689),"Aguardando Previsão/Data",NETWORKDAYS(L1689,M1689)-1)</f>
        <v>-4</v>
      </c>
      <c r="T1689" s="5" t="s">
        <v>942</v>
      </c>
    </row>
    <row r="1690" spans="1:20" x14ac:dyDescent="0.35">
      <c r="A1690" s="5">
        <v>8100276229</v>
      </c>
      <c r="B1690" s="5">
        <v>21261</v>
      </c>
      <c r="C1690" s="6">
        <v>45671</v>
      </c>
      <c r="D1690" s="5" t="s">
        <v>17</v>
      </c>
      <c r="E1690" s="5" t="s">
        <v>18</v>
      </c>
      <c r="F1690" s="5" t="s">
        <v>32</v>
      </c>
      <c r="G1690" s="5" t="s">
        <v>33</v>
      </c>
      <c r="H1690" s="5" t="s">
        <v>21</v>
      </c>
      <c r="I1690" s="5" t="s">
        <v>1332</v>
      </c>
      <c r="J1690" s="5" t="s">
        <v>369</v>
      </c>
      <c r="K1690" s="5" t="s">
        <v>24</v>
      </c>
      <c r="L1690" s="6">
        <v>45681</v>
      </c>
      <c r="M1690" s="6">
        <v>45675</v>
      </c>
      <c r="N1690" s="6" t="s">
        <v>811</v>
      </c>
      <c r="O1690" s="5" t="str">
        <f ca="1">IF(P1690&lt;&gt;"EXPEDIÇÃO","Expedido",IF(NETWORKDAYS(C1690,TODAY())&gt;=5,"Risco Alto",IF(NETWORKDAYS(C1690,TODAY())&gt;=3,IF(NETWORKDAYS(C1690,TODAY())&lt;5,"Risco Médio",""),IF(NETWORKDAYS(C1690,TODAY())&lt;=2,"Risco Baixo",""))))</f>
        <v>Expedido</v>
      </c>
      <c r="P1690" s="5" t="s">
        <v>25</v>
      </c>
      <c r="S1690" s="7">
        <f>IF(ISBLANK(M1690),"Aguardando Previsão/Data",NETWORKDAYS(L1690,M1690)-1)</f>
        <v>-6</v>
      </c>
      <c r="T1690" s="5" t="s">
        <v>942</v>
      </c>
    </row>
    <row r="1691" spans="1:20" x14ac:dyDescent="0.35">
      <c r="A1691" s="5">
        <v>8100276526</v>
      </c>
      <c r="B1691" s="5">
        <v>21254</v>
      </c>
      <c r="C1691" s="6">
        <v>45671</v>
      </c>
      <c r="D1691" s="5" t="s">
        <v>17</v>
      </c>
      <c r="E1691" s="5" t="s">
        <v>18</v>
      </c>
      <c r="F1691" s="5" t="s">
        <v>27</v>
      </c>
      <c r="G1691" s="5" t="s">
        <v>28</v>
      </c>
      <c r="H1691" s="5" t="s">
        <v>21</v>
      </c>
      <c r="I1691" s="5" t="s">
        <v>415</v>
      </c>
      <c r="J1691" s="5" t="s">
        <v>364</v>
      </c>
      <c r="K1691" s="5" t="s">
        <v>24</v>
      </c>
      <c r="L1691" s="6">
        <v>45678</v>
      </c>
      <c r="M1691" s="6">
        <v>45677</v>
      </c>
      <c r="N1691" s="6" t="s">
        <v>811</v>
      </c>
      <c r="O1691" s="5" t="str">
        <f ca="1">IF(P1691&lt;&gt;"EXPEDIÇÃO","Expedido",IF(NETWORKDAYS(C1691,TODAY())&gt;=5,"Risco Alto",IF(NETWORKDAYS(C1691,TODAY())&gt;=3,IF(NETWORKDAYS(C1691,TODAY())&lt;5,"Risco Médio",""),IF(NETWORKDAYS(C1691,TODAY())&lt;=2,"Risco Baixo",""))))</f>
        <v>Expedido</v>
      </c>
      <c r="P1691" s="5" t="s">
        <v>25</v>
      </c>
      <c r="Q1691" s="5" t="s">
        <v>897</v>
      </c>
      <c r="S1691" s="7">
        <f>IF(ISBLANK(M1691),"Aguardando Previsão/Data",NETWORKDAYS(L1691,M1691)-1)</f>
        <v>-3</v>
      </c>
      <c r="T1691" s="5" t="s">
        <v>942</v>
      </c>
    </row>
    <row r="1692" spans="1:20" x14ac:dyDescent="0.35">
      <c r="A1692" s="5">
        <v>8100276527</v>
      </c>
      <c r="B1692" s="5">
        <v>21262</v>
      </c>
      <c r="C1692" s="6">
        <v>45671</v>
      </c>
      <c r="D1692" s="5" t="s">
        <v>17</v>
      </c>
      <c r="E1692" s="5" t="s">
        <v>18</v>
      </c>
      <c r="F1692" s="5" t="s">
        <v>44</v>
      </c>
      <c r="G1692" s="5" t="s">
        <v>45</v>
      </c>
      <c r="H1692" s="5" t="s">
        <v>21</v>
      </c>
      <c r="I1692" s="5" t="s">
        <v>1334</v>
      </c>
      <c r="J1692" s="5" t="s">
        <v>1335</v>
      </c>
      <c r="K1692" s="5" t="s">
        <v>24</v>
      </c>
      <c r="L1692" s="6">
        <v>45678</v>
      </c>
      <c r="M1692" s="6">
        <v>45674</v>
      </c>
      <c r="N1692" s="6" t="s">
        <v>811</v>
      </c>
      <c r="O1692" s="5" t="str">
        <f ca="1">IF(P1692&lt;&gt;"EXPEDIÇÃO","Expedido",IF(NETWORKDAYS(C1692,TODAY())&gt;=5,"Risco Alto",IF(NETWORKDAYS(C1692,TODAY())&gt;=3,IF(NETWORKDAYS(C1692,TODAY())&lt;5,"Risco Médio",""),IF(NETWORKDAYS(C1692,TODAY())&lt;=2,"Risco Baixo",""))))</f>
        <v>Expedido</v>
      </c>
      <c r="P1692" s="5" t="s">
        <v>25</v>
      </c>
      <c r="S1692" s="7">
        <f>IF(ISBLANK(M1692),"Aguardando Previsão/Data",NETWORKDAYS(L1692,M1692)-1)</f>
        <v>-4</v>
      </c>
      <c r="T1692" s="5" t="s">
        <v>942</v>
      </c>
    </row>
    <row r="1693" spans="1:20" x14ac:dyDescent="0.35">
      <c r="A1693" s="5">
        <v>8100276528</v>
      </c>
      <c r="B1693" s="5">
        <v>21263</v>
      </c>
      <c r="C1693" s="6">
        <v>45671</v>
      </c>
      <c r="D1693" s="5" t="s">
        <v>17</v>
      </c>
      <c r="E1693" s="5" t="s">
        <v>18</v>
      </c>
      <c r="F1693" s="5" t="s">
        <v>44</v>
      </c>
      <c r="G1693" s="5" t="s">
        <v>45</v>
      </c>
      <c r="H1693" s="5" t="s">
        <v>21</v>
      </c>
      <c r="I1693" s="5" t="s">
        <v>1334</v>
      </c>
      <c r="J1693" s="5" t="s">
        <v>1335</v>
      </c>
      <c r="K1693" s="5" t="s">
        <v>24</v>
      </c>
      <c r="L1693" s="6">
        <v>45678</v>
      </c>
      <c r="M1693" s="6">
        <v>45674</v>
      </c>
      <c r="N1693" s="6" t="s">
        <v>811</v>
      </c>
      <c r="O1693" s="5" t="str">
        <f ca="1">IF(P1693&lt;&gt;"EXPEDIÇÃO","Expedido",IF(NETWORKDAYS(C1693,TODAY())&gt;=5,"Risco Alto",IF(NETWORKDAYS(C1693,TODAY())&gt;=3,IF(NETWORKDAYS(C1693,TODAY())&lt;5,"Risco Médio",""),IF(NETWORKDAYS(C1693,TODAY())&lt;=2,"Risco Baixo",""))))</f>
        <v>Expedido</v>
      </c>
      <c r="P1693" s="5" t="s">
        <v>25</v>
      </c>
      <c r="S1693" s="7">
        <f>IF(ISBLANK(M1693),"Aguardando Previsão/Data",NETWORKDAYS(L1693,M1693)-1)</f>
        <v>-4</v>
      </c>
      <c r="T1693" s="5" t="s">
        <v>942</v>
      </c>
    </row>
    <row r="1694" spans="1:20" x14ac:dyDescent="0.35">
      <c r="A1694" s="5">
        <v>8100276529</v>
      </c>
      <c r="B1694" s="5">
        <v>21265</v>
      </c>
      <c r="C1694" s="6">
        <v>45671</v>
      </c>
      <c r="D1694" s="5" t="s">
        <v>17</v>
      </c>
      <c r="E1694" s="5" t="s">
        <v>18</v>
      </c>
      <c r="F1694" s="5" t="s">
        <v>44</v>
      </c>
      <c r="G1694" s="5" t="s">
        <v>45</v>
      </c>
      <c r="H1694" s="5" t="s">
        <v>21</v>
      </c>
      <c r="I1694" s="5" t="s">
        <v>1336</v>
      </c>
      <c r="J1694" s="5" t="s">
        <v>45</v>
      </c>
      <c r="K1694" s="5" t="s">
        <v>24</v>
      </c>
      <c r="L1694" s="6">
        <v>45678</v>
      </c>
      <c r="M1694" s="6">
        <v>45678</v>
      </c>
      <c r="N1694" s="6" t="s">
        <v>811</v>
      </c>
      <c r="O1694" s="5" t="str">
        <f ca="1">IF(P1694&lt;&gt;"EXPEDIÇÃO","Expedido",IF(NETWORKDAYS(C1694,TODAY())&gt;=5,"Risco Alto",IF(NETWORKDAYS(C1694,TODAY())&gt;=3,IF(NETWORKDAYS(C1694,TODAY())&lt;5,"Risco Médio",""),IF(NETWORKDAYS(C1694,TODAY())&lt;=2,"Risco Baixo",""))))</f>
        <v>Expedido</v>
      </c>
      <c r="P1694" s="5" t="s">
        <v>25</v>
      </c>
      <c r="S1694" s="7">
        <f>IF(ISBLANK(M1694),"Aguardando Previsão/Data",NETWORKDAYS(L1694,M1694)-1)</f>
        <v>0</v>
      </c>
      <c r="T1694" s="5" t="s">
        <v>942</v>
      </c>
    </row>
    <row r="1695" spans="1:20" x14ac:dyDescent="0.35">
      <c r="A1695" s="5">
        <v>8100276530</v>
      </c>
      <c r="B1695" s="5">
        <v>21266</v>
      </c>
      <c r="C1695" s="6">
        <v>45671</v>
      </c>
      <c r="D1695" s="5" t="s">
        <v>17</v>
      </c>
      <c r="E1695" s="5" t="s">
        <v>18</v>
      </c>
      <c r="F1695" s="5" t="s">
        <v>32</v>
      </c>
      <c r="G1695" s="5" t="s">
        <v>33</v>
      </c>
      <c r="H1695" s="5" t="s">
        <v>21</v>
      </c>
      <c r="I1695" s="5" t="s">
        <v>258</v>
      </c>
      <c r="J1695" s="5" t="s">
        <v>38</v>
      </c>
      <c r="K1695" s="5" t="s">
        <v>24</v>
      </c>
      <c r="L1695" s="6">
        <v>45679</v>
      </c>
      <c r="M1695" s="6">
        <v>45678</v>
      </c>
      <c r="N1695" s="6" t="s">
        <v>811</v>
      </c>
      <c r="O1695" s="5" t="str">
        <f ca="1">IF(P1695&lt;&gt;"EXPEDIÇÃO","Expedido",IF(NETWORKDAYS(C1695,TODAY())&gt;=5,"Risco Alto",IF(NETWORKDAYS(C1695,TODAY())&gt;=3,IF(NETWORKDAYS(C1695,TODAY())&lt;5,"Risco Médio",""),IF(NETWORKDAYS(C1695,TODAY())&lt;=2,"Risco Baixo",""))))</f>
        <v>Expedido</v>
      </c>
      <c r="P1695" s="5" t="s">
        <v>25</v>
      </c>
      <c r="S1695" s="7">
        <f>IF(ISBLANK(M1695),"Aguardando Previsão/Data",NETWORKDAYS(L1695,M1695)-1)</f>
        <v>-3</v>
      </c>
      <c r="T1695" s="5" t="s">
        <v>942</v>
      </c>
    </row>
    <row r="1696" spans="1:20" x14ac:dyDescent="0.35">
      <c r="A1696" s="5">
        <v>8100276534</v>
      </c>
      <c r="B1696" s="5">
        <v>21256</v>
      </c>
      <c r="C1696" s="6">
        <v>45671</v>
      </c>
      <c r="D1696" s="5" t="s">
        <v>17</v>
      </c>
      <c r="E1696" s="5" t="s">
        <v>18</v>
      </c>
      <c r="F1696" s="5" t="s">
        <v>84</v>
      </c>
      <c r="G1696" s="5" t="s">
        <v>85</v>
      </c>
      <c r="H1696" s="5" t="s">
        <v>21</v>
      </c>
      <c r="I1696" s="5" t="s">
        <v>882</v>
      </c>
      <c r="J1696" s="5" t="s">
        <v>370</v>
      </c>
      <c r="K1696" s="5" t="s">
        <v>24</v>
      </c>
      <c r="L1696" s="6">
        <v>45681</v>
      </c>
      <c r="M1696" s="6">
        <v>45678</v>
      </c>
      <c r="N1696" s="6" t="s">
        <v>811</v>
      </c>
      <c r="O1696" s="5" t="str">
        <f ca="1">IF(P1696&lt;&gt;"EXPEDIÇÃO","Expedido",IF(NETWORKDAYS(C1696,TODAY())&gt;=5,"Risco Alto",IF(NETWORKDAYS(C1696,TODAY())&gt;=3,IF(NETWORKDAYS(C1696,TODAY())&lt;5,"Risco Médio",""),IF(NETWORKDAYS(C1696,TODAY())&lt;=2,"Risco Baixo",""))))</f>
        <v>Expedido</v>
      </c>
      <c r="P1696" s="5" t="s">
        <v>25</v>
      </c>
      <c r="S1696" s="7">
        <f>IF(ISBLANK(M1696),"Aguardando Previsão/Data",NETWORKDAYS(L1696,M1696)-1)</f>
        <v>-5</v>
      </c>
      <c r="T1696" s="5" t="s">
        <v>942</v>
      </c>
    </row>
    <row r="1697" spans="1:20" x14ac:dyDescent="0.35">
      <c r="A1697" s="5">
        <v>8100276538</v>
      </c>
      <c r="B1697" s="5">
        <v>21240</v>
      </c>
      <c r="C1697" s="6">
        <v>45671</v>
      </c>
      <c r="D1697" s="5" t="s">
        <v>17</v>
      </c>
      <c r="E1697" s="5" t="s">
        <v>18</v>
      </c>
      <c r="F1697" s="5" t="s">
        <v>19</v>
      </c>
      <c r="G1697" s="5" t="s">
        <v>20</v>
      </c>
      <c r="H1697" s="5" t="s">
        <v>21</v>
      </c>
      <c r="I1697" s="5" t="s">
        <v>891</v>
      </c>
      <c r="J1697" s="5" t="s">
        <v>43</v>
      </c>
      <c r="K1697" s="5" t="s">
        <v>24</v>
      </c>
      <c r="L1697" s="6">
        <v>45678</v>
      </c>
      <c r="M1697" s="6">
        <v>45678</v>
      </c>
      <c r="N1697" s="6" t="s">
        <v>811</v>
      </c>
      <c r="O1697" s="5" t="str">
        <f ca="1">IF(P1697&lt;&gt;"EXPEDIÇÃO","Expedido",IF(NETWORKDAYS(C1697,TODAY())&gt;=5,"Risco Alto",IF(NETWORKDAYS(C1697,TODAY())&gt;=3,IF(NETWORKDAYS(C1697,TODAY())&lt;5,"Risco Médio",""),IF(NETWORKDAYS(C1697,TODAY())&lt;=2,"Risco Baixo",""))))</f>
        <v>Expedido</v>
      </c>
      <c r="P1697" s="5" t="s">
        <v>25</v>
      </c>
      <c r="Q1697" s="5" t="s">
        <v>897</v>
      </c>
      <c r="S1697" s="7">
        <f>IF(ISBLANK(M1697),"Aguardando Previsão/Data",NETWORKDAYS(L1697,M1697)-1)</f>
        <v>0</v>
      </c>
      <c r="T1697" s="5" t="s">
        <v>942</v>
      </c>
    </row>
    <row r="1698" spans="1:20" x14ac:dyDescent="0.35">
      <c r="A1698" s="5">
        <v>8100276540</v>
      </c>
      <c r="B1698" s="5">
        <v>21241</v>
      </c>
      <c r="C1698" s="6">
        <v>45671</v>
      </c>
      <c r="D1698" s="5" t="s">
        <v>17</v>
      </c>
      <c r="E1698" s="5" t="s">
        <v>18</v>
      </c>
      <c r="F1698" s="5" t="s">
        <v>19</v>
      </c>
      <c r="G1698" s="5" t="s">
        <v>20</v>
      </c>
      <c r="H1698" s="5" t="s">
        <v>21</v>
      </c>
      <c r="I1698" s="5" t="s">
        <v>891</v>
      </c>
      <c r="J1698" s="5" t="s">
        <v>43</v>
      </c>
      <c r="K1698" s="5" t="s">
        <v>24</v>
      </c>
      <c r="L1698" s="6">
        <v>45678</v>
      </c>
      <c r="M1698" s="6">
        <v>45678</v>
      </c>
      <c r="N1698" s="6" t="s">
        <v>811</v>
      </c>
      <c r="O1698" s="5" t="str">
        <f ca="1">IF(P1698&lt;&gt;"EXPEDIÇÃO","Expedido",IF(NETWORKDAYS(C1698,TODAY())&gt;=5,"Risco Alto",IF(NETWORKDAYS(C1698,TODAY())&gt;=3,IF(NETWORKDAYS(C1698,TODAY())&lt;5,"Risco Médio",""),IF(NETWORKDAYS(C1698,TODAY())&lt;=2,"Risco Baixo",""))))</f>
        <v>Expedido</v>
      </c>
      <c r="P1698" s="5" t="s">
        <v>25</v>
      </c>
      <c r="Q1698" s="5" t="s">
        <v>897</v>
      </c>
      <c r="S1698" s="7">
        <f>IF(ISBLANK(M1698),"Aguardando Previsão/Data",NETWORKDAYS(L1698,M1698)-1)</f>
        <v>0</v>
      </c>
      <c r="T1698" s="5" t="s">
        <v>942</v>
      </c>
    </row>
    <row r="1699" spans="1:20" x14ac:dyDescent="0.35">
      <c r="A1699" s="5">
        <v>8100276541</v>
      </c>
      <c r="B1699" s="5">
        <v>21242</v>
      </c>
      <c r="C1699" s="6">
        <v>45671</v>
      </c>
      <c r="D1699" s="5" t="s">
        <v>17</v>
      </c>
      <c r="E1699" s="5" t="s">
        <v>18</v>
      </c>
      <c r="F1699" s="5" t="s">
        <v>19</v>
      </c>
      <c r="G1699" s="5" t="s">
        <v>20</v>
      </c>
      <c r="H1699" s="5" t="s">
        <v>21</v>
      </c>
      <c r="I1699" s="5" t="s">
        <v>891</v>
      </c>
      <c r="J1699" s="5" t="s">
        <v>43</v>
      </c>
      <c r="K1699" s="5" t="s">
        <v>24</v>
      </c>
      <c r="L1699" s="6">
        <v>45678</v>
      </c>
      <c r="M1699" s="6">
        <v>45678</v>
      </c>
      <c r="N1699" s="6" t="s">
        <v>811</v>
      </c>
      <c r="O1699" s="5" t="str">
        <f ca="1">IF(P1699&lt;&gt;"EXPEDIÇÃO","Expedido",IF(NETWORKDAYS(C1699,TODAY())&gt;=5,"Risco Alto",IF(NETWORKDAYS(C1699,TODAY())&gt;=3,IF(NETWORKDAYS(C1699,TODAY())&lt;5,"Risco Médio",""),IF(NETWORKDAYS(C1699,TODAY())&lt;=2,"Risco Baixo",""))))</f>
        <v>Expedido</v>
      </c>
      <c r="P1699" s="5" t="s">
        <v>25</v>
      </c>
      <c r="Q1699" s="5" t="s">
        <v>897</v>
      </c>
      <c r="S1699" s="7">
        <f>IF(ISBLANK(M1699),"Aguardando Previsão/Data",NETWORKDAYS(L1699,M1699)-1)</f>
        <v>0</v>
      </c>
      <c r="T1699" s="5" t="s">
        <v>942</v>
      </c>
    </row>
    <row r="1700" spans="1:20" x14ac:dyDescent="0.35">
      <c r="A1700" s="5">
        <v>8100274998</v>
      </c>
      <c r="B1700" s="5">
        <v>13209</v>
      </c>
      <c r="C1700" s="6">
        <v>45671</v>
      </c>
      <c r="D1700" s="5" t="s">
        <v>91</v>
      </c>
      <c r="E1700" s="5" t="s">
        <v>92</v>
      </c>
      <c r="F1700" s="5" t="s">
        <v>96</v>
      </c>
      <c r="G1700" s="5" t="s">
        <v>97</v>
      </c>
      <c r="H1700" s="5" t="s">
        <v>21</v>
      </c>
      <c r="I1700" s="5" t="s">
        <v>703</v>
      </c>
      <c r="J1700" s="5" t="s">
        <v>632</v>
      </c>
      <c r="K1700" s="5" t="s">
        <v>101</v>
      </c>
      <c r="L1700" s="6">
        <v>45681</v>
      </c>
      <c r="M1700" s="6">
        <v>45680</v>
      </c>
      <c r="N1700" s="6" t="s">
        <v>811</v>
      </c>
      <c r="O1700" s="5" t="str">
        <f ca="1">IF(P1700&lt;&gt;"EXPEDIÇÃO","Expedido",IF(NETWORKDAYS(C1700,TODAY())&gt;=5,"Risco Alto",IF(NETWORKDAYS(C1700,TODAY())&gt;=3,IF(NETWORKDAYS(C1700,TODAY())&lt;5,"Risco Médio",""),IF(NETWORKDAYS(C1700,TODAY())&lt;=2,"Risco Baixo",""))))</f>
        <v>Expedido</v>
      </c>
      <c r="P1700" s="5" t="s">
        <v>25</v>
      </c>
      <c r="S1700" s="7">
        <f>IF(ISBLANK(M1700),"Aguardando Previsão/Data",NETWORKDAYS(L1700,M1700)-1)</f>
        <v>-3</v>
      </c>
      <c r="T1700" s="5" t="s">
        <v>942</v>
      </c>
    </row>
    <row r="1701" spans="1:20" x14ac:dyDescent="0.35">
      <c r="A1701" s="5">
        <v>8100275263</v>
      </c>
      <c r="B1701" s="5">
        <v>13213</v>
      </c>
      <c r="C1701" s="6">
        <v>45671</v>
      </c>
      <c r="D1701" s="5" t="s">
        <v>91</v>
      </c>
      <c r="E1701" s="5" t="s">
        <v>92</v>
      </c>
      <c r="F1701" s="5" t="s">
        <v>96</v>
      </c>
      <c r="G1701" s="5" t="s">
        <v>97</v>
      </c>
      <c r="H1701" s="5" t="s">
        <v>21</v>
      </c>
      <c r="I1701" s="5" t="s">
        <v>1071</v>
      </c>
      <c r="J1701" s="5" t="s">
        <v>472</v>
      </c>
      <c r="K1701" s="5" t="s">
        <v>95</v>
      </c>
      <c r="L1701" s="6">
        <v>45678</v>
      </c>
      <c r="M1701" s="6">
        <v>45674</v>
      </c>
      <c r="N1701" s="6" t="s">
        <v>811</v>
      </c>
      <c r="O1701" s="5" t="str">
        <f ca="1">IF(P1701&lt;&gt;"EXPEDIÇÃO","Expedido",IF(NETWORKDAYS(C1701,TODAY())&gt;=5,"Risco Alto",IF(NETWORKDAYS(C1701,TODAY())&gt;=3,IF(NETWORKDAYS(C1701,TODAY())&lt;5,"Risco Médio",""),IF(NETWORKDAYS(C1701,TODAY())&lt;=2,"Risco Baixo",""))))</f>
        <v>Expedido</v>
      </c>
      <c r="P1701" s="5" t="s">
        <v>25</v>
      </c>
      <c r="S1701" s="7">
        <f>IF(ISBLANK(M1701),"Aguardando Previsão/Data",NETWORKDAYS(L1701,M1701)-1)</f>
        <v>-4</v>
      </c>
      <c r="T1701" s="5" t="s">
        <v>942</v>
      </c>
    </row>
    <row r="1702" spans="1:20" x14ac:dyDescent="0.35">
      <c r="A1702" s="5">
        <v>8100275264</v>
      </c>
      <c r="B1702" s="5">
        <v>13212</v>
      </c>
      <c r="C1702" s="6">
        <v>45671</v>
      </c>
      <c r="D1702" s="5" t="s">
        <v>91</v>
      </c>
      <c r="E1702" s="5" t="s">
        <v>92</v>
      </c>
      <c r="F1702" s="5" t="s">
        <v>96</v>
      </c>
      <c r="G1702" s="5" t="s">
        <v>97</v>
      </c>
      <c r="H1702" s="5" t="s">
        <v>21</v>
      </c>
      <c r="I1702" s="5" t="s">
        <v>750</v>
      </c>
      <c r="J1702" s="5" t="s">
        <v>636</v>
      </c>
      <c r="K1702" s="5" t="s">
        <v>95</v>
      </c>
      <c r="L1702" s="6">
        <v>45678</v>
      </c>
      <c r="M1702" s="6">
        <v>45674</v>
      </c>
      <c r="N1702" s="6" t="s">
        <v>811</v>
      </c>
      <c r="O1702" s="5" t="str">
        <f ca="1">IF(P1702&lt;&gt;"EXPEDIÇÃO","Expedido",IF(NETWORKDAYS(C1702,TODAY())&gt;=5,"Risco Alto",IF(NETWORKDAYS(C1702,TODAY())&gt;=3,IF(NETWORKDAYS(C1702,TODAY())&lt;5,"Risco Médio",""),IF(NETWORKDAYS(C1702,TODAY())&lt;=2,"Risco Baixo",""))))</f>
        <v>Expedido</v>
      </c>
      <c r="P1702" s="5" t="s">
        <v>25</v>
      </c>
      <c r="S1702" s="7">
        <f>IF(ISBLANK(M1702),"Aguardando Previsão/Data",NETWORKDAYS(L1702,M1702)-1)</f>
        <v>-4</v>
      </c>
      <c r="T1702" s="5" t="s">
        <v>942</v>
      </c>
    </row>
    <row r="1703" spans="1:20" x14ac:dyDescent="0.35">
      <c r="A1703" s="5">
        <v>8100275265</v>
      </c>
      <c r="B1703" s="5">
        <v>13214</v>
      </c>
      <c r="C1703" s="6">
        <v>45671</v>
      </c>
      <c r="D1703" s="5" t="s">
        <v>91</v>
      </c>
      <c r="E1703" s="5" t="s">
        <v>92</v>
      </c>
      <c r="F1703" s="5" t="s">
        <v>96</v>
      </c>
      <c r="G1703" s="5" t="s">
        <v>97</v>
      </c>
      <c r="H1703" s="5" t="s">
        <v>21</v>
      </c>
      <c r="I1703" s="5" t="s">
        <v>1071</v>
      </c>
      <c r="J1703" s="5" t="s">
        <v>472</v>
      </c>
      <c r="K1703" s="5" t="s">
        <v>95</v>
      </c>
      <c r="L1703" s="6">
        <v>45678</v>
      </c>
      <c r="M1703" s="6">
        <v>45674</v>
      </c>
      <c r="N1703" s="6" t="s">
        <v>811</v>
      </c>
      <c r="O1703" s="5" t="str">
        <f ca="1">IF(P1703&lt;&gt;"EXPEDIÇÃO","Expedido",IF(NETWORKDAYS(C1703,TODAY())&gt;=5,"Risco Alto",IF(NETWORKDAYS(C1703,TODAY())&gt;=3,IF(NETWORKDAYS(C1703,TODAY())&lt;5,"Risco Médio",""),IF(NETWORKDAYS(C1703,TODAY())&lt;=2,"Risco Baixo",""))))</f>
        <v>Expedido</v>
      </c>
      <c r="P1703" s="5" t="s">
        <v>25</v>
      </c>
      <c r="S1703" s="7">
        <f>IF(ISBLANK(M1703),"Aguardando Previsão/Data",NETWORKDAYS(L1703,M1703)-1)</f>
        <v>-4</v>
      </c>
      <c r="T1703" s="5" t="s">
        <v>942</v>
      </c>
    </row>
    <row r="1704" spans="1:20" x14ac:dyDescent="0.35">
      <c r="A1704" s="5">
        <v>8100275285</v>
      </c>
      <c r="B1704" s="5">
        <v>13215</v>
      </c>
      <c r="C1704" s="6">
        <v>45671</v>
      </c>
      <c r="D1704" s="5" t="s">
        <v>91</v>
      </c>
      <c r="E1704" s="5" t="s">
        <v>92</v>
      </c>
      <c r="F1704" s="5" t="s">
        <v>96</v>
      </c>
      <c r="G1704" s="5" t="s">
        <v>97</v>
      </c>
      <c r="H1704" s="5" t="s">
        <v>21</v>
      </c>
      <c r="I1704" s="5" t="s">
        <v>1071</v>
      </c>
      <c r="J1704" s="5" t="s">
        <v>472</v>
      </c>
      <c r="K1704" s="5" t="s">
        <v>95</v>
      </c>
      <c r="L1704" s="6">
        <v>45678</v>
      </c>
      <c r="M1704" s="6">
        <v>45674</v>
      </c>
      <c r="N1704" s="6" t="s">
        <v>811</v>
      </c>
      <c r="O1704" s="5" t="str">
        <f ca="1">IF(P1704&lt;&gt;"EXPEDIÇÃO","Expedido",IF(NETWORKDAYS(C1704,TODAY())&gt;=5,"Risco Alto",IF(NETWORKDAYS(C1704,TODAY())&gt;=3,IF(NETWORKDAYS(C1704,TODAY())&lt;5,"Risco Médio",""),IF(NETWORKDAYS(C1704,TODAY())&lt;=2,"Risco Baixo",""))))</f>
        <v>Expedido</v>
      </c>
      <c r="P1704" s="5" t="s">
        <v>25</v>
      </c>
      <c r="S1704" s="7">
        <f>IF(ISBLANK(M1704),"Aguardando Previsão/Data",NETWORKDAYS(L1704,M1704)-1)</f>
        <v>-4</v>
      </c>
      <c r="T1704" s="5" t="s">
        <v>942</v>
      </c>
    </row>
    <row r="1705" spans="1:20" x14ac:dyDescent="0.35">
      <c r="A1705" s="5">
        <v>8100275388</v>
      </c>
      <c r="B1705" s="5">
        <v>13210</v>
      </c>
      <c r="C1705" s="6">
        <v>45671</v>
      </c>
      <c r="D1705" s="5" t="s">
        <v>91</v>
      </c>
      <c r="E1705" s="5" t="s">
        <v>92</v>
      </c>
      <c r="F1705" s="5" t="s">
        <v>103</v>
      </c>
      <c r="G1705" s="5" t="s">
        <v>104</v>
      </c>
      <c r="H1705" s="5" t="s">
        <v>21</v>
      </c>
      <c r="I1705" s="5" t="s">
        <v>1315</v>
      </c>
      <c r="J1705" s="5" t="s">
        <v>386</v>
      </c>
      <c r="K1705" s="5" t="s">
        <v>105</v>
      </c>
      <c r="L1705" s="6">
        <v>45685</v>
      </c>
      <c r="M1705" s="6">
        <v>45684</v>
      </c>
      <c r="N1705" s="6" t="s">
        <v>811</v>
      </c>
      <c r="O1705" s="5" t="str">
        <f ca="1">IF(P1705&lt;&gt;"EXPEDIÇÃO","Expedido",IF(NETWORKDAYS(C1705,TODAY())&gt;=5,"Risco Alto",IF(NETWORKDAYS(C1705,TODAY())&gt;=3,IF(NETWORKDAYS(C1705,TODAY())&lt;5,"Risco Médio",""),IF(NETWORKDAYS(C1705,TODAY())&lt;=2,"Risco Baixo",""))))</f>
        <v>Expedido</v>
      </c>
      <c r="P1705" s="5" t="s">
        <v>25</v>
      </c>
      <c r="S1705" s="7">
        <f>IF(ISBLANK(M1705),"Aguardando Previsão/Data",NETWORKDAYS(L1705,M1705)-1)</f>
        <v>-3</v>
      </c>
      <c r="T1705" s="5" t="s">
        <v>942</v>
      </c>
    </row>
    <row r="1706" spans="1:20" x14ac:dyDescent="0.35">
      <c r="A1706" s="5">
        <v>8100275389</v>
      </c>
      <c r="B1706" s="5">
        <v>13227</v>
      </c>
      <c r="C1706" s="6">
        <v>45671</v>
      </c>
      <c r="D1706" s="5" t="s">
        <v>91</v>
      </c>
      <c r="E1706" s="5" t="s">
        <v>92</v>
      </c>
      <c r="F1706" s="5" t="s">
        <v>103</v>
      </c>
      <c r="G1706" s="5" t="s">
        <v>104</v>
      </c>
      <c r="H1706" s="5" t="s">
        <v>21</v>
      </c>
      <c r="I1706" s="5" t="s">
        <v>994</v>
      </c>
      <c r="J1706" s="5" t="s">
        <v>995</v>
      </c>
      <c r="K1706" s="5" t="s">
        <v>423</v>
      </c>
      <c r="L1706" s="6">
        <v>45680</v>
      </c>
      <c r="M1706" s="6">
        <v>45677</v>
      </c>
      <c r="N1706" s="6" t="s">
        <v>811</v>
      </c>
      <c r="O1706" s="5" t="str">
        <f ca="1">IF(P1706&lt;&gt;"EXPEDIÇÃO","Expedido",IF(NETWORKDAYS(C1706,TODAY())&gt;=5,"Risco Alto",IF(NETWORKDAYS(C1706,TODAY())&gt;=3,IF(NETWORKDAYS(C1706,TODAY())&lt;5,"Risco Médio",""),IF(NETWORKDAYS(C1706,TODAY())&lt;=2,"Risco Baixo",""))))</f>
        <v>Expedido</v>
      </c>
      <c r="P1706" s="5" t="s">
        <v>25</v>
      </c>
      <c r="S1706" s="7">
        <f>IF(ISBLANK(M1706),"Aguardando Previsão/Data",NETWORKDAYS(L1706,M1706)-1)</f>
        <v>-5</v>
      </c>
      <c r="T1706" s="5" t="s">
        <v>942</v>
      </c>
    </row>
    <row r="1707" spans="1:20" x14ac:dyDescent="0.35">
      <c r="A1707" s="5">
        <v>8100275737</v>
      </c>
      <c r="B1707" s="5">
        <v>13211</v>
      </c>
      <c r="C1707" s="6">
        <v>45671</v>
      </c>
      <c r="D1707" s="5" t="s">
        <v>91</v>
      </c>
      <c r="E1707" s="5" t="s">
        <v>92</v>
      </c>
      <c r="F1707" s="5" t="s">
        <v>103</v>
      </c>
      <c r="G1707" s="5" t="s">
        <v>104</v>
      </c>
      <c r="H1707" s="5" t="s">
        <v>21</v>
      </c>
      <c r="I1707" s="5" t="s">
        <v>1321</v>
      </c>
      <c r="J1707" s="5" t="s">
        <v>1322</v>
      </c>
      <c r="K1707" s="5" t="s">
        <v>274</v>
      </c>
      <c r="L1707" s="6">
        <v>45681</v>
      </c>
      <c r="M1707" s="6">
        <v>45677</v>
      </c>
      <c r="N1707" s="6" t="s">
        <v>811</v>
      </c>
      <c r="O1707" s="5" t="str">
        <f ca="1">IF(P1707&lt;&gt;"EXPEDIÇÃO","Expedido",IF(NETWORKDAYS(C1707,TODAY())&gt;=5,"Risco Alto",IF(NETWORKDAYS(C1707,TODAY())&gt;=3,IF(NETWORKDAYS(C1707,TODAY())&lt;5,"Risco Médio",""),IF(NETWORKDAYS(C1707,TODAY())&lt;=2,"Risco Baixo",""))))</f>
        <v>Expedido</v>
      </c>
      <c r="P1707" s="5" t="s">
        <v>25</v>
      </c>
      <c r="S1707" s="7">
        <f>IF(ISBLANK(M1707),"Aguardando Previsão/Data",NETWORKDAYS(L1707,M1707)-1)</f>
        <v>-6</v>
      </c>
      <c r="T1707" s="5" t="s">
        <v>942</v>
      </c>
    </row>
    <row r="1708" spans="1:20" x14ac:dyDescent="0.35">
      <c r="A1708" s="5">
        <v>8100275913</v>
      </c>
      <c r="B1708" s="5">
        <v>13228</v>
      </c>
      <c r="C1708" s="6">
        <v>45671</v>
      </c>
      <c r="D1708" s="5" t="s">
        <v>91</v>
      </c>
      <c r="E1708" s="5" t="s">
        <v>92</v>
      </c>
      <c r="F1708" s="5" t="s">
        <v>58</v>
      </c>
      <c r="G1708" s="5" t="s">
        <v>59</v>
      </c>
      <c r="H1708" s="5" t="s">
        <v>21</v>
      </c>
      <c r="I1708" s="5" t="s">
        <v>534</v>
      </c>
      <c r="J1708" s="5" t="s">
        <v>535</v>
      </c>
      <c r="K1708" s="5" t="s">
        <v>95</v>
      </c>
      <c r="L1708" s="6">
        <v>45684</v>
      </c>
      <c r="M1708" s="6">
        <v>45678</v>
      </c>
      <c r="N1708" s="6" t="s">
        <v>811</v>
      </c>
      <c r="O1708" s="5" t="str">
        <f ca="1">IF(P1708&lt;&gt;"EXPEDIÇÃO","Expedido",IF(NETWORKDAYS(C1708,TODAY())&gt;=5,"Risco Alto",IF(NETWORKDAYS(C1708,TODAY())&gt;=3,IF(NETWORKDAYS(C1708,TODAY())&lt;5,"Risco Médio",""),IF(NETWORKDAYS(C1708,TODAY())&lt;=2,"Risco Baixo",""))))</f>
        <v>Expedido</v>
      </c>
      <c r="P1708" s="5" t="s">
        <v>25</v>
      </c>
      <c r="S1708" s="7">
        <f>IF(ISBLANK(M1708),"Aguardando Previsão/Data",NETWORKDAYS(L1708,M1708)-1)</f>
        <v>-6</v>
      </c>
      <c r="T1708" s="5" t="s">
        <v>942</v>
      </c>
    </row>
    <row r="1709" spans="1:20" x14ac:dyDescent="0.35">
      <c r="A1709" s="5">
        <v>8100276063</v>
      </c>
      <c r="B1709" s="5">
        <v>13233</v>
      </c>
      <c r="C1709" s="6">
        <v>45671</v>
      </c>
      <c r="D1709" s="5" t="s">
        <v>91</v>
      </c>
      <c r="E1709" s="5" t="s">
        <v>92</v>
      </c>
      <c r="F1709" s="5" t="s">
        <v>96</v>
      </c>
      <c r="G1709" s="5" t="s">
        <v>97</v>
      </c>
      <c r="H1709" s="5" t="s">
        <v>21</v>
      </c>
      <c r="I1709" s="5" t="s">
        <v>703</v>
      </c>
      <c r="J1709" s="5" t="s">
        <v>579</v>
      </c>
      <c r="K1709" s="5" t="s">
        <v>101</v>
      </c>
      <c r="L1709" s="6">
        <v>45681</v>
      </c>
      <c r="M1709" s="6">
        <v>45677</v>
      </c>
      <c r="N1709" s="6" t="s">
        <v>811</v>
      </c>
      <c r="O1709" s="5" t="str">
        <f ca="1">IF(P1709&lt;&gt;"EXPEDIÇÃO","Expedido",IF(NETWORKDAYS(C1709,TODAY())&gt;=5,"Risco Alto",IF(NETWORKDAYS(C1709,TODAY())&gt;=3,IF(NETWORKDAYS(C1709,TODAY())&lt;5,"Risco Médio",""),IF(NETWORKDAYS(C1709,TODAY())&lt;=2,"Risco Baixo",""))))</f>
        <v>Expedido</v>
      </c>
      <c r="P1709" s="5" t="s">
        <v>25</v>
      </c>
      <c r="S1709" s="7">
        <f>IF(ISBLANK(M1709),"Aguardando Previsão/Data",NETWORKDAYS(L1709,M1709)-1)</f>
        <v>-6</v>
      </c>
      <c r="T1709" s="5" t="s">
        <v>942</v>
      </c>
    </row>
    <row r="1710" spans="1:20" x14ac:dyDescent="0.35">
      <c r="A1710" s="5">
        <v>8100276064</v>
      </c>
      <c r="B1710" s="5">
        <v>13226</v>
      </c>
      <c r="C1710" s="6">
        <v>45671</v>
      </c>
      <c r="D1710" s="5" t="s">
        <v>91</v>
      </c>
      <c r="E1710" s="5" t="s">
        <v>92</v>
      </c>
      <c r="F1710" s="5" t="s">
        <v>96</v>
      </c>
      <c r="G1710" s="5" t="s">
        <v>97</v>
      </c>
      <c r="H1710" s="5" t="s">
        <v>21</v>
      </c>
      <c r="I1710" s="5" t="s">
        <v>201</v>
      </c>
      <c r="J1710" s="5" t="s">
        <v>387</v>
      </c>
      <c r="K1710" s="5" t="s">
        <v>101</v>
      </c>
      <c r="L1710" s="6">
        <v>45680</v>
      </c>
      <c r="M1710" s="6">
        <v>45679</v>
      </c>
      <c r="N1710" s="6" t="s">
        <v>811</v>
      </c>
      <c r="O1710" s="5" t="str">
        <f ca="1">IF(P1710&lt;&gt;"EXPEDIÇÃO","Expedido",IF(NETWORKDAYS(C1710,TODAY())&gt;=5,"Risco Alto",IF(NETWORKDAYS(C1710,TODAY())&gt;=3,IF(NETWORKDAYS(C1710,TODAY())&lt;5,"Risco Médio",""),IF(NETWORKDAYS(C1710,TODAY())&lt;=2,"Risco Baixo",""))))</f>
        <v>Expedido</v>
      </c>
      <c r="P1710" s="5" t="s">
        <v>25</v>
      </c>
      <c r="S1710" s="7">
        <f>IF(ISBLANK(M1710),"Aguardando Previsão/Data",NETWORKDAYS(L1710,M1710)-1)</f>
        <v>-3</v>
      </c>
      <c r="T1710" s="5" t="s">
        <v>942</v>
      </c>
    </row>
    <row r="1711" spans="1:20" x14ac:dyDescent="0.35">
      <c r="A1711" s="5">
        <v>8100276066</v>
      </c>
      <c r="B1711" s="5">
        <v>13235</v>
      </c>
      <c r="C1711" s="6">
        <v>45671</v>
      </c>
      <c r="D1711" s="5" t="s">
        <v>91</v>
      </c>
      <c r="E1711" s="5" t="s">
        <v>92</v>
      </c>
      <c r="F1711" s="5" t="s">
        <v>103</v>
      </c>
      <c r="G1711" s="5" t="s">
        <v>104</v>
      </c>
      <c r="H1711" s="5" t="s">
        <v>21</v>
      </c>
      <c r="I1711" s="5" t="s">
        <v>464</v>
      </c>
      <c r="J1711" s="5" t="s">
        <v>558</v>
      </c>
      <c r="K1711" s="5" t="s">
        <v>105</v>
      </c>
      <c r="L1711" s="6">
        <v>45685</v>
      </c>
      <c r="M1711" s="6">
        <v>45684</v>
      </c>
      <c r="N1711" s="6" t="s">
        <v>811</v>
      </c>
      <c r="O1711" s="5" t="str">
        <f ca="1">IF(P1711&lt;&gt;"EXPEDIÇÃO","Expedido",IF(NETWORKDAYS(C1711,TODAY())&gt;=5,"Risco Alto",IF(NETWORKDAYS(C1711,TODAY())&gt;=3,IF(NETWORKDAYS(C1711,TODAY())&lt;5,"Risco Médio",""),IF(NETWORKDAYS(C1711,TODAY())&lt;=2,"Risco Baixo",""))))</f>
        <v>Expedido</v>
      </c>
      <c r="P1711" s="5" t="s">
        <v>25</v>
      </c>
      <c r="S1711" s="7">
        <f>IF(ISBLANK(M1711),"Aguardando Previsão/Data",NETWORKDAYS(L1711,M1711)-1)</f>
        <v>-3</v>
      </c>
      <c r="T1711" s="5" t="s">
        <v>942</v>
      </c>
    </row>
    <row r="1712" spans="1:20" x14ac:dyDescent="0.35">
      <c r="A1712" s="5">
        <v>8100276069</v>
      </c>
      <c r="B1712" s="5">
        <v>13236</v>
      </c>
      <c r="C1712" s="6">
        <v>45671</v>
      </c>
      <c r="D1712" s="5" t="s">
        <v>91</v>
      </c>
      <c r="E1712" s="5" t="s">
        <v>92</v>
      </c>
      <c r="F1712" s="5" t="s">
        <v>96</v>
      </c>
      <c r="G1712" s="5" t="s">
        <v>97</v>
      </c>
      <c r="H1712" s="5" t="s">
        <v>21</v>
      </c>
      <c r="I1712" s="5" t="s">
        <v>1323</v>
      </c>
      <c r="J1712" s="5" t="s">
        <v>579</v>
      </c>
      <c r="K1712" s="5" t="s">
        <v>101</v>
      </c>
      <c r="L1712" s="6">
        <v>45681</v>
      </c>
      <c r="M1712" s="6">
        <v>45677</v>
      </c>
      <c r="N1712" s="6" t="s">
        <v>811</v>
      </c>
      <c r="O1712" s="5" t="str">
        <f ca="1">IF(P1712&lt;&gt;"EXPEDIÇÃO","Expedido",IF(NETWORKDAYS(C1712,TODAY())&gt;=5,"Risco Alto",IF(NETWORKDAYS(C1712,TODAY())&gt;=3,IF(NETWORKDAYS(C1712,TODAY())&lt;5,"Risco Médio",""),IF(NETWORKDAYS(C1712,TODAY())&lt;=2,"Risco Baixo",""))))</f>
        <v>Expedido</v>
      </c>
      <c r="P1712" s="5" t="s">
        <v>25</v>
      </c>
      <c r="S1712" s="7">
        <f>IF(ISBLANK(M1712),"Aguardando Previsão/Data",NETWORKDAYS(L1712,M1712)-1)</f>
        <v>-6</v>
      </c>
      <c r="T1712" s="5" t="s">
        <v>942</v>
      </c>
    </row>
    <row r="1713" spans="1:20" x14ac:dyDescent="0.35">
      <c r="A1713" s="5">
        <v>8100276070</v>
      </c>
      <c r="B1713" s="5">
        <v>13237</v>
      </c>
      <c r="C1713" s="6">
        <v>45671</v>
      </c>
      <c r="D1713" s="5" t="s">
        <v>91</v>
      </c>
      <c r="E1713" s="5" t="s">
        <v>92</v>
      </c>
      <c r="F1713" s="5" t="s">
        <v>96</v>
      </c>
      <c r="G1713" s="5" t="s">
        <v>97</v>
      </c>
      <c r="H1713" s="5" t="s">
        <v>21</v>
      </c>
      <c r="I1713" s="5" t="s">
        <v>1324</v>
      </c>
      <c r="J1713" s="5" t="s">
        <v>470</v>
      </c>
      <c r="K1713" s="5" t="s">
        <v>101</v>
      </c>
      <c r="L1713" s="6">
        <v>45680</v>
      </c>
      <c r="M1713" s="6">
        <v>45678</v>
      </c>
      <c r="N1713" s="6" t="s">
        <v>811</v>
      </c>
      <c r="O1713" s="5" t="str">
        <f ca="1">IF(P1713&lt;&gt;"EXPEDIÇÃO","Expedido",IF(NETWORKDAYS(C1713,TODAY())&gt;=5,"Risco Alto",IF(NETWORKDAYS(C1713,TODAY())&gt;=3,IF(NETWORKDAYS(C1713,TODAY())&lt;5,"Risco Médio",""),IF(NETWORKDAYS(C1713,TODAY())&lt;=2,"Risco Baixo",""))))</f>
        <v>Expedido</v>
      </c>
      <c r="P1713" s="5" t="s">
        <v>25</v>
      </c>
      <c r="S1713" s="7">
        <f>IF(ISBLANK(M1713),"Aguardando Previsão/Data",NETWORKDAYS(L1713,M1713)-1)</f>
        <v>-4</v>
      </c>
      <c r="T1713" s="5" t="s">
        <v>942</v>
      </c>
    </row>
    <row r="1714" spans="1:20" x14ac:dyDescent="0.35">
      <c r="A1714" s="5">
        <v>8100276117</v>
      </c>
      <c r="B1714" s="5">
        <v>13229</v>
      </c>
      <c r="C1714" s="6">
        <v>45671</v>
      </c>
      <c r="D1714" s="5" t="s">
        <v>91</v>
      </c>
      <c r="E1714" s="5" t="s">
        <v>92</v>
      </c>
      <c r="F1714" s="5" t="s">
        <v>96</v>
      </c>
      <c r="G1714" s="5" t="s">
        <v>97</v>
      </c>
      <c r="H1714" s="5" t="s">
        <v>21</v>
      </c>
      <c r="I1714" s="5" t="s">
        <v>715</v>
      </c>
      <c r="J1714" s="5" t="s">
        <v>99</v>
      </c>
      <c r="K1714" s="5" t="s">
        <v>95</v>
      </c>
      <c r="L1714" s="6">
        <v>45677</v>
      </c>
      <c r="M1714" s="6">
        <v>45672</v>
      </c>
      <c r="N1714" s="6" t="s">
        <v>811</v>
      </c>
      <c r="O1714" s="5" t="str">
        <f ca="1">IF(P1714&lt;&gt;"EXPEDIÇÃO","Expedido",IF(NETWORKDAYS(C1714,TODAY())&gt;=5,"Risco Alto",IF(NETWORKDAYS(C1714,TODAY())&gt;=3,IF(NETWORKDAYS(C1714,TODAY())&lt;5,"Risco Médio",""),IF(NETWORKDAYS(C1714,TODAY())&lt;=2,"Risco Baixo",""))))</f>
        <v>Expedido</v>
      </c>
      <c r="P1714" s="5" t="s">
        <v>25</v>
      </c>
      <c r="S1714" s="7">
        <f>IF(ISBLANK(M1714),"Aguardando Previsão/Data",NETWORKDAYS(L1714,M1714)-1)</f>
        <v>-5</v>
      </c>
      <c r="T1714" s="5" t="s">
        <v>942</v>
      </c>
    </row>
    <row r="1715" spans="1:20" x14ac:dyDescent="0.35">
      <c r="A1715" s="5">
        <v>8100276118</v>
      </c>
      <c r="B1715" s="5">
        <v>13238</v>
      </c>
      <c r="C1715" s="6">
        <v>45671</v>
      </c>
      <c r="D1715" s="5" t="s">
        <v>91</v>
      </c>
      <c r="E1715" s="5" t="s">
        <v>92</v>
      </c>
      <c r="F1715" s="5" t="s">
        <v>58</v>
      </c>
      <c r="G1715" s="5" t="s">
        <v>59</v>
      </c>
      <c r="H1715" s="5" t="s">
        <v>21</v>
      </c>
      <c r="I1715" s="5" t="s">
        <v>917</v>
      </c>
      <c r="J1715" s="5" t="s">
        <v>471</v>
      </c>
      <c r="K1715" s="5" t="s">
        <v>95</v>
      </c>
      <c r="L1715" s="6">
        <v>45684</v>
      </c>
      <c r="M1715" s="6">
        <v>45677</v>
      </c>
      <c r="N1715" s="6" t="s">
        <v>811</v>
      </c>
      <c r="O1715" s="5" t="str">
        <f ca="1">IF(P1715&lt;&gt;"EXPEDIÇÃO","Expedido",IF(NETWORKDAYS(C1715,TODAY())&gt;=5,"Risco Alto",IF(NETWORKDAYS(C1715,TODAY())&gt;=3,IF(NETWORKDAYS(C1715,TODAY())&lt;5,"Risco Médio",""),IF(NETWORKDAYS(C1715,TODAY())&lt;=2,"Risco Baixo",""))))</f>
        <v>Expedido</v>
      </c>
      <c r="P1715" s="5" t="s">
        <v>25</v>
      </c>
      <c r="S1715" s="7">
        <f>IF(ISBLANK(M1715),"Aguardando Previsão/Data",NETWORKDAYS(L1715,M1715)-1)</f>
        <v>-7</v>
      </c>
      <c r="T1715" s="5" t="s">
        <v>942</v>
      </c>
    </row>
    <row r="1716" spans="1:20" x14ac:dyDescent="0.35">
      <c r="A1716" s="5">
        <v>8100276119</v>
      </c>
      <c r="B1716" s="5">
        <v>13234</v>
      </c>
      <c r="C1716" s="6">
        <v>45671</v>
      </c>
      <c r="D1716" s="5" t="s">
        <v>91</v>
      </c>
      <c r="E1716" s="5" t="s">
        <v>92</v>
      </c>
      <c r="F1716" s="5" t="s">
        <v>103</v>
      </c>
      <c r="G1716" s="5" t="s">
        <v>104</v>
      </c>
      <c r="H1716" s="5" t="s">
        <v>21</v>
      </c>
      <c r="I1716" s="5" t="s">
        <v>1170</v>
      </c>
      <c r="J1716" s="5" t="s">
        <v>578</v>
      </c>
      <c r="K1716" s="5" t="s">
        <v>274</v>
      </c>
      <c r="L1716" s="6">
        <v>45680</v>
      </c>
      <c r="M1716" s="6">
        <v>45678</v>
      </c>
      <c r="N1716" s="6" t="s">
        <v>811</v>
      </c>
      <c r="O1716" s="5" t="str">
        <f ca="1">IF(P1716&lt;&gt;"EXPEDIÇÃO","Expedido",IF(NETWORKDAYS(C1716,TODAY())&gt;=5,"Risco Alto",IF(NETWORKDAYS(C1716,TODAY())&gt;=3,IF(NETWORKDAYS(C1716,TODAY())&lt;5,"Risco Médio",""),IF(NETWORKDAYS(C1716,TODAY())&lt;=2,"Risco Baixo",""))))</f>
        <v>Expedido</v>
      </c>
      <c r="P1716" s="5" t="s">
        <v>25</v>
      </c>
      <c r="S1716" s="7">
        <f>IF(ISBLANK(M1716),"Aguardando Previsão/Data",NETWORKDAYS(L1716,M1716)-1)</f>
        <v>-4</v>
      </c>
      <c r="T1716" s="5" t="s">
        <v>942</v>
      </c>
    </row>
    <row r="1717" spans="1:20" x14ac:dyDescent="0.35">
      <c r="A1717" s="5">
        <v>8100276120</v>
      </c>
      <c r="B1717" s="5">
        <v>13230</v>
      </c>
      <c r="C1717" s="6">
        <v>45671</v>
      </c>
      <c r="D1717" s="5" t="s">
        <v>91</v>
      </c>
      <c r="E1717" s="5" t="s">
        <v>92</v>
      </c>
      <c r="F1717" s="5" t="s">
        <v>66</v>
      </c>
      <c r="G1717" s="5" t="s">
        <v>67</v>
      </c>
      <c r="H1717" s="5" t="s">
        <v>21</v>
      </c>
      <c r="I1717" s="5" t="s">
        <v>384</v>
      </c>
      <c r="J1717" s="5" t="s">
        <v>385</v>
      </c>
      <c r="K1717" s="5" t="s">
        <v>95</v>
      </c>
      <c r="L1717" s="6">
        <v>45684</v>
      </c>
      <c r="M1717" s="6">
        <v>45679</v>
      </c>
      <c r="N1717" s="6" t="s">
        <v>811</v>
      </c>
      <c r="O1717" s="5" t="str">
        <f ca="1">IF(P1717&lt;&gt;"EXPEDIÇÃO","Expedido",IF(NETWORKDAYS(C1717,TODAY())&gt;=5,"Risco Alto",IF(NETWORKDAYS(C1717,TODAY())&gt;=3,IF(NETWORKDAYS(C1717,TODAY())&lt;5,"Risco Médio",""),IF(NETWORKDAYS(C1717,TODAY())&lt;=2,"Risco Baixo",""))))</f>
        <v>Expedido</v>
      </c>
      <c r="P1717" s="5" t="s">
        <v>25</v>
      </c>
      <c r="S1717" s="7">
        <f>IF(ISBLANK(M1717),"Aguardando Previsão/Data",NETWORKDAYS(L1717,M1717)-1)</f>
        <v>-5</v>
      </c>
      <c r="T1717" s="5" t="s">
        <v>942</v>
      </c>
    </row>
    <row r="1718" spans="1:20" x14ac:dyDescent="0.35">
      <c r="A1718" s="5">
        <v>8100276122</v>
      </c>
      <c r="B1718" s="5">
        <v>13231</v>
      </c>
      <c r="C1718" s="6">
        <v>45671</v>
      </c>
      <c r="D1718" s="5" t="s">
        <v>91</v>
      </c>
      <c r="E1718" s="5" t="s">
        <v>92</v>
      </c>
      <c r="F1718" s="5" t="s">
        <v>96</v>
      </c>
      <c r="G1718" s="5" t="s">
        <v>97</v>
      </c>
      <c r="H1718" s="5" t="s">
        <v>21</v>
      </c>
      <c r="I1718" s="5" t="s">
        <v>1304</v>
      </c>
      <c r="J1718" s="5" t="s">
        <v>1305</v>
      </c>
      <c r="K1718" s="5" t="s">
        <v>101</v>
      </c>
      <c r="L1718" s="6">
        <v>45681</v>
      </c>
      <c r="M1718" s="6">
        <v>45674</v>
      </c>
      <c r="N1718" s="6" t="s">
        <v>811</v>
      </c>
      <c r="O1718" s="5" t="str">
        <f ca="1">IF(P1718&lt;&gt;"EXPEDIÇÃO","Expedido",IF(NETWORKDAYS(C1718,TODAY())&gt;=5,"Risco Alto",IF(NETWORKDAYS(C1718,TODAY())&gt;=3,IF(NETWORKDAYS(C1718,TODAY())&lt;5,"Risco Médio",""),IF(NETWORKDAYS(C1718,TODAY())&lt;=2,"Risco Baixo",""))))</f>
        <v>Expedido</v>
      </c>
      <c r="P1718" s="5" t="s">
        <v>25</v>
      </c>
      <c r="S1718" s="7">
        <f>IF(ISBLANK(M1718),"Aguardando Previsão/Data",NETWORKDAYS(L1718,M1718)-1)</f>
        <v>-7</v>
      </c>
      <c r="T1718" s="5" t="s">
        <v>942</v>
      </c>
    </row>
    <row r="1719" spans="1:20" x14ac:dyDescent="0.35">
      <c r="A1719" s="5">
        <v>8100276286</v>
      </c>
      <c r="B1719" s="5">
        <v>13244</v>
      </c>
      <c r="C1719" s="6">
        <v>45671</v>
      </c>
      <c r="D1719" s="5" t="s">
        <v>91</v>
      </c>
      <c r="E1719" s="5" t="s">
        <v>92</v>
      </c>
      <c r="F1719" s="5" t="s">
        <v>96</v>
      </c>
      <c r="G1719" s="5" t="s">
        <v>97</v>
      </c>
      <c r="H1719" s="5" t="s">
        <v>21</v>
      </c>
      <c r="I1719" s="5" t="s">
        <v>958</v>
      </c>
      <c r="J1719" s="5" t="s">
        <v>424</v>
      </c>
      <c r="K1719" s="5" t="s">
        <v>95</v>
      </c>
      <c r="L1719" s="6">
        <v>45678</v>
      </c>
      <c r="M1719" s="6">
        <v>45674</v>
      </c>
      <c r="N1719" s="6" t="s">
        <v>811</v>
      </c>
      <c r="O1719" s="5" t="str">
        <f ca="1">IF(P1719&lt;&gt;"EXPEDIÇÃO","Expedido",IF(NETWORKDAYS(C1719,TODAY())&gt;=5,"Risco Alto",IF(NETWORKDAYS(C1719,TODAY())&gt;=3,IF(NETWORKDAYS(C1719,TODAY())&lt;5,"Risco Médio",""),IF(NETWORKDAYS(C1719,TODAY())&lt;=2,"Risco Baixo",""))))</f>
        <v>Expedido</v>
      </c>
      <c r="P1719" s="5" t="s">
        <v>25</v>
      </c>
      <c r="S1719" s="7">
        <f>IF(ISBLANK(M1719),"Aguardando Previsão/Data",NETWORKDAYS(L1719,M1719)-1)</f>
        <v>-4</v>
      </c>
      <c r="T1719" s="5" t="s">
        <v>942</v>
      </c>
    </row>
    <row r="1720" spans="1:20" x14ac:dyDescent="0.35">
      <c r="A1720" s="5">
        <v>8100276502</v>
      </c>
      <c r="B1720" s="5">
        <v>13240</v>
      </c>
      <c r="C1720" s="6">
        <v>45671</v>
      </c>
      <c r="D1720" s="5" t="s">
        <v>91</v>
      </c>
      <c r="E1720" s="5" t="s">
        <v>92</v>
      </c>
      <c r="F1720" s="5" t="s">
        <v>96</v>
      </c>
      <c r="G1720" s="5" t="s">
        <v>97</v>
      </c>
      <c r="H1720" s="5" t="s">
        <v>21</v>
      </c>
      <c r="I1720" s="5" t="s">
        <v>819</v>
      </c>
      <c r="J1720" s="5" t="s">
        <v>426</v>
      </c>
      <c r="K1720" s="5" t="s">
        <v>95</v>
      </c>
      <c r="L1720" s="6">
        <v>45678</v>
      </c>
      <c r="M1720" s="6">
        <v>45674</v>
      </c>
      <c r="N1720" s="6" t="s">
        <v>811</v>
      </c>
      <c r="O1720" s="5" t="str">
        <f ca="1">IF(P1720&lt;&gt;"EXPEDIÇÃO","Expedido",IF(NETWORKDAYS(C1720,TODAY())&gt;=5,"Risco Alto",IF(NETWORKDAYS(C1720,TODAY())&gt;=3,IF(NETWORKDAYS(C1720,TODAY())&lt;5,"Risco Médio",""),IF(NETWORKDAYS(C1720,TODAY())&lt;=2,"Risco Baixo",""))))</f>
        <v>Expedido</v>
      </c>
      <c r="P1720" s="5" t="s">
        <v>25</v>
      </c>
      <c r="S1720" s="7">
        <f>IF(ISBLANK(M1720),"Aguardando Previsão/Data",NETWORKDAYS(L1720,M1720)-1)</f>
        <v>-4</v>
      </c>
      <c r="T1720" s="5" t="s">
        <v>942</v>
      </c>
    </row>
    <row r="1721" spans="1:20" x14ac:dyDescent="0.35">
      <c r="A1721" s="5">
        <v>8100276503</v>
      </c>
      <c r="B1721" s="5">
        <v>13241</v>
      </c>
      <c r="C1721" s="6">
        <v>45671</v>
      </c>
      <c r="D1721" s="5" t="s">
        <v>91</v>
      </c>
      <c r="E1721" s="5" t="s">
        <v>92</v>
      </c>
      <c r="F1721" s="5" t="s">
        <v>96</v>
      </c>
      <c r="G1721" s="5" t="s">
        <v>97</v>
      </c>
      <c r="H1721" s="5" t="s">
        <v>21</v>
      </c>
      <c r="I1721" s="5" t="s">
        <v>201</v>
      </c>
      <c r="J1721" s="5" t="s">
        <v>387</v>
      </c>
      <c r="K1721" s="5" t="s">
        <v>101</v>
      </c>
      <c r="L1721" s="6">
        <v>45680</v>
      </c>
      <c r="M1721" s="6">
        <v>45679</v>
      </c>
      <c r="N1721" s="6" t="s">
        <v>811</v>
      </c>
      <c r="O1721" s="5" t="str">
        <f ca="1">IF(P1721&lt;&gt;"EXPEDIÇÃO","Expedido",IF(NETWORKDAYS(C1721,TODAY())&gt;=5,"Risco Alto",IF(NETWORKDAYS(C1721,TODAY())&gt;=3,IF(NETWORKDAYS(C1721,TODAY())&lt;5,"Risco Médio",""),IF(NETWORKDAYS(C1721,TODAY())&lt;=2,"Risco Baixo",""))))</f>
        <v>Expedido</v>
      </c>
      <c r="P1721" s="5" t="s">
        <v>25</v>
      </c>
      <c r="S1721" s="7">
        <f>IF(ISBLANK(M1721),"Aguardando Previsão/Data",NETWORKDAYS(L1721,M1721)-1)</f>
        <v>-3</v>
      </c>
      <c r="T1721" s="5" t="s">
        <v>942</v>
      </c>
    </row>
    <row r="1722" spans="1:20" x14ac:dyDescent="0.35">
      <c r="A1722" s="5">
        <v>8100276504</v>
      </c>
      <c r="B1722" s="5">
        <v>13243</v>
      </c>
      <c r="C1722" s="6">
        <v>45671</v>
      </c>
      <c r="D1722" s="5" t="s">
        <v>91</v>
      </c>
      <c r="E1722" s="5" t="s">
        <v>92</v>
      </c>
      <c r="F1722" s="5" t="s">
        <v>96</v>
      </c>
      <c r="G1722" s="5" t="s">
        <v>97</v>
      </c>
      <c r="H1722" s="5" t="s">
        <v>21</v>
      </c>
      <c r="I1722" s="5" t="s">
        <v>1025</v>
      </c>
      <c r="J1722" s="5" t="s">
        <v>636</v>
      </c>
      <c r="K1722" s="5" t="s">
        <v>95</v>
      </c>
      <c r="L1722" s="6">
        <v>45678</v>
      </c>
      <c r="M1722" s="6">
        <v>45674</v>
      </c>
      <c r="N1722" s="6" t="s">
        <v>811</v>
      </c>
      <c r="O1722" s="5" t="str">
        <f ca="1">IF(P1722&lt;&gt;"EXPEDIÇÃO","Expedido",IF(NETWORKDAYS(C1722,TODAY())&gt;=5,"Risco Alto",IF(NETWORKDAYS(C1722,TODAY())&gt;=3,IF(NETWORKDAYS(C1722,TODAY())&lt;5,"Risco Médio",""),IF(NETWORKDAYS(C1722,TODAY())&lt;=2,"Risco Baixo",""))))</f>
        <v>Expedido</v>
      </c>
      <c r="P1722" s="5" t="s">
        <v>25</v>
      </c>
      <c r="S1722" s="7">
        <f>IF(ISBLANK(M1722),"Aguardando Previsão/Data",NETWORKDAYS(L1722,M1722)-1)</f>
        <v>-4</v>
      </c>
      <c r="T1722" s="5" t="s">
        <v>942</v>
      </c>
    </row>
    <row r="1723" spans="1:20" x14ac:dyDescent="0.35">
      <c r="A1723" s="5">
        <v>8100276505</v>
      </c>
      <c r="B1723" s="5">
        <v>13232</v>
      </c>
      <c r="C1723" s="6">
        <v>45671</v>
      </c>
      <c r="D1723" s="5" t="s">
        <v>91</v>
      </c>
      <c r="E1723" s="5" t="s">
        <v>92</v>
      </c>
      <c r="F1723" s="5" t="s">
        <v>96</v>
      </c>
      <c r="G1723" s="5" t="s">
        <v>97</v>
      </c>
      <c r="H1723" s="5" t="s">
        <v>21</v>
      </c>
      <c r="I1723" s="5" t="s">
        <v>22</v>
      </c>
      <c r="J1723" s="5" t="s">
        <v>99</v>
      </c>
      <c r="K1723" s="5" t="s">
        <v>95</v>
      </c>
      <c r="L1723" s="6">
        <v>45677</v>
      </c>
      <c r="M1723" s="6">
        <v>45672</v>
      </c>
      <c r="N1723" s="6" t="s">
        <v>811</v>
      </c>
      <c r="O1723" s="5" t="str">
        <f ca="1">IF(P1723&lt;&gt;"EXPEDIÇÃO","Expedido",IF(NETWORKDAYS(C1723,TODAY())&gt;=5,"Risco Alto",IF(NETWORKDAYS(C1723,TODAY())&gt;=3,IF(NETWORKDAYS(C1723,TODAY())&lt;5,"Risco Médio",""),IF(NETWORKDAYS(C1723,TODAY())&lt;=2,"Risco Baixo",""))))</f>
        <v>Expedido</v>
      </c>
      <c r="P1723" s="5" t="s">
        <v>25</v>
      </c>
      <c r="Q1723" s="5" t="s">
        <v>900</v>
      </c>
      <c r="S1723" s="7">
        <f>IF(ISBLANK(M1723),"Aguardando Previsão/Data",NETWORKDAYS(L1723,M1723)-1)</f>
        <v>-5</v>
      </c>
      <c r="T1723" s="5" t="s">
        <v>942</v>
      </c>
    </row>
    <row r="1724" spans="1:20" x14ac:dyDescent="0.35">
      <c r="A1724" s="5">
        <v>8100276628</v>
      </c>
      <c r="B1724" s="5">
        <v>13239</v>
      </c>
      <c r="C1724" s="6">
        <v>45671</v>
      </c>
      <c r="D1724" s="5" t="s">
        <v>91</v>
      </c>
      <c r="E1724" s="5" t="s">
        <v>92</v>
      </c>
      <c r="F1724" s="5" t="s">
        <v>103</v>
      </c>
      <c r="G1724" s="5" t="s">
        <v>104</v>
      </c>
      <c r="H1724" s="5" t="s">
        <v>21</v>
      </c>
      <c r="I1724" s="5" t="s">
        <v>1315</v>
      </c>
      <c r="J1724" s="5" t="s">
        <v>386</v>
      </c>
      <c r="K1724" s="5" t="s">
        <v>105</v>
      </c>
      <c r="L1724" s="6">
        <v>45685</v>
      </c>
      <c r="M1724" s="6">
        <v>45684</v>
      </c>
      <c r="N1724" s="6" t="s">
        <v>811</v>
      </c>
      <c r="O1724" s="5" t="str">
        <f ca="1">IF(P1724&lt;&gt;"EXPEDIÇÃO","Expedido",IF(NETWORKDAYS(C1724,TODAY())&gt;=5,"Risco Alto",IF(NETWORKDAYS(C1724,TODAY())&gt;=3,IF(NETWORKDAYS(C1724,TODAY())&lt;5,"Risco Médio",""),IF(NETWORKDAYS(C1724,TODAY())&lt;=2,"Risco Baixo",""))))</f>
        <v>Expedido</v>
      </c>
      <c r="P1724" s="5" t="s">
        <v>25</v>
      </c>
      <c r="S1724" s="7">
        <f>IF(ISBLANK(M1724),"Aguardando Previsão/Data",NETWORKDAYS(L1724,M1724)-1)</f>
        <v>-3</v>
      </c>
      <c r="T1724" s="5" t="s">
        <v>942</v>
      </c>
    </row>
    <row r="1725" spans="1:20" x14ac:dyDescent="0.35">
      <c r="A1725" s="5">
        <v>8100276684</v>
      </c>
      <c r="B1725" s="5">
        <v>13242</v>
      </c>
      <c r="C1725" s="6">
        <v>45671</v>
      </c>
      <c r="D1725" s="5" t="s">
        <v>91</v>
      </c>
      <c r="E1725" s="5" t="s">
        <v>92</v>
      </c>
      <c r="F1725" s="5" t="s">
        <v>96</v>
      </c>
      <c r="G1725" s="5" t="s">
        <v>97</v>
      </c>
      <c r="H1725" s="5" t="s">
        <v>21</v>
      </c>
      <c r="I1725" s="5" t="s">
        <v>745</v>
      </c>
      <c r="J1725" s="5" t="s">
        <v>746</v>
      </c>
      <c r="K1725" s="5" t="s">
        <v>101</v>
      </c>
      <c r="L1725" s="6">
        <v>45681</v>
      </c>
      <c r="M1725" s="6">
        <v>45678</v>
      </c>
      <c r="N1725" s="6" t="s">
        <v>811</v>
      </c>
      <c r="O1725" s="5" t="str">
        <f ca="1">IF(P1725&lt;&gt;"EXPEDIÇÃO","Expedido",IF(NETWORKDAYS(C1725,TODAY())&gt;=5,"Risco Alto",IF(NETWORKDAYS(C1725,TODAY())&gt;=3,IF(NETWORKDAYS(C1725,TODAY())&lt;5,"Risco Médio",""),IF(NETWORKDAYS(C1725,TODAY())&lt;=2,"Risco Baixo",""))))</f>
        <v>Expedido</v>
      </c>
      <c r="P1725" s="5" t="s">
        <v>25</v>
      </c>
      <c r="S1725" s="7">
        <f>IF(ISBLANK(M1725),"Aguardando Previsão/Data",NETWORKDAYS(L1725,M1725)-1)</f>
        <v>-5</v>
      </c>
      <c r="T1725" s="5" t="s">
        <v>942</v>
      </c>
    </row>
    <row r="1726" spans="1:20" x14ac:dyDescent="0.35">
      <c r="A1726" s="5">
        <v>8100276227</v>
      </c>
      <c r="B1726" s="5">
        <v>21275</v>
      </c>
      <c r="C1726" s="6">
        <v>45671</v>
      </c>
      <c r="D1726" s="5" t="s">
        <v>836</v>
      </c>
      <c r="E1726" s="5" t="s">
        <v>837</v>
      </c>
      <c r="F1726" s="5" t="s">
        <v>39</v>
      </c>
      <c r="G1726" s="5" t="s">
        <v>40</v>
      </c>
      <c r="H1726" s="5" t="s">
        <v>21</v>
      </c>
      <c r="I1726" s="5" t="s">
        <v>1086</v>
      </c>
      <c r="J1726" s="5" t="s">
        <v>600</v>
      </c>
      <c r="K1726" s="5" t="s">
        <v>24</v>
      </c>
      <c r="L1726" s="6">
        <v>45679</v>
      </c>
      <c r="M1726" s="6">
        <v>45678</v>
      </c>
      <c r="N1726" s="6" t="s">
        <v>811</v>
      </c>
      <c r="O1726" s="5" t="str">
        <f ca="1">IF(P1726&lt;&gt;"EXPEDIÇÃO","Expedido",IF(NETWORKDAYS(C1726,TODAY())&gt;=5,"Risco Alto",IF(NETWORKDAYS(C1726,TODAY())&gt;=3,IF(NETWORKDAYS(C1726,TODAY())&lt;5,"Risco Médio",""),IF(NETWORKDAYS(C1726,TODAY())&lt;=2,"Risco Baixo",""))))</f>
        <v>Expedido</v>
      </c>
      <c r="P1726" s="5" t="s">
        <v>25</v>
      </c>
      <c r="S1726" s="7">
        <f>IF(ISBLANK(M1726),"Aguardando Previsão/Data",NETWORKDAYS(L1726,M1726)-1)</f>
        <v>-3</v>
      </c>
      <c r="T1726" s="5" t="s">
        <v>942</v>
      </c>
    </row>
    <row r="1727" spans="1:20" x14ac:dyDescent="0.35">
      <c r="A1727" s="5">
        <v>8100276228</v>
      </c>
      <c r="B1727" s="5">
        <v>21274</v>
      </c>
      <c r="C1727" s="6">
        <v>45671</v>
      </c>
      <c r="D1727" s="5" t="s">
        <v>836</v>
      </c>
      <c r="E1727" s="5" t="s">
        <v>837</v>
      </c>
      <c r="F1727" s="5" t="s">
        <v>39</v>
      </c>
      <c r="G1727" s="5" t="s">
        <v>40</v>
      </c>
      <c r="H1727" s="5" t="s">
        <v>21</v>
      </c>
      <c r="I1727" s="5" t="s">
        <v>974</v>
      </c>
      <c r="J1727" s="5" t="s">
        <v>600</v>
      </c>
      <c r="K1727" s="5" t="s">
        <v>24</v>
      </c>
      <c r="L1727" s="6">
        <v>45679</v>
      </c>
      <c r="M1727" s="6">
        <v>45684</v>
      </c>
      <c r="N1727" s="6" t="s">
        <v>812</v>
      </c>
      <c r="O1727" s="5" t="str">
        <f ca="1">IF(P1727&lt;&gt;"EXPEDIÇÃO","Expedido",IF(NETWORKDAYS(C1727,TODAY())&gt;=5,"Risco Alto",IF(NETWORKDAYS(C1727,TODAY())&gt;=3,IF(NETWORKDAYS(C1727,TODAY())&lt;5,"Risco Médio",""),IF(NETWORKDAYS(C1727,TODAY())&lt;=2,"Risco Baixo",""))))</f>
        <v>Expedido</v>
      </c>
      <c r="P1727" s="5" t="s">
        <v>25</v>
      </c>
      <c r="Q1727" s="5" t="s">
        <v>897</v>
      </c>
      <c r="R1727" s="5">
        <v>1690579</v>
      </c>
      <c r="S1727" s="7">
        <f>IF(ISBLANK(M1727),"Aguardando Previsão/Data",NETWORKDAYS(L1727,M1727)-1)</f>
        <v>3</v>
      </c>
      <c r="T1727" s="5" t="s">
        <v>942</v>
      </c>
    </row>
    <row r="1728" spans="1:20" x14ac:dyDescent="0.35">
      <c r="A1728" s="5">
        <v>8100276717</v>
      </c>
      <c r="B1728" s="5">
        <v>21276</v>
      </c>
      <c r="C1728" s="6">
        <v>45671</v>
      </c>
      <c r="D1728" s="5" t="s">
        <v>836</v>
      </c>
      <c r="E1728" s="5" t="s">
        <v>837</v>
      </c>
      <c r="F1728" s="5" t="s">
        <v>39</v>
      </c>
      <c r="G1728" s="5" t="s">
        <v>40</v>
      </c>
      <c r="H1728" s="5" t="s">
        <v>21</v>
      </c>
      <c r="I1728" s="5" t="s">
        <v>605</v>
      </c>
      <c r="J1728" s="5" t="s">
        <v>41</v>
      </c>
      <c r="K1728" s="5" t="s">
        <v>24</v>
      </c>
      <c r="L1728" s="6">
        <v>45677</v>
      </c>
      <c r="M1728" s="6">
        <v>45678</v>
      </c>
      <c r="N1728" s="6" t="s">
        <v>812</v>
      </c>
      <c r="O1728" s="5" t="str">
        <f ca="1">IF(P1728&lt;&gt;"EXPEDIÇÃO","Expedido",IF(NETWORKDAYS(C1728,TODAY())&gt;=5,"Risco Alto",IF(NETWORKDAYS(C1728,TODAY())&gt;=3,IF(NETWORKDAYS(C1728,TODAY())&lt;5,"Risco Médio",""),IF(NETWORKDAYS(C1728,TODAY())&lt;=2,"Risco Baixo",""))))</f>
        <v>Expedido</v>
      </c>
      <c r="P1728" s="5" t="s">
        <v>25</v>
      </c>
      <c r="S1728" s="7">
        <f>IF(ISBLANK(M1728),"Aguardando Previsão/Data",NETWORKDAYS(L1728,M1728)-1)</f>
        <v>1</v>
      </c>
      <c r="T1728" s="5" t="s">
        <v>942</v>
      </c>
    </row>
    <row r="1729" spans="1:20" x14ac:dyDescent="0.35">
      <c r="A1729" s="5">
        <v>8100276718</v>
      </c>
      <c r="B1729" s="5">
        <v>21280</v>
      </c>
      <c r="C1729" s="6">
        <v>45671</v>
      </c>
      <c r="D1729" s="5" t="s">
        <v>836</v>
      </c>
      <c r="E1729" s="5" t="s">
        <v>837</v>
      </c>
      <c r="F1729" s="5" t="s">
        <v>39</v>
      </c>
      <c r="G1729" s="5" t="s">
        <v>40</v>
      </c>
      <c r="H1729" s="5" t="s">
        <v>21</v>
      </c>
      <c r="I1729" s="5" t="s">
        <v>918</v>
      </c>
      <c r="J1729" s="5" t="s">
        <v>495</v>
      </c>
      <c r="K1729" s="5" t="s">
        <v>24</v>
      </c>
      <c r="L1729" s="6">
        <v>45680</v>
      </c>
      <c r="M1729" s="6">
        <v>45674</v>
      </c>
      <c r="N1729" s="6" t="s">
        <v>811</v>
      </c>
      <c r="O1729" s="5" t="str">
        <f ca="1">IF(P1729&lt;&gt;"EXPEDIÇÃO","Expedido",IF(NETWORKDAYS(C1729,TODAY())&gt;=5,"Risco Alto",IF(NETWORKDAYS(C1729,TODAY())&gt;=3,IF(NETWORKDAYS(C1729,TODAY())&lt;5,"Risco Médio",""),IF(NETWORKDAYS(C1729,TODAY())&lt;=2,"Risco Baixo",""))))</f>
        <v>Expedido</v>
      </c>
      <c r="P1729" s="5" t="s">
        <v>25</v>
      </c>
      <c r="S1729" s="7">
        <f>IF(ISBLANK(M1729),"Aguardando Previsão/Data",NETWORKDAYS(L1729,M1729)-1)</f>
        <v>-6</v>
      </c>
      <c r="T1729" s="5" t="s">
        <v>942</v>
      </c>
    </row>
    <row r="1730" spans="1:20" x14ac:dyDescent="0.35">
      <c r="A1730" s="5">
        <v>8100276720</v>
      </c>
      <c r="B1730" s="5">
        <v>21281</v>
      </c>
      <c r="C1730" s="6">
        <v>45671</v>
      </c>
      <c r="D1730" s="5" t="s">
        <v>836</v>
      </c>
      <c r="E1730" s="5" t="s">
        <v>837</v>
      </c>
      <c r="F1730" s="5" t="s">
        <v>39</v>
      </c>
      <c r="G1730" s="5" t="s">
        <v>40</v>
      </c>
      <c r="H1730" s="5" t="s">
        <v>21</v>
      </c>
      <c r="I1730" s="5" t="s">
        <v>918</v>
      </c>
      <c r="J1730" s="5" t="s">
        <v>495</v>
      </c>
      <c r="K1730" s="5" t="s">
        <v>24</v>
      </c>
      <c r="L1730" s="6">
        <v>45680</v>
      </c>
      <c r="M1730" s="6">
        <v>45684</v>
      </c>
      <c r="N1730" s="6" t="s">
        <v>812</v>
      </c>
      <c r="O1730" s="5" t="str">
        <f ca="1">IF(P1730&lt;&gt;"EXPEDIÇÃO","Expedido",IF(NETWORKDAYS(C1730,TODAY())&gt;=5,"Risco Alto",IF(NETWORKDAYS(C1730,TODAY())&gt;=3,IF(NETWORKDAYS(C1730,TODAY())&lt;5,"Risco Médio",""),IF(NETWORKDAYS(C1730,TODAY())&lt;=2,"Risco Baixo",""))))</f>
        <v>Expedido</v>
      </c>
      <c r="P1730" s="5" t="s">
        <v>25</v>
      </c>
      <c r="Q1730" s="5" t="s">
        <v>937</v>
      </c>
      <c r="S1730" s="7">
        <f>IF(ISBLANK(M1730),"Aguardando Previsão/Data",NETWORKDAYS(L1730,M1730)-1)</f>
        <v>2</v>
      </c>
      <c r="T1730" s="5" t="s">
        <v>942</v>
      </c>
    </row>
    <row r="1731" spans="1:20" x14ac:dyDescent="0.35">
      <c r="A1731" s="5">
        <v>8100276863</v>
      </c>
      <c r="B1731" s="5">
        <v>21279</v>
      </c>
      <c r="C1731" s="6">
        <v>45671</v>
      </c>
      <c r="D1731" s="5" t="s">
        <v>836</v>
      </c>
      <c r="E1731" s="5" t="s">
        <v>837</v>
      </c>
      <c r="F1731" s="5" t="s">
        <v>39</v>
      </c>
      <c r="G1731" s="5" t="s">
        <v>40</v>
      </c>
      <c r="H1731" s="5" t="s">
        <v>21</v>
      </c>
      <c r="I1731" s="5" t="s">
        <v>1086</v>
      </c>
      <c r="J1731" s="5" t="s">
        <v>600</v>
      </c>
      <c r="K1731" s="5" t="s">
        <v>24</v>
      </c>
      <c r="L1731" s="6">
        <v>45679</v>
      </c>
      <c r="M1731" s="6">
        <v>45678</v>
      </c>
      <c r="N1731" s="6" t="s">
        <v>811</v>
      </c>
      <c r="O1731" s="5" t="str">
        <f ca="1">IF(P1731&lt;&gt;"EXPEDIÇÃO","Expedido",IF(NETWORKDAYS(C1731,TODAY())&gt;=5,"Risco Alto",IF(NETWORKDAYS(C1731,TODAY())&gt;=3,IF(NETWORKDAYS(C1731,TODAY())&lt;5,"Risco Médio",""),IF(NETWORKDAYS(C1731,TODAY())&lt;=2,"Risco Baixo",""))))</f>
        <v>Expedido</v>
      </c>
      <c r="P1731" s="5" t="s">
        <v>25</v>
      </c>
      <c r="S1731" s="7">
        <f>IF(ISBLANK(M1731),"Aguardando Previsão/Data",NETWORKDAYS(L1731,M1731)-1)</f>
        <v>-3</v>
      </c>
      <c r="T1731" s="5" t="s">
        <v>942</v>
      </c>
    </row>
    <row r="1732" spans="1:20" x14ac:dyDescent="0.35">
      <c r="A1732" s="5">
        <v>8100276866</v>
      </c>
      <c r="B1732" s="5">
        <v>21282</v>
      </c>
      <c r="C1732" s="6">
        <v>45671</v>
      </c>
      <c r="D1732" s="5" t="s">
        <v>836</v>
      </c>
      <c r="E1732" s="5" t="s">
        <v>837</v>
      </c>
      <c r="F1732" s="5" t="s">
        <v>39</v>
      </c>
      <c r="G1732" s="5" t="s">
        <v>40</v>
      </c>
      <c r="H1732" s="5" t="s">
        <v>21</v>
      </c>
      <c r="I1732" s="5" t="s">
        <v>918</v>
      </c>
      <c r="J1732" s="5" t="s">
        <v>495</v>
      </c>
      <c r="K1732" s="5" t="s">
        <v>24</v>
      </c>
      <c r="L1732" s="6">
        <v>45680</v>
      </c>
      <c r="M1732" s="6">
        <v>45674</v>
      </c>
      <c r="N1732" s="6" t="s">
        <v>811</v>
      </c>
      <c r="O1732" s="5" t="str">
        <f ca="1">IF(P1732&lt;&gt;"EXPEDIÇÃO","Expedido",IF(NETWORKDAYS(C1732,TODAY())&gt;=5,"Risco Alto",IF(NETWORKDAYS(C1732,TODAY())&gt;=3,IF(NETWORKDAYS(C1732,TODAY())&lt;5,"Risco Médio",""),IF(NETWORKDAYS(C1732,TODAY())&lt;=2,"Risco Baixo",""))))</f>
        <v>Expedido</v>
      </c>
      <c r="P1732" s="5" t="s">
        <v>25</v>
      </c>
      <c r="S1732" s="7">
        <f>IF(ISBLANK(M1732),"Aguardando Previsão/Data",NETWORKDAYS(L1732,M1732)-1)</f>
        <v>-6</v>
      </c>
      <c r="T1732" s="5" t="s">
        <v>942</v>
      </c>
    </row>
    <row r="1733" spans="1:20" x14ac:dyDescent="0.35">
      <c r="A1733" s="5">
        <v>8100276867</v>
      </c>
      <c r="B1733" s="5">
        <v>21278</v>
      </c>
      <c r="C1733" s="6">
        <v>45671</v>
      </c>
      <c r="D1733" s="5" t="s">
        <v>836</v>
      </c>
      <c r="E1733" s="5" t="s">
        <v>837</v>
      </c>
      <c r="F1733" s="5" t="s">
        <v>39</v>
      </c>
      <c r="G1733" s="5" t="s">
        <v>40</v>
      </c>
      <c r="H1733" s="5" t="s">
        <v>21</v>
      </c>
      <c r="I1733" s="5" t="s">
        <v>918</v>
      </c>
      <c r="J1733" s="5" t="s">
        <v>608</v>
      </c>
      <c r="K1733" s="5" t="s">
        <v>24</v>
      </c>
      <c r="L1733" s="6">
        <v>45679</v>
      </c>
      <c r="M1733" s="6">
        <v>45687</v>
      </c>
      <c r="N1733" s="6" t="s">
        <v>812</v>
      </c>
      <c r="O1733" s="5" t="str">
        <f ca="1">IF(P1733&lt;&gt;"EXPEDIÇÃO","Expedido",IF(NETWORKDAYS(C1733,TODAY())&gt;=5,"Risco Alto",IF(NETWORKDAYS(C1733,TODAY())&gt;=3,IF(NETWORKDAYS(C1733,TODAY())&lt;5,"Risco Médio",""),IF(NETWORKDAYS(C1733,TODAY())&lt;=2,"Risco Baixo",""))))</f>
        <v>Expedido</v>
      </c>
      <c r="P1733" s="5" t="s">
        <v>617</v>
      </c>
      <c r="Q1733" s="5" t="s">
        <v>897</v>
      </c>
      <c r="R1733" s="5">
        <v>1690582</v>
      </c>
      <c r="S1733" s="7">
        <f>IF(ISBLANK(M1733),"Aguardando Previsão/Data",NETWORKDAYS(L1733,M1733)-1)</f>
        <v>6</v>
      </c>
    </row>
    <row r="1734" spans="1:20" x14ac:dyDescent="0.35">
      <c r="A1734" s="5">
        <v>8100276869</v>
      </c>
      <c r="B1734" s="5">
        <v>21277</v>
      </c>
      <c r="C1734" s="6">
        <v>45671</v>
      </c>
      <c r="D1734" s="5" t="s">
        <v>836</v>
      </c>
      <c r="E1734" s="5" t="s">
        <v>837</v>
      </c>
      <c r="F1734" s="5" t="s">
        <v>39</v>
      </c>
      <c r="G1734" s="5" t="s">
        <v>40</v>
      </c>
      <c r="H1734" s="5" t="s">
        <v>21</v>
      </c>
      <c r="I1734" s="5" t="s">
        <v>1175</v>
      </c>
      <c r="J1734" s="5" t="s">
        <v>567</v>
      </c>
      <c r="K1734" s="5" t="s">
        <v>24</v>
      </c>
      <c r="L1734" s="6">
        <v>45678</v>
      </c>
      <c r="M1734" s="6">
        <v>45678</v>
      </c>
      <c r="N1734" s="6" t="s">
        <v>811</v>
      </c>
      <c r="O1734" s="5" t="str">
        <f ca="1">IF(P1734&lt;&gt;"EXPEDIÇÃO","Expedido",IF(NETWORKDAYS(C1734,TODAY())&gt;=5,"Risco Alto",IF(NETWORKDAYS(C1734,TODAY())&gt;=3,IF(NETWORKDAYS(C1734,TODAY())&lt;5,"Risco Médio",""),IF(NETWORKDAYS(C1734,TODAY())&lt;=2,"Risco Baixo",""))))</f>
        <v>Expedido</v>
      </c>
      <c r="P1734" s="5" t="s">
        <v>25</v>
      </c>
      <c r="S1734" s="7">
        <f>IF(ISBLANK(M1734),"Aguardando Previsão/Data",NETWORKDAYS(L1734,M1734)-1)</f>
        <v>0</v>
      </c>
      <c r="T1734" s="5" t="s">
        <v>942</v>
      </c>
    </row>
    <row r="1735" spans="1:20" x14ac:dyDescent="0.35">
      <c r="A1735" s="5">
        <v>8100276872</v>
      </c>
      <c r="B1735" s="5">
        <v>21283</v>
      </c>
      <c r="C1735" s="6">
        <v>45671</v>
      </c>
      <c r="D1735" s="5" t="s">
        <v>836</v>
      </c>
      <c r="E1735" s="5" t="s">
        <v>837</v>
      </c>
      <c r="F1735" s="5" t="s">
        <v>39</v>
      </c>
      <c r="G1735" s="5" t="s">
        <v>40</v>
      </c>
      <c r="H1735" s="5" t="s">
        <v>21</v>
      </c>
      <c r="I1735" s="5" t="s">
        <v>1340</v>
      </c>
      <c r="J1735" s="5" t="s">
        <v>41</v>
      </c>
      <c r="K1735" s="5" t="s">
        <v>24</v>
      </c>
      <c r="L1735" s="6">
        <v>45677</v>
      </c>
      <c r="M1735" s="6">
        <v>45678</v>
      </c>
      <c r="N1735" s="6" t="s">
        <v>812</v>
      </c>
      <c r="O1735" s="5" t="str">
        <f ca="1">IF(P1735&lt;&gt;"EXPEDIÇÃO","Expedido",IF(NETWORKDAYS(C1735,TODAY())&gt;=5,"Risco Alto",IF(NETWORKDAYS(C1735,TODAY())&gt;=3,IF(NETWORKDAYS(C1735,TODAY())&lt;5,"Risco Médio",""),IF(NETWORKDAYS(C1735,TODAY())&lt;=2,"Risco Baixo",""))))</f>
        <v>Expedido</v>
      </c>
      <c r="P1735" s="5" t="s">
        <v>25</v>
      </c>
      <c r="S1735" s="7">
        <f>IF(ISBLANK(M1735),"Aguardando Previsão/Data",NETWORKDAYS(L1735,M1735)-1)</f>
        <v>1</v>
      </c>
      <c r="T1735" s="5" t="s">
        <v>942</v>
      </c>
    </row>
    <row r="1736" spans="1:20" x14ac:dyDescent="0.35">
      <c r="A1736" s="5">
        <v>8100275383</v>
      </c>
      <c r="B1736" s="5">
        <v>10744</v>
      </c>
      <c r="C1736" s="6">
        <v>45671</v>
      </c>
      <c r="D1736" s="5" t="s">
        <v>239</v>
      </c>
      <c r="E1736" s="5" t="s">
        <v>240</v>
      </c>
      <c r="F1736" s="5" t="s">
        <v>176</v>
      </c>
      <c r="G1736" s="5" t="s">
        <v>177</v>
      </c>
      <c r="H1736" s="5" t="s">
        <v>218</v>
      </c>
      <c r="I1736" s="5" t="s">
        <v>915</v>
      </c>
      <c r="J1736" s="5" t="s">
        <v>797</v>
      </c>
      <c r="K1736" s="5" t="s">
        <v>241</v>
      </c>
      <c r="L1736" s="6">
        <v>45678</v>
      </c>
      <c r="M1736" s="6">
        <v>45679</v>
      </c>
      <c r="O1736" s="5" t="str">
        <f ca="1">IF(P1736&lt;&gt;"EXPEDIÇÃO","Expedido",IF(NETWORKDAYS(C1736,TODAY())&gt;=5,"Risco Alto",IF(NETWORKDAYS(C1736,TODAY())&gt;=3,IF(NETWORKDAYS(C1736,TODAY())&lt;5,"Risco Médio",""),IF(NETWORKDAYS(C1736,TODAY())&lt;=2,"Risco Baixo",""))))</f>
        <v>Expedido</v>
      </c>
      <c r="P1736" s="5" t="s">
        <v>145</v>
      </c>
      <c r="Q1736" s="5" t="s">
        <v>363</v>
      </c>
      <c r="S1736" s="7">
        <f>IF(ISBLANK(M1736),"Aguardando Previsão/Data",NETWORKDAYS(L1736,M1736)-1)</f>
        <v>1</v>
      </c>
      <c r="T1736" s="5" t="s">
        <v>942</v>
      </c>
    </row>
    <row r="1737" spans="1:20" x14ac:dyDescent="0.35">
      <c r="A1737" s="5">
        <v>8100275385</v>
      </c>
      <c r="B1737" s="5">
        <v>10746</v>
      </c>
      <c r="C1737" s="6">
        <v>45671</v>
      </c>
      <c r="D1737" s="5" t="s">
        <v>239</v>
      </c>
      <c r="E1737" s="5" t="s">
        <v>240</v>
      </c>
      <c r="F1737" s="5" t="s">
        <v>160</v>
      </c>
      <c r="G1737" s="5" t="s">
        <v>161</v>
      </c>
      <c r="H1737" s="5" t="s">
        <v>218</v>
      </c>
      <c r="I1737" s="5" t="s">
        <v>893</v>
      </c>
      <c r="J1737" s="5" t="s">
        <v>457</v>
      </c>
      <c r="K1737" s="5" t="s">
        <v>241</v>
      </c>
      <c r="L1737" s="6">
        <v>45677</v>
      </c>
      <c r="M1737" s="6">
        <v>45674</v>
      </c>
      <c r="N1737" s="6" t="s">
        <v>811</v>
      </c>
      <c r="O1737" s="5" t="str">
        <f ca="1">IF(P1737&lt;&gt;"EXPEDIÇÃO","Expedido",IF(NETWORKDAYS(C1737,TODAY())&gt;=5,"Risco Alto",IF(NETWORKDAYS(C1737,TODAY())&gt;=3,IF(NETWORKDAYS(C1737,TODAY())&lt;5,"Risco Médio",""),IF(NETWORKDAYS(C1737,TODAY())&lt;=2,"Risco Baixo",""))))</f>
        <v>Expedido</v>
      </c>
      <c r="P1737" s="5" t="s">
        <v>25</v>
      </c>
      <c r="Q1737" s="5" t="s">
        <v>793</v>
      </c>
      <c r="S1737" s="7">
        <f>IF(ISBLANK(M1737),"Aguardando Previsão/Data",NETWORKDAYS(L1737,M1737)-1)</f>
        <v>-3</v>
      </c>
      <c r="T1737" s="5" t="s">
        <v>942</v>
      </c>
    </row>
    <row r="1738" spans="1:20" x14ac:dyDescent="0.35">
      <c r="A1738" s="5">
        <v>8100275386</v>
      </c>
      <c r="B1738" s="5">
        <v>10751</v>
      </c>
      <c r="C1738" s="6">
        <v>45671</v>
      </c>
      <c r="D1738" s="5" t="s">
        <v>239</v>
      </c>
      <c r="E1738" s="5" t="s">
        <v>240</v>
      </c>
      <c r="F1738" s="5" t="s">
        <v>242</v>
      </c>
      <c r="G1738" s="5" t="s">
        <v>243</v>
      </c>
      <c r="H1738" s="5" t="s">
        <v>218</v>
      </c>
      <c r="I1738" s="5" t="s">
        <v>488</v>
      </c>
      <c r="J1738" s="5" t="s">
        <v>489</v>
      </c>
      <c r="K1738" s="5" t="s">
        <v>241</v>
      </c>
      <c r="L1738" s="6">
        <v>45677</v>
      </c>
      <c r="M1738" s="6">
        <v>45674</v>
      </c>
      <c r="N1738" s="6" t="s">
        <v>811</v>
      </c>
      <c r="O1738" s="5" t="str">
        <f ca="1">IF(P1738&lt;&gt;"EXPEDIÇÃO","Expedido",IF(NETWORKDAYS(C1738,TODAY())&gt;=5,"Risco Alto",IF(NETWORKDAYS(C1738,TODAY())&gt;=3,IF(NETWORKDAYS(C1738,TODAY())&lt;5,"Risco Médio",""),IF(NETWORKDAYS(C1738,TODAY())&lt;=2,"Risco Baixo",""))))</f>
        <v>Expedido</v>
      </c>
      <c r="P1738" s="5" t="s">
        <v>25</v>
      </c>
      <c r="Q1738" s="5" t="s">
        <v>793</v>
      </c>
      <c r="S1738" s="7">
        <f>IF(ISBLANK(M1738),"Aguardando Previsão/Data",NETWORKDAYS(L1738,M1738)-1)</f>
        <v>-3</v>
      </c>
      <c r="T1738" s="5" t="s">
        <v>942</v>
      </c>
    </row>
    <row r="1739" spans="1:20" x14ac:dyDescent="0.35">
      <c r="A1739" s="5">
        <v>8100275399</v>
      </c>
      <c r="B1739" s="5">
        <v>10747</v>
      </c>
      <c r="C1739" s="6">
        <v>45671</v>
      </c>
      <c r="D1739" s="5" t="s">
        <v>239</v>
      </c>
      <c r="E1739" s="5" t="s">
        <v>240</v>
      </c>
      <c r="F1739" s="5" t="s">
        <v>242</v>
      </c>
      <c r="G1739" s="5" t="s">
        <v>243</v>
      </c>
      <c r="H1739" s="5" t="s">
        <v>218</v>
      </c>
      <c r="I1739" s="5" t="s">
        <v>630</v>
      </c>
      <c r="J1739" s="5" t="s">
        <v>631</v>
      </c>
      <c r="K1739" s="5" t="s">
        <v>241</v>
      </c>
      <c r="L1739" s="6">
        <v>45678</v>
      </c>
      <c r="M1739" s="6">
        <v>45678</v>
      </c>
      <c r="N1739" s="6" t="s">
        <v>811</v>
      </c>
      <c r="O1739" s="5" t="str">
        <f ca="1">IF(P1739&lt;&gt;"EXPEDIÇÃO","Expedido",IF(NETWORKDAYS(C1739,TODAY())&gt;=5,"Risco Alto",IF(NETWORKDAYS(C1739,TODAY())&gt;=3,IF(NETWORKDAYS(C1739,TODAY())&lt;5,"Risco Médio",""),IF(NETWORKDAYS(C1739,TODAY())&lt;=2,"Risco Baixo",""))))</f>
        <v>Expedido</v>
      </c>
      <c r="P1739" s="5" t="s">
        <v>25</v>
      </c>
      <c r="Q1739" s="5" t="s">
        <v>793</v>
      </c>
      <c r="S1739" s="7">
        <f>IF(ISBLANK(M1739),"Aguardando Previsão/Data",NETWORKDAYS(L1739,M1739)-1)</f>
        <v>0</v>
      </c>
      <c r="T1739" s="5" t="s">
        <v>942</v>
      </c>
    </row>
    <row r="1740" spans="1:20" x14ac:dyDescent="0.35">
      <c r="A1740" s="5">
        <v>8100275400</v>
      </c>
      <c r="B1740" s="5">
        <v>10748</v>
      </c>
      <c r="C1740" s="6">
        <v>45671</v>
      </c>
      <c r="D1740" s="5" t="s">
        <v>239</v>
      </c>
      <c r="E1740" s="5" t="s">
        <v>240</v>
      </c>
      <c r="F1740" s="5" t="s">
        <v>242</v>
      </c>
      <c r="G1740" s="5" t="s">
        <v>243</v>
      </c>
      <c r="H1740" s="5" t="s">
        <v>218</v>
      </c>
      <c r="I1740" s="5" t="s">
        <v>630</v>
      </c>
      <c r="J1740" s="5" t="s">
        <v>631</v>
      </c>
      <c r="K1740" s="5" t="s">
        <v>241</v>
      </c>
      <c r="L1740" s="6">
        <v>45678</v>
      </c>
      <c r="M1740" s="6">
        <v>45678</v>
      </c>
      <c r="N1740" s="6" t="s">
        <v>811</v>
      </c>
      <c r="O1740" s="5" t="str">
        <f ca="1">IF(P1740&lt;&gt;"EXPEDIÇÃO","Expedido",IF(NETWORKDAYS(C1740,TODAY())&gt;=5,"Risco Alto",IF(NETWORKDAYS(C1740,TODAY())&gt;=3,IF(NETWORKDAYS(C1740,TODAY())&lt;5,"Risco Médio",""),IF(NETWORKDAYS(C1740,TODAY())&lt;=2,"Risco Baixo",""))))</f>
        <v>Expedido</v>
      </c>
      <c r="P1740" s="5" t="s">
        <v>25</v>
      </c>
      <c r="Q1740" s="5" t="s">
        <v>793</v>
      </c>
      <c r="S1740" s="7">
        <f>IF(ISBLANK(M1740),"Aguardando Previsão/Data",NETWORKDAYS(L1740,M1740)-1)</f>
        <v>0</v>
      </c>
      <c r="T1740" s="5" t="s">
        <v>942</v>
      </c>
    </row>
    <row r="1741" spans="1:20" x14ac:dyDescent="0.35">
      <c r="A1741" s="5">
        <v>8100275435</v>
      </c>
      <c r="B1741" s="5">
        <v>10749</v>
      </c>
      <c r="C1741" s="6">
        <v>45671</v>
      </c>
      <c r="D1741" s="5" t="s">
        <v>239</v>
      </c>
      <c r="E1741" s="5" t="s">
        <v>240</v>
      </c>
      <c r="F1741" s="5" t="s">
        <v>242</v>
      </c>
      <c r="G1741" s="5" t="s">
        <v>243</v>
      </c>
      <c r="H1741" s="5" t="s">
        <v>218</v>
      </c>
      <c r="I1741" s="5" t="s">
        <v>630</v>
      </c>
      <c r="J1741" s="5" t="s">
        <v>631</v>
      </c>
      <c r="K1741" s="5" t="s">
        <v>241</v>
      </c>
      <c r="L1741" s="6">
        <v>45678</v>
      </c>
      <c r="M1741" s="6">
        <v>45678</v>
      </c>
      <c r="N1741" s="6" t="s">
        <v>811</v>
      </c>
      <c r="O1741" s="5" t="str">
        <f ca="1">IF(P1741&lt;&gt;"EXPEDIÇÃO","Expedido",IF(NETWORKDAYS(C1741,TODAY())&gt;=5,"Risco Alto",IF(NETWORKDAYS(C1741,TODAY())&gt;=3,IF(NETWORKDAYS(C1741,TODAY())&lt;5,"Risco Médio",""),IF(NETWORKDAYS(C1741,TODAY())&lt;=2,"Risco Baixo",""))))</f>
        <v>Expedido</v>
      </c>
      <c r="P1741" s="5" t="s">
        <v>25</v>
      </c>
      <c r="Q1741" s="5" t="s">
        <v>793</v>
      </c>
      <c r="S1741" s="7">
        <f>IF(ISBLANK(M1741),"Aguardando Previsão/Data",NETWORKDAYS(L1741,M1741)-1)</f>
        <v>0</v>
      </c>
      <c r="T1741" s="5" t="s">
        <v>942</v>
      </c>
    </row>
    <row r="1742" spans="1:20" x14ac:dyDescent="0.35">
      <c r="A1742" s="5">
        <v>8100275444</v>
      </c>
      <c r="B1742" s="5">
        <v>10750</v>
      </c>
      <c r="C1742" s="6">
        <v>45671</v>
      </c>
      <c r="D1742" s="5" t="s">
        <v>239</v>
      </c>
      <c r="E1742" s="5" t="s">
        <v>240</v>
      </c>
      <c r="F1742" s="5" t="s">
        <v>242</v>
      </c>
      <c r="G1742" s="5" t="s">
        <v>243</v>
      </c>
      <c r="H1742" s="5" t="s">
        <v>218</v>
      </c>
      <c r="I1742" s="5" t="s">
        <v>630</v>
      </c>
      <c r="J1742" s="5" t="s">
        <v>631</v>
      </c>
      <c r="K1742" s="5" t="s">
        <v>241</v>
      </c>
      <c r="L1742" s="6">
        <v>45678</v>
      </c>
      <c r="M1742" s="6">
        <v>45678</v>
      </c>
      <c r="N1742" s="6" t="s">
        <v>811</v>
      </c>
      <c r="O1742" s="5" t="str">
        <f ca="1">IF(P1742&lt;&gt;"EXPEDIÇÃO","Expedido",IF(NETWORKDAYS(C1742,TODAY())&gt;=5,"Risco Alto",IF(NETWORKDAYS(C1742,TODAY())&gt;=3,IF(NETWORKDAYS(C1742,TODAY())&lt;5,"Risco Médio",""),IF(NETWORKDAYS(C1742,TODAY())&lt;=2,"Risco Baixo",""))))</f>
        <v>Expedido</v>
      </c>
      <c r="P1742" s="5" t="s">
        <v>25</v>
      </c>
      <c r="Q1742" s="5" t="s">
        <v>793</v>
      </c>
      <c r="S1742" s="7">
        <f>IF(ISBLANK(M1742),"Aguardando Previsão/Data",NETWORKDAYS(L1742,M1742)-1)</f>
        <v>0</v>
      </c>
      <c r="T1742" s="5" t="s">
        <v>942</v>
      </c>
    </row>
    <row r="1743" spans="1:20" x14ac:dyDescent="0.35">
      <c r="A1743" s="5">
        <v>8100275616</v>
      </c>
      <c r="B1743" s="5">
        <v>10742</v>
      </c>
      <c r="C1743" s="6">
        <v>45671</v>
      </c>
      <c r="D1743" s="5" t="s">
        <v>239</v>
      </c>
      <c r="E1743" s="5" t="s">
        <v>240</v>
      </c>
      <c r="F1743" s="5" t="s">
        <v>176</v>
      </c>
      <c r="G1743" s="5" t="s">
        <v>177</v>
      </c>
      <c r="H1743" s="5" t="s">
        <v>218</v>
      </c>
      <c r="I1743" s="5" t="s">
        <v>1318</v>
      </c>
      <c r="J1743" s="5" t="s">
        <v>1319</v>
      </c>
      <c r="K1743" s="5" t="s">
        <v>241</v>
      </c>
      <c r="L1743" s="6">
        <v>45678</v>
      </c>
      <c r="M1743" s="6">
        <v>45678</v>
      </c>
      <c r="N1743" s="6" t="s">
        <v>811</v>
      </c>
      <c r="O1743" s="5" t="str">
        <f ca="1">IF(P1743&lt;&gt;"EXPEDIÇÃO","Expedido",IF(NETWORKDAYS(C1743,TODAY())&gt;=5,"Risco Alto",IF(NETWORKDAYS(C1743,TODAY())&gt;=3,IF(NETWORKDAYS(C1743,TODAY())&lt;5,"Risco Médio",""),IF(NETWORKDAYS(C1743,TODAY())&lt;=2,"Risco Baixo",""))))</f>
        <v>Expedido</v>
      </c>
      <c r="P1743" s="5" t="s">
        <v>25</v>
      </c>
      <c r="Q1743" s="5" t="s">
        <v>793</v>
      </c>
      <c r="S1743" s="7">
        <f>IF(ISBLANK(M1743),"Aguardando Previsão/Data",NETWORKDAYS(L1743,M1743)-1)</f>
        <v>0</v>
      </c>
      <c r="T1743" s="5" t="s">
        <v>942</v>
      </c>
    </row>
    <row r="1744" spans="1:20" x14ac:dyDescent="0.35">
      <c r="A1744" s="5">
        <v>8100275617</v>
      </c>
      <c r="B1744" s="5">
        <v>10745</v>
      </c>
      <c r="C1744" s="6">
        <v>45671</v>
      </c>
      <c r="D1744" s="5" t="s">
        <v>239</v>
      </c>
      <c r="E1744" s="5" t="s">
        <v>240</v>
      </c>
      <c r="F1744" s="5" t="s">
        <v>176</v>
      </c>
      <c r="G1744" s="5" t="s">
        <v>177</v>
      </c>
      <c r="H1744" s="5" t="s">
        <v>218</v>
      </c>
      <c r="I1744" s="5" t="s">
        <v>1320</v>
      </c>
      <c r="J1744" s="5" t="s">
        <v>1319</v>
      </c>
      <c r="K1744" s="5" t="s">
        <v>241</v>
      </c>
      <c r="L1744" s="6">
        <v>45678</v>
      </c>
      <c r="M1744" s="6">
        <v>45678</v>
      </c>
      <c r="N1744" s="6" t="s">
        <v>811</v>
      </c>
      <c r="O1744" s="5" t="str">
        <f ca="1">IF(P1744&lt;&gt;"EXPEDIÇÃO","Expedido",IF(NETWORKDAYS(C1744,TODAY())&gt;=5,"Risco Alto",IF(NETWORKDAYS(C1744,TODAY())&gt;=3,IF(NETWORKDAYS(C1744,TODAY())&lt;5,"Risco Médio",""),IF(NETWORKDAYS(C1744,TODAY())&lt;=2,"Risco Baixo",""))))</f>
        <v>Expedido</v>
      </c>
      <c r="P1744" s="5" t="s">
        <v>25</v>
      </c>
      <c r="Q1744" s="5" t="s">
        <v>793</v>
      </c>
      <c r="S1744" s="7">
        <f>IF(ISBLANK(M1744),"Aguardando Previsão/Data",NETWORKDAYS(L1744,M1744)-1)</f>
        <v>0</v>
      </c>
      <c r="T1744" s="5" t="s">
        <v>942</v>
      </c>
    </row>
    <row r="1745" spans="1:20" x14ac:dyDescent="0.35">
      <c r="A1745" s="5">
        <v>8100275693</v>
      </c>
      <c r="B1745" s="5">
        <v>10752</v>
      </c>
      <c r="C1745" s="6">
        <v>45671</v>
      </c>
      <c r="D1745" s="5" t="s">
        <v>239</v>
      </c>
      <c r="E1745" s="5" t="s">
        <v>240</v>
      </c>
      <c r="F1745" s="5" t="s">
        <v>242</v>
      </c>
      <c r="G1745" s="5" t="s">
        <v>243</v>
      </c>
      <c r="H1745" s="5" t="s">
        <v>218</v>
      </c>
      <c r="I1745" s="5" t="s">
        <v>488</v>
      </c>
      <c r="J1745" s="5" t="s">
        <v>489</v>
      </c>
      <c r="K1745" s="5" t="s">
        <v>241</v>
      </c>
      <c r="L1745" s="6">
        <v>45677</v>
      </c>
      <c r="M1745" s="6">
        <v>45674</v>
      </c>
      <c r="N1745" s="6" t="s">
        <v>811</v>
      </c>
      <c r="O1745" s="5" t="str">
        <f ca="1">IF(P1745&lt;&gt;"EXPEDIÇÃO","Expedido",IF(NETWORKDAYS(C1745,TODAY())&gt;=5,"Risco Alto",IF(NETWORKDAYS(C1745,TODAY())&gt;=3,IF(NETWORKDAYS(C1745,TODAY())&lt;5,"Risco Médio",""),IF(NETWORKDAYS(C1745,TODAY())&lt;=2,"Risco Baixo",""))))</f>
        <v>Expedido</v>
      </c>
      <c r="P1745" s="5" t="s">
        <v>25</v>
      </c>
      <c r="Q1745" s="5" t="s">
        <v>793</v>
      </c>
      <c r="S1745" s="7">
        <f>IF(ISBLANK(M1745),"Aguardando Previsão/Data",NETWORKDAYS(L1745,M1745)-1)</f>
        <v>-3</v>
      </c>
      <c r="T1745" s="5" t="s">
        <v>942</v>
      </c>
    </row>
    <row r="1746" spans="1:20" x14ac:dyDescent="0.35">
      <c r="A1746" s="5">
        <v>8100275712</v>
      </c>
      <c r="B1746" s="5">
        <v>10753</v>
      </c>
      <c r="C1746" s="6">
        <v>45671</v>
      </c>
      <c r="D1746" s="5" t="s">
        <v>239</v>
      </c>
      <c r="E1746" s="5" t="s">
        <v>240</v>
      </c>
      <c r="F1746" s="5" t="s">
        <v>242</v>
      </c>
      <c r="G1746" s="5" t="s">
        <v>243</v>
      </c>
      <c r="H1746" s="5" t="s">
        <v>218</v>
      </c>
      <c r="I1746" s="5" t="s">
        <v>488</v>
      </c>
      <c r="J1746" s="5" t="s">
        <v>489</v>
      </c>
      <c r="K1746" s="5" t="s">
        <v>241</v>
      </c>
      <c r="L1746" s="6">
        <v>45677</v>
      </c>
      <c r="M1746" s="6">
        <v>45674</v>
      </c>
      <c r="N1746" s="6" t="s">
        <v>811</v>
      </c>
      <c r="O1746" s="5" t="str">
        <f ca="1">IF(P1746&lt;&gt;"EXPEDIÇÃO","Expedido",IF(NETWORKDAYS(C1746,TODAY())&gt;=5,"Risco Alto",IF(NETWORKDAYS(C1746,TODAY())&gt;=3,IF(NETWORKDAYS(C1746,TODAY())&lt;5,"Risco Médio",""),IF(NETWORKDAYS(C1746,TODAY())&lt;=2,"Risco Baixo",""))))</f>
        <v>Expedido</v>
      </c>
      <c r="P1746" s="5" t="s">
        <v>25</v>
      </c>
      <c r="Q1746" s="5" t="s">
        <v>793</v>
      </c>
      <c r="S1746" s="7">
        <f>IF(ISBLANK(M1746),"Aguardando Previsão/Data",NETWORKDAYS(L1746,M1746)-1)</f>
        <v>-3</v>
      </c>
      <c r="T1746" s="5" t="s">
        <v>942</v>
      </c>
    </row>
    <row r="1747" spans="1:20" x14ac:dyDescent="0.35">
      <c r="A1747" s="5">
        <v>8100275802</v>
      </c>
      <c r="B1747" s="5">
        <v>10741</v>
      </c>
      <c r="C1747" s="6">
        <v>45671</v>
      </c>
      <c r="D1747" s="5" t="s">
        <v>239</v>
      </c>
      <c r="E1747" s="5" t="s">
        <v>240</v>
      </c>
      <c r="F1747" s="5" t="s">
        <v>242</v>
      </c>
      <c r="G1747" s="5" t="s">
        <v>243</v>
      </c>
      <c r="H1747" s="5" t="s">
        <v>218</v>
      </c>
      <c r="I1747" s="5" t="s">
        <v>546</v>
      </c>
      <c r="J1747" s="5" t="s">
        <v>355</v>
      </c>
      <c r="K1747" s="5" t="s">
        <v>241</v>
      </c>
      <c r="L1747" s="6">
        <v>45677</v>
      </c>
      <c r="M1747" s="6">
        <v>45671</v>
      </c>
      <c r="N1747" s="6" t="s">
        <v>811</v>
      </c>
      <c r="O1747" s="5" t="str">
        <f ca="1">IF(P1747&lt;&gt;"EXPEDIÇÃO","Expedido",IF(NETWORKDAYS(C1747,TODAY())&gt;=5,"Risco Alto",IF(NETWORKDAYS(C1747,TODAY())&gt;=3,IF(NETWORKDAYS(C1747,TODAY())&lt;5,"Risco Médio",""),IF(NETWORKDAYS(C1747,TODAY())&lt;=2,"Risco Baixo",""))))</f>
        <v>Expedido</v>
      </c>
      <c r="P1747" s="5" t="s">
        <v>25</v>
      </c>
      <c r="Q1747" s="5" t="s">
        <v>900</v>
      </c>
      <c r="S1747" s="7">
        <f>IF(ISBLANK(M1747),"Aguardando Previsão/Data",NETWORKDAYS(L1747,M1747)-1)</f>
        <v>-6</v>
      </c>
      <c r="T1747" s="5" t="s">
        <v>942</v>
      </c>
    </row>
    <row r="1748" spans="1:20" x14ac:dyDescent="0.35">
      <c r="A1748" s="5">
        <v>8100276051</v>
      </c>
      <c r="B1748" s="5">
        <v>10791</v>
      </c>
      <c r="C1748" s="6">
        <v>45671</v>
      </c>
      <c r="D1748" s="5" t="s">
        <v>239</v>
      </c>
      <c r="E1748" s="5" t="s">
        <v>240</v>
      </c>
      <c r="F1748" s="5" t="s">
        <v>160</v>
      </c>
      <c r="G1748" s="5" t="s">
        <v>161</v>
      </c>
      <c r="H1748" s="5" t="s">
        <v>218</v>
      </c>
      <c r="I1748" s="5" t="s">
        <v>893</v>
      </c>
      <c r="J1748" s="5" t="s">
        <v>457</v>
      </c>
      <c r="K1748" s="5" t="s">
        <v>241</v>
      </c>
      <c r="L1748" s="6">
        <v>45677</v>
      </c>
      <c r="M1748" s="6">
        <v>45674</v>
      </c>
      <c r="N1748" s="6" t="s">
        <v>811</v>
      </c>
      <c r="O1748" s="5" t="str">
        <f ca="1">IF(P1748&lt;&gt;"EXPEDIÇÃO","Expedido",IF(NETWORKDAYS(C1748,TODAY())&gt;=5,"Risco Alto",IF(NETWORKDAYS(C1748,TODAY())&gt;=3,IF(NETWORKDAYS(C1748,TODAY())&lt;5,"Risco Médio",""),IF(NETWORKDAYS(C1748,TODAY())&lt;=2,"Risco Baixo",""))))</f>
        <v>Expedido</v>
      </c>
      <c r="P1748" s="5" t="s">
        <v>25</v>
      </c>
      <c r="Q1748" s="5" t="s">
        <v>793</v>
      </c>
      <c r="S1748" s="7">
        <f>IF(ISBLANK(M1748),"Aguardando Previsão/Data",NETWORKDAYS(L1748,M1748)-1)</f>
        <v>-3</v>
      </c>
      <c r="T1748" s="5" t="s">
        <v>942</v>
      </c>
    </row>
    <row r="1749" spans="1:20" x14ac:dyDescent="0.35">
      <c r="A1749" s="5">
        <v>8100276052</v>
      </c>
      <c r="B1749" s="5">
        <v>10763</v>
      </c>
      <c r="C1749" s="6">
        <v>45671</v>
      </c>
      <c r="D1749" s="5" t="s">
        <v>239</v>
      </c>
      <c r="E1749" s="5" t="s">
        <v>240</v>
      </c>
      <c r="F1749" s="5" t="s">
        <v>176</v>
      </c>
      <c r="G1749" s="5" t="s">
        <v>177</v>
      </c>
      <c r="H1749" s="5" t="s">
        <v>218</v>
      </c>
      <c r="I1749" s="5" t="s">
        <v>324</v>
      </c>
      <c r="J1749" s="5" t="s">
        <v>325</v>
      </c>
      <c r="K1749" s="5" t="s">
        <v>241</v>
      </c>
      <c r="L1749" s="6">
        <v>45679</v>
      </c>
      <c r="M1749" s="6">
        <v>45674</v>
      </c>
      <c r="N1749" s="6" t="s">
        <v>811</v>
      </c>
      <c r="O1749" s="5" t="str">
        <f ca="1">IF(P1749&lt;&gt;"EXPEDIÇÃO","Expedido",IF(NETWORKDAYS(C1749,TODAY())&gt;=5,"Risco Alto",IF(NETWORKDAYS(C1749,TODAY())&gt;=3,IF(NETWORKDAYS(C1749,TODAY())&lt;5,"Risco Médio",""),IF(NETWORKDAYS(C1749,TODAY())&lt;=2,"Risco Baixo",""))))</f>
        <v>Expedido</v>
      </c>
      <c r="P1749" s="5" t="s">
        <v>25</v>
      </c>
      <c r="Q1749" s="5" t="s">
        <v>793</v>
      </c>
      <c r="S1749" s="7">
        <f>IF(ISBLANK(M1749),"Aguardando Previsão/Data",NETWORKDAYS(L1749,M1749)-1)</f>
        <v>-5</v>
      </c>
      <c r="T1749" s="5" t="s">
        <v>942</v>
      </c>
    </row>
    <row r="1750" spans="1:20" x14ac:dyDescent="0.35">
      <c r="A1750" s="5">
        <v>8100276053</v>
      </c>
      <c r="B1750" s="5">
        <v>10762</v>
      </c>
      <c r="C1750" s="6">
        <v>45671</v>
      </c>
      <c r="D1750" s="5" t="s">
        <v>239</v>
      </c>
      <c r="E1750" s="5" t="s">
        <v>240</v>
      </c>
      <c r="F1750" s="5" t="s">
        <v>160</v>
      </c>
      <c r="G1750" s="5" t="s">
        <v>161</v>
      </c>
      <c r="H1750" s="5" t="s">
        <v>218</v>
      </c>
      <c r="I1750" s="5" t="s">
        <v>358</v>
      </c>
      <c r="J1750" s="5" t="s">
        <v>359</v>
      </c>
      <c r="K1750" s="5" t="s">
        <v>241</v>
      </c>
      <c r="L1750" s="6">
        <v>45677</v>
      </c>
      <c r="M1750" s="6">
        <v>45674</v>
      </c>
      <c r="N1750" s="6" t="s">
        <v>811</v>
      </c>
      <c r="O1750" s="5" t="str">
        <f ca="1">IF(P1750&lt;&gt;"EXPEDIÇÃO","Expedido",IF(NETWORKDAYS(C1750,TODAY())&gt;=5,"Risco Alto",IF(NETWORKDAYS(C1750,TODAY())&gt;=3,IF(NETWORKDAYS(C1750,TODAY())&lt;5,"Risco Médio",""),IF(NETWORKDAYS(C1750,TODAY())&lt;=2,"Risco Baixo",""))))</f>
        <v>Expedido</v>
      </c>
      <c r="P1750" s="5" t="s">
        <v>25</v>
      </c>
      <c r="Q1750" s="5" t="s">
        <v>793</v>
      </c>
      <c r="S1750" s="7">
        <f>IF(ISBLANK(M1750),"Aguardando Previsão/Data",NETWORKDAYS(L1750,M1750)-1)</f>
        <v>-3</v>
      </c>
      <c r="T1750" s="5" t="s">
        <v>942</v>
      </c>
    </row>
    <row r="1751" spans="1:20" x14ac:dyDescent="0.35">
      <c r="A1751" s="5">
        <v>8100276054</v>
      </c>
      <c r="B1751" s="5">
        <v>10761</v>
      </c>
      <c r="C1751" s="6">
        <v>45671</v>
      </c>
      <c r="D1751" s="5" t="s">
        <v>239</v>
      </c>
      <c r="E1751" s="5" t="s">
        <v>240</v>
      </c>
      <c r="F1751" s="5" t="s">
        <v>242</v>
      </c>
      <c r="G1751" s="5" t="s">
        <v>243</v>
      </c>
      <c r="H1751" s="5" t="s">
        <v>218</v>
      </c>
      <c r="I1751" s="5" t="s">
        <v>251</v>
      </c>
      <c r="J1751" s="5" t="s">
        <v>252</v>
      </c>
      <c r="K1751" s="5" t="s">
        <v>241</v>
      </c>
      <c r="L1751" s="6">
        <v>45677</v>
      </c>
      <c r="M1751" s="6">
        <v>45678</v>
      </c>
      <c r="N1751" s="6" t="s">
        <v>811</v>
      </c>
      <c r="O1751" s="5" t="str">
        <f ca="1">IF(P1751&lt;&gt;"EXPEDIÇÃO","Expedido",IF(NETWORKDAYS(C1751,TODAY())&gt;=5,"Risco Alto",IF(NETWORKDAYS(C1751,TODAY())&gt;=3,IF(NETWORKDAYS(C1751,TODAY())&lt;5,"Risco Médio",""),IF(NETWORKDAYS(C1751,TODAY())&lt;=2,"Risco Baixo",""))))</f>
        <v>Expedido</v>
      </c>
      <c r="P1751" s="5" t="s">
        <v>25</v>
      </c>
      <c r="Q1751" s="5" t="s">
        <v>897</v>
      </c>
      <c r="S1751" s="7">
        <f>IF(ISBLANK(M1751),"Aguardando Previsão/Data",NETWORKDAYS(L1751,M1751)-1)</f>
        <v>1</v>
      </c>
      <c r="T1751" s="5" t="s">
        <v>942</v>
      </c>
    </row>
    <row r="1752" spans="1:20" x14ac:dyDescent="0.35">
      <c r="A1752" s="5">
        <v>8100276055</v>
      </c>
      <c r="B1752" s="5">
        <v>10792</v>
      </c>
      <c r="C1752" s="6">
        <v>45671</v>
      </c>
      <c r="D1752" s="5" t="s">
        <v>239</v>
      </c>
      <c r="E1752" s="5" t="s">
        <v>240</v>
      </c>
      <c r="F1752" s="5" t="s">
        <v>160</v>
      </c>
      <c r="G1752" s="5" t="s">
        <v>161</v>
      </c>
      <c r="H1752" s="5" t="s">
        <v>218</v>
      </c>
      <c r="I1752" s="5" t="s">
        <v>1003</v>
      </c>
      <c r="J1752" s="5" t="s">
        <v>1004</v>
      </c>
      <c r="K1752" s="5" t="s">
        <v>241</v>
      </c>
      <c r="L1752" s="6">
        <v>45677</v>
      </c>
      <c r="M1752" s="6">
        <v>45673</v>
      </c>
      <c r="N1752" s="6" t="s">
        <v>811</v>
      </c>
      <c r="O1752" s="5" t="str">
        <f ca="1">IF(P1752&lt;&gt;"EXPEDIÇÃO","Expedido",IF(NETWORKDAYS(C1752,TODAY())&gt;=5,"Risco Alto",IF(NETWORKDAYS(C1752,TODAY())&gt;=3,IF(NETWORKDAYS(C1752,TODAY())&lt;5,"Risco Médio",""),IF(NETWORKDAYS(C1752,TODAY())&lt;=2,"Risco Baixo",""))))</f>
        <v>Expedido</v>
      </c>
      <c r="P1752" s="5" t="s">
        <v>25</v>
      </c>
      <c r="Q1752" s="5" t="s">
        <v>793</v>
      </c>
      <c r="S1752" s="7">
        <f>IF(ISBLANK(M1752),"Aguardando Previsão/Data",NETWORKDAYS(L1752,M1752)-1)</f>
        <v>-4</v>
      </c>
      <c r="T1752" s="5" t="s">
        <v>942</v>
      </c>
    </row>
    <row r="1753" spans="1:20" x14ac:dyDescent="0.35">
      <c r="A1753" s="5">
        <v>8100276139</v>
      </c>
      <c r="B1753" s="5">
        <v>10783</v>
      </c>
      <c r="C1753" s="6">
        <v>45671</v>
      </c>
      <c r="D1753" s="5" t="s">
        <v>239</v>
      </c>
      <c r="E1753" s="5" t="s">
        <v>240</v>
      </c>
      <c r="F1753" s="5" t="s">
        <v>160</v>
      </c>
      <c r="G1753" s="5" t="s">
        <v>161</v>
      </c>
      <c r="H1753" s="5" t="s">
        <v>218</v>
      </c>
      <c r="I1753" s="5" t="s">
        <v>354</v>
      </c>
      <c r="J1753" s="5" t="s">
        <v>355</v>
      </c>
      <c r="K1753" s="5" t="s">
        <v>241</v>
      </c>
      <c r="L1753" s="6">
        <v>45677</v>
      </c>
      <c r="M1753" s="6">
        <v>45674</v>
      </c>
      <c r="N1753" s="6" t="s">
        <v>811</v>
      </c>
      <c r="O1753" s="5" t="str">
        <f ca="1">IF(P1753&lt;&gt;"EXPEDIÇÃO","Expedido",IF(NETWORKDAYS(C1753,TODAY())&gt;=5,"Risco Alto",IF(NETWORKDAYS(C1753,TODAY())&gt;=3,IF(NETWORKDAYS(C1753,TODAY())&lt;5,"Risco Médio",""),IF(NETWORKDAYS(C1753,TODAY())&lt;=2,"Risco Baixo",""))))</f>
        <v>Expedido</v>
      </c>
      <c r="P1753" s="5" t="s">
        <v>25</v>
      </c>
      <c r="Q1753" s="5" t="s">
        <v>793</v>
      </c>
      <c r="S1753" s="7">
        <f>IF(ISBLANK(M1753),"Aguardando Previsão/Data",NETWORKDAYS(L1753,M1753)-1)</f>
        <v>-3</v>
      </c>
      <c r="T1753" s="5" t="s">
        <v>942</v>
      </c>
    </row>
    <row r="1754" spans="1:20" x14ac:dyDescent="0.35">
      <c r="A1754" s="5">
        <v>8100276140</v>
      </c>
      <c r="B1754" s="5">
        <v>10754</v>
      </c>
      <c r="C1754" s="6">
        <v>45671</v>
      </c>
      <c r="D1754" s="5" t="s">
        <v>239</v>
      </c>
      <c r="E1754" s="5" t="s">
        <v>240</v>
      </c>
      <c r="F1754" s="5" t="s">
        <v>242</v>
      </c>
      <c r="G1754" s="5" t="s">
        <v>243</v>
      </c>
      <c r="H1754" s="5" t="s">
        <v>218</v>
      </c>
      <c r="I1754" s="5" t="s">
        <v>546</v>
      </c>
      <c r="J1754" s="5" t="s">
        <v>355</v>
      </c>
      <c r="K1754" s="5" t="s">
        <v>241</v>
      </c>
      <c r="L1754" s="6">
        <v>45677</v>
      </c>
      <c r="M1754" s="6">
        <v>45671</v>
      </c>
      <c r="N1754" s="6" t="s">
        <v>811</v>
      </c>
      <c r="O1754" s="5" t="str">
        <f ca="1">IF(P1754&lt;&gt;"EXPEDIÇÃO","Expedido",IF(NETWORKDAYS(C1754,TODAY())&gt;=5,"Risco Alto",IF(NETWORKDAYS(C1754,TODAY())&gt;=3,IF(NETWORKDAYS(C1754,TODAY())&lt;5,"Risco Médio",""),IF(NETWORKDAYS(C1754,TODAY())&lt;=2,"Risco Baixo",""))))</f>
        <v>Expedido</v>
      </c>
      <c r="P1754" s="5" t="s">
        <v>25</v>
      </c>
      <c r="S1754" s="7">
        <f>IF(ISBLANK(M1754),"Aguardando Previsão/Data",NETWORKDAYS(L1754,M1754)-1)</f>
        <v>-6</v>
      </c>
      <c r="T1754" s="5" t="s">
        <v>942</v>
      </c>
    </row>
    <row r="1755" spans="1:20" x14ac:dyDescent="0.35">
      <c r="A1755" s="5">
        <v>8100276143</v>
      </c>
      <c r="B1755" s="5">
        <v>10755</v>
      </c>
      <c r="C1755" s="6">
        <v>45671</v>
      </c>
      <c r="D1755" s="5" t="s">
        <v>239</v>
      </c>
      <c r="E1755" s="5" t="s">
        <v>240</v>
      </c>
      <c r="F1755" s="5" t="s">
        <v>242</v>
      </c>
      <c r="G1755" s="5" t="s">
        <v>243</v>
      </c>
      <c r="H1755" s="5" t="s">
        <v>218</v>
      </c>
      <c r="I1755" s="5" t="s">
        <v>546</v>
      </c>
      <c r="J1755" s="5" t="s">
        <v>355</v>
      </c>
      <c r="K1755" s="5" t="s">
        <v>241</v>
      </c>
      <c r="L1755" s="6">
        <v>45677</v>
      </c>
      <c r="M1755" s="6">
        <v>45671</v>
      </c>
      <c r="N1755" s="6" t="s">
        <v>811</v>
      </c>
      <c r="O1755" s="5" t="str">
        <f ca="1">IF(P1755&lt;&gt;"EXPEDIÇÃO","Expedido",IF(NETWORKDAYS(C1755,TODAY())&gt;=5,"Risco Alto",IF(NETWORKDAYS(C1755,TODAY())&gt;=3,IF(NETWORKDAYS(C1755,TODAY())&lt;5,"Risco Médio",""),IF(NETWORKDAYS(C1755,TODAY())&lt;=2,"Risco Baixo",""))))</f>
        <v>Expedido</v>
      </c>
      <c r="P1755" s="5" t="s">
        <v>25</v>
      </c>
      <c r="S1755" s="7">
        <f>IF(ISBLANK(M1755),"Aguardando Previsão/Data",NETWORKDAYS(L1755,M1755)-1)</f>
        <v>-6</v>
      </c>
      <c r="T1755" s="5" t="s">
        <v>942</v>
      </c>
    </row>
    <row r="1756" spans="1:20" x14ac:dyDescent="0.35">
      <c r="A1756" s="5">
        <v>8100276144</v>
      </c>
      <c r="B1756" s="5">
        <v>10756</v>
      </c>
      <c r="C1756" s="6">
        <v>45671</v>
      </c>
      <c r="D1756" s="5" t="s">
        <v>239</v>
      </c>
      <c r="E1756" s="5" t="s">
        <v>240</v>
      </c>
      <c r="F1756" s="5" t="s">
        <v>242</v>
      </c>
      <c r="G1756" s="5" t="s">
        <v>243</v>
      </c>
      <c r="H1756" s="5" t="s">
        <v>218</v>
      </c>
      <c r="I1756" s="5" t="s">
        <v>546</v>
      </c>
      <c r="J1756" s="5" t="s">
        <v>355</v>
      </c>
      <c r="K1756" s="5" t="s">
        <v>241</v>
      </c>
      <c r="L1756" s="6">
        <v>45677</v>
      </c>
      <c r="M1756" s="6">
        <v>45671</v>
      </c>
      <c r="N1756" s="6" t="s">
        <v>811</v>
      </c>
      <c r="O1756" s="5" t="str">
        <f ca="1">IF(P1756&lt;&gt;"EXPEDIÇÃO","Expedido",IF(NETWORKDAYS(C1756,TODAY())&gt;=5,"Risco Alto",IF(NETWORKDAYS(C1756,TODAY())&gt;=3,IF(NETWORKDAYS(C1756,TODAY())&lt;5,"Risco Médio",""),IF(NETWORKDAYS(C1756,TODAY())&lt;=2,"Risco Baixo",""))))</f>
        <v>Expedido</v>
      </c>
      <c r="P1756" s="5" t="s">
        <v>25</v>
      </c>
      <c r="S1756" s="7">
        <f>IF(ISBLANK(M1756),"Aguardando Previsão/Data",NETWORKDAYS(L1756,M1756)-1)</f>
        <v>-6</v>
      </c>
      <c r="T1756" s="5" t="s">
        <v>942</v>
      </c>
    </row>
    <row r="1757" spans="1:20" x14ac:dyDescent="0.35">
      <c r="A1757" s="5">
        <v>8100276145</v>
      </c>
      <c r="B1757" s="5">
        <v>10757</v>
      </c>
      <c r="C1757" s="6">
        <v>45671</v>
      </c>
      <c r="D1757" s="5" t="s">
        <v>239</v>
      </c>
      <c r="E1757" s="5" t="s">
        <v>240</v>
      </c>
      <c r="F1757" s="5" t="s">
        <v>242</v>
      </c>
      <c r="G1757" s="5" t="s">
        <v>243</v>
      </c>
      <c r="H1757" s="5" t="s">
        <v>218</v>
      </c>
      <c r="I1757" s="5" t="s">
        <v>546</v>
      </c>
      <c r="J1757" s="5" t="s">
        <v>355</v>
      </c>
      <c r="K1757" s="5" t="s">
        <v>241</v>
      </c>
      <c r="L1757" s="6">
        <v>45677</v>
      </c>
      <c r="M1757" s="6">
        <v>45671</v>
      </c>
      <c r="N1757" s="6" t="s">
        <v>811</v>
      </c>
      <c r="O1757" s="5" t="str">
        <f ca="1">IF(P1757&lt;&gt;"EXPEDIÇÃO","Expedido",IF(NETWORKDAYS(C1757,TODAY())&gt;=5,"Risco Alto",IF(NETWORKDAYS(C1757,TODAY())&gt;=3,IF(NETWORKDAYS(C1757,TODAY())&lt;5,"Risco Médio",""),IF(NETWORKDAYS(C1757,TODAY())&lt;=2,"Risco Baixo",""))))</f>
        <v>Expedido</v>
      </c>
      <c r="P1757" s="5" t="s">
        <v>25</v>
      </c>
      <c r="S1757" s="7">
        <f>IF(ISBLANK(M1757),"Aguardando Previsão/Data",NETWORKDAYS(L1757,M1757)-1)</f>
        <v>-6</v>
      </c>
      <c r="T1757" s="5" t="s">
        <v>942</v>
      </c>
    </row>
    <row r="1758" spans="1:20" x14ac:dyDescent="0.35">
      <c r="A1758" s="5">
        <v>8100276146</v>
      </c>
      <c r="B1758" s="5">
        <v>10758</v>
      </c>
      <c r="C1758" s="6">
        <v>45671</v>
      </c>
      <c r="D1758" s="5" t="s">
        <v>239</v>
      </c>
      <c r="E1758" s="5" t="s">
        <v>240</v>
      </c>
      <c r="F1758" s="5" t="s">
        <v>242</v>
      </c>
      <c r="G1758" s="5" t="s">
        <v>243</v>
      </c>
      <c r="H1758" s="5" t="s">
        <v>218</v>
      </c>
      <c r="I1758" s="5" t="s">
        <v>546</v>
      </c>
      <c r="J1758" s="5" t="s">
        <v>355</v>
      </c>
      <c r="K1758" s="5" t="s">
        <v>241</v>
      </c>
      <c r="L1758" s="6">
        <v>45677</v>
      </c>
      <c r="M1758" s="6">
        <v>45671</v>
      </c>
      <c r="N1758" s="6" t="s">
        <v>811</v>
      </c>
      <c r="O1758" s="5" t="str">
        <f ca="1">IF(P1758&lt;&gt;"EXPEDIÇÃO","Expedido",IF(NETWORKDAYS(C1758,TODAY())&gt;=5,"Risco Alto",IF(NETWORKDAYS(C1758,TODAY())&gt;=3,IF(NETWORKDAYS(C1758,TODAY())&lt;5,"Risco Médio",""),IF(NETWORKDAYS(C1758,TODAY())&lt;=2,"Risco Baixo",""))))</f>
        <v>Expedido</v>
      </c>
      <c r="P1758" s="5" t="s">
        <v>25</v>
      </c>
      <c r="S1758" s="7">
        <f>IF(ISBLANK(M1758),"Aguardando Previsão/Data",NETWORKDAYS(L1758,M1758)-1)</f>
        <v>-6</v>
      </c>
      <c r="T1758" s="5" t="s">
        <v>942</v>
      </c>
    </row>
    <row r="1759" spans="1:20" x14ac:dyDescent="0.35">
      <c r="A1759" s="5">
        <v>8100276147</v>
      </c>
      <c r="B1759" s="5">
        <v>10770</v>
      </c>
      <c r="C1759" s="6">
        <v>45671</v>
      </c>
      <c r="D1759" s="5" t="s">
        <v>239</v>
      </c>
      <c r="E1759" s="5" t="s">
        <v>240</v>
      </c>
      <c r="F1759" s="5" t="s">
        <v>242</v>
      </c>
      <c r="G1759" s="5" t="s">
        <v>243</v>
      </c>
      <c r="H1759" s="5" t="s">
        <v>218</v>
      </c>
      <c r="I1759" s="5" t="s">
        <v>546</v>
      </c>
      <c r="J1759" s="5" t="s">
        <v>355</v>
      </c>
      <c r="K1759" s="5" t="s">
        <v>241</v>
      </c>
      <c r="L1759" s="6">
        <v>45677</v>
      </c>
      <c r="M1759" s="6">
        <v>45671</v>
      </c>
      <c r="N1759" s="6" t="s">
        <v>811</v>
      </c>
      <c r="O1759" s="5" t="str">
        <f ca="1">IF(P1759&lt;&gt;"EXPEDIÇÃO","Expedido",IF(NETWORKDAYS(C1759,TODAY())&gt;=5,"Risco Alto",IF(NETWORKDAYS(C1759,TODAY())&gt;=3,IF(NETWORKDAYS(C1759,TODAY())&lt;5,"Risco Médio",""),IF(NETWORKDAYS(C1759,TODAY())&lt;=2,"Risco Baixo",""))))</f>
        <v>Expedido</v>
      </c>
      <c r="P1759" s="5" t="s">
        <v>25</v>
      </c>
      <c r="S1759" s="7">
        <f>IF(ISBLANK(M1759),"Aguardando Previsão/Data",NETWORKDAYS(L1759,M1759)-1)</f>
        <v>-6</v>
      </c>
      <c r="T1759" s="5" t="s">
        <v>942</v>
      </c>
    </row>
    <row r="1760" spans="1:20" x14ac:dyDescent="0.35">
      <c r="A1760" s="5">
        <v>8100276148</v>
      </c>
      <c r="B1760" s="5">
        <v>10759</v>
      </c>
      <c r="C1760" s="6">
        <v>45671</v>
      </c>
      <c r="D1760" s="5" t="s">
        <v>239</v>
      </c>
      <c r="E1760" s="5" t="s">
        <v>240</v>
      </c>
      <c r="F1760" s="5" t="s">
        <v>160</v>
      </c>
      <c r="G1760" s="5" t="s">
        <v>161</v>
      </c>
      <c r="H1760" s="5" t="s">
        <v>218</v>
      </c>
      <c r="I1760" s="5" t="s">
        <v>546</v>
      </c>
      <c r="J1760" s="5" t="s">
        <v>355</v>
      </c>
      <c r="K1760" s="5" t="s">
        <v>241</v>
      </c>
      <c r="L1760" s="6">
        <v>45677</v>
      </c>
      <c r="M1760" s="6">
        <v>45671</v>
      </c>
      <c r="N1760" s="6" t="s">
        <v>811</v>
      </c>
      <c r="O1760" s="5" t="str">
        <f ca="1">IF(P1760&lt;&gt;"EXPEDIÇÃO","Expedido",IF(NETWORKDAYS(C1760,TODAY())&gt;=5,"Risco Alto",IF(NETWORKDAYS(C1760,TODAY())&gt;=3,IF(NETWORKDAYS(C1760,TODAY())&lt;5,"Risco Médio",""),IF(NETWORKDAYS(C1760,TODAY())&lt;=2,"Risco Baixo",""))))</f>
        <v>Expedido</v>
      </c>
      <c r="P1760" s="5" t="s">
        <v>25</v>
      </c>
      <c r="S1760" s="7">
        <f>IF(ISBLANK(M1760),"Aguardando Previsão/Data",NETWORKDAYS(L1760,M1760)-1)</f>
        <v>-6</v>
      </c>
      <c r="T1760" s="5" t="s">
        <v>942</v>
      </c>
    </row>
    <row r="1761" spans="1:20" x14ac:dyDescent="0.35">
      <c r="A1761" s="5">
        <v>8100276152</v>
      </c>
      <c r="B1761" s="5">
        <v>10764</v>
      </c>
      <c r="C1761" s="6">
        <v>45671</v>
      </c>
      <c r="D1761" s="5" t="s">
        <v>239</v>
      </c>
      <c r="E1761" s="5" t="s">
        <v>240</v>
      </c>
      <c r="F1761" s="5" t="s">
        <v>160</v>
      </c>
      <c r="G1761" s="5" t="s">
        <v>161</v>
      </c>
      <c r="H1761" s="5" t="s">
        <v>218</v>
      </c>
      <c r="I1761" s="5" t="s">
        <v>546</v>
      </c>
      <c r="J1761" s="5" t="s">
        <v>355</v>
      </c>
      <c r="K1761" s="5" t="s">
        <v>241</v>
      </c>
      <c r="L1761" s="6">
        <v>45677</v>
      </c>
      <c r="M1761" s="6">
        <v>45671</v>
      </c>
      <c r="N1761" s="6" t="s">
        <v>811</v>
      </c>
      <c r="O1761" s="5" t="str">
        <f ca="1">IF(P1761&lt;&gt;"EXPEDIÇÃO","Expedido",IF(NETWORKDAYS(C1761,TODAY())&gt;=5,"Risco Alto",IF(NETWORKDAYS(C1761,TODAY())&gt;=3,IF(NETWORKDAYS(C1761,TODAY())&lt;5,"Risco Médio",""),IF(NETWORKDAYS(C1761,TODAY())&lt;=2,"Risco Baixo",""))))</f>
        <v>Expedido</v>
      </c>
      <c r="P1761" s="5" t="s">
        <v>25</v>
      </c>
      <c r="S1761" s="7">
        <f>IF(ISBLANK(M1761),"Aguardando Previsão/Data",NETWORKDAYS(L1761,M1761)-1)</f>
        <v>-6</v>
      </c>
      <c r="T1761" s="5" t="s">
        <v>942</v>
      </c>
    </row>
    <row r="1762" spans="1:20" x14ac:dyDescent="0.35">
      <c r="A1762" s="5">
        <v>8100276154</v>
      </c>
      <c r="B1762" s="5">
        <v>10765</v>
      </c>
      <c r="C1762" s="6">
        <v>45671</v>
      </c>
      <c r="D1762" s="5" t="s">
        <v>239</v>
      </c>
      <c r="E1762" s="5" t="s">
        <v>240</v>
      </c>
      <c r="F1762" s="5" t="s">
        <v>160</v>
      </c>
      <c r="G1762" s="5" t="s">
        <v>161</v>
      </c>
      <c r="H1762" s="5" t="s">
        <v>218</v>
      </c>
      <c r="I1762" s="5" t="s">
        <v>546</v>
      </c>
      <c r="J1762" s="5" t="s">
        <v>355</v>
      </c>
      <c r="K1762" s="5" t="s">
        <v>241</v>
      </c>
      <c r="L1762" s="6">
        <v>45677</v>
      </c>
      <c r="M1762" s="6">
        <v>45671</v>
      </c>
      <c r="N1762" s="6" t="s">
        <v>811</v>
      </c>
      <c r="O1762" s="5" t="str">
        <f ca="1">IF(P1762&lt;&gt;"EXPEDIÇÃO","Expedido",IF(NETWORKDAYS(C1762,TODAY())&gt;=5,"Risco Alto",IF(NETWORKDAYS(C1762,TODAY())&gt;=3,IF(NETWORKDAYS(C1762,TODAY())&lt;5,"Risco Médio",""),IF(NETWORKDAYS(C1762,TODAY())&lt;=2,"Risco Baixo",""))))</f>
        <v>Expedido</v>
      </c>
      <c r="P1762" s="5" t="s">
        <v>25</v>
      </c>
      <c r="S1762" s="7">
        <f>IF(ISBLANK(M1762),"Aguardando Previsão/Data",NETWORKDAYS(L1762,M1762)-1)</f>
        <v>-6</v>
      </c>
      <c r="T1762" s="5" t="s">
        <v>942</v>
      </c>
    </row>
    <row r="1763" spans="1:20" x14ac:dyDescent="0.35">
      <c r="A1763" s="5">
        <v>8100276155</v>
      </c>
      <c r="B1763" s="5">
        <v>10766</v>
      </c>
      <c r="C1763" s="6">
        <v>45671</v>
      </c>
      <c r="D1763" s="5" t="s">
        <v>239</v>
      </c>
      <c r="E1763" s="5" t="s">
        <v>240</v>
      </c>
      <c r="F1763" s="5" t="s">
        <v>160</v>
      </c>
      <c r="G1763" s="5" t="s">
        <v>161</v>
      </c>
      <c r="H1763" s="5" t="s">
        <v>218</v>
      </c>
      <c r="I1763" s="5" t="s">
        <v>546</v>
      </c>
      <c r="J1763" s="5" t="s">
        <v>355</v>
      </c>
      <c r="K1763" s="5" t="s">
        <v>241</v>
      </c>
      <c r="L1763" s="6">
        <v>45677</v>
      </c>
      <c r="M1763" s="6">
        <v>45671</v>
      </c>
      <c r="N1763" s="6" t="s">
        <v>811</v>
      </c>
      <c r="O1763" s="5" t="str">
        <f ca="1">IF(P1763&lt;&gt;"EXPEDIÇÃO","Expedido",IF(NETWORKDAYS(C1763,TODAY())&gt;=5,"Risco Alto",IF(NETWORKDAYS(C1763,TODAY())&gt;=3,IF(NETWORKDAYS(C1763,TODAY())&lt;5,"Risco Médio",""),IF(NETWORKDAYS(C1763,TODAY())&lt;=2,"Risco Baixo",""))))</f>
        <v>Expedido</v>
      </c>
      <c r="P1763" s="5" t="s">
        <v>25</v>
      </c>
      <c r="S1763" s="7">
        <f>IF(ISBLANK(M1763),"Aguardando Previsão/Data",NETWORKDAYS(L1763,M1763)-1)</f>
        <v>-6</v>
      </c>
      <c r="T1763" s="5" t="s">
        <v>942</v>
      </c>
    </row>
    <row r="1764" spans="1:20" x14ac:dyDescent="0.35">
      <c r="A1764" s="5">
        <v>8100276157</v>
      </c>
      <c r="B1764" s="5">
        <v>10767</v>
      </c>
      <c r="C1764" s="6">
        <v>45671</v>
      </c>
      <c r="D1764" s="5" t="s">
        <v>239</v>
      </c>
      <c r="E1764" s="5" t="s">
        <v>240</v>
      </c>
      <c r="F1764" s="5" t="s">
        <v>160</v>
      </c>
      <c r="G1764" s="5" t="s">
        <v>161</v>
      </c>
      <c r="H1764" s="5" t="s">
        <v>218</v>
      </c>
      <c r="I1764" s="5" t="s">
        <v>546</v>
      </c>
      <c r="J1764" s="5" t="s">
        <v>355</v>
      </c>
      <c r="K1764" s="5" t="s">
        <v>241</v>
      </c>
      <c r="L1764" s="6">
        <v>45677</v>
      </c>
      <c r="M1764" s="6">
        <v>45671</v>
      </c>
      <c r="N1764" s="6" t="s">
        <v>811</v>
      </c>
      <c r="O1764" s="5" t="str">
        <f ca="1">IF(P1764&lt;&gt;"EXPEDIÇÃO","Expedido",IF(NETWORKDAYS(C1764,TODAY())&gt;=5,"Risco Alto",IF(NETWORKDAYS(C1764,TODAY())&gt;=3,IF(NETWORKDAYS(C1764,TODAY())&lt;5,"Risco Médio",""),IF(NETWORKDAYS(C1764,TODAY())&lt;=2,"Risco Baixo",""))))</f>
        <v>Expedido</v>
      </c>
      <c r="P1764" s="5" t="s">
        <v>25</v>
      </c>
      <c r="S1764" s="7">
        <f>IF(ISBLANK(M1764),"Aguardando Previsão/Data",NETWORKDAYS(L1764,M1764)-1)</f>
        <v>-6</v>
      </c>
      <c r="T1764" s="5" t="s">
        <v>942</v>
      </c>
    </row>
    <row r="1765" spans="1:20" x14ac:dyDescent="0.35">
      <c r="A1765" s="5">
        <v>8100276158</v>
      </c>
      <c r="B1765" s="5">
        <v>10768</v>
      </c>
      <c r="C1765" s="6">
        <v>45671</v>
      </c>
      <c r="D1765" s="5" t="s">
        <v>239</v>
      </c>
      <c r="E1765" s="5" t="s">
        <v>240</v>
      </c>
      <c r="F1765" s="5" t="s">
        <v>176</v>
      </c>
      <c r="G1765" s="5" t="s">
        <v>177</v>
      </c>
      <c r="H1765" s="5" t="s">
        <v>218</v>
      </c>
      <c r="I1765" s="5" t="s">
        <v>546</v>
      </c>
      <c r="J1765" s="5" t="s">
        <v>355</v>
      </c>
      <c r="K1765" s="5" t="s">
        <v>241</v>
      </c>
      <c r="L1765" s="6">
        <v>45677</v>
      </c>
      <c r="M1765" s="6">
        <v>45671</v>
      </c>
      <c r="N1765" s="6" t="s">
        <v>811</v>
      </c>
      <c r="O1765" s="5" t="str">
        <f ca="1">IF(P1765&lt;&gt;"EXPEDIÇÃO","Expedido",IF(NETWORKDAYS(C1765,TODAY())&gt;=5,"Risco Alto",IF(NETWORKDAYS(C1765,TODAY())&gt;=3,IF(NETWORKDAYS(C1765,TODAY())&lt;5,"Risco Médio",""),IF(NETWORKDAYS(C1765,TODAY())&lt;=2,"Risco Baixo",""))))</f>
        <v>Expedido</v>
      </c>
      <c r="P1765" s="5" t="s">
        <v>25</v>
      </c>
      <c r="S1765" s="7">
        <f>IF(ISBLANK(M1765),"Aguardando Previsão/Data",NETWORKDAYS(L1765,M1765)-1)</f>
        <v>-6</v>
      </c>
      <c r="T1765" s="5" t="s">
        <v>942</v>
      </c>
    </row>
    <row r="1766" spans="1:20" x14ac:dyDescent="0.35">
      <c r="A1766" s="5">
        <v>8100276159</v>
      </c>
      <c r="B1766" s="5">
        <v>10785</v>
      </c>
      <c r="C1766" s="6">
        <v>45671</v>
      </c>
      <c r="D1766" s="5" t="s">
        <v>239</v>
      </c>
      <c r="E1766" s="5" t="s">
        <v>240</v>
      </c>
      <c r="F1766" s="5" t="s">
        <v>176</v>
      </c>
      <c r="G1766" s="5" t="s">
        <v>177</v>
      </c>
      <c r="H1766" s="5" t="s">
        <v>218</v>
      </c>
      <c r="I1766" s="5" t="s">
        <v>324</v>
      </c>
      <c r="J1766" s="5" t="s">
        <v>325</v>
      </c>
      <c r="K1766" s="5" t="s">
        <v>241</v>
      </c>
      <c r="L1766" s="6">
        <v>45679</v>
      </c>
      <c r="M1766" s="6">
        <v>45674</v>
      </c>
      <c r="N1766" s="6" t="s">
        <v>811</v>
      </c>
      <c r="O1766" s="5" t="str">
        <f ca="1">IF(P1766&lt;&gt;"EXPEDIÇÃO","Expedido",IF(NETWORKDAYS(C1766,TODAY())&gt;=5,"Risco Alto",IF(NETWORKDAYS(C1766,TODAY())&gt;=3,IF(NETWORKDAYS(C1766,TODAY())&lt;5,"Risco Médio",""),IF(NETWORKDAYS(C1766,TODAY())&lt;=2,"Risco Baixo",""))))</f>
        <v>Expedido</v>
      </c>
      <c r="P1766" s="5" t="s">
        <v>25</v>
      </c>
      <c r="Q1766" s="5" t="s">
        <v>793</v>
      </c>
      <c r="S1766" s="7">
        <f>IF(ISBLANK(M1766),"Aguardando Previsão/Data",NETWORKDAYS(L1766,M1766)-1)</f>
        <v>-5</v>
      </c>
      <c r="T1766" s="5" t="s">
        <v>942</v>
      </c>
    </row>
    <row r="1767" spans="1:20" x14ac:dyDescent="0.35">
      <c r="A1767" s="5">
        <v>8100276239</v>
      </c>
      <c r="B1767" s="5">
        <v>10769</v>
      </c>
      <c r="C1767" s="6">
        <v>45671</v>
      </c>
      <c r="D1767" s="5" t="s">
        <v>239</v>
      </c>
      <c r="E1767" s="5" t="s">
        <v>240</v>
      </c>
      <c r="F1767" s="5" t="s">
        <v>242</v>
      </c>
      <c r="G1767" s="5" t="s">
        <v>243</v>
      </c>
      <c r="H1767" s="5" t="s">
        <v>218</v>
      </c>
      <c r="I1767" s="5" t="s">
        <v>546</v>
      </c>
      <c r="J1767" s="5" t="s">
        <v>355</v>
      </c>
      <c r="K1767" s="5" t="s">
        <v>241</v>
      </c>
      <c r="L1767" s="6">
        <v>45677</v>
      </c>
      <c r="M1767" s="6">
        <v>45671</v>
      </c>
      <c r="N1767" s="6" t="s">
        <v>811</v>
      </c>
      <c r="O1767" s="5" t="str">
        <f ca="1">IF(P1767&lt;&gt;"EXPEDIÇÃO","Expedido",IF(NETWORKDAYS(C1767,TODAY())&gt;=5,"Risco Alto",IF(NETWORKDAYS(C1767,TODAY())&gt;=3,IF(NETWORKDAYS(C1767,TODAY())&lt;5,"Risco Médio",""),IF(NETWORKDAYS(C1767,TODAY())&lt;=2,"Risco Baixo",""))))</f>
        <v>Expedido</v>
      </c>
      <c r="P1767" s="5" t="s">
        <v>25</v>
      </c>
      <c r="Q1767" s="5" t="s">
        <v>900</v>
      </c>
      <c r="S1767" s="7">
        <f>IF(ISBLANK(M1767),"Aguardando Previsão/Data",NETWORKDAYS(L1767,M1767)-1)</f>
        <v>-6</v>
      </c>
      <c r="T1767" s="5" t="s">
        <v>942</v>
      </c>
    </row>
    <row r="1768" spans="1:20" x14ac:dyDescent="0.35">
      <c r="A1768" s="5">
        <v>8100276365</v>
      </c>
      <c r="B1768" s="5">
        <v>10781</v>
      </c>
      <c r="C1768" s="6">
        <v>45671</v>
      </c>
      <c r="D1768" s="5" t="s">
        <v>239</v>
      </c>
      <c r="E1768" s="5" t="s">
        <v>240</v>
      </c>
      <c r="F1768" s="5" t="s">
        <v>242</v>
      </c>
      <c r="G1768" s="5" t="s">
        <v>243</v>
      </c>
      <c r="H1768" s="5" t="s">
        <v>218</v>
      </c>
      <c r="I1768" s="5" t="s">
        <v>245</v>
      </c>
      <c r="J1768" s="5" t="s">
        <v>246</v>
      </c>
      <c r="K1768" s="5" t="s">
        <v>241</v>
      </c>
      <c r="L1768" s="6">
        <v>45678</v>
      </c>
      <c r="M1768" s="6">
        <v>45674</v>
      </c>
      <c r="O1768" s="5" t="str">
        <f ca="1">IF(P1768&lt;&gt;"EXPEDIÇÃO","Expedido",IF(NETWORKDAYS(C1768,TODAY())&gt;=5,"Risco Alto",IF(NETWORKDAYS(C1768,TODAY())&gt;=3,IF(NETWORKDAYS(C1768,TODAY())&lt;5,"Risco Médio",""),IF(NETWORKDAYS(C1768,TODAY())&lt;=2,"Risco Baixo",""))))</f>
        <v>Expedido</v>
      </c>
      <c r="P1768" s="5" t="s">
        <v>145</v>
      </c>
      <c r="Q1768" s="5" t="s">
        <v>363</v>
      </c>
      <c r="S1768" s="7">
        <f>IF(ISBLANK(M1768),"Aguardando Previsão/Data",NETWORKDAYS(L1768,M1768)-1)</f>
        <v>-4</v>
      </c>
      <c r="T1768" s="5" t="s">
        <v>942</v>
      </c>
    </row>
    <row r="1769" spans="1:20" x14ac:dyDescent="0.35">
      <c r="A1769" s="5">
        <v>8100276428</v>
      </c>
      <c r="B1769" s="5">
        <v>10784</v>
      </c>
      <c r="C1769" s="6">
        <v>45671</v>
      </c>
      <c r="D1769" s="5" t="s">
        <v>239</v>
      </c>
      <c r="E1769" s="5" t="s">
        <v>240</v>
      </c>
      <c r="F1769" s="5" t="s">
        <v>176</v>
      </c>
      <c r="G1769" s="5" t="s">
        <v>177</v>
      </c>
      <c r="H1769" s="5" t="s">
        <v>218</v>
      </c>
      <c r="I1769" s="5" t="s">
        <v>247</v>
      </c>
      <c r="J1769" s="5" t="s">
        <v>248</v>
      </c>
      <c r="K1769" s="5" t="s">
        <v>241</v>
      </c>
      <c r="L1769" s="6">
        <v>45678</v>
      </c>
      <c r="M1769" s="6">
        <v>45673</v>
      </c>
      <c r="N1769" s="6" t="s">
        <v>811</v>
      </c>
      <c r="O1769" s="5" t="str">
        <f ca="1">IF(P1769&lt;&gt;"EXPEDIÇÃO","Expedido",IF(NETWORKDAYS(C1769,TODAY())&gt;=5,"Risco Alto",IF(NETWORKDAYS(C1769,TODAY())&gt;=3,IF(NETWORKDAYS(C1769,TODAY())&lt;5,"Risco Médio",""),IF(NETWORKDAYS(C1769,TODAY())&lt;=2,"Risco Baixo",""))))</f>
        <v>Expedido</v>
      </c>
      <c r="P1769" s="5" t="s">
        <v>25</v>
      </c>
      <c r="Q1769" s="5" t="s">
        <v>793</v>
      </c>
      <c r="S1769" s="7">
        <f>IF(ISBLANK(M1769),"Aguardando Previsão/Data",NETWORKDAYS(L1769,M1769)-1)</f>
        <v>-5</v>
      </c>
      <c r="T1769" s="5" t="s">
        <v>942</v>
      </c>
    </row>
    <row r="1770" spans="1:20" x14ac:dyDescent="0.35">
      <c r="A1770" s="5">
        <v>8100276439</v>
      </c>
      <c r="B1770" s="5">
        <v>10782</v>
      </c>
      <c r="C1770" s="6">
        <v>45671</v>
      </c>
      <c r="D1770" s="5" t="s">
        <v>239</v>
      </c>
      <c r="E1770" s="5" t="s">
        <v>240</v>
      </c>
      <c r="F1770" s="5" t="s">
        <v>242</v>
      </c>
      <c r="G1770" s="5" t="s">
        <v>243</v>
      </c>
      <c r="H1770" s="5" t="s">
        <v>218</v>
      </c>
      <c r="I1770" s="5" t="s">
        <v>245</v>
      </c>
      <c r="J1770" s="5" t="s">
        <v>656</v>
      </c>
      <c r="K1770" s="5" t="s">
        <v>241</v>
      </c>
      <c r="L1770" s="6">
        <v>45677</v>
      </c>
      <c r="M1770" s="6">
        <v>45674</v>
      </c>
      <c r="N1770" s="6" t="s">
        <v>811</v>
      </c>
      <c r="O1770" s="5" t="str">
        <f ca="1">IF(P1770&lt;&gt;"EXPEDIÇÃO","Expedido",IF(NETWORKDAYS(C1770,TODAY())&gt;=5,"Risco Alto",IF(NETWORKDAYS(C1770,TODAY())&gt;=3,IF(NETWORKDAYS(C1770,TODAY())&lt;5,"Risco Médio",""),IF(NETWORKDAYS(C1770,TODAY())&lt;=2,"Risco Baixo",""))))</f>
        <v>Expedido</v>
      </c>
      <c r="P1770" s="5" t="s">
        <v>25</v>
      </c>
      <c r="Q1770" s="5" t="s">
        <v>793</v>
      </c>
      <c r="S1770" s="7">
        <f>IF(ISBLANK(M1770),"Aguardando Previsão/Data",NETWORKDAYS(L1770,M1770)-1)</f>
        <v>-3</v>
      </c>
      <c r="T1770" s="5" t="s">
        <v>942</v>
      </c>
    </row>
    <row r="1771" spans="1:20" x14ac:dyDescent="0.35">
      <c r="A1771" s="5">
        <v>8100276440</v>
      </c>
      <c r="B1771" s="5">
        <v>10789</v>
      </c>
      <c r="C1771" s="6">
        <v>45671</v>
      </c>
      <c r="D1771" s="5" t="s">
        <v>239</v>
      </c>
      <c r="E1771" s="5" t="s">
        <v>240</v>
      </c>
      <c r="F1771" s="5" t="s">
        <v>160</v>
      </c>
      <c r="G1771" s="5" t="s">
        <v>161</v>
      </c>
      <c r="H1771" s="5" t="s">
        <v>218</v>
      </c>
      <c r="I1771" s="5" t="s">
        <v>354</v>
      </c>
      <c r="J1771" s="5" t="s">
        <v>355</v>
      </c>
      <c r="K1771" s="5" t="s">
        <v>241</v>
      </c>
      <c r="L1771" s="6">
        <v>45677</v>
      </c>
      <c r="M1771" s="6">
        <v>45674</v>
      </c>
      <c r="N1771" s="6" t="s">
        <v>811</v>
      </c>
      <c r="O1771" s="5" t="str">
        <f ca="1">IF(P1771&lt;&gt;"EXPEDIÇÃO","Expedido",IF(NETWORKDAYS(C1771,TODAY())&gt;=5,"Risco Alto",IF(NETWORKDAYS(C1771,TODAY())&gt;=3,IF(NETWORKDAYS(C1771,TODAY())&lt;5,"Risco Médio",""),IF(NETWORKDAYS(C1771,TODAY())&lt;=2,"Risco Baixo",""))))</f>
        <v>Expedido</v>
      </c>
      <c r="P1771" s="5" t="s">
        <v>25</v>
      </c>
      <c r="Q1771" s="5" t="s">
        <v>793</v>
      </c>
      <c r="S1771" s="7">
        <f>IF(ISBLANK(M1771),"Aguardando Previsão/Data",NETWORKDAYS(L1771,M1771)-1)</f>
        <v>-3</v>
      </c>
      <c r="T1771" s="5" t="s">
        <v>942</v>
      </c>
    </row>
    <row r="1772" spans="1:20" x14ac:dyDescent="0.35">
      <c r="A1772" s="5">
        <v>8100276441</v>
      </c>
      <c r="B1772" s="5">
        <v>10794</v>
      </c>
      <c r="C1772" s="6">
        <v>45671</v>
      </c>
      <c r="D1772" s="5" t="s">
        <v>239</v>
      </c>
      <c r="E1772" s="5" t="s">
        <v>240</v>
      </c>
      <c r="F1772" s="5" t="s">
        <v>160</v>
      </c>
      <c r="G1772" s="5" t="s">
        <v>161</v>
      </c>
      <c r="H1772" s="5" t="s">
        <v>218</v>
      </c>
      <c r="I1772" s="5" t="s">
        <v>414</v>
      </c>
      <c r="J1772" s="5" t="s">
        <v>718</v>
      </c>
      <c r="K1772" s="5" t="s">
        <v>241</v>
      </c>
      <c r="L1772" s="6">
        <v>45677</v>
      </c>
      <c r="M1772" s="6">
        <v>45674</v>
      </c>
      <c r="N1772" s="6" t="s">
        <v>811</v>
      </c>
      <c r="O1772" s="5" t="str">
        <f ca="1">IF(P1772&lt;&gt;"EXPEDIÇÃO","Expedido",IF(NETWORKDAYS(C1772,TODAY())&gt;=5,"Risco Alto",IF(NETWORKDAYS(C1772,TODAY())&gt;=3,IF(NETWORKDAYS(C1772,TODAY())&lt;5,"Risco Médio",""),IF(NETWORKDAYS(C1772,TODAY())&lt;=2,"Risco Baixo",""))))</f>
        <v>Expedido</v>
      </c>
      <c r="P1772" s="5" t="s">
        <v>25</v>
      </c>
      <c r="Q1772" s="5" t="s">
        <v>793</v>
      </c>
      <c r="S1772" s="7">
        <f>IF(ISBLANK(M1772),"Aguardando Previsão/Data",NETWORKDAYS(L1772,M1772)-1)</f>
        <v>-3</v>
      </c>
      <c r="T1772" s="5" t="s">
        <v>942</v>
      </c>
    </row>
    <row r="1773" spans="1:20" x14ac:dyDescent="0.35">
      <c r="A1773" s="5">
        <v>8100276482</v>
      </c>
      <c r="B1773" s="5">
        <v>10786</v>
      </c>
      <c r="C1773" s="6">
        <v>45671</v>
      </c>
      <c r="D1773" s="5" t="s">
        <v>239</v>
      </c>
      <c r="E1773" s="5" t="s">
        <v>240</v>
      </c>
      <c r="F1773" s="5" t="s">
        <v>176</v>
      </c>
      <c r="G1773" s="5" t="s">
        <v>177</v>
      </c>
      <c r="H1773" s="5" t="s">
        <v>218</v>
      </c>
      <c r="I1773" s="5" t="s">
        <v>546</v>
      </c>
      <c r="J1773" s="5" t="s">
        <v>355</v>
      </c>
      <c r="K1773" s="5" t="s">
        <v>241</v>
      </c>
      <c r="L1773" s="6">
        <v>45677</v>
      </c>
      <c r="M1773" s="6">
        <v>45671</v>
      </c>
      <c r="N1773" s="6" t="s">
        <v>811</v>
      </c>
      <c r="O1773" s="5" t="str">
        <f ca="1">IF(P1773&lt;&gt;"EXPEDIÇÃO","Expedido",IF(NETWORKDAYS(C1773,TODAY())&gt;=5,"Risco Alto",IF(NETWORKDAYS(C1773,TODAY())&gt;=3,IF(NETWORKDAYS(C1773,TODAY())&lt;5,"Risco Médio",""),IF(NETWORKDAYS(C1773,TODAY())&lt;=2,"Risco Baixo",""))))</f>
        <v>Expedido</v>
      </c>
      <c r="P1773" s="5" t="s">
        <v>25</v>
      </c>
      <c r="Q1773" s="5" t="s">
        <v>900</v>
      </c>
      <c r="S1773" s="7">
        <f>IF(ISBLANK(M1773),"Aguardando Previsão/Data",NETWORKDAYS(L1773,M1773)-1)</f>
        <v>-6</v>
      </c>
      <c r="T1773" s="5" t="s">
        <v>942</v>
      </c>
    </row>
    <row r="1774" spans="1:20" x14ac:dyDescent="0.35">
      <c r="A1774" s="5">
        <v>8100276488</v>
      </c>
      <c r="B1774" s="5">
        <v>10787</v>
      </c>
      <c r="C1774" s="6">
        <v>45671</v>
      </c>
      <c r="D1774" s="5" t="s">
        <v>239</v>
      </c>
      <c r="E1774" s="5" t="s">
        <v>240</v>
      </c>
      <c r="F1774" s="5" t="s">
        <v>176</v>
      </c>
      <c r="G1774" s="5" t="s">
        <v>177</v>
      </c>
      <c r="H1774" s="5" t="s">
        <v>218</v>
      </c>
      <c r="I1774" s="5" t="s">
        <v>546</v>
      </c>
      <c r="J1774" s="5" t="s">
        <v>355</v>
      </c>
      <c r="K1774" s="5" t="s">
        <v>241</v>
      </c>
      <c r="L1774" s="6">
        <v>45677</v>
      </c>
      <c r="M1774" s="6">
        <v>45671</v>
      </c>
      <c r="N1774" s="6" t="s">
        <v>811</v>
      </c>
      <c r="O1774" s="5" t="str">
        <f ca="1">IF(P1774&lt;&gt;"EXPEDIÇÃO","Expedido",IF(NETWORKDAYS(C1774,TODAY())&gt;=5,"Risco Alto",IF(NETWORKDAYS(C1774,TODAY())&gt;=3,IF(NETWORKDAYS(C1774,TODAY())&lt;5,"Risco Médio",""),IF(NETWORKDAYS(C1774,TODAY())&lt;=2,"Risco Baixo",""))))</f>
        <v>Expedido</v>
      </c>
      <c r="P1774" s="5" t="s">
        <v>25</v>
      </c>
      <c r="Q1774" s="5" t="s">
        <v>900</v>
      </c>
      <c r="S1774" s="7">
        <f>IF(ISBLANK(M1774),"Aguardando Previsão/Data",NETWORKDAYS(L1774,M1774)-1)</f>
        <v>-6</v>
      </c>
      <c r="T1774" s="5" t="s">
        <v>942</v>
      </c>
    </row>
    <row r="1775" spans="1:20" x14ac:dyDescent="0.35">
      <c r="A1775" s="5">
        <v>8100276575</v>
      </c>
      <c r="B1775" s="5">
        <v>10795</v>
      </c>
      <c r="C1775" s="6">
        <v>45671</v>
      </c>
      <c r="D1775" s="5" t="s">
        <v>239</v>
      </c>
      <c r="E1775" s="5" t="s">
        <v>240</v>
      </c>
      <c r="F1775" s="5" t="s">
        <v>242</v>
      </c>
      <c r="G1775" s="5" t="s">
        <v>243</v>
      </c>
      <c r="H1775" s="5" t="s">
        <v>218</v>
      </c>
      <c r="I1775" s="5" t="s">
        <v>253</v>
      </c>
      <c r="J1775" s="5" t="s">
        <v>254</v>
      </c>
      <c r="K1775" s="5" t="s">
        <v>241</v>
      </c>
      <c r="L1775" s="6">
        <v>45677</v>
      </c>
      <c r="M1775" s="6">
        <v>45677</v>
      </c>
      <c r="N1775" s="6" t="s">
        <v>811</v>
      </c>
      <c r="O1775" s="5" t="str">
        <f ca="1">IF(P1775&lt;&gt;"EXPEDIÇÃO","Expedido",IF(NETWORKDAYS(C1775,TODAY())&gt;=5,"Risco Alto",IF(NETWORKDAYS(C1775,TODAY())&gt;=3,IF(NETWORKDAYS(C1775,TODAY())&lt;5,"Risco Médio",""),IF(NETWORKDAYS(C1775,TODAY())&lt;=2,"Risco Baixo",""))))</f>
        <v>Expedido</v>
      </c>
      <c r="P1775" s="5" t="s">
        <v>25</v>
      </c>
      <c r="Q1775" s="5" t="s">
        <v>793</v>
      </c>
      <c r="S1775" s="7">
        <f>IF(ISBLANK(M1775),"Aguardando Previsão/Data",NETWORKDAYS(L1775,M1775)-1)</f>
        <v>0</v>
      </c>
      <c r="T1775" s="5" t="s">
        <v>942</v>
      </c>
    </row>
    <row r="1776" spans="1:20" x14ac:dyDescent="0.35">
      <c r="A1776" s="5">
        <v>8100276576</v>
      </c>
      <c r="B1776" s="5">
        <v>10790</v>
      </c>
      <c r="C1776" s="6">
        <v>45671</v>
      </c>
      <c r="D1776" s="5" t="s">
        <v>239</v>
      </c>
      <c r="E1776" s="5" t="s">
        <v>240</v>
      </c>
      <c r="F1776" s="5" t="s">
        <v>160</v>
      </c>
      <c r="G1776" s="5" t="s">
        <v>161</v>
      </c>
      <c r="H1776" s="5" t="s">
        <v>218</v>
      </c>
      <c r="I1776" s="5" t="s">
        <v>354</v>
      </c>
      <c r="J1776" s="5" t="s">
        <v>355</v>
      </c>
      <c r="K1776" s="5" t="s">
        <v>241</v>
      </c>
      <c r="L1776" s="6">
        <v>45677</v>
      </c>
      <c r="M1776" s="6">
        <v>45674</v>
      </c>
      <c r="N1776" s="6" t="s">
        <v>811</v>
      </c>
      <c r="O1776" s="5" t="str">
        <f ca="1">IF(P1776&lt;&gt;"EXPEDIÇÃO","Expedido",IF(NETWORKDAYS(C1776,TODAY())&gt;=5,"Risco Alto",IF(NETWORKDAYS(C1776,TODAY())&gt;=3,IF(NETWORKDAYS(C1776,TODAY())&lt;5,"Risco Médio",""),IF(NETWORKDAYS(C1776,TODAY())&lt;=2,"Risco Baixo",""))))</f>
        <v>Expedido</v>
      </c>
      <c r="P1776" s="5" t="s">
        <v>25</v>
      </c>
      <c r="Q1776" s="5" t="s">
        <v>793</v>
      </c>
      <c r="S1776" s="7">
        <f>IF(ISBLANK(M1776),"Aguardando Previsão/Data",NETWORKDAYS(L1776,M1776)-1)</f>
        <v>-3</v>
      </c>
      <c r="T1776" s="5" t="s">
        <v>942</v>
      </c>
    </row>
    <row r="1777" spans="1:20" x14ac:dyDescent="0.35">
      <c r="A1777" s="5">
        <v>8100276577</v>
      </c>
      <c r="B1777" s="5">
        <v>10793</v>
      </c>
      <c r="C1777" s="6">
        <v>45671</v>
      </c>
      <c r="D1777" s="5" t="s">
        <v>239</v>
      </c>
      <c r="E1777" s="5" t="s">
        <v>240</v>
      </c>
      <c r="F1777" s="5" t="s">
        <v>242</v>
      </c>
      <c r="G1777" s="5" t="s">
        <v>243</v>
      </c>
      <c r="H1777" s="5" t="s">
        <v>218</v>
      </c>
      <c r="I1777" s="5" t="s">
        <v>352</v>
      </c>
      <c r="J1777" s="5" t="s">
        <v>353</v>
      </c>
      <c r="K1777" s="5" t="s">
        <v>241</v>
      </c>
      <c r="L1777" s="6">
        <v>45677</v>
      </c>
      <c r="M1777" s="6">
        <v>45677</v>
      </c>
      <c r="N1777" s="6" t="s">
        <v>811</v>
      </c>
      <c r="O1777" s="5" t="str">
        <f ca="1">IF(P1777&lt;&gt;"EXPEDIÇÃO","Expedido",IF(NETWORKDAYS(C1777,TODAY())&gt;=5,"Risco Alto",IF(NETWORKDAYS(C1777,TODAY())&gt;=3,IF(NETWORKDAYS(C1777,TODAY())&lt;5,"Risco Médio",""),IF(NETWORKDAYS(C1777,TODAY())&lt;=2,"Risco Baixo",""))))</f>
        <v>Expedido</v>
      </c>
      <c r="P1777" s="5" t="s">
        <v>25</v>
      </c>
      <c r="Q1777" s="5" t="s">
        <v>793</v>
      </c>
      <c r="S1777" s="7">
        <f>IF(ISBLANK(M1777),"Aguardando Previsão/Data",NETWORKDAYS(L1777,M1777)-1)</f>
        <v>0</v>
      </c>
      <c r="T1777" s="5" t="s">
        <v>942</v>
      </c>
    </row>
    <row r="1778" spans="1:20" x14ac:dyDescent="0.35">
      <c r="A1778" s="5">
        <v>8100276691</v>
      </c>
      <c r="B1778" s="5">
        <v>10808</v>
      </c>
      <c r="C1778" s="6">
        <v>45671</v>
      </c>
      <c r="D1778" s="5" t="s">
        <v>239</v>
      </c>
      <c r="E1778" s="5" t="s">
        <v>240</v>
      </c>
      <c r="F1778" s="5" t="s">
        <v>242</v>
      </c>
      <c r="G1778" s="5" t="s">
        <v>243</v>
      </c>
      <c r="H1778" s="5" t="s">
        <v>218</v>
      </c>
      <c r="I1778" s="5" t="s">
        <v>460</v>
      </c>
      <c r="J1778" s="5" t="s">
        <v>461</v>
      </c>
      <c r="K1778" s="5" t="s">
        <v>241</v>
      </c>
      <c r="L1778" s="6">
        <v>45677</v>
      </c>
      <c r="M1778" s="6">
        <v>45673</v>
      </c>
      <c r="N1778" s="6" t="s">
        <v>811</v>
      </c>
      <c r="O1778" s="5" t="str">
        <f ca="1">IF(P1778&lt;&gt;"EXPEDIÇÃO","Expedido",IF(NETWORKDAYS(C1778,TODAY())&gt;=5,"Risco Alto",IF(NETWORKDAYS(C1778,TODAY())&gt;=3,IF(NETWORKDAYS(C1778,TODAY())&lt;5,"Risco Médio",""),IF(NETWORKDAYS(C1778,TODAY())&lt;=2,"Risco Baixo",""))))</f>
        <v>Expedido</v>
      </c>
      <c r="P1778" s="5" t="s">
        <v>25</v>
      </c>
      <c r="Q1778" s="5" t="s">
        <v>793</v>
      </c>
      <c r="S1778" s="7">
        <f>IF(ISBLANK(M1778),"Aguardando Previsão/Data",NETWORKDAYS(L1778,M1778)-1)</f>
        <v>-4</v>
      </c>
      <c r="T1778" s="5" t="s">
        <v>942</v>
      </c>
    </row>
    <row r="1779" spans="1:20" x14ac:dyDescent="0.35">
      <c r="A1779" s="5">
        <v>8100276725</v>
      </c>
      <c r="B1779" s="5">
        <v>10806</v>
      </c>
      <c r="C1779" s="6">
        <v>45671</v>
      </c>
      <c r="D1779" s="5" t="s">
        <v>239</v>
      </c>
      <c r="E1779" s="5" t="s">
        <v>240</v>
      </c>
      <c r="F1779" s="5" t="s">
        <v>176</v>
      </c>
      <c r="G1779" s="5" t="s">
        <v>177</v>
      </c>
      <c r="H1779" s="5" t="s">
        <v>218</v>
      </c>
      <c r="I1779" s="5" t="s">
        <v>247</v>
      </c>
      <c r="J1779" s="5" t="s">
        <v>248</v>
      </c>
      <c r="K1779" s="5" t="s">
        <v>241</v>
      </c>
      <c r="L1779" s="6">
        <v>45678</v>
      </c>
      <c r="M1779" s="6">
        <v>45673</v>
      </c>
      <c r="N1779" s="6" t="s">
        <v>811</v>
      </c>
      <c r="O1779" s="5" t="str">
        <f ca="1">IF(P1779&lt;&gt;"EXPEDIÇÃO","Expedido",IF(NETWORKDAYS(C1779,TODAY())&gt;=5,"Risco Alto",IF(NETWORKDAYS(C1779,TODAY())&gt;=3,IF(NETWORKDAYS(C1779,TODAY())&lt;5,"Risco Médio",""),IF(NETWORKDAYS(C1779,TODAY())&lt;=2,"Risco Baixo",""))))</f>
        <v>Expedido</v>
      </c>
      <c r="P1779" s="5" t="s">
        <v>25</v>
      </c>
      <c r="Q1779" s="5" t="s">
        <v>793</v>
      </c>
      <c r="S1779" s="7">
        <f>IF(ISBLANK(M1779),"Aguardando Previsão/Data",NETWORKDAYS(L1779,M1779)-1)</f>
        <v>-5</v>
      </c>
      <c r="T1779" s="5" t="s">
        <v>942</v>
      </c>
    </row>
    <row r="1780" spans="1:20" x14ac:dyDescent="0.35">
      <c r="A1780" s="5">
        <v>8100276727</v>
      </c>
      <c r="B1780" s="5">
        <v>10807</v>
      </c>
      <c r="C1780" s="6">
        <v>45671</v>
      </c>
      <c r="D1780" s="5" t="s">
        <v>239</v>
      </c>
      <c r="E1780" s="5" t="s">
        <v>240</v>
      </c>
      <c r="F1780" s="5" t="s">
        <v>176</v>
      </c>
      <c r="G1780" s="5" t="s">
        <v>177</v>
      </c>
      <c r="H1780" s="5" t="s">
        <v>218</v>
      </c>
      <c r="I1780" s="5" t="s">
        <v>247</v>
      </c>
      <c r="J1780" s="5" t="s">
        <v>248</v>
      </c>
      <c r="K1780" s="5" t="s">
        <v>241</v>
      </c>
      <c r="L1780" s="6">
        <v>45678</v>
      </c>
      <c r="M1780" s="6">
        <v>45673</v>
      </c>
      <c r="N1780" s="6" t="s">
        <v>811</v>
      </c>
      <c r="O1780" s="5" t="str">
        <f ca="1">IF(P1780&lt;&gt;"EXPEDIÇÃO","Expedido",IF(NETWORKDAYS(C1780,TODAY())&gt;=5,"Risco Alto",IF(NETWORKDAYS(C1780,TODAY())&gt;=3,IF(NETWORKDAYS(C1780,TODAY())&lt;5,"Risco Médio",""),IF(NETWORKDAYS(C1780,TODAY())&lt;=2,"Risco Baixo",""))))</f>
        <v>Expedido</v>
      </c>
      <c r="P1780" s="5" t="s">
        <v>25</v>
      </c>
      <c r="Q1780" s="5" t="s">
        <v>793</v>
      </c>
      <c r="S1780" s="7">
        <f>IF(ISBLANK(M1780),"Aguardando Previsão/Data",NETWORKDAYS(L1780,M1780)-1)</f>
        <v>-5</v>
      </c>
      <c r="T1780" s="5" t="s">
        <v>942</v>
      </c>
    </row>
    <row r="1781" spans="1:20" x14ac:dyDescent="0.35">
      <c r="A1781" s="5">
        <v>8100276757</v>
      </c>
      <c r="B1781" s="5">
        <v>10801</v>
      </c>
      <c r="C1781" s="6">
        <v>45671</v>
      </c>
      <c r="D1781" s="5" t="s">
        <v>239</v>
      </c>
      <c r="E1781" s="5" t="s">
        <v>240</v>
      </c>
      <c r="F1781" s="5" t="s">
        <v>160</v>
      </c>
      <c r="G1781" s="5" t="s">
        <v>161</v>
      </c>
      <c r="H1781" s="5" t="s">
        <v>218</v>
      </c>
      <c r="I1781" s="5" t="s">
        <v>1100</v>
      </c>
      <c r="J1781" s="5" t="s">
        <v>161</v>
      </c>
      <c r="K1781" s="5" t="s">
        <v>241</v>
      </c>
      <c r="L1781" s="6">
        <v>45677</v>
      </c>
      <c r="M1781" s="6">
        <v>45673</v>
      </c>
      <c r="N1781" s="6" t="s">
        <v>811</v>
      </c>
      <c r="O1781" s="5" t="str">
        <f ca="1">IF(P1781&lt;&gt;"EXPEDIÇÃO","Expedido",IF(NETWORKDAYS(C1781,TODAY())&gt;=5,"Risco Alto",IF(NETWORKDAYS(C1781,TODAY())&gt;=3,IF(NETWORKDAYS(C1781,TODAY())&lt;5,"Risco Médio",""),IF(NETWORKDAYS(C1781,TODAY())&lt;=2,"Risco Baixo",""))))</f>
        <v>Expedido</v>
      </c>
      <c r="P1781" s="5" t="s">
        <v>25</v>
      </c>
      <c r="Q1781" s="5" t="s">
        <v>793</v>
      </c>
      <c r="S1781" s="7">
        <f>IF(ISBLANK(M1781),"Aguardando Previsão/Data",NETWORKDAYS(L1781,M1781)-1)</f>
        <v>-4</v>
      </c>
      <c r="T1781" s="5" t="s">
        <v>942</v>
      </c>
    </row>
    <row r="1782" spans="1:20" x14ac:dyDescent="0.35">
      <c r="A1782" s="5">
        <v>8100276758</v>
      </c>
      <c r="B1782" s="5">
        <v>10802</v>
      </c>
      <c r="C1782" s="6">
        <v>45671</v>
      </c>
      <c r="D1782" s="5" t="s">
        <v>239</v>
      </c>
      <c r="E1782" s="5" t="s">
        <v>240</v>
      </c>
      <c r="F1782" s="5" t="s">
        <v>160</v>
      </c>
      <c r="G1782" s="5" t="s">
        <v>161</v>
      </c>
      <c r="H1782" s="5" t="s">
        <v>218</v>
      </c>
      <c r="I1782" s="5" t="s">
        <v>1100</v>
      </c>
      <c r="J1782" s="5" t="s">
        <v>161</v>
      </c>
      <c r="K1782" s="5" t="s">
        <v>241</v>
      </c>
      <c r="L1782" s="6">
        <v>45677</v>
      </c>
      <c r="M1782" s="6">
        <v>45673</v>
      </c>
      <c r="N1782" s="6" t="s">
        <v>811</v>
      </c>
      <c r="O1782" s="5" t="str">
        <f ca="1">IF(P1782&lt;&gt;"EXPEDIÇÃO","Expedido",IF(NETWORKDAYS(C1782,TODAY())&gt;=5,"Risco Alto",IF(NETWORKDAYS(C1782,TODAY())&gt;=3,IF(NETWORKDAYS(C1782,TODAY())&lt;5,"Risco Médio",""),IF(NETWORKDAYS(C1782,TODAY())&lt;=2,"Risco Baixo",""))))</f>
        <v>Expedido</v>
      </c>
      <c r="P1782" s="5" t="s">
        <v>25</v>
      </c>
      <c r="Q1782" s="5" t="s">
        <v>793</v>
      </c>
      <c r="S1782" s="7">
        <f>IF(ISBLANK(M1782),"Aguardando Previsão/Data",NETWORKDAYS(L1782,M1782)-1)</f>
        <v>-4</v>
      </c>
      <c r="T1782" s="5" t="s">
        <v>942</v>
      </c>
    </row>
    <row r="1783" spans="1:20" x14ac:dyDescent="0.35">
      <c r="A1783" s="5">
        <v>8100276759</v>
      </c>
      <c r="B1783" s="5">
        <v>10796</v>
      </c>
      <c r="C1783" s="6">
        <v>45671</v>
      </c>
      <c r="D1783" s="5" t="s">
        <v>239</v>
      </c>
      <c r="E1783" s="5" t="s">
        <v>240</v>
      </c>
      <c r="F1783" s="5" t="s">
        <v>160</v>
      </c>
      <c r="G1783" s="5" t="s">
        <v>161</v>
      </c>
      <c r="H1783" s="5" t="s">
        <v>218</v>
      </c>
      <c r="I1783" s="5" t="s">
        <v>1100</v>
      </c>
      <c r="J1783" s="5" t="s">
        <v>161</v>
      </c>
      <c r="K1783" s="5" t="s">
        <v>241</v>
      </c>
      <c r="L1783" s="6">
        <v>45677</v>
      </c>
      <c r="M1783" s="6">
        <v>45673</v>
      </c>
      <c r="N1783" s="6" t="s">
        <v>811</v>
      </c>
      <c r="O1783" s="5" t="str">
        <f ca="1">IF(P1783&lt;&gt;"EXPEDIÇÃO","Expedido",IF(NETWORKDAYS(C1783,TODAY())&gt;=5,"Risco Alto",IF(NETWORKDAYS(C1783,TODAY())&gt;=3,IF(NETWORKDAYS(C1783,TODAY())&lt;5,"Risco Médio",""),IF(NETWORKDAYS(C1783,TODAY())&lt;=2,"Risco Baixo",""))))</f>
        <v>Expedido</v>
      </c>
      <c r="P1783" s="5" t="s">
        <v>25</v>
      </c>
      <c r="Q1783" s="5" t="s">
        <v>793</v>
      </c>
      <c r="S1783" s="7">
        <f>IF(ISBLANK(M1783),"Aguardando Previsão/Data",NETWORKDAYS(L1783,M1783)-1)</f>
        <v>-4</v>
      </c>
      <c r="T1783" s="5" t="s">
        <v>942</v>
      </c>
    </row>
    <row r="1784" spans="1:20" x14ac:dyDescent="0.35">
      <c r="A1784" s="5">
        <v>8100276760</v>
      </c>
      <c r="B1784" s="5">
        <v>10797</v>
      </c>
      <c r="C1784" s="6">
        <v>45671</v>
      </c>
      <c r="D1784" s="5" t="s">
        <v>239</v>
      </c>
      <c r="E1784" s="5" t="s">
        <v>240</v>
      </c>
      <c r="F1784" s="5" t="s">
        <v>160</v>
      </c>
      <c r="G1784" s="5" t="s">
        <v>161</v>
      </c>
      <c r="H1784" s="5" t="s">
        <v>218</v>
      </c>
      <c r="I1784" s="5" t="s">
        <v>1100</v>
      </c>
      <c r="J1784" s="5" t="s">
        <v>161</v>
      </c>
      <c r="K1784" s="5" t="s">
        <v>241</v>
      </c>
      <c r="L1784" s="6">
        <v>45677</v>
      </c>
      <c r="M1784" s="6">
        <v>45673</v>
      </c>
      <c r="N1784" s="6" t="s">
        <v>811</v>
      </c>
      <c r="O1784" s="5" t="str">
        <f ca="1">IF(P1784&lt;&gt;"EXPEDIÇÃO","Expedido",IF(NETWORKDAYS(C1784,TODAY())&gt;=5,"Risco Alto",IF(NETWORKDAYS(C1784,TODAY())&gt;=3,IF(NETWORKDAYS(C1784,TODAY())&lt;5,"Risco Médio",""),IF(NETWORKDAYS(C1784,TODAY())&lt;=2,"Risco Baixo",""))))</f>
        <v>Expedido</v>
      </c>
      <c r="P1784" s="5" t="s">
        <v>25</v>
      </c>
      <c r="Q1784" s="5" t="s">
        <v>793</v>
      </c>
      <c r="S1784" s="7">
        <f>IF(ISBLANK(M1784),"Aguardando Previsão/Data",NETWORKDAYS(L1784,M1784)-1)</f>
        <v>-4</v>
      </c>
      <c r="T1784" s="5" t="s">
        <v>942</v>
      </c>
    </row>
    <row r="1785" spans="1:20" x14ac:dyDescent="0.35">
      <c r="A1785" s="5">
        <v>8100276761</v>
      </c>
      <c r="B1785" s="5">
        <v>10803</v>
      </c>
      <c r="C1785" s="6">
        <v>45671</v>
      </c>
      <c r="D1785" s="5" t="s">
        <v>239</v>
      </c>
      <c r="E1785" s="5" t="s">
        <v>240</v>
      </c>
      <c r="F1785" s="5" t="s">
        <v>160</v>
      </c>
      <c r="G1785" s="5" t="s">
        <v>161</v>
      </c>
      <c r="H1785" s="5" t="s">
        <v>218</v>
      </c>
      <c r="I1785" s="5" t="s">
        <v>1100</v>
      </c>
      <c r="J1785" s="5" t="s">
        <v>161</v>
      </c>
      <c r="K1785" s="5" t="s">
        <v>241</v>
      </c>
      <c r="L1785" s="6">
        <v>45677</v>
      </c>
      <c r="M1785" s="6">
        <v>45673</v>
      </c>
      <c r="N1785" s="6" t="s">
        <v>811</v>
      </c>
      <c r="O1785" s="5" t="str">
        <f ca="1">IF(P1785&lt;&gt;"EXPEDIÇÃO","Expedido",IF(NETWORKDAYS(C1785,TODAY())&gt;=5,"Risco Alto",IF(NETWORKDAYS(C1785,TODAY())&gt;=3,IF(NETWORKDAYS(C1785,TODAY())&lt;5,"Risco Médio",""),IF(NETWORKDAYS(C1785,TODAY())&lt;=2,"Risco Baixo",""))))</f>
        <v>Expedido</v>
      </c>
      <c r="P1785" s="5" t="s">
        <v>25</v>
      </c>
      <c r="Q1785" s="5" t="s">
        <v>793</v>
      </c>
      <c r="S1785" s="7">
        <f>IF(ISBLANK(M1785),"Aguardando Previsão/Data",NETWORKDAYS(L1785,M1785)-1)</f>
        <v>-4</v>
      </c>
      <c r="T1785" s="5" t="s">
        <v>942</v>
      </c>
    </row>
    <row r="1786" spans="1:20" x14ac:dyDescent="0.35">
      <c r="A1786" s="5">
        <v>8100276762</v>
      </c>
      <c r="B1786" s="5">
        <v>10798</v>
      </c>
      <c r="C1786" s="6">
        <v>45671</v>
      </c>
      <c r="D1786" s="5" t="s">
        <v>239</v>
      </c>
      <c r="E1786" s="5" t="s">
        <v>240</v>
      </c>
      <c r="F1786" s="5" t="s">
        <v>160</v>
      </c>
      <c r="G1786" s="5" t="s">
        <v>161</v>
      </c>
      <c r="H1786" s="5" t="s">
        <v>218</v>
      </c>
      <c r="I1786" s="5" t="s">
        <v>1100</v>
      </c>
      <c r="J1786" s="5" t="s">
        <v>161</v>
      </c>
      <c r="K1786" s="5" t="s">
        <v>241</v>
      </c>
      <c r="L1786" s="6">
        <v>45677</v>
      </c>
      <c r="M1786" s="6">
        <v>45673</v>
      </c>
      <c r="N1786" s="6" t="s">
        <v>811</v>
      </c>
      <c r="O1786" s="5" t="str">
        <f ca="1">IF(P1786&lt;&gt;"EXPEDIÇÃO","Expedido",IF(NETWORKDAYS(C1786,TODAY())&gt;=5,"Risco Alto",IF(NETWORKDAYS(C1786,TODAY())&gt;=3,IF(NETWORKDAYS(C1786,TODAY())&lt;5,"Risco Médio",""),IF(NETWORKDAYS(C1786,TODAY())&lt;=2,"Risco Baixo",""))))</f>
        <v>Expedido</v>
      </c>
      <c r="P1786" s="5" t="s">
        <v>25</v>
      </c>
      <c r="Q1786" s="5" t="s">
        <v>793</v>
      </c>
      <c r="S1786" s="7">
        <f>IF(ISBLANK(M1786),"Aguardando Previsão/Data",NETWORKDAYS(L1786,M1786)-1)</f>
        <v>-4</v>
      </c>
      <c r="T1786" s="5" t="s">
        <v>942</v>
      </c>
    </row>
    <row r="1787" spans="1:20" x14ac:dyDescent="0.35">
      <c r="A1787" s="5">
        <v>8100276763</v>
      </c>
      <c r="B1787" s="5">
        <v>10804</v>
      </c>
      <c r="C1787" s="6">
        <v>45671</v>
      </c>
      <c r="D1787" s="5" t="s">
        <v>239</v>
      </c>
      <c r="E1787" s="5" t="s">
        <v>240</v>
      </c>
      <c r="F1787" s="5" t="s">
        <v>160</v>
      </c>
      <c r="G1787" s="5" t="s">
        <v>161</v>
      </c>
      <c r="H1787" s="5" t="s">
        <v>218</v>
      </c>
      <c r="I1787" s="5" t="s">
        <v>356</v>
      </c>
      <c r="J1787" s="5" t="s">
        <v>357</v>
      </c>
      <c r="K1787" s="5" t="s">
        <v>241</v>
      </c>
      <c r="L1787" s="6">
        <v>45677</v>
      </c>
      <c r="M1787" s="6">
        <v>45677</v>
      </c>
      <c r="N1787" s="6" t="s">
        <v>811</v>
      </c>
      <c r="O1787" s="5" t="str">
        <f ca="1">IF(P1787&lt;&gt;"EXPEDIÇÃO","Expedido",IF(NETWORKDAYS(C1787,TODAY())&gt;=5,"Risco Alto",IF(NETWORKDAYS(C1787,TODAY())&gt;=3,IF(NETWORKDAYS(C1787,TODAY())&lt;5,"Risco Médio",""),IF(NETWORKDAYS(C1787,TODAY())&lt;=2,"Risco Baixo",""))))</f>
        <v>Expedido</v>
      </c>
      <c r="P1787" s="5" t="s">
        <v>25</v>
      </c>
      <c r="Q1787" s="5" t="s">
        <v>793</v>
      </c>
      <c r="S1787" s="7">
        <f>IF(ISBLANK(M1787),"Aguardando Previsão/Data",NETWORKDAYS(L1787,M1787)-1)</f>
        <v>0</v>
      </c>
      <c r="T1787" s="5" t="s">
        <v>942</v>
      </c>
    </row>
    <row r="1788" spans="1:20" x14ac:dyDescent="0.35">
      <c r="A1788" s="5">
        <v>8100276764</v>
      </c>
      <c r="B1788" s="5">
        <v>10805</v>
      </c>
      <c r="C1788" s="6">
        <v>45671</v>
      </c>
      <c r="D1788" s="5" t="s">
        <v>239</v>
      </c>
      <c r="E1788" s="5" t="s">
        <v>240</v>
      </c>
      <c r="F1788" s="5" t="s">
        <v>160</v>
      </c>
      <c r="G1788" s="5" t="s">
        <v>161</v>
      </c>
      <c r="H1788" s="5" t="s">
        <v>218</v>
      </c>
      <c r="I1788" s="5" t="s">
        <v>356</v>
      </c>
      <c r="J1788" s="5" t="s">
        <v>357</v>
      </c>
      <c r="K1788" s="5" t="s">
        <v>241</v>
      </c>
      <c r="L1788" s="6">
        <v>45677</v>
      </c>
      <c r="M1788" s="6">
        <v>45677</v>
      </c>
      <c r="N1788" s="6" t="s">
        <v>811</v>
      </c>
      <c r="O1788" s="5" t="str">
        <f ca="1">IF(P1788&lt;&gt;"EXPEDIÇÃO","Expedido",IF(NETWORKDAYS(C1788,TODAY())&gt;=5,"Risco Alto",IF(NETWORKDAYS(C1788,TODAY())&gt;=3,IF(NETWORKDAYS(C1788,TODAY())&lt;5,"Risco Médio",""),IF(NETWORKDAYS(C1788,TODAY())&lt;=2,"Risco Baixo",""))))</f>
        <v>Expedido</v>
      </c>
      <c r="P1788" s="5" t="s">
        <v>25</v>
      </c>
      <c r="Q1788" s="5" t="s">
        <v>793</v>
      </c>
      <c r="S1788" s="7">
        <f>IF(ISBLANK(M1788),"Aguardando Previsão/Data",NETWORKDAYS(L1788,M1788)-1)</f>
        <v>0</v>
      </c>
      <c r="T1788" s="5" t="s">
        <v>942</v>
      </c>
    </row>
    <row r="1789" spans="1:20" x14ac:dyDescent="0.35">
      <c r="A1789" s="5">
        <v>8100275826</v>
      </c>
      <c r="B1789" s="5">
        <v>19228</v>
      </c>
      <c r="C1789" s="6">
        <v>45671</v>
      </c>
      <c r="D1789" s="5" t="s">
        <v>106</v>
      </c>
      <c r="E1789" s="5" t="s">
        <v>107</v>
      </c>
      <c r="F1789" s="5" t="s">
        <v>58</v>
      </c>
      <c r="G1789" s="5" t="s">
        <v>59</v>
      </c>
      <c r="H1789" s="5" t="s">
        <v>108</v>
      </c>
      <c r="I1789" s="5" t="s">
        <v>580</v>
      </c>
      <c r="J1789" s="5" t="s">
        <v>125</v>
      </c>
      <c r="K1789" s="5" t="s">
        <v>110</v>
      </c>
      <c r="L1789" s="6">
        <v>45677</v>
      </c>
      <c r="M1789" s="6">
        <v>45673</v>
      </c>
      <c r="N1789" s="6" t="s">
        <v>811</v>
      </c>
      <c r="O1789" s="5" t="str">
        <f ca="1">IF(P1789&lt;&gt;"EXPEDIÇÃO","Expedido",IF(NETWORKDAYS(C1789,TODAY())&gt;=5,"Risco Alto",IF(NETWORKDAYS(C1789,TODAY())&gt;=3,IF(NETWORKDAYS(C1789,TODAY())&lt;5,"Risco Médio",""),IF(NETWORKDAYS(C1789,TODAY())&lt;=2,"Risco Baixo",""))))</f>
        <v>Expedido</v>
      </c>
      <c r="P1789" s="5" t="s">
        <v>25</v>
      </c>
      <c r="S1789" s="7">
        <f>IF(ISBLANK(M1789),"Aguardando Previsão/Data",NETWORKDAYS(L1789,M1789)-1)</f>
        <v>-4</v>
      </c>
      <c r="T1789" s="5" t="s">
        <v>942</v>
      </c>
    </row>
    <row r="1790" spans="1:20" x14ac:dyDescent="0.35">
      <c r="A1790" s="5">
        <v>8100275833</v>
      </c>
      <c r="B1790" s="5">
        <v>19224</v>
      </c>
      <c r="C1790" s="6">
        <v>45671</v>
      </c>
      <c r="D1790" s="5" t="s">
        <v>106</v>
      </c>
      <c r="E1790" s="5" t="s">
        <v>107</v>
      </c>
      <c r="F1790" s="5" t="s">
        <v>69</v>
      </c>
      <c r="G1790" s="5" t="s">
        <v>70</v>
      </c>
      <c r="H1790" s="5" t="s">
        <v>108</v>
      </c>
      <c r="I1790" s="5" t="s">
        <v>284</v>
      </c>
      <c r="J1790" s="5" t="s">
        <v>286</v>
      </c>
      <c r="K1790" s="5" t="s">
        <v>110</v>
      </c>
      <c r="L1790" s="6">
        <v>45678</v>
      </c>
      <c r="M1790" s="6">
        <v>45672</v>
      </c>
      <c r="N1790" s="6" t="s">
        <v>811</v>
      </c>
      <c r="O1790" s="5" t="str">
        <f ca="1">IF(P1790&lt;&gt;"EXPEDIÇÃO","Expedido",IF(NETWORKDAYS(C1790,TODAY())&gt;=5,"Risco Alto",IF(NETWORKDAYS(C1790,TODAY())&gt;=3,IF(NETWORKDAYS(C1790,TODAY())&lt;5,"Risco Médio",""),IF(NETWORKDAYS(C1790,TODAY())&lt;=2,"Risco Baixo",""))))</f>
        <v>Expedido</v>
      </c>
      <c r="P1790" s="5" t="s">
        <v>25</v>
      </c>
      <c r="S1790" s="7">
        <f>IF(ISBLANK(M1790),"Aguardando Previsão/Data",NETWORKDAYS(L1790,M1790)-1)</f>
        <v>-6</v>
      </c>
      <c r="T1790" s="5" t="s">
        <v>942</v>
      </c>
    </row>
    <row r="1791" spans="1:20" x14ac:dyDescent="0.35">
      <c r="A1791" s="5">
        <v>8100276173</v>
      </c>
      <c r="B1791" s="5">
        <v>19235</v>
      </c>
      <c r="C1791" s="6">
        <v>45671</v>
      </c>
      <c r="D1791" s="5" t="s">
        <v>106</v>
      </c>
      <c r="E1791" s="5" t="s">
        <v>107</v>
      </c>
      <c r="F1791" s="5" t="s">
        <v>58</v>
      </c>
      <c r="G1791" s="5" t="s">
        <v>59</v>
      </c>
      <c r="H1791" s="5" t="s">
        <v>108</v>
      </c>
      <c r="I1791" s="5" t="s">
        <v>126</v>
      </c>
      <c r="J1791" s="5" t="s">
        <v>127</v>
      </c>
      <c r="K1791" s="5" t="s">
        <v>110</v>
      </c>
      <c r="L1791" s="6">
        <v>45677</v>
      </c>
      <c r="M1791" s="6">
        <v>45673</v>
      </c>
      <c r="N1791" s="6" t="s">
        <v>811</v>
      </c>
      <c r="O1791" s="5" t="str">
        <f ca="1">IF(P1791&lt;&gt;"EXPEDIÇÃO","Expedido",IF(NETWORKDAYS(C1791,TODAY())&gt;=5,"Risco Alto",IF(NETWORKDAYS(C1791,TODAY())&gt;=3,IF(NETWORKDAYS(C1791,TODAY())&lt;5,"Risco Médio",""),IF(NETWORKDAYS(C1791,TODAY())&lt;=2,"Risco Baixo",""))))</f>
        <v>Expedido</v>
      </c>
      <c r="P1791" s="5" t="s">
        <v>25</v>
      </c>
      <c r="S1791" s="7">
        <f>IF(ISBLANK(M1791),"Aguardando Previsão/Data",NETWORKDAYS(L1791,M1791)-1)</f>
        <v>-4</v>
      </c>
      <c r="T1791" s="5" t="s">
        <v>942</v>
      </c>
    </row>
    <row r="1792" spans="1:20" x14ac:dyDescent="0.35">
      <c r="A1792" s="5">
        <v>8100276174</v>
      </c>
      <c r="B1792" s="5">
        <v>19236</v>
      </c>
      <c r="C1792" s="6">
        <v>45671</v>
      </c>
      <c r="D1792" s="5" t="s">
        <v>106</v>
      </c>
      <c r="E1792" s="5" t="s">
        <v>107</v>
      </c>
      <c r="F1792" s="5" t="s">
        <v>58</v>
      </c>
      <c r="G1792" s="5" t="s">
        <v>59</v>
      </c>
      <c r="H1792" s="5" t="s">
        <v>108</v>
      </c>
      <c r="I1792" s="5" t="s">
        <v>126</v>
      </c>
      <c r="J1792" s="5" t="s">
        <v>127</v>
      </c>
      <c r="K1792" s="5" t="s">
        <v>110</v>
      </c>
      <c r="L1792" s="6">
        <v>45677</v>
      </c>
      <c r="M1792" s="6">
        <v>45673</v>
      </c>
      <c r="N1792" s="6" t="s">
        <v>811</v>
      </c>
      <c r="O1792" s="5" t="str">
        <f ca="1">IF(P1792&lt;&gt;"EXPEDIÇÃO","Expedido",IF(NETWORKDAYS(C1792,TODAY())&gt;=5,"Risco Alto",IF(NETWORKDAYS(C1792,TODAY())&gt;=3,IF(NETWORKDAYS(C1792,TODAY())&lt;5,"Risco Médio",""),IF(NETWORKDAYS(C1792,TODAY())&lt;=2,"Risco Baixo",""))))</f>
        <v>Expedido</v>
      </c>
      <c r="P1792" s="5" t="s">
        <v>25</v>
      </c>
      <c r="S1792" s="7">
        <f>IF(ISBLANK(M1792),"Aguardando Previsão/Data",NETWORKDAYS(L1792,M1792)-1)</f>
        <v>-4</v>
      </c>
      <c r="T1792" s="5" t="s">
        <v>942</v>
      </c>
    </row>
    <row r="1793" spans="1:20" x14ac:dyDescent="0.35">
      <c r="A1793" s="5">
        <v>8100276176</v>
      </c>
      <c r="B1793" s="5">
        <v>19223</v>
      </c>
      <c r="C1793" s="6">
        <v>45671</v>
      </c>
      <c r="D1793" s="5" t="s">
        <v>106</v>
      </c>
      <c r="E1793" s="5" t="s">
        <v>107</v>
      </c>
      <c r="F1793" s="5" t="s">
        <v>53</v>
      </c>
      <c r="G1793" s="5" t="s">
        <v>54</v>
      </c>
      <c r="H1793" s="5" t="s">
        <v>108</v>
      </c>
      <c r="I1793" s="5" t="s">
        <v>587</v>
      </c>
      <c r="J1793" s="5" t="s">
        <v>390</v>
      </c>
      <c r="K1793" s="5" t="s">
        <v>110</v>
      </c>
      <c r="L1793" s="6">
        <v>45679</v>
      </c>
      <c r="M1793" s="6">
        <v>45673</v>
      </c>
      <c r="N1793" s="6" t="s">
        <v>811</v>
      </c>
      <c r="O1793" s="5" t="str">
        <f ca="1">IF(P1793&lt;&gt;"EXPEDIÇÃO","Expedido",IF(NETWORKDAYS(C1793,TODAY())&gt;=5,"Risco Alto",IF(NETWORKDAYS(C1793,TODAY())&gt;=3,IF(NETWORKDAYS(C1793,TODAY())&lt;5,"Risco Médio",""),IF(NETWORKDAYS(C1793,TODAY())&lt;=2,"Risco Baixo",""))))</f>
        <v>Expedido</v>
      </c>
      <c r="P1793" s="5" t="s">
        <v>25</v>
      </c>
      <c r="S1793" s="7">
        <f>IF(ISBLANK(M1793),"Aguardando Previsão/Data",NETWORKDAYS(L1793,M1793)-1)</f>
        <v>-6</v>
      </c>
      <c r="T1793" s="5" t="s">
        <v>942</v>
      </c>
    </row>
    <row r="1794" spans="1:20" x14ac:dyDescent="0.35">
      <c r="A1794" s="5">
        <v>8100276178</v>
      </c>
      <c r="B1794" s="5">
        <v>19253</v>
      </c>
      <c r="C1794" s="6">
        <v>45671</v>
      </c>
      <c r="D1794" s="5" t="s">
        <v>106</v>
      </c>
      <c r="E1794" s="5" t="s">
        <v>107</v>
      </c>
      <c r="F1794" s="5" t="s">
        <v>111</v>
      </c>
      <c r="G1794" s="5" t="s">
        <v>112</v>
      </c>
      <c r="H1794" s="5" t="s">
        <v>108</v>
      </c>
      <c r="I1794" s="5" t="s">
        <v>1238</v>
      </c>
      <c r="J1794" s="5" t="s">
        <v>287</v>
      </c>
      <c r="K1794" s="5" t="s">
        <v>110</v>
      </c>
      <c r="L1794" s="6">
        <v>45678</v>
      </c>
      <c r="M1794" s="6">
        <v>45677</v>
      </c>
      <c r="O1794" s="5" t="str">
        <f ca="1">IF(P1794&lt;&gt;"EXPEDIÇÃO","Expedido",IF(NETWORKDAYS(C1794,TODAY())&gt;=5,"Risco Alto",IF(NETWORKDAYS(C1794,TODAY())&gt;=3,IF(NETWORKDAYS(C1794,TODAY())&lt;5,"Risco Médio",""),IF(NETWORKDAYS(C1794,TODAY())&lt;=2,"Risco Baixo",""))))</f>
        <v>Expedido</v>
      </c>
      <c r="P1794" s="5" t="s">
        <v>629</v>
      </c>
      <c r="Q1794" s="5" t="s">
        <v>990</v>
      </c>
      <c r="R1794" s="5" t="s">
        <v>1425</v>
      </c>
      <c r="S1794" s="7">
        <f>IF(ISBLANK(M1794),"Aguardando Previsão/Data",NETWORKDAYS(L1794,M1794)-1)</f>
        <v>-3</v>
      </c>
      <c r="T1794" s="5" t="s">
        <v>942</v>
      </c>
    </row>
    <row r="1795" spans="1:20" x14ac:dyDescent="0.35">
      <c r="A1795" s="5">
        <v>8100276179</v>
      </c>
      <c r="B1795" s="5">
        <v>19251</v>
      </c>
      <c r="C1795" s="6">
        <v>45671</v>
      </c>
      <c r="D1795" s="5" t="s">
        <v>106</v>
      </c>
      <c r="E1795" s="5" t="s">
        <v>107</v>
      </c>
      <c r="F1795" s="5" t="s">
        <v>111</v>
      </c>
      <c r="G1795" s="5" t="s">
        <v>112</v>
      </c>
      <c r="H1795" s="5" t="s">
        <v>108</v>
      </c>
      <c r="I1795" s="5" t="s">
        <v>1238</v>
      </c>
      <c r="J1795" s="5" t="s">
        <v>1239</v>
      </c>
      <c r="K1795" s="5" t="s">
        <v>110</v>
      </c>
      <c r="L1795" s="6">
        <v>45678</v>
      </c>
      <c r="M1795" s="6">
        <v>45673</v>
      </c>
      <c r="N1795" s="6" t="s">
        <v>811</v>
      </c>
      <c r="O1795" s="5" t="str">
        <f ca="1">IF(P1795&lt;&gt;"EXPEDIÇÃO","Expedido",IF(NETWORKDAYS(C1795,TODAY())&gt;=5,"Risco Alto",IF(NETWORKDAYS(C1795,TODAY())&gt;=3,IF(NETWORKDAYS(C1795,TODAY())&lt;5,"Risco Médio",""),IF(NETWORKDAYS(C1795,TODAY())&lt;=2,"Risco Baixo",""))))</f>
        <v>Expedido</v>
      </c>
      <c r="P1795" s="5" t="s">
        <v>25</v>
      </c>
      <c r="S1795" s="7">
        <f>IF(ISBLANK(M1795),"Aguardando Previsão/Data",NETWORKDAYS(L1795,M1795)-1)</f>
        <v>-5</v>
      </c>
      <c r="T1795" s="5" t="s">
        <v>942</v>
      </c>
    </row>
    <row r="1796" spans="1:20" x14ac:dyDescent="0.35">
      <c r="A1796" s="5">
        <v>8100276180</v>
      </c>
      <c r="B1796" s="5">
        <v>19252</v>
      </c>
      <c r="C1796" s="6">
        <v>45671</v>
      </c>
      <c r="D1796" s="5" t="s">
        <v>106</v>
      </c>
      <c r="E1796" s="5" t="s">
        <v>107</v>
      </c>
      <c r="F1796" s="5" t="s">
        <v>111</v>
      </c>
      <c r="G1796" s="5" t="s">
        <v>112</v>
      </c>
      <c r="H1796" s="5" t="s">
        <v>108</v>
      </c>
      <c r="I1796" s="5" t="s">
        <v>1238</v>
      </c>
      <c r="J1796" s="5" t="s">
        <v>1325</v>
      </c>
      <c r="K1796" s="5" t="s">
        <v>110</v>
      </c>
      <c r="L1796" s="6">
        <v>45678</v>
      </c>
      <c r="M1796" s="6">
        <v>45673</v>
      </c>
      <c r="N1796" s="6" t="s">
        <v>811</v>
      </c>
      <c r="O1796" s="5" t="str">
        <f ca="1">IF(P1796&lt;&gt;"EXPEDIÇÃO","Expedido",IF(NETWORKDAYS(C1796,TODAY())&gt;=5,"Risco Alto",IF(NETWORKDAYS(C1796,TODAY())&gt;=3,IF(NETWORKDAYS(C1796,TODAY())&lt;5,"Risco Médio",""),IF(NETWORKDAYS(C1796,TODAY())&lt;=2,"Risco Baixo",""))))</f>
        <v>Expedido</v>
      </c>
      <c r="P1796" s="5" t="s">
        <v>25</v>
      </c>
      <c r="S1796" s="7">
        <f>IF(ISBLANK(M1796),"Aguardando Previsão/Data",NETWORKDAYS(L1796,M1796)-1)</f>
        <v>-5</v>
      </c>
      <c r="T1796" s="5" t="s">
        <v>942</v>
      </c>
    </row>
    <row r="1797" spans="1:20" x14ac:dyDescent="0.35">
      <c r="A1797" s="5">
        <v>8100276181</v>
      </c>
      <c r="B1797" s="5">
        <v>19225</v>
      </c>
      <c r="C1797" s="6">
        <v>45671</v>
      </c>
      <c r="D1797" s="5" t="s">
        <v>106</v>
      </c>
      <c r="E1797" s="5" t="s">
        <v>107</v>
      </c>
      <c r="F1797" s="5" t="s">
        <v>66</v>
      </c>
      <c r="G1797" s="5" t="s">
        <v>67</v>
      </c>
      <c r="H1797" s="5" t="s">
        <v>108</v>
      </c>
      <c r="I1797" s="5" t="s">
        <v>475</v>
      </c>
      <c r="J1797" s="5" t="s">
        <v>476</v>
      </c>
      <c r="K1797" s="5" t="s">
        <v>110</v>
      </c>
      <c r="L1797" s="6">
        <v>45679</v>
      </c>
      <c r="M1797" s="6">
        <v>45678</v>
      </c>
      <c r="N1797" s="6" t="s">
        <v>811</v>
      </c>
      <c r="O1797" s="5" t="str">
        <f ca="1">IF(P1797&lt;&gt;"EXPEDIÇÃO","Expedido",IF(NETWORKDAYS(C1797,TODAY())&gt;=5,"Risco Alto",IF(NETWORKDAYS(C1797,TODAY())&gt;=3,IF(NETWORKDAYS(C1797,TODAY())&lt;5,"Risco Médio",""),IF(NETWORKDAYS(C1797,TODAY())&lt;=2,"Risco Baixo",""))))</f>
        <v>Expedido</v>
      </c>
      <c r="P1797" s="5" t="s">
        <v>25</v>
      </c>
      <c r="S1797" s="7">
        <f>IF(ISBLANK(M1797),"Aguardando Previsão/Data",NETWORKDAYS(L1797,M1797)-1)</f>
        <v>-3</v>
      </c>
      <c r="T1797" s="5" t="s">
        <v>942</v>
      </c>
    </row>
    <row r="1798" spans="1:20" x14ac:dyDescent="0.35">
      <c r="A1798" s="5">
        <v>8100276182</v>
      </c>
      <c r="B1798" s="5">
        <v>19226</v>
      </c>
      <c r="C1798" s="6">
        <v>45671</v>
      </c>
      <c r="D1798" s="5" t="s">
        <v>106</v>
      </c>
      <c r="E1798" s="5" t="s">
        <v>107</v>
      </c>
      <c r="F1798" s="5" t="s">
        <v>66</v>
      </c>
      <c r="G1798" s="5" t="s">
        <v>67</v>
      </c>
      <c r="H1798" s="5" t="s">
        <v>108</v>
      </c>
      <c r="I1798" s="5" t="s">
        <v>475</v>
      </c>
      <c r="J1798" s="5" t="s">
        <v>476</v>
      </c>
      <c r="K1798" s="5" t="s">
        <v>110</v>
      </c>
      <c r="L1798" s="6">
        <v>45679</v>
      </c>
      <c r="M1798" s="6">
        <v>45678</v>
      </c>
      <c r="N1798" s="6" t="s">
        <v>811</v>
      </c>
      <c r="O1798" s="5" t="str">
        <f ca="1">IF(P1798&lt;&gt;"EXPEDIÇÃO","Expedido",IF(NETWORKDAYS(C1798,TODAY())&gt;=5,"Risco Alto",IF(NETWORKDAYS(C1798,TODAY())&gt;=3,IF(NETWORKDAYS(C1798,TODAY())&lt;5,"Risco Médio",""),IF(NETWORKDAYS(C1798,TODAY())&lt;=2,"Risco Baixo",""))))</f>
        <v>Expedido</v>
      </c>
      <c r="P1798" s="5" t="s">
        <v>25</v>
      </c>
      <c r="R1798" s="5" t="s">
        <v>1176</v>
      </c>
      <c r="S1798" s="7">
        <f>IF(ISBLANK(M1798),"Aguardando Previsão/Data",NETWORKDAYS(L1798,M1798)-1)</f>
        <v>-3</v>
      </c>
      <c r="T1798" s="5" t="s">
        <v>942</v>
      </c>
    </row>
    <row r="1799" spans="1:20" x14ac:dyDescent="0.35">
      <c r="A1799" s="5">
        <v>8100276183</v>
      </c>
      <c r="B1799" s="5">
        <v>19218</v>
      </c>
      <c r="C1799" s="6">
        <v>45671</v>
      </c>
      <c r="D1799" s="5" t="s">
        <v>106</v>
      </c>
      <c r="E1799" s="5" t="s">
        <v>107</v>
      </c>
      <c r="F1799" s="5" t="s">
        <v>66</v>
      </c>
      <c r="G1799" s="5" t="s">
        <v>67</v>
      </c>
      <c r="H1799" s="5" t="s">
        <v>108</v>
      </c>
      <c r="I1799" s="5" t="s">
        <v>82</v>
      </c>
      <c r="J1799" s="5" t="s">
        <v>282</v>
      </c>
      <c r="K1799" s="5" t="s">
        <v>110</v>
      </c>
      <c r="L1799" s="6">
        <v>45679</v>
      </c>
      <c r="M1799" s="6">
        <v>45674</v>
      </c>
      <c r="N1799" s="6" t="s">
        <v>811</v>
      </c>
      <c r="O1799" s="5" t="str">
        <f ca="1">IF(P1799&lt;&gt;"EXPEDIÇÃO","Expedido",IF(NETWORKDAYS(C1799,TODAY())&gt;=5,"Risco Alto",IF(NETWORKDAYS(C1799,TODAY())&gt;=3,IF(NETWORKDAYS(C1799,TODAY())&lt;5,"Risco Médio",""),IF(NETWORKDAYS(C1799,TODAY())&lt;=2,"Risco Baixo",""))))</f>
        <v>Expedido</v>
      </c>
      <c r="P1799" s="5" t="s">
        <v>25</v>
      </c>
      <c r="R1799" s="5" t="s">
        <v>1176</v>
      </c>
      <c r="S1799" s="7">
        <f>IF(ISBLANK(M1799),"Aguardando Previsão/Data",NETWORKDAYS(L1799,M1799)-1)</f>
        <v>-5</v>
      </c>
      <c r="T1799" s="5" t="s">
        <v>942</v>
      </c>
    </row>
    <row r="1800" spans="1:20" x14ac:dyDescent="0.35">
      <c r="A1800" s="5">
        <v>8100276184</v>
      </c>
      <c r="B1800" s="5">
        <v>19219</v>
      </c>
      <c r="C1800" s="6">
        <v>45671</v>
      </c>
      <c r="D1800" s="5" t="s">
        <v>106</v>
      </c>
      <c r="E1800" s="5" t="s">
        <v>107</v>
      </c>
      <c r="F1800" s="5" t="s">
        <v>66</v>
      </c>
      <c r="G1800" s="5" t="s">
        <v>67</v>
      </c>
      <c r="H1800" s="5" t="s">
        <v>108</v>
      </c>
      <c r="I1800" s="5" t="s">
        <v>82</v>
      </c>
      <c r="J1800" s="5" t="s">
        <v>282</v>
      </c>
      <c r="K1800" s="5" t="s">
        <v>110</v>
      </c>
      <c r="L1800" s="6">
        <v>45679</v>
      </c>
      <c r="M1800" s="6">
        <v>45674</v>
      </c>
      <c r="N1800" s="6" t="s">
        <v>811</v>
      </c>
      <c r="O1800" s="5" t="str">
        <f ca="1">IF(P1800&lt;&gt;"EXPEDIÇÃO","Expedido",IF(NETWORKDAYS(C1800,TODAY())&gt;=5,"Risco Alto",IF(NETWORKDAYS(C1800,TODAY())&gt;=3,IF(NETWORKDAYS(C1800,TODAY())&lt;5,"Risco Médio",""),IF(NETWORKDAYS(C1800,TODAY())&lt;=2,"Risco Baixo",""))))</f>
        <v>Expedido</v>
      </c>
      <c r="P1800" s="5" t="s">
        <v>25</v>
      </c>
      <c r="S1800" s="7">
        <f>IF(ISBLANK(M1800),"Aguardando Previsão/Data",NETWORKDAYS(L1800,M1800)-1)</f>
        <v>-5</v>
      </c>
      <c r="T1800" s="5" t="s">
        <v>942</v>
      </c>
    </row>
    <row r="1801" spans="1:20" x14ac:dyDescent="0.35">
      <c r="A1801" s="5">
        <v>8100276185</v>
      </c>
      <c r="B1801" s="5">
        <v>19220</v>
      </c>
      <c r="C1801" s="6">
        <v>45671</v>
      </c>
      <c r="D1801" s="5" t="s">
        <v>106</v>
      </c>
      <c r="E1801" s="5" t="s">
        <v>107</v>
      </c>
      <c r="F1801" s="5" t="s">
        <v>66</v>
      </c>
      <c r="G1801" s="5" t="s">
        <v>67</v>
      </c>
      <c r="H1801" s="5" t="s">
        <v>108</v>
      </c>
      <c r="I1801" s="5" t="s">
        <v>82</v>
      </c>
      <c r="J1801" s="5" t="s">
        <v>282</v>
      </c>
      <c r="K1801" s="5" t="s">
        <v>110</v>
      </c>
      <c r="L1801" s="6">
        <v>45679</v>
      </c>
      <c r="M1801" s="6">
        <v>45674</v>
      </c>
      <c r="N1801" s="6" t="s">
        <v>811</v>
      </c>
      <c r="O1801" s="5" t="str">
        <f ca="1">IF(P1801&lt;&gt;"EXPEDIÇÃO","Expedido",IF(NETWORKDAYS(C1801,TODAY())&gt;=5,"Risco Alto",IF(NETWORKDAYS(C1801,TODAY())&gt;=3,IF(NETWORKDAYS(C1801,TODAY())&lt;5,"Risco Médio",""),IF(NETWORKDAYS(C1801,TODAY())&lt;=2,"Risco Baixo",""))))</f>
        <v>Expedido</v>
      </c>
      <c r="P1801" s="5" t="s">
        <v>25</v>
      </c>
      <c r="S1801" s="7">
        <f>IF(ISBLANK(M1801),"Aguardando Previsão/Data",NETWORKDAYS(L1801,M1801)-1)</f>
        <v>-5</v>
      </c>
      <c r="T1801" s="5" t="s">
        <v>942</v>
      </c>
    </row>
    <row r="1802" spans="1:20" x14ac:dyDescent="0.35">
      <c r="A1802" s="5">
        <v>8100276186</v>
      </c>
      <c r="B1802" s="5">
        <v>19221</v>
      </c>
      <c r="C1802" s="6">
        <v>45671</v>
      </c>
      <c r="D1802" s="5" t="s">
        <v>106</v>
      </c>
      <c r="E1802" s="5" t="s">
        <v>107</v>
      </c>
      <c r="F1802" s="5" t="s">
        <v>66</v>
      </c>
      <c r="G1802" s="5" t="s">
        <v>67</v>
      </c>
      <c r="H1802" s="5" t="s">
        <v>108</v>
      </c>
      <c r="I1802" s="5" t="s">
        <v>82</v>
      </c>
      <c r="J1802" s="5" t="s">
        <v>282</v>
      </c>
      <c r="K1802" s="5" t="s">
        <v>110</v>
      </c>
      <c r="L1802" s="6">
        <v>45679</v>
      </c>
      <c r="M1802" s="6">
        <v>45674</v>
      </c>
      <c r="N1802" s="6" t="s">
        <v>811</v>
      </c>
      <c r="O1802" s="5" t="str">
        <f ca="1">IF(P1802&lt;&gt;"EXPEDIÇÃO","Expedido",IF(NETWORKDAYS(C1802,TODAY())&gt;=5,"Risco Alto",IF(NETWORKDAYS(C1802,TODAY())&gt;=3,IF(NETWORKDAYS(C1802,TODAY())&lt;5,"Risco Médio",""),IF(NETWORKDAYS(C1802,TODAY())&lt;=2,"Risco Baixo",""))))</f>
        <v>Expedido</v>
      </c>
      <c r="P1802" s="5" t="s">
        <v>25</v>
      </c>
      <c r="S1802" s="7">
        <f>IF(ISBLANK(M1802),"Aguardando Previsão/Data",NETWORKDAYS(L1802,M1802)-1)</f>
        <v>-5</v>
      </c>
      <c r="T1802" s="5" t="s">
        <v>942</v>
      </c>
    </row>
    <row r="1803" spans="1:20" x14ac:dyDescent="0.35">
      <c r="A1803" s="5">
        <v>8100276187</v>
      </c>
      <c r="B1803" s="5">
        <v>19222</v>
      </c>
      <c r="C1803" s="6">
        <v>45671</v>
      </c>
      <c r="D1803" s="5" t="s">
        <v>106</v>
      </c>
      <c r="E1803" s="5" t="s">
        <v>107</v>
      </c>
      <c r="F1803" s="5" t="s">
        <v>66</v>
      </c>
      <c r="G1803" s="5" t="s">
        <v>67</v>
      </c>
      <c r="H1803" s="5" t="s">
        <v>108</v>
      </c>
      <c r="I1803" s="5" t="s">
        <v>82</v>
      </c>
      <c r="J1803" s="5" t="s">
        <v>282</v>
      </c>
      <c r="K1803" s="5" t="s">
        <v>110</v>
      </c>
      <c r="L1803" s="6">
        <v>45679</v>
      </c>
      <c r="M1803" s="6">
        <v>45674</v>
      </c>
      <c r="N1803" s="6" t="s">
        <v>811</v>
      </c>
      <c r="O1803" s="5" t="str">
        <f ca="1">IF(P1803&lt;&gt;"EXPEDIÇÃO","Expedido",IF(NETWORKDAYS(C1803,TODAY())&gt;=5,"Risco Alto",IF(NETWORKDAYS(C1803,TODAY())&gt;=3,IF(NETWORKDAYS(C1803,TODAY())&lt;5,"Risco Médio",""),IF(NETWORKDAYS(C1803,TODAY())&lt;=2,"Risco Baixo",""))))</f>
        <v>Expedido</v>
      </c>
      <c r="P1803" s="5" t="s">
        <v>25</v>
      </c>
      <c r="S1803" s="7">
        <f>IF(ISBLANK(M1803),"Aguardando Previsão/Data",NETWORKDAYS(L1803,M1803)-1)</f>
        <v>-5</v>
      </c>
      <c r="T1803" s="5" t="s">
        <v>942</v>
      </c>
    </row>
    <row r="1804" spans="1:20" x14ac:dyDescent="0.35">
      <c r="A1804" s="5">
        <v>8100276188</v>
      </c>
      <c r="B1804" s="5">
        <v>19231</v>
      </c>
      <c r="C1804" s="6">
        <v>45671</v>
      </c>
      <c r="D1804" s="5" t="s">
        <v>106</v>
      </c>
      <c r="E1804" s="5" t="s">
        <v>107</v>
      </c>
      <c r="F1804" s="5" t="s">
        <v>53</v>
      </c>
      <c r="G1804" s="5" t="s">
        <v>54</v>
      </c>
      <c r="H1804" s="5" t="s">
        <v>108</v>
      </c>
      <c r="I1804" s="5" t="s">
        <v>341</v>
      </c>
      <c r="J1804" s="5" t="s">
        <v>109</v>
      </c>
      <c r="K1804" s="5" t="s">
        <v>110</v>
      </c>
      <c r="L1804" s="6">
        <v>45678</v>
      </c>
      <c r="M1804" s="6">
        <v>45673</v>
      </c>
      <c r="N1804" s="6" t="s">
        <v>811</v>
      </c>
      <c r="O1804" s="5" t="str">
        <f ca="1">IF(P1804&lt;&gt;"EXPEDIÇÃO","Expedido",IF(NETWORKDAYS(C1804,TODAY())&gt;=5,"Risco Alto",IF(NETWORKDAYS(C1804,TODAY())&gt;=3,IF(NETWORKDAYS(C1804,TODAY())&lt;5,"Risco Médio",""),IF(NETWORKDAYS(C1804,TODAY())&lt;=2,"Risco Baixo",""))))</f>
        <v>Expedido</v>
      </c>
      <c r="P1804" s="5" t="s">
        <v>25</v>
      </c>
      <c r="S1804" s="7">
        <f>IF(ISBLANK(M1804),"Aguardando Previsão/Data",NETWORKDAYS(L1804,M1804)-1)</f>
        <v>-5</v>
      </c>
      <c r="T1804" s="5" t="s">
        <v>942</v>
      </c>
    </row>
    <row r="1805" spans="1:20" x14ac:dyDescent="0.35">
      <c r="A1805" s="5">
        <v>8100276189</v>
      </c>
      <c r="B1805" s="5">
        <v>19232</v>
      </c>
      <c r="C1805" s="6">
        <v>45671</v>
      </c>
      <c r="D1805" s="5" t="s">
        <v>106</v>
      </c>
      <c r="E1805" s="5" t="s">
        <v>107</v>
      </c>
      <c r="F1805" s="5" t="s">
        <v>53</v>
      </c>
      <c r="G1805" s="5" t="s">
        <v>54</v>
      </c>
      <c r="H1805" s="5" t="s">
        <v>108</v>
      </c>
      <c r="I1805" s="5" t="s">
        <v>341</v>
      </c>
      <c r="J1805" s="5" t="s">
        <v>109</v>
      </c>
      <c r="K1805" s="5" t="s">
        <v>110</v>
      </c>
      <c r="L1805" s="6">
        <v>45678</v>
      </c>
      <c r="M1805" s="6">
        <v>45673</v>
      </c>
      <c r="N1805" s="6" t="s">
        <v>811</v>
      </c>
      <c r="O1805" s="5" t="str">
        <f ca="1">IF(P1805&lt;&gt;"EXPEDIÇÃO","Expedido",IF(NETWORKDAYS(C1805,TODAY())&gt;=5,"Risco Alto",IF(NETWORKDAYS(C1805,TODAY())&gt;=3,IF(NETWORKDAYS(C1805,TODAY())&lt;5,"Risco Médio",""),IF(NETWORKDAYS(C1805,TODAY())&lt;=2,"Risco Baixo",""))))</f>
        <v>Expedido</v>
      </c>
      <c r="P1805" s="5" t="s">
        <v>25</v>
      </c>
      <c r="S1805" s="7">
        <f>IF(ISBLANK(M1805),"Aguardando Previsão/Data",NETWORKDAYS(L1805,M1805)-1)</f>
        <v>-5</v>
      </c>
      <c r="T1805" s="5" t="s">
        <v>942</v>
      </c>
    </row>
    <row r="1806" spans="1:20" x14ac:dyDescent="0.35">
      <c r="A1806" s="5">
        <v>8100276190</v>
      </c>
      <c r="B1806" s="5">
        <v>19233</v>
      </c>
      <c r="C1806" s="6">
        <v>45671</v>
      </c>
      <c r="D1806" s="5" t="s">
        <v>106</v>
      </c>
      <c r="E1806" s="5" t="s">
        <v>107</v>
      </c>
      <c r="F1806" s="5" t="s">
        <v>53</v>
      </c>
      <c r="G1806" s="5" t="s">
        <v>54</v>
      </c>
      <c r="H1806" s="5" t="s">
        <v>108</v>
      </c>
      <c r="I1806" s="5" t="s">
        <v>341</v>
      </c>
      <c r="J1806" s="5" t="s">
        <v>109</v>
      </c>
      <c r="K1806" s="5" t="s">
        <v>110</v>
      </c>
      <c r="L1806" s="6">
        <v>45678</v>
      </c>
      <c r="M1806" s="6">
        <v>45673</v>
      </c>
      <c r="N1806" s="6" t="s">
        <v>811</v>
      </c>
      <c r="O1806" s="5" t="str">
        <f ca="1">IF(P1806&lt;&gt;"EXPEDIÇÃO","Expedido",IF(NETWORKDAYS(C1806,TODAY())&gt;=5,"Risco Alto",IF(NETWORKDAYS(C1806,TODAY())&gt;=3,IF(NETWORKDAYS(C1806,TODAY())&lt;5,"Risco Médio",""),IF(NETWORKDAYS(C1806,TODAY())&lt;=2,"Risco Baixo",""))))</f>
        <v>Expedido</v>
      </c>
      <c r="P1806" s="5" t="s">
        <v>25</v>
      </c>
      <c r="S1806" s="7">
        <f>IF(ISBLANK(M1806),"Aguardando Previsão/Data",NETWORKDAYS(L1806,M1806)-1)</f>
        <v>-5</v>
      </c>
      <c r="T1806" s="5" t="s">
        <v>942</v>
      </c>
    </row>
    <row r="1807" spans="1:20" x14ac:dyDescent="0.35">
      <c r="A1807" s="5">
        <v>8100276191</v>
      </c>
      <c r="B1807" s="5">
        <v>19234</v>
      </c>
      <c r="C1807" s="6">
        <v>45671</v>
      </c>
      <c r="D1807" s="5" t="s">
        <v>106</v>
      </c>
      <c r="E1807" s="5" t="s">
        <v>107</v>
      </c>
      <c r="F1807" s="5" t="s">
        <v>53</v>
      </c>
      <c r="G1807" s="5" t="s">
        <v>54</v>
      </c>
      <c r="H1807" s="5" t="s">
        <v>108</v>
      </c>
      <c r="I1807" s="5" t="s">
        <v>341</v>
      </c>
      <c r="J1807" s="5" t="s">
        <v>109</v>
      </c>
      <c r="K1807" s="5" t="s">
        <v>110</v>
      </c>
      <c r="L1807" s="6">
        <v>45678</v>
      </c>
      <c r="M1807" s="6">
        <v>45673</v>
      </c>
      <c r="N1807" s="6" t="s">
        <v>811</v>
      </c>
      <c r="O1807" s="5" t="str">
        <f ca="1">IF(P1807&lt;&gt;"EXPEDIÇÃO","Expedido",IF(NETWORKDAYS(C1807,TODAY())&gt;=5,"Risco Alto",IF(NETWORKDAYS(C1807,TODAY())&gt;=3,IF(NETWORKDAYS(C1807,TODAY())&lt;5,"Risco Médio",""),IF(NETWORKDAYS(C1807,TODAY())&lt;=2,"Risco Baixo",""))))</f>
        <v>Expedido</v>
      </c>
      <c r="P1807" s="5" t="s">
        <v>25</v>
      </c>
      <c r="S1807" s="7">
        <f>IF(ISBLANK(M1807),"Aguardando Previsão/Data",NETWORKDAYS(L1807,M1807)-1)</f>
        <v>-5</v>
      </c>
      <c r="T1807" s="5" t="s">
        <v>942</v>
      </c>
    </row>
    <row r="1808" spans="1:20" x14ac:dyDescent="0.35">
      <c r="A1808" s="5">
        <v>8100276349</v>
      </c>
      <c r="B1808" s="5">
        <v>19227</v>
      </c>
      <c r="C1808" s="6">
        <v>45671</v>
      </c>
      <c r="D1808" s="5" t="s">
        <v>106</v>
      </c>
      <c r="E1808" s="5" t="s">
        <v>107</v>
      </c>
      <c r="F1808" s="5" t="s">
        <v>136</v>
      </c>
      <c r="G1808" s="5" t="s">
        <v>137</v>
      </c>
      <c r="H1808" s="5" t="s">
        <v>108</v>
      </c>
      <c r="I1808" s="5" t="s">
        <v>1067</v>
      </c>
      <c r="J1808" s="5" t="s">
        <v>1056</v>
      </c>
      <c r="K1808" s="5" t="s">
        <v>110</v>
      </c>
      <c r="L1808" s="6">
        <v>45679</v>
      </c>
      <c r="M1808" s="6">
        <v>45673</v>
      </c>
      <c r="N1808" s="6" t="s">
        <v>811</v>
      </c>
      <c r="O1808" s="5" t="str">
        <f ca="1">IF(P1808&lt;&gt;"EXPEDIÇÃO","Expedido",IF(NETWORKDAYS(C1808,TODAY())&gt;=5,"Risco Alto",IF(NETWORKDAYS(C1808,TODAY())&gt;=3,IF(NETWORKDAYS(C1808,TODAY())&lt;5,"Risco Médio",""),IF(NETWORKDAYS(C1808,TODAY())&lt;=2,"Risco Baixo",""))))</f>
        <v>Expedido</v>
      </c>
      <c r="P1808" s="5" t="s">
        <v>25</v>
      </c>
      <c r="S1808" s="7">
        <f>IF(ISBLANK(M1808),"Aguardando Previsão/Data",NETWORKDAYS(L1808,M1808)-1)</f>
        <v>-6</v>
      </c>
      <c r="T1808" s="5" t="s">
        <v>942</v>
      </c>
    </row>
    <row r="1809" spans="1:20" x14ac:dyDescent="0.35">
      <c r="A1809" s="5">
        <v>8100276769</v>
      </c>
      <c r="B1809" s="5">
        <v>19241</v>
      </c>
      <c r="C1809" s="6">
        <v>45671</v>
      </c>
      <c r="D1809" s="5" t="s">
        <v>106</v>
      </c>
      <c r="E1809" s="5" t="s">
        <v>107</v>
      </c>
      <c r="F1809" s="5" t="s">
        <v>69</v>
      </c>
      <c r="G1809" s="5" t="s">
        <v>70</v>
      </c>
      <c r="H1809" s="5" t="s">
        <v>108</v>
      </c>
      <c r="I1809" s="5" t="s">
        <v>115</v>
      </c>
      <c r="J1809" s="5" t="s">
        <v>346</v>
      </c>
      <c r="K1809" s="5" t="s">
        <v>110</v>
      </c>
      <c r="L1809" s="6">
        <v>45678</v>
      </c>
      <c r="M1809" s="6">
        <v>45673</v>
      </c>
      <c r="N1809" s="6" t="s">
        <v>811</v>
      </c>
      <c r="O1809" s="5" t="str">
        <f ca="1">IF(P1809&lt;&gt;"EXPEDIÇÃO","Expedido",IF(NETWORKDAYS(C1809,TODAY())&gt;=5,"Risco Alto",IF(NETWORKDAYS(C1809,TODAY())&gt;=3,IF(NETWORKDAYS(C1809,TODAY())&lt;5,"Risco Médio",""),IF(NETWORKDAYS(C1809,TODAY())&lt;=2,"Risco Baixo",""))))</f>
        <v>Expedido</v>
      </c>
      <c r="P1809" s="5" t="s">
        <v>25</v>
      </c>
      <c r="S1809" s="7">
        <f>IF(ISBLANK(M1809),"Aguardando Previsão/Data",NETWORKDAYS(L1809,M1809)-1)</f>
        <v>-5</v>
      </c>
      <c r="T1809" s="5" t="s">
        <v>942</v>
      </c>
    </row>
    <row r="1810" spans="1:20" x14ac:dyDescent="0.35">
      <c r="A1810" s="5">
        <v>8100276770</v>
      </c>
      <c r="B1810" s="5">
        <v>19254</v>
      </c>
      <c r="C1810" s="6">
        <v>45671</v>
      </c>
      <c r="D1810" s="5" t="s">
        <v>106</v>
      </c>
      <c r="E1810" s="5" t="s">
        <v>107</v>
      </c>
      <c r="F1810" s="5" t="s">
        <v>69</v>
      </c>
      <c r="G1810" s="5" t="s">
        <v>70</v>
      </c>
      <c r="H1810" s="5" t="s">
        <v>108</v>
      </c>
      <c r="I1810" s="5" t="s">
        <v>115</v>
      </c>
      <c r="J1810" s="5" t="s">
        <v>116</v>
      </c>
      <c r="K1810" s="5" t="s">
        <v>110</v>
      </c>
      <c r="L1810" s="6">
        <v>45678</v>
      </c>
      <c r="M1810" s="6">
        <v>45677</v>
      </c>
      <c r="N1810" s="6" t="s">
        <v>811</v>
      </c>
      <c r="O1810" s="5" t="str">
        <f ca="1">IF(P1810&lt;&gt;"EXPEDIÇÃO","Expedido",IF(NETWORKDAYS(C1810,TODAY())&gt;=5,"Risco Alto",IF(NETWORKDAYS(C1810,TODAY())&gt;=3,IF(NETWORKDAYS(C1810,TODAY())&lt;5,"Risco Médio",""),IF(NETWORKDAYS(C1810,TODAY())&lt;=2,"Risco Baixo",""))))</f>
        <v>Expedido</v>
      </c>
      <c r="P1810" s="5" t="s">
        <v>25</v>
      </c>
      <c r="S1810" s="7">
        <f>IF(ISBLANK(M1810),"Aguardando Previsão/Data",NETWORKDAYS(L1810,M1810)-1)</f>
        <v>-3</v>
      </c>
      <c r="T1810" s="5" t="s">
        <v>942</v>
      </c>
    </row>
    <row r="1811" spans="1:20" x14ac:dyDescent="0.35">
      <c r="A1811" s="5">
        <v>8100276771</v>
      </c>
      <c r="B1811" s="5">
        <v>19238</v>
      </c>
      <c r="C1811" s="6">
        <v>45671</v>
      </c>
      <c r="D1811" s="5" t="s">
        <v>106</v>
      </c>
      <c r="E1811" s="5" t="s">
        <v>107</v>
      </c>
      <c r="F1811" s="5" t="s">
        <v>69</v>
      </c>
      <c r="G1811" s="5" t="s">
        <v>70</v>
      </c>
      <c r="H1811" s="5" t="s">
        <v>108</v>
      </c>
      <c r="I1811" s="5" t="s">
        <v>115</v>
      </c>
      <c r="J1811" s="5" t="s">
        <v>344</v>
      </c>
      <c r="K1811" s="5" t="s">
        <v>110</v>
      </c>
      <c r="L1811" s="6">
        <v>45678</v>
      </c>
      <c r="M1811" s="6">
        <v>45677</v>
      </c>
      <c r="N1811" s="6" t="s">
        <v>811</v>
      </c>
      <c r="O1811" s="5" t="str">
        <f ca="1">IF(P1811&lt;&gt;"EXPEDIÇÃO","Expedido",IF(NETWORKDAYS(C1811,TODAY())&gt;=5,"Risco Alto",IF(NETWORKDAYS(C1811,TODAY())&gt;=3,IF(NETWORKDAYS(C1811,TODAY())&lt;5,"Risco Médio",""),IF(NETWORKDAYS(C1811,TODAY())&lt;=2,"Risco Baixo",""))))</f>
        <v>Expedido</v>
      </c>
      <c r="P1811" s="5" t="s">
        <v>25</v>
      </c>
      <c r="S1811" s="7">
        <f>IF(ISBLANK(M1811),"Aguardando Previsão/Data",NETWORKDAYS(L1811,M1811)-1)</f>
        <v>-3</v>
      </c>
      <c r="T1811" s="5" t="s">
        <v>942</v>
      </c>
    </row>
    <row r="1812" spans="1:20" x14ac:dyDescent="0.35">
      <c r="A1812" s="5">
        <v>8100276772</v>
      </c>
      <c r="B1812" s="5">
        <v>19237</v>
      </c>
      <c r="C1812" s="6">
        <v>45671</v>
      </c>
      <c r="D1812" s="5" t="s">
        <v>106</v>
      </c>
      <c r="E1812" s="5" t="s">
        <v>107</v>
      </c>
      <c r="F1812" s="5" t="s">
        <v>69</v>
      </c>
      <c r="G1812" s="5" t="s">
        <v>70</v>
      </c>
      <c r="H1812" s="5" t="s">
        <v>108</v>
      </c>
      <c r="I1812" s="5" t="s">
        <v>115</v>
      </c>
      <c r="J1812" s="5" t="s">
        <v>143</v>
      </c>
      <c r="K1812" s="5" t="s">
        <v>110</v>
      </c>
      <c r="L1812" s="6">
        <v>45678</v>
      </c>
      <c r="M1812" s="6">
        <v>45678</v>
      </c>
      <c r="N1812" s="6" t="s">
        <v>811</v>
      </c>
      <c r="O1812" s="5" t="str">
        <f ca="1">IF(P1812&lt;&gt;"EXPEDIÇÃO","Expedido",IF(NETWORKDAYS(C1812,TODAY())&gt;=5,"Risco Alto",IF(NETWORKDAYS(C1812,TODAY())&gt;=3,IF(NETWORKDAYS(C1812,TODAY())&lt;5,"Risco Médio",""),IF(NETWORKDAYS(C1812,TODAY())&lt;=2,"Risco Baixo",""))))</f>
        <v>Expedido</v>
      </c>
      <c r="P1812" s="5" t="s">
        <v>25</v>
      </c>
      <c r="Q1812" s="5" t="s">
        <v>897</v>
      </c>
      <c r="S1812" s="7">
        <f>IF(ISBLANK(M1812),"Aguardando Previsão/Data",NETWORKDAYS(L1812,M1812)-1)</f>
        <v>0</v>
      </c>
      <c r="T1812" s="5" t="s">
        <v>942</v>
      </c>
    </row>
    <row r="1813" spans="1:20" x14ac:dyDescent="0.35">
      <c r="A1813" s="5">
        <v>8100276775</v>
      </c>
      <c r="B1813" s="5">
        <v>19242</v>
      </c>
      <c r="C1813" s="6">
        <v>45671</v>
      </c>
      <c r="D1813" s="5" t="s">
        <v>106</v>
      </c>
      <c r="E1813" s="5" t="s">
        <v>107</v>
      </c>
      <c r="F1813" s="5" t="s">
        <v>69</v>
      </c>
      <c r="G1813" s="5" t="s">
        <v>70</v>
      </c>
      <c r="H1813" s="5" t="s">
        <v>108</v>
      </c>
      <c r="I1813" s="5" t="s">
        <v>64</v>
      </c>
      <c r="J1813" s="5" t="s">
        <v>537</v>
      </c>
      <c r="K1813" s="5" t="s">
        <v>110</v>
      </c>
      <c r="L1813" s="6">
        <v>45679</v>
      </c>
      <c r="M1813" s="6">
        <v>45679</v>
      </c>
      <c r="N1813" s="6" t="s">
        <v>811</v>
      </c>
      <c r="O1813" s="5" t="str">
        <f ca="1">IF(P1813&lt;&gt;"EXPEDIÇÃO","Expedido",IF(NETWORKDAYS(C1813,TODAY())&gt;=5,"Risco Alto",IF(NETWORKDAYS(C1813,TODAY())&gt;=3,IF(NETWORKDAYS(C1813,TODAY())&lt;5,"Risco Médio",""),IF(NETWORKDAYS(C1813,TODAY())&lt;=2,"Risco Baixo",""))))</f>
        <v>Expedido</v>
      </c>
      <c r="P1813" s="5" t="s">
        <v>25</v>
      </c>
      <c r="S1813" s="7">
        <f>IF(ISBLANK(M1813),"Aguardando Previsão/Data",NETWORKDAYS(L1813,M1813)-1)</f>
        <v>0</v>
      </c>
      <c r="T1813" s="5" t="s">
        <v>942</v>
      </c>
    </row>
    <row r="1814" spans="1:20" x14ac:dyDescent="0.35">
      <c r="A1814" s="5">
        <v>8100276776</v>
      </c>
      <c r="B1814" s="5">
        <v>19243</v>
      </c>
      <c r="C1814" s="6">
        <v>45671</v>
      </c>
      <c r="D1814" s="5" t="s">
        <v>106</v>
      </c>
      <c r="E1814" s="5" t="s">
        <v>107</v>
      </c>
      <c r="F1814" s="5" t="s">
        <v>69</v>
      </c>
      <c r="G1814" s="5" t="s">
        <v>70</v>
      </c>
      <c r="H1814" s="5" t="s">
        <v>108</v>
      </c>
      <c r="I1814" s="5" t="s">
        <v>64</v>
      </c>
      <c r="J1814" s="5" t="s">
        <v>537</v>
      </c>
      <c r="K1814" s="5" t="s">
        <v>110</v>
      </c>
      <c r="L1814" s="6">
        <v>45679</v>
      </c>
      <c r="M1814" s="6">
        <v>45679</v>
      </c>
      <c r="N1814" s="6" t="s">
        <v>811</v>
      </c>
      <c r="O1814" s="5" t="str">
        <f ca="1">IF(P1814&lt;&gt;"EXPEDIÇÃO","Expedido",IF(NETWORKDAYS(C1814,TODAY())&gt;=5,"Risco Alto",IF(NETWORKDAYS(C1814,TODAY())&gt;=3,IF(NETWORKDAYS(C1814,TODAY())&lt;5,"Risco Médio",""),IF(NETWORKDAYS(C1814,TODAY())&lt;=2,"Risco Baixo",""))))</f>
        <v>Expedido</v>
      </c>
      <c r="P1814" s="5" t="s">
        <v>25</v>
      </c>
      <c r="S1814" s="7">
        <f>IF(ISBLANK(M1814),"Aguardando Previsão/Data",NETWORKDAYS(L1814,M1814)-1)</f>
        <v>0</v>
      </c>
      <c r="T1814" s="5" t="s">
        <v>942</v>
      </c>
    </row>
    <row r="1815" spans="1:20" x14ac:dyDescent="0.35">
      <c r="A1815" s="5">
        <v>8100276777</v>
      </c>
      <c r="B1815" s="5">
        <v>19247</v>
      </c>
      <c r="C1815" s="6">
        <v>45671</v>
      </c>
      <c r="D1815" s="5" t="s">
        <v>106</v>
      </c>
      <c r="E1815" s="5" t="s">
        <v>107</v>
      </c>
      <c r="F1815" s="5" t="s">
        <v>53</v>
      </c>
      <c r="G1815" s="5" t="s">
        <v>54</v>
      </c>
      <c r="H1815" s="5" t="s">
        <v>108</v>
      </c>
      <c r="I1815" s="5" t="s">
        <v>447</v>
      </c>
      <c r="J1815" s="5" t="s">
        <v>448</v>
      </c>
      <c r="K1815" s="5" t="s">
        <v>110</v>
      </c>
      <c r="L1815" s="6">
        <v>45678</v>
      </c>
      <c r="M1815" s="6">
        <v>45674</v>
      </c>
      <c r="N1815" s="6" t="s">
        <v>811</v>
      </c>
      <c r="O1815" s="5" t="str">
        <f ca="1">IF(P1815&lt;&gt;"EXPEDIÇÃO","Expedido",IF(NETWORKDAYS(C1815,TODAY())&gt;=5,"Risco Alto",IF(NETWORKDAYS(C1815,TODAY())&gt;=3,IF(NETWORKDAYS(C1815,TODAY())&lt;5,"Risco Médio",""),IF(NETWORKDAYS(C1815,TODAY())&lt;=2,"Risco Baixo",""))))</f>
        <v>Expedido</v>
      </c>
      <c r="P1815" s="5" t="s">
        <v>25</v>
      </c>
      <c r="S1815" s="7">
        <f>IF(ISBLANK(M1815),"Aguardando Previsão/Data",NETWORKDAYS(L1815,M1815)-1)</f>
        <v>-4</v>
      </c>
      <c r="T1815" s="5" t="s">
        <v>942</v>
      </c>
    </row>
    <row r="1816" spans="1:20" x14ac:dyDescent="0.35">
      <c r="A1816" s="5">
        <v>8100276778</v>
      </c>
      <c r="B1816" s="5">
        <v>19239</v>
      </c>
      <c r="C1816" s="6">
        <v>45671</v>
      </c>
      <c r="D1816" s="5" t="s">
        <v>106</v>
      </c>
      <c r="E1816" s="5" t="s">
        <v>107</v>
      </c>
      <c r="F1816" s="5" t="s">
        <v>69</v>
      </c>
      <c r="G1816" s="5" t="s">
        <v>70</v>
      </c>
      <c r="H1816" s="5" t="s">
        <v>108</v>
      </c>
      <c r="I1816" s="5" t="s">
        <v>115</v>
      </c>
      <c r="J1816" s="5" t="s">
        <v>345</v>
      </c>
      <c r="K1816" s="5" t="s">
        <v>110</v>
      </c>
      <c r="L1816" s="6">
        <v>45679</v>
      </c>
      <c r="M1816" s="6">
        <v>45678</v>
      </c>
      <c r="N1816" s="6" t="s">
        <v>811</v>
      </c>
      <c r="O1816" s="5" t="str">
        <f ca="1">IF(P1816&lt;&gt;"EXPEDIÇÃO","Expedido",IF(NETWORKDAYS(C1816,TODAY())&gt;=5,"Risco Alto",IF(NETWORKDAYS(C1816,TODAY())&gt;=3,IF(NETWORKDAYS(C1816,TODAY())&lt;5,"Risco Médio",""),IF(NETWORKDAYS(C1816,TODAY())&lt;=2,"Risco Baixo",""))))</f>
        <v>Expedido</v>
      </c>
      <c r="P1816" s="5" t="s">
        <v>25</v>
      </c>
      <c r="S1816" s="7">
        <f>IF(ISBLANK(M1816),"Aguardando Previsão/Data",NETWORKDAYS(L1816,M1816)-1)</f>
        <v>-3</v>
      </c>
      <c r="T1816" s="5" t="s">
        <v>942</v>
      </c>
    </row>
    <row r="1817" spans="1:20" x14ac:dyDescent="0.35">
      <c r="A1817" s="5">
        <v>8100276779</v>
      </c>
      <c r="B1817" s="5">
        <v>19240</v>
      </c>
      <c r="C1817" s="6">
        <v>45671</v>
      </c>
      <c r="D1817" s="5" t="s">
        <v>106</v>
      </c>
      <c r="E1817" s="5" t="s">
        <v>107</v>
      </c>
      <c r="F1817" s="5" t="s">
        <v>69</v>
      </c>
      <c r="G1817" s="5" t="s">
        <v>70</v>
      </c>
      <c r="H1817" s="5" t="s">
        <v>108</v>
      </c>
      <c r="I1817" s="5" t="s">
        <v>701</v>
      </c>
      <c r="J1817" s="5" t="s">
        <v>124</v>
      </c>
      <c r="K1817" s="5" t="s">
        <v>110</v>
      </c>
      <c r="L1817" s="6">
        <v>45679</v>
      </c>
      <c r="M1817" s="6">
        <v>45679</v>
      </c>
      <c r="N1817" s="6" t="s">
        <v>811</v>
      </c>
      <c r="O1817" s="5" t="str">
        <f ca="1">IF(P1817&lt;&gt;"EXPEDIÇÃO","Expedido",IF(NETWORKDAYS(C1817,TODAY())&gt;=5,"Risco Alto",IF(NETWORKDAYS(C1817,TODAY())&gt;=3,IF(NETWORKDAYS(C1817,TODAY())&lt;5,"Risco Médio",""),IF(NETWORKDAYS(C1817,TODAY())&lt;=2,"Risco Baixo",""))))</f>
        <v>Expedido</v>
      </c>
      <c r="P1817" s="5" t="s">
        <v>25</v>
      </c>
      <c r="S1817" s="7">
        <f>IF(ISBLANK(M1817),"Aguardando Previsão/Data",NETWORKDAYS(L1817,M1817)-1)</f>
        <v>0</v>
      </c>
      <c r="T1817" s="5" t="s">
        <v>942</v>
      </c>
    </row>
    <row r="1818" spans="1:20" x14ac:dyDescent="0.35">
      <c r="A1818" s="5">
        <v>8100276780</v>
      </c>
      <c r="B1818" s="5">
        <v>19246</v>
      </c>
      <c r="C1818" s="6">
        <v>45671</v>
      </c>
      <c r="D1818" s="5" t="s">
        <v>106</v>
      </c>
      <c r="E1818" s="5" t="s">
        <v>107</v>
      </c>
      <c r="F1818" s="5" t="s">
        <v>69</v>
      </c>
      <c r="G1818" s="5" t="s">
        <v>70</v>
      </c>
      <c r="H1818" s="5" t="s">
        <v>108</v>
      </c>
      <c r="I1818" s="5" t="s">
        <v>82</v>
      </c>
      <c r="J1818" s="5" t="s">
        <v>124</v>
      </c>
      <c r="K1818" s="5" t="s">
        <v>110</v>
      </c>
      <c r="L1818" s="6">
        <v>45679</v>
      </c>
      <c r="M1818" s="6">
        <v>45679</v>
      </c>
      <c r="N1818" s="6" t="s">
        <v>811</v>
      </c>
      <c r="O1818" s="5" t="str">
        <f ca="1">IF(P1818&lt;&gt;"EXPEDIÇÃO","Expedido",IF(NETWORKDAYS(C1818,TODAY())&gt;=5,"Risco Alto",IF(NETWORKDAYS(C1818,TODAY())&gt;=3,IF(NETWORKDAYS(C1818,TODAY())&lt;5,"Risco Médio",""),IF(NETWORKDAYS(C1818,TODAY())&lt;=2,"Risco Baixo",""))))</f>
        <v>Expedido</v>
      </c>
      <c r="P1818" s="5" t="s">
        <v>25</v>
      </c>
      <c r="S1818" s="7">
        <f>IF(ISBLANK(M1818),"Aguardando Previsão/Data",NETWORKDAYS(L1818,M1818)-1)</f>
        <v>0</v>
      </c>
      <c r="T1818" s="5" t="s">
        <v>942</v>
      </c>
    </row>
    <row r="1819" spans="1:20" x14ac:dyDescent="0.35">
      <c r="A1819" s="5">
        <v>8100276781</v>
      </c>
      <c r="B1819" s="5">
        <v>19248</v>
      </c>
      <c r="C1819" s="6">
        <v>45671</v>
      </c>
      <c r="D1819" s="5" t="s">
        <v>106</v>
      </c>
      <c r="E1819" s="5" t="s">
        <v>107</v>
      </c>
      <c r="F1819" s="5" t="s">
        <v>53</v>
      </c>
      <c r="G1819" s="5" t="s">
        <v>54</v>
      </c>
      <c r="H1819" s="5" t="s">
        <v>108</v>
      </c>
      <c r="I1819" s="5" t="s">
        <v>447</v>
      </c>
      <c r="J1819" s="5" t="s">
        <v>448</v>
      </c>
      <c r="K1819" s="5" t="s">
        <v>110</v>
      </c>
      <c r="L1819" s="6">
        <v>45678</v>
      </c>
      <c r="M1819" s="6">
        <v>45674</v>
      </c>
      <c r="N1819" s="6" t="s">
        <v>811</v>
      </c>
      <c r="O1819" s="5" t="str">
        <f ca="1">IF(P1819&lt;&gt;"EXPEDIÇÃO","Expedido",IF(NETWORKDAYS(C1819,TODAY())&gt;=5,"Risco Alto",IF(NETWORKDAYS(C1819,TODAY())&gt;=3,IF(NETWORKDAYS(C1819,TODAY())&lt;5,"Risco Médio",""),IF(NETWORKDAYS(C1819,TODAY())&lt;=2,"Risco Baixo",""))))</f>
        <v>Expedido</v>
      </c>
      <c r="P1819" s="5" t="s">
        <v>25</v>
      </c>
      <c r="S1819" s="7">
        <f>IF(ISBLANK(M1819),"Aguardando Previsão/Data",NETWORKDAYS(L1819,M1819)-1)</f>
        <v>-4</v>
      </c>
      <c r="T1819" s="5" t="s">
        <v>942</v>
      </c>
    </row>
    <row r="1820" spans="1:20" x14ac:dyDescent="0.35">
      <c r="A1820" s="5">
        <v>8100276782</v>
      </c>
      <c r="B1820" s="5">
        <v>19244</v>
      </c>
      <c r="C1820" s="6">
        <v>45671</v>
      </c>
      <c r="D1820" s="5" t="s">
        <v>106</v>
      </c>
      <c r="E1820" s="5" t="s">
        <v>107</v>
      </c>
      <c r="F1820" s="5" t="s">
        <v>69</v>
      </c>
      <c r="G1820" s="5" t="s">
        <v>70</v>
      </c>
      <c r="H1820" s="5" t="s">
        <v>108</v>
      </c>
      <c r="I1820" s="5" t="s">
        <v>64</v>
      </c>
      <c r="J1820" s="5" t="s">
        <v>537</v>
      </c>
      <c r="K1820" s="5" t="s">
        <v>110</v>
      </c>
      <c r="L1820" s="6">
        <v>45679</v>
      </c>
      <c r="M1820" s="6">
        <v>45679</v>
      </c>
      <c r="N1820" s="6" t="s">
        <v>811</v>
      </c>
      <c r="O1820" s="5" t="str">
        <f ca="1">IF(P1820&lt;&gt;"EXPEDIÇÃO","Expedido",IF(NETWORKDAYS(C1820,TODAY())&gt;=5,"Risco Alto",IF(NETWORKDAYS(C1820,TODAY())&gt;=3,IF(NETWORKDAYS(C1820,TODAY())&lt;5,"Risco Médio",""),IF(NETWORKDAYS(C1820,TODAY())&lt;=2,"Risco Baixo",""))))</f>
        <v>Expedido</v>
      </c>
      <c r="P1820" s="5" t="s">
        <v>25</v>
      </c>
      <c r="S1820" s="7">
        <f>IF(ISBLANK(M1820),"Aguardando Previsão/Data",NETWORKDAYS(L1820,M1820)-1)</f>
        <v>0</v>
      </c>
      <c r="T1820" s="5" t="s">
        <v>942</v>
      </c>
    </row>
    <row r="1821" spans="1:20" x14ac:dyDescent="0.35">
      <c r="A1821" s="5">
        <v>8100276783</v>
      </c>
      <c r="B1821" s="5">
        <v>19249</v>
      </c>
      <c r="C1821" s="6">
        <v>45671</v>
      </c>
      <c r="D1821" s="5" t="s">
        <v>106</v>
      </c>
      <c r="E1821" s="5" t="s">
        <v>107</v>
      </c>
      <c r="F1821" s="5" t="s">
        <v>53</v>
      </c>
      <c r="G1821" s="5" t="s">
        <v>54</v>
      </c>
      <c r="H1821" s="5" t="s">
        <v>108</v>
      </c>
      <c r="I1821" s="5" t="s">
        <v>447</v>
      </c>
      <c r="J1821" s="5" t="s">
        <v>448</v>
      </c>
      <c r="K1821" s="5" t="s">
        <v>110</v>
      </c>
      <c r="L1821" s="6">
        <v>45678</v>
      </c>
      <c r="M1821" s="6">
        <v>45674</v>
      </c>
      <c r="N1821" s="6" t="s">
        <v>811</v>
      </c>
      <c r="O1821" s="5" t="str">
        <f ca="1">IF(P1821&lt;&gt;"EXPEDIÇÃO","Expedido",IF(NETWORKDAYS(C1821,TODAY())&gt;=5,"Risco Alto",IF(NETWORKDAYS(C1821,TODAY())&gt;=3,IF(NETWORKDAYS(C1821,TODAY())&lt;5,"Risco Médio",""),IF(NETWORKDAYS(C1821,TODAY())&lt;=2,"Risco Baixo",""))))</f>
        <v>Expedido</v>
      </c>
      <c r="P1821" s="5" t="s">
        <v>25</v>
      </c>
      <c r="S1821" s="7">
        <f>IF(ISBLANK(M1821),"Aguardando Previsão/Data",NETWORKDAYS(L1821,M1821)-1)</f>
        <v>-4</v>
      </c>
      <c r="T1821" s="5" t="s">
        <v>942</v>
      </c>
    </row>
    <row r="1822" spans="1:20" x14ac:dyDescent="0.35">
      <c r="A1822" s="5">
        <v>8100276785</v>
      </c>
      <c r="B1822" s="5">
        <v>19245</v>
      </c>
      <c r="C1822" s="6">
        <v>45671</v>
      </c>
      <c r="D1822" s="5" t="s">
        <v>106</v>
      </c>
      <c r="E1822" s="5" t="s">
        <v>107</v>
      </c>
      <c r="F1822" s="5" t="s">
        <v>69</v>
      </c>
      <c r="G1822" s="5" t="s">
        <v>70</v>
      </c>
      <c r="H1822" s="5" t="s">
        <v>108</v>
      </c>
      <c r="I1822" s="5" t="s">
        <v>64</v>
      </c>
      <c r="J1822" s="5" t="s">
        <v>537</v>
      </c>
      <c r="K1822" s="5" t="s">
        <v>110</v>
      </c>
      <c r="L1822" s="6">
        <v>45679</v>
      </c>
      <c r="M1822" s="6">
        <v>45679</v>
      </c>
      <c r="N1822" s="6" t="s">
        <v>811</v>
      </c>
      <c r="O1822" s="5" t="str">
        <f ca="1">IF(P1822&lt;&gt;"EXPEDIÇÃO","Expedido",IF(NETWORKDAYS(C1822,TODAY())&gt;=5,"Risco Alto",IF(NETWORKDAYS(C1822,TODAY())&gt;=3,IF(NETWORKDAYS(C1822,TODAY())&lt;5,"Risco Médio",""),IF(NETWORKDAYS(C1822,TODAY())&lt;=2,"Risco Baixo",""))))</f>
        <v>Expedido</v>
      </c>
      <c r="P1822" s="5" t="s">
        <v>25</v>
      </c>
      <c r="S1822" s="7">
        <f>IF(ISBLANK(M1822),"Aguardando Previsão/Data",NETWORKDAYS(L1822,M1822)-1)</f>
        <v>0</v>
      </c>
      <c r="T1822" s="5" t="s">
        <v>942</v>
      </c>
    </row>
    <row r="1823" spans="1:20" x14ac:dyDescent="0.35">
      <c r="A1823" s="5">
        <v>8100276786</v>
      </c>
      <c r="B1823" s="5">
        <v>19255</v>
      </c>
      <c r="C1823" s="6">
        <v>45671</v>
      </c>
      <c r="D1823" s="5" t="s">
        <v>106</v>
      </c>
      <c r="E1823" s="5" t="s">
        <v>107</v>
      </c>
      <c r="F1823" s="5" t="s">
        <v>69</v>
      </c>
      <c r="G1823" s="5" t="s">
        <v>70</v>
      </c>
      <c r="H1823" s="5" t="s">
        <v>108</v>
      </c>
      <c r="I1823" s="5" t="s">
        <v>64</v>
      </c>
      <c r="J1823" s="5" t="s">
        <v>537</v>
      </c>
      <c r="K1823" s="5" t="s">
        <v>110</v>
      </c>
      <c r="L1823" s="6">
        <v>45679</v>
      </c>
      <c r="M1823" s="6">
        <v>45679</v>
      </c>
      <c r="N1823" s="6" t="s">
        <v>811</v>
      </c>
      <c r="O1823" s="5" t="str">
        <f ca="1">IF(P1823&lt;&gt;"EXPEDIÇÃO","Expedido",IF(NETWORKDAYS(C1823,TODAY())&gt;=5,"Risco Alto",IF(NETWORKDAYS(C1823,TODAY())&gt;=3,IF(NETWORKDAYS(C1823,TODAY())&lt;5,"Risco Médio",""),IF(NETWORKDAYS(C1823,TODAY())&lt;=2,"Risco Baixo",""))))</f>
        <v>Expedido</v>
      </c>
      <c r="P1823" s="5" t="s">
        <v>25</v>
      </c>
      <c r="S1823" s="7">
        <f>IF(ISBLANK(M1823),"Aguardando Previsão/Data",NETWORKDAYS(L1823,M1823)-1)</f>
        <v>0</v>
      </c>
      <c r="T1823" s="5" t="s">
        <v>942</v>
      </c>
    </row>
    <row r="1824" spans="1:20" x14ac:dyDescent="0.35">
      <c r="A1824" s="5">
        <v>8100276787</v>
      </c>
      <c r="B1824" s="5">
        <v>19256</v>
      </c>
      <c r="C1824" s="6">
        <v>45671</v>
      </c>
      <c r="D1824" s="5" t="s">
        <v>106</v>
      </c>
      <c r="E1824" s="5" t="s">
        <v>107</v>
      </c>
      <c r="F1824" s="5" t="s">
        <v>69</v>
      </c>
      <c r="G1824" s="5" t="s">
        <v>70</v>
      </c>
      <c r="H1824" s="5" t="s">
        <v>108</v>
      </c>
      <c r="I1824" s="5" t="s">
        <v>64</v>
      </c>
      <c r="J1824" s="5" t="s">
        <v>537</v>
      </c>
      <c r="K1824" s="5" t="s">
        <v>110</v>
      </c>
      <c r="L1824" s="6">
        <v>45679</v>
      </c>
      <c r="M1824" s="6">
        <v>45679</v>
      </c>
      <c r="N1824" s="6" t="s">
        <v>811</v>
      </c>
      <c r="O1824" s="5" t="str">
        <f ca="1">IF(P1824&lt;&gt;"EXPEDIÇÃO","Expedido",IF(NETWORKDAYS(C1824,TODAY())&gt;=5,"Risco Alto",IF(NETWORKDAYS(C1824,TODAY())&gt;=3,IF(NETWORKDAYS(C1824,TODAY())&lt;5,"Risco Médio",""),IF(NETWORKDAYS(C1824,TODAY())&lt;=2,"Risco Baixo",""))))</f>
        <v>Expedido</v>
      </c>
      <c r="P1824" s="5" t="s">
        <v>25</v>
      </c>
      <c r="S1824" s="7">
        <f>IF(ISBLANK(M1824),"Aguardando Previsão/Data",NETWORKDAYS(L1824,M1824)-1)</f>
        <v>0</v>
      </c>
      <c r="T1824" s="5" t="s">
        <v>942</v>
      </c>
    </row>
    <row r="1825" spans="1:20" x14ac:dyDescent="0.35">
      <c r="A1825" s="5">
        <v>8100276788</v>
      </c>
      <c r="B1825" s="5">
        <v>19257</v>
      </c>
      <c r="C1825" s="6">
        <v>45671</v>
      </c>
      <c r="D1825" s="5" t="s">
        <v>106</v>
      </c>
      <c r="E1825" s="5" t="s">
        <v>107</v>
      </c>
      <c r="F1825" s="5" t="s">
        <v>69</v>
      </c>
      <c r="G1825" s="5" t="s">
        <v>70</v>
      </c>
      <c r="H1825" s="5" t="s">
        <v>108</v>
      </c>
      <c r="I1825" s="5" t="s">
        <v>64</v>
      </c>
      <c r="J1825" s="5" t="s">
        <v>537</v>
      </c>
      <c r="K1825" s="5" t="s">
        <v>110</v>
      </c>
      <c r="L1825" s="6">
        <v>45679</v>
      </c>
      <c r="M1825" s="6">
        <v>45679</v>
      </c>
      <c r="N1825" s="6" t="s">
        <v>811</v>
      </c>
      <c r="O1825" s="5" t="str">
        <f ca="1">IF(P1825&lt;&gt;"EXPEDIÇÃO","Expedido",IF(NETWORKDAYS(C1825,TODAY())&gt;=5,"Risco Alto",IF(NETWORKDAYS(C1825,TODAY())&gt;=3,IF(NETWORKDAYS(C1825,TODAY())&lt;5,"Risco Médio",""),IF(NETWORKDAYS(C1825,TODAY())&lt;=2,"Risco Baixo",""))))</f>
        <v>Expedido</v>
      </c>
      <c r="P1825" s="5" t="s">
        <v>25</v>
      </c>
      <c r="S1825" s="7">
        <f>IF(ISBLANK(M1825),"Aguardando Previsão/Data",NETWORKDAYS(L1825,M1825)-1)</f>
        <v>0</v>
      </c>
      <c r="T1825" s="5" t="s">
        <v>942</v>
      </c>
    </row>
    <row r="1826" spans="1:20" x14ac:dyDescent="0.35">
      <c r="A1826" s="5">
        <v>8100276789</v>
      </c>
      <c r="B1826" s="5">
        <v>19258</v>
      </c>
      <c r="C1826" s="6">
        <v>45671</v>
      </c>
      <c r="D1826" s="5" t="s">
        <v>106</v>
      </c>
      <c r="E1826" s="5" t="s">
        <v>107</v>
      </c>
      <c r="F1826" s="5" t="s">
        <v>53</v>
      </c>
      <c r="G1826" s="5" t="s">
        <v>54</v>
      </c>
      <c r="H1826" s="5" t="s">
        <v>108</v>
      </c>
      <c r="I1826" s="5" t="s">
        <v>561</v>
      </c>
      <c r="J1826" s="5" t="s">
        <v>121</v>
      </c>
      <c r="K1826" s="5" t="s">
        <v>110</v>
      </c>
      <c r="L1826" s="6">
        <v>45678</v>
      </c>
      <c r="M1826" s="6">
        <v>45673</v>
      </c>
      <c r="N1826" s="6" t="s">
        <v>811</v>
      </c>
      <c r="O1826" s="5" t="str">
        <f ca="1">IF(P1826&lt;&gt;"EXPEDIÇÃO","Expedido",IF(NETWORKDAYS(C1826,TODAY())&gt;=5,"Risco Alto",IF(NETWORKDAYS(C1826,TODAY())&gt;=3,IF(NETWORKDAYS(C1826,TODAY())&lt;5,"Risco Médio",""),IF(NETWORKDAYS(C1826,TODAY())&lt;=2,"Risco Baixo",""))))</f>
        <v>Expedido</v>
      </c>
      <c r="P1826" s="5" t="s">
        <v>25</v>
      </c>
      <c r="S1826" s="7">
        <f>IF(ISBLANK(M1826),"Aguardando Previsão/Data",NETWORKDAYS(L1826,M1826)-1)</f>
        <v>-5</v>
      </c>
      <c r="T1826" s="5" t="s">
        <v>942</v>
      </c>
    </row>
    <row r="1827" spans="1:20" x14ac:dyDescent="0.35">
      <c r="A1827" s="5">
        <v>8100276803</v>
      </c>
      <c r="B1827" s="5">
        <v>19259</v>
      </c>
      <c r="C1827" s="6">
        <v>45671</v>
      </c>
      <c r="D1827" s="5" t="s">
        <v>106</v>
      </c>
      <c r="E1827" s="5" t="s">
        <v>107</v>
      </c>
      <c r="F1827" s="5" t="s">
        <v>58</v>
      </c>
      <c r="G1827" s="5" t="s">
        <v>59</v>
      </c>
      <c r="H1827" s="5" t="s">
        <v>108</v>
      </c>
      <c r="I1827" s="5" t="s">
        <v>1054</v>
      </c>
      <c r="J1827" s="5" t="s">
        <v>503</v>
      </c>
      <c r="K1827" s="5" t="s">
        <v>110</v>
      </c>
      <c r="L1827" s="6">
        <v>45678</v>
      </c>
      <c r="M1827" s="6">
        <v>45674</v>
      </c>
      <c r="N1827" s="6" t="s">
        <v>811</v>
      </c>
      <c r="O1827" s="5" t="str">
        <f ca="1">IF(P1827&lt;&gt;"EXPEDIÇÃO","Expedido",IF(NETWORKDAYS(C1827,TODAY())&gt;=5,"Risco Alto",IF(NETWORKDAYS(C1827,TODAY())&gt;=3,IF(NETWORKDAYS(C1827,TODAY())&lt;5,"Risco Médio",""),IF(NETWORKDAYS(C1827,TODAY())&lt;=2,"Risco Baixo",""))))</f>
        <v>Expedido</v>
      </c>
      <c r="P1827" s="5" t="s">
        <v>25</v>
      </c>
      <c r="S1827" s="7">
        <f>IF(ISBLANK(M1827),"Aguardando Previsão/Data",NETWORKDAYS(L1827,M1827)-1)</f>
        <v>-4</v>
      </c>
      <c r="T1827" s="5" t="s">
        <v>942</v>
      </c>
    </row>
    <row r="1828" spans="1:20" x14ac:dyDescent="0.35">
      <c r="A1828" s="5">
        <v>8100276805</v>
      </c>
      <c r="B1828" s="5">
        <v>19262</v>
      </c>
      <c r="C1828" s="6">
        <v>45671</v>
      </c>
      <c r="D1828" s="5" t="s">
        <v>106</v>
      </c>
      <c r="E1828" s="5" t="s">
        <v>107</v>
      </c>
      <c r="F1828" s="5" t="s">
        <v>69</v>
      </c>
      <c r="G1828" s="5" t="s">
        <v>70</v>
      </c>
      <c r="H1828" s="5" t="s">
        <v>108</v>
      </c>
      <c r="I1828" s="5" t="s">
        <v>115</v>
      </c>
      <c r="J1828" s="5" t="s">
        <v>143</v>
      </c>
      <c r="K1828" s="5" t="s">
        <v>110</v>
      </c>
      <c r="L1828" s="6">
        <v>45678</v>
      </c>
      <c r="M1828" s="6">
        <v>45678</v>
      </c>
      <c r="N1828" s="6" t="s">
        <v>811</v>
      </c>
      <c r="O1828" s="5" t="str">
        <f ca="1">IF(P1828&lt;&gt;"EXPEDIÇÃO","Expedido",IF(NETWORKDAYS(C1828,TODAY())&gt;=5,"Risco Alto",IF(NETWORKDAYS(C1828,TODAY())&gt;=3,IF(NETWORKDAYS(C1828,TODAY())&lt;5,"Risco Médio",""),IF(NETWORKDAYS(C1828,TODAY())&lt;=2,"Risco Baixo",""))))</f>
        <v>Expedido</v>
      </c>
      <c r="P1828" s="5" t="s">
        <v>25</v>
      </c>
      <c r="Q1828" s="5" t="s">
        <v>897</v>
      </c>
      <c r="S1828" s="7">
        <f>IF(ISBLANK(M1828),"Aguardando Previsão/Data",NETWORKDAYS(L1828,M1828)-1)</f>
        <v>0</v>
      </c>
      <c r="T1828" s="5" t="s">
        <v>942</v>
      </c>
    </row>
    <row r="1829" spans="1:20" x14ac:dyDescent="0.35">
      <c r="A1829" s="5">
        <v>8100276806</v>
      </c>
      <c r="B1829" s="5">
        <v>19260</v>
      </c>
      <c r="C1829" s="6">
        <v>45671</v>
      </c>
      <c r="D1829" s="5" t="s">
        <v>106</v>
      </c>
      <c r="E1829" s="5" t="s">
        <v>107</v>
      </c>
      <c r="F1829" s="5" t="s">
        <v>53</v>
      </c>
      <c r="G1829" s="5" t="s">
        <v>54</v>
      </c>
      <c r="H1829" s="5" t="s">
        <v>108</v>
      </c>
      <c r="I1829" s="5" t="s">
        <v>447</v>
      </c>
      <c r="J1829" s="5" t="s">
        <v>448</v>
      </c>
      <c r="K1829" s="5" t="s">
        <v>110</v>
      </c>
      <c r="L1829" s="6">
        <v>45678</v>
      </c>
      <c r="M1829" s="6">
        <v>45674</v>
      </c>
      <c r="N1829" s="6" t="s">
        <v>811</v>
      </c>
      <c r="O1829" s="5" t="str">
        <f ca="1">IF(P1829&lt;&gt;"EXPEDIÇÃO","Expedido",IF(NETWORKDAYS(C1829,TODAY())&gt;=5,"Risco Alto",IF(NETWORKDAYS(C1829,TODAY())&gt;=3,IF(NETWORKDAYS(C1829,TODAY())&lt;5,"Risco Médio",""),IF(NETWORKDAYS(C1829,TODAY())&lt;=2,"Risco Baixo",""))))</f>
        <v>Expedido</v>
      </c>
      <c r="P1829" s="5" t="s">
        <v>25</v>
      </c>
      <c r="S1829" s="7">
        <f>IF(ISBLANK(M1829),"Aguardando Previsão/Data",NETWORKDAYS(L1829,M1829)-1)</f>
        <v>-4</v>
      </c>
      <c r="T1829" s="5" t="s">
        <v>942</v>
      </c>
    </row>
    <row r="1830" spans="1:20" x14ac:dyDescent="0.35">
      <c r="A1830" s="5">
        <v>8100276807</v>
      </c>
      <c r="B1830" s="5">
        <v>19264</v>
      </c>
      <c r="C1830" s="6">
        <v>45671</v>
      </c>
      <c r="D1830" s="5" t="s">
        <v>106</v>
      </c>
      <c r="E1830" s="5" t="s">
        <v>107</v>
      </c>
      <c r="F1830" s="5" t="s">
        <v>69</v>
      </c>
      <c r="G1830" s="5" t="s">
        <v>70</v>
      </c>
      <c r="H1830" s="5" t="s">
        <v>108</v>
      </c>
      <c r="I1830" s="5" t="s">
        <v>115</v>
      </c>
      <c r="J1830" s="5" t="s">
        <v>133</v>
      </c>
      <c r="K1830" s="5" t="s">
        <v>110</v>
      </c>
      <c r="L1830" s="6">
        <v>45679</v>
      </c>
      <c r="M1830" s="6">
        <v>45679</v>
      </c>
      <c r="N1830" s="6" t="s">
        <v>811</v>
      </c>
      <c r="O1830" s="5" t="str">
        <f ca="1">IF(P1830&lt;&gt;"EXPEDIÇÃO","Expedido",IF(NETWORKDAYS(C1830,TODAY())&gt;=5,"Risco Alto",IF(NETWORKDAYS(C1830,TODAY())&gt;=3,IF(NETWORKDAYS(C1830,TODAY())&lt;5,"Risco Médio",""),IF(NETWORKDAYS(C1830,TODAY())&lt;=2,"Risco Baixo",""))))</f>
        <v>Expedido</v>
      </c>
      <c r="P1830" s="5" t="s">
        <v>25</v>
      </c>
      <c r="S1830" s="7">
        <f>IF(ISBLANK(M1830),"Aguardando Previsão/Data",NETWORKDAYS(L1830,M1830)-1)</f>
        <v>0</v>
      </c>
      <c r="T1830" s="5" t="s">
        <v>942</v>
      </c>
    </row>
    <row r="1831" spans="1:20" x14ac:dyDescent="0.35">
      <c r="A1831" s="5">
        <v>8100276808</v>
      </c>
      <c r="B1831" s="5">
        <v>19263</v>
      </c>
      <c r="C1831" s="6">
        <v>45671</v>
      </c>
      <c r="D1831" s="5" t="s">
        <v>106</v>
      </c>
      <c r="E1831" s="5" t="s">
        <v>107</v>
      </c>
      <c r="F1831" s="5" t="s">
        <v>69</v>
      </c>
      <c r="G1831" s="5" t="s">
        <v>70</v>
      </c>
      <c r="H1831" s="5" t="s">
        <v>108</v>
      </c>
      <c r="I1831" s="5" t="s">
        <v>115</v>
      </c>
      <c r="J1831" s="5" t="s">
        <v>122</v>
      </c>
      <c r="K1831" s="5" t="s">
        <v>110</v>
      </c>
      <c r="L1831" s="6">
        <v>45678</v>
      </c>
      <c r="M1831" s="6">
        <v>45674</v>
      </c>
      <c r="N1831" s="6" t="s">
        <v>811</v>
      </c>
      <c r="O1831" s="5" t="str">
        <f ca="1">IF(P1831&lt;&gt;"EXPEDIÇÃO","Expedido",IF(NETWORKDAYS(C1831,TODAY())&gt;=5,"Risco Alto",IF(NETWORKDAYS(C1831,TODAY())&gt;=3,IF(NETWORKDAYS(C1831,TODAY())&lt;5,"Risco Médio",""),IF(NETWORKDAYS(C1831,TODAY())&lt;=2,"Risco Baixo",""))))</f>
        <v>Expedido</v>
      </c>
      <c r="P1831" s="5" t="s">
        <v>25</v>
      </c>
      <c r="S1831" s="7">
        <f>IF(ISBLANK(M1831),"Aguardando Previsão/Data",NETWORKDAYS(L1831,M1831)-1)</f>
        <v>-4</v>
      </c>
      <c r="T1831" s="5" t="s">
        <v>942</v>
      </c>
    </row>
    <row r="1832" spans="1:20" x14ac:dyDescent="0.35">
      <c r="A1832" s="5">
        <v>8100276172</v>
      </c>
      <c r="B1832" s="5">
        <v>19230</v>
      </c>
      <c r="C1832" s="6">
        <v>45671</v>
      </c>
      <c r="D1832" s="5" t="s">
        <v>106</v>
      </c>
      <c r="E1832" s="5" t="s">
        <v>107</v>
      </c>
      <c r="F1832" s="5" t="s">
        <v>171</v>
      </c>
      <c r="G1832" s="5" t="s">
        <v>172</v>
      </c>
      <c r="H1832" s="5" t="s">
        <v>108</v>
      </c>
      <c r="I1832" s="5" t="s">
        <v>478</v>
      </c>
      <c r="J1832" s="5" t="s">
        <v>479</v>
      </c>
      <c r="K1832" s="5" t="s">
        <v>170</v>
      </c>
      <c r="L1832" s="6">
        <v>45681</v>
      </c>
      <c r="M1832" s="6">
        <v>45680</v>
      </c>
      <c r="N1832" s="6" t="s">
        <v>811</v>
      </c>
      <c r="O1832" s="5" t="str">
        <f ca="1">IF(P1832&lt;&gt;"EXPEDIÇÃO","Expedido",IF(NETWORKDAYS(C1832,TODAY())&gt;=5,"Risco Alto",IF(NETWORKDAYS(C1832,TODAY())&gt;=3,IF(NETWORKDAYS(C1832,TODAY())&lt;5,"Risco Médio",""),IF(NETWORKDAYS(C1832,TODAY())&lt;=2,"Risco Baixo",""))))</f>
        <v>Expedido</v>
      </c>
      <c r="P1832" s="5" t="s">
        <v>25</v>
      </c>
      <c r="S1832" s="7">
        <f>IF(ISBLANK(M1832),"Aguardando Previsão/Data",NETWORKDAYS(L1832,M1832)-1)</f>
        <v>-3</v>
      </c>
      <c r="T1832" s="5" t="s">
        <v>942</v>
      </c>
    </row>
    <row r="1833" spans="1:20" x14ac:dyDescent="0.35">
      <c r="A1833" s="5">
        <v>8100276773</v>
      </c>
      <c r="B1833" s="5">
        <v>19250</v>
      </c>
      <c r="C1833" s="6">
        <v>45671</v>
      </c>
      <c r="D1833" s="5" t="s">
        <v>106</v>
      </c>
      <c r="E1833" s="5" t="s">
        <v>107</v>
      </c>
      <c r="F1833" s="5" t="s">
        <v>171</v>
      </c>
      <c r="G1833" s="5" t="s">
        <v>172</v>
      </c>
      <c r="H1833" s="5" t="s">
        <v>108</v>
      </c>
      <c r="I1833" s="5" t="s">
        <v>478</v>
      </c>
      <c r="J1833" s="5" t="s">
        <v>479</v>
      </c>
      <c r="K1833" s="5" t="s">
        <v>170</v>
      </c>
      <c r="L1833" s="6">
        <v>45681</v>
      </c>
      <c r="M1833" s="6">
        <v>45680</v>
      </c>
      <c r="N1833" s="6" t="s">
        <v>811</v>
      </c>
      <c r="O1833" s="5" t="str">
        <f ca="1">IF(P1833&lt;&gt;"EXPEDIÇÃO","Expedido",IF(NETWORKDAYS(C1833,TODAY())&gt;=5,"Risco Alto",IF(NETWORKDAYS(C1833,TODAY())&gt;=3,IF(NETWORKDAYS(C1833,TODAY())&lt;5,"Risco Médio",""),IF(NETWORKDAYS(C1833,TODAY())&lt;=2,"Risco Baixo",""))))</f>
        <v>Expedido</v>
      </c>
      <c r="P1833" s="5" t="s">
        <v>25</v>
      </c>
      <c r="S1833" s="7">
        <f>IF(ISBLANK(M1833),"Aguardando Previsão/Data",NETWORKDAYS(L1833,M1833)-1)</f>
        <v>-3</v>
      </c>
      <c r="T1833" s="5" t="s">
        <v>942</v>
      </c>
    </row>
    <row r="1834" spans="1:20" x14ac:dyDescent="0.35">
      <c r="A1834" s="5">
        <v>8100276804</v>
      </c>
      <c r="B1834" s="5">
        <v>19261</v>
      </c>
      <c r="C1834" s="6">
        <v>45671</v>
      </c>
      <c r="D1834" s="5" t="s">
        <v>106</v>
      </c>
      <c r="E1834" s="5" t="s">
        <v>107</v>
      </c>
      <c r="F1834" s="5" t="s">
        <v>69</v>
      </c>
      <c r="G1834" s="5" t="s">
        <v>70</v>
      </c>
      <c r="H1834" s="5" t="s">
        <v>108</v>
      </c>
      <c r="I1834" s="5" t="s">
        <v>278</v>
      </c>
      <c r="J1834" s="5" t="s">
        <v>279</v>
      </c>
      <c r="K1834" s="5" t="s">
        <v>110</v>
      </c>
      <c r="L1834" s="6">
        <v>45678</v>
      </c>
      <c r="M1834" s="6">
        <v>45681</v>
      </c>
      <c r="N1834" s="6" t="s">
        <v>811</v>
      </c>
      <c r="O1834" s="5" t="str">
        <f ca="1">IF(P1834&lt;&gt;"EXPEDIÇÃO","Expedido",IF(NETWORKDAYS(C1834,TODAY())&gt;=5,"Risco Alto",IF(NETWORKDAYS(C1834,TODAY())&gt;=3,IF(NETWORKDAYS(C1834,TODAY())&lt;5,"Risco Médio",""),IF(NETWORKDAYS(C1834,TODAY())&lt;=2,"Risco Baixo",""))))</f>
        <v>Expedido</v>
      </c>
      <c r="P1834" s="5" t="s">
        <v>25</v>
      </c>
      <c r="Q1834" s="5" t="s">
        <v>897</v>
      </c>
      <c r="R1834" s="5" t="s">
        <v>1424</v>
      </c>
      <c r="S1834" s="7">
        <f>IF(ISBLANK(M1834),"Aguardando Previsão/Data",NETWORKDAYS(L1834,M1834)-1)</f>
        <v>3</v>
      </c>
      <c r="T1834" s="5" t="s">
        <v>942</v>
      </c>
    </row>
    <row r="1835" spans="1:20" x14ac:dyDescent="0.35">
      <c r="A1835" s="5">
        <v>8100275641</v>
      </c>
      <c r="B1835" s="5">
        <v>7144</v>
      </c>
      <c r="C1835" s="6">
        <v>45671</v>
      </c>
      <c r="D1835" s="5" t="s">
        <v>194</v>
      </c>
      <c r="E1835" s="5" t="s">
        <v>195</v>
      </c>
      <c r="F1835" s="5" t="s">
        <v>406</v>
      </c>
      <c r="G1835" s="5" t="s">
        <v>407</v>
      </c>
      <c r="H1835" s="5" t="s">
        <v>108</v>
      </c>
      <c r="I1835" s="5" t="s">
        <v>788</v>
      </c>
      <c r="J1835" s="5" t="s">
        <v>407</v>
      </c>
      <c r="K1835" s="5" t="s">
        <v>198</v>
      </c>
      <c r="L1835" s="6">
        <v>45677</v>
      </c>
      <c r="M1835" s="6">
        <v>45674</v>
      </c>
      <c r="N1835" s="6" t="s">
        <v>811</v>
      </c>
      <c r="O1835" s="5" t="str">
        <f ca="1">IF(P1835&lt;&gt;"EXPEDIÇÃO","Expedido",IF(NETWORKDAYS(C1835,TODAY())&gt;=5,"Risco Alto",IF(NETWORKDAYS(C1835,TODAY())&gt;=3,IF(NETWORKDAYS(C1835,TODAY())&lt;5,"Risco Médio",""),IF(NETWORKDAYS(C1835,TODAY())&lt;=2,"Risco Baixo",""))))</f>
        <v>Expedido</v>
      </c>
      <c r="P1835" s="5" t="s">
        <v>25</v>
      </c>
      <c r="S1835" s="7">
        <f>IF(ISBLANK(M1835),"Aguardando Previsão/Data",NETWORKDAYS(L1835,M1835)-1)</f>
        <v>-3</v>
      </c>
      <c r="T1835" s="5" t="s">
        <v>942</v>
      </c>
    </row>
    <row r="1836" spans="1:20" x14ac:dyDescent="0.35">
      <c r="A1836" s="5">
        <v>8100275864</v>
      </c>
      <c r="B1836" s="5">
        <v>7137</v>
      </c>
      <c r="C1836" s="6">
        <v>45671</v>
      </c>
      <c r="D1836" s="5" t="s">
        <v>194</v>
      </c>
      <c r="E1836" s="5" t="s">
        <v>195</v>
      </c>
      <c r="F1836" s="5" t="s">
        <v>406</v>
      </c>
      <c r="G1836" s="5" t="s">
        <v>407</v>
      </c>
      <c r="H1836" s="5" t="s">
        <v>108</v>
      </c>
      <c r="I1836" s="5" t="s">
        <v>1078</v>
      </c>
      <c r="J1836" s="5" t="s">
        <v>202</v>
      </c>
      <c r="K1836" s="5" t="s">
        <v>198</v>
      </c>
      <c r="L1836" s="6">
        <v>45678</v>
      </c>
      <c r="M1836" s="6">
        <v>45681</v>
      </c>
      <c r="N1836" s="6" t="s">
        <v>812</v>
      </c>
      <c r="O1836" s="5" t="str">
        <f ca="1">IF(P1836&lt;&gt;"EXPEDIÇÃO","Expedido",IF(NETWORKDAYS(C1836,TODAY())&gt;=5,"Risco Alto",IF(NETWORKDAYS(C1836,TODAY())&gt;=3,IF(NETWORKDAYS(C1836,TODAY())&lt;5,"Risco Médio",""),IF(NETWORKDAYS(C1836,TODAY())&lt;=2,"Risco Baixo",""))))</f>
        <v>Expedido</v>
      </c>
      <c r="P1836" s="5" t="s">
        <v>25</v>
      </c>
      <c r="Q1836" s="5" t="s">
        <v>1493</v>
      </c>
      <c r="S1836" s="7">
        <f>IF(ISBLANK(M1836),"Aguardando Previsão/Data",NETWORKDAYS(L1836,M1836)-1)</f>
        <v>3</v>
      </c>
      <c r="T1836" s="5" t="s">
        <v>942</v>
      </c>
    </row>
    <row r="1837" spans="1:20" x14ac:dyDescent="0.35">
      <c r="A1837" s="5">
        <v>8100276249</v>
      </c>
      <c r="B1837" s="5">
        <v>7152</v>
      </c>
      <c r="C1837" s="6">
        <v>45671</v>
      </c>
      <c r="D1837" s="5" t="s">
        <v>194</v>
      </c>
      <c r="E1837" s="5" t="s">
        <v>195</v>
      </c>
      <c r="F1837" s="5" t="s">
        <v>58</v>
      </c>
      <c r="G1837" s="5" t="s">
        <v>59</v>
      </c>
      <c r="H1837" s="5" t="s">
        <v>108</v>
      </c>
      <c r="I1837" s="5" t="s">
        <v>514</v>
      </c>
      <c r="J1837" s="5" t="s">
        <v>515</v>
      </c>
      <c r="K1837" s="5" t="s">
        <v>198</v>
      </c>
      <c r="L1837" s="6">
        <v>45678</v>
      </c>
      <c r="M1837" s="6">
        <v>45681</v>
      </c>
      <c r="N1837" s="6" t="s">
        <v>812</v>
      </c>
      <c r="O1837" s="5" t="str">
        <f ca="1">IF(P1837&lt;&gt;"EXPEDIÇÃO","Expedido",IF(NETWORKDAYS(C1837,TODAY())&gt;=5,"Risco Alto",IF(NETWORKDAYS(C1837,TODAY())&gt;=3,IF(NETWORKDAYS(C1837,TODAY())&lt;5,"Risco Médio",""),IF(NETWORKDAYS(C1837,TODAY())&lt;=2,"Risco Baixo",""))))</f>
        <v>Expedido</v>
      </c>
      <c r="P1837" s="5" t="s">
        <v>25</v>
      </c>
      <c r="S1837" s="7">
        <f>IF(ISBLANK(M1837),"Aguardando Previsão/Data",NETWORKDAYS(L1837,M1837)-1)</f>
        <v>3</v>
      </c>
      <c r="T1837" s="5" t="s">
        <v>942</v>
      </c>
    </row>
    <row r="1838" spans="1:20" x14ac:dyDescent="0.35">
      <c r="A1838" s="5">
        <v>8100276254</v>
      </c>
      <c r="B1838" s="5">
        <v>7145</v>
      </c>
      <c r="C1838" s="6">
        <v>45671</v>
      </c>
      <c r="D1838" s="5" t="s">
        <v>194</v>
      </c>
      <c r="E1838" s="5" t="s">
        <v>195</v>
      </c>
      <c r="F1838" s="5" t="s">
        <v>69</v>
      </c>
      <c r="G1838" s="5" t="s">
        <v>70</v>
      </c>
      <c r="H1838" s="5" t="s">
        <v>108</v>
      </c>
      <c r="I1838" s="5" t="s">
        <v>335</v>
      </c>
      <c r="J1838" s="5" t="s">
        <v>336</v>
      </c>
      <c r="K1838" s="5" t="s">
        <v>198</v>
      </c>
      <c r="L1838" s="6">
        <v>45678</v>
      </c>
      <c r="M1838" s="6">
        <v>45681</v>
      </c>
      <c r="N1838" s="6" t="s">
        <v>812</v>
      </c>
      <c r="O1838" s="5" t="str">
        <f ca="1">IF(P1838&lt;&gt;"EXPEDIÇÃO","Expedido",IF(NETWORKDAYS(C1838,TODAY())&gt;=5,"Risco Alto",IF(NETWORKDAYS(C1838,TODAY())&gt;=3,IF(NETWORKDAYS(C1838,TODAY())&lt;5,"Risco Médio",""),IF(NETWORKDAYS(C1838,TODAY())&lt;=2,"Risco Baixo",""))))</f>
        <v>Expedido</v>
      </c>
      <c r="P1838" s="5" t="s">
        <v>25</v>
      </c>
      <c r="S1838" s="7">
        <f>IF(ISBLANK(M1838),"Aguardando Previsão/Data",NETWORKDAYS(L1838,M1838)-1)</f>
        <v>3</v>
      </c>
      <c r="T1838" s="5" t="s">
        <v>942</v>
      </c>
    </row>
    <row r="1839" spans="1:20" x14ac:dyDescent="0.35">
      <c r="A1839" s="5">
        <v>8100276261</v>
      </c>
      <c r="B1839" s="5">
        <v>7158</v>
      </c>
      <c r="C1839" s="6">
        <v>45671</v>
      </c>
      <c r="D1839" s="5" t="s">
        <v>194</v>
      </c>
      <c r="E1839" s="5" t="s">
        <v>195</v>
      </c>
      <c r="F1839" s="5" t="s">
        <v>406</v>
      </c>
      <c r="G1839" s="5" t="s">
        <v>407</v>
      </c>
      <c r="H1839" s="5" t="s">
        <v>108</v>
      </c>
      <c r="I1839" s="5" t="s">
        <v>1078</v>
      </c>
      <c r="J1839" s="5" t="s">
        <v>202</v>
      </c>
      <c r="K1839" s="5" t="s">
        <v>198</v>
      </c>
      <c r="L1839" s="6">
        <v>45678</v>
      </c>
      <c r="M1839" s="6">
        <v>45681</v>
      </c>
      <c r="N1839" s="6" t="s">
        <v>812</v>
      </c>
      <c r="O1839" s="5" t="str">
        <f ca="1">IF(P1839&lt;&gt;"EXPEDIÇÃO","Expedido",IF(NETWORKDAYS(C1839,TODAY())&gt;=5,"Risco Alto",IF(NETWORKDAYS(C1839,TODAY())&gt;=3,IF(NETWORKDAYS(C1839,TODAY())&lt;5,"Risco Médio",""),IF(NETWORKDAYS(C1839,TODAY())&lt;=2,"Risco Baixo",""))))</f>
        <v>Expedido</v>
      </c>
      <c r="P1839" s="5" t="s">
        <v>25</v>
      </c>
      <c r="Q1839" s="5" t="s">
        <v>1493</v>
      </c>
      <c r="S1839" s="7">
        <f>IF(ISBLANK(M1839),"Aguardando Previsão/Data",NETWORKDAYS(L1839,M1839)-1)</f>
        <v>3</v>
      </c>
      <c r="T1839" s="5" t="s">
        <v>942</v>
      </c>
    </row>
    <row r="1840" spans="1:20" x14ac:dyDescent="0.35">
      <c r="A1840" s="5">
        <v>8100276264</v>
      </c>
      <c r="B1840" s="5">
        <v>7160</v>
      </c>
      <c r="C1840" s="6">
        <v>45671</v>
      </c>
      <c r="D1840" s="5" t="s">
        <v>194</v>
      </c>
      <c r="E1840" s="5" t="s">
        <v>195</v>
      </c>
      <c r="F1840" s="5" t="s">
        <v>199</v>
      </c>
      <c r="G1840" s="5" t="s">
        <v>200</v>
      </c>
      <c r="H1840" s="5" t="s">
        <v>108</v>
      </c>
      <c r="I1840" s="5" t="s">
        <v>1295</v>
      </c>
      <c r="J1840" s="5" t="s">
        <v>205</v>
      </c>
      <c r="K1840" s="5" t="s">
        <v>198</v>
      </c>
      <c r="L1840" s="6">
        <v>45679</v>
      </c>
      <c r="M1840" s="6">
        <v>45680</v>
      </c>
      <c r="N1840" s="6" t="s">
        <v>812</v>
      </c>
      <c r="O1840" s="5" t="str">
        <f ca="1">IF(P1840&lt;&gt;"EXPEDIÇÃO","Expedido",IF(NETWORKDAYS(C1840,TODAY())&gt;=5,"Risco Alto",IF(NETWORKDAYS(C1840,TODAY())&gt;=3,IF(NETWORKDAYS(C1840,TODAY())&lt;5,"Risco Médio",""),IF(NETWORKDAYS(C1840,TODAY())&lt;=2,"Risco Baixo",""))))</f>
        <v>Expedido</v>
      </c>
      <c r="P1840" s="5" t="s">
        <v>25</v>
      </c>
      <c r="Q1840" s="5" t="s">
        <v>1415</v>
      </c>
      <c r="R1840" s="5">
        <v>3097043</v>
      </c>
      <c r="S1840" s="7">
        <f>IF(ISBLANK(M1840),"Aguardando Previsão/Data",NETWORKDAYS(L1840,M1840)-1)</f>
        <v>1</v>
      </c>
      <c r="T1840" s="5" t="s">
        <v>942</v>
      </c>
    </row>
    <row r="1841" spans="1:20" x14ac:dyDescent="0.35">
      <c r="A1841" s="5">
        <v>8100276265</v>
      </c>
      <c r="B1841" s="5">
        <v>7157</v>
      </c>
      <c r="C1841" s="6">
        <v>45671</v>
      </c>
      <c r="D1841" s="5" t="s">
        <v>194</v>
      </c>
      <c r="E1841" s="5" t="s">
        <v>195</v>
      </c>
      <c r="F1841" s="5" t="s">
        <v>406</v>
      </c>
      <c r="G1841" s="5" t="s">
        <v>407</v>
      </c>
      <c r="H1841" s="5" t="s">
        <v>108</v>
      </c>
      <c r="I1841" s="5" t="s">
        <v>201</v>
      </c>
      <c r="J1841" s="5" t="s">
        <v>202</v>
      </c>
      <c r="K1841" s="5" t="s">
        <v>198</v>
      </c>
      <c r="L1841" s="6">
        <v>45678</v>
      </c>
      <c r="M1841" s="6">
        <v>45685</v>
      </c>
      <c r="N1841" s="6" t="s">
        <v>812</v>
      </c>
      <c r="O1841" s="5" t="str">
        <f ca="1">IF(P1841&lt;&gt;"EXPEDIÇÃO","Expedido",IF(NETWORKDAYS(C1841,TODAY())&gt;=5,"Risco Alto",IF(NETWORKDAYS(C1841,TODAY())&gt;=3,IF(NETWORKDAYS(C1841,TODAY())&lt;5,"Risco Médio",""),IF(NETWORKDAYS(C1841,TODAY())&lt;=2,"Risco Baixo",""))))</f>
        <v>Expedido</v>
      </c>
      <c r="P1841" s="5" t="s">
        <v>25</v>
      </c>
      <c r="Q1841" s="5" t="s">
        <v>1573</v>
      </c>
      <c r="S1841" s="7">
        <f>IF(ISBLANK(M1841),"Aguardando Previsão/Data",NETWORKDAYS(L1841,M1841)-1)</f>
        <v>5</v>
      </c>
      <c r="T1841" s="5" t="s">
        <v>942</v>
      </c>
    </row>
    <row r="1842" spans="1:20" x14ac:dyDescent="0.35">
      <c r="A1842" s="5">
        <v>8100275134</v>
      </c>
      <c r="B1842" s="5">
        <v>7134</v>
      </c>
      <c r="C1842" s="6">
        <v>45671</v>
      </c>
      <c r="D1842" s="5" t="s">
        <v>194</v>
      </c>
      <c r="E1842" s="5" t="s">
        <v>195</v>
      </c>
      <c r="F1842" s="5" t="s">
        <v>147</v>
      </c>
      <c r="G1842" s="5" t="s">
        <v>148</v>
      </c>
      <c r="H1842" s="5" t="s">
        <v>108</v>
      </c>
      <c r="I1842" s="5" t="s">
        <v>922</v>
      </c>
      <c r="J1842" s="5" t="s">
        <v>290</v>
      </c>
      <c r="K1842" s="5" t="s">
        <v>198</v>
      </c>
      <c r="L1842" s="6">
        <v>45677</v>
      </c>
      <c r="M1842" s="6">
        <v>45673</v>
      </c>
      <c r="N1842" s="6" t="s">
        <v>811</v>
      </c>
      <c r="O1842" s="5" t="str">
        <f ca="1">IF(P1842&lt;&gt;"EXPEDIÇÃO","Expedido",IF(NETWORKDAYS(C1842,TODAY())&gt;=5,"Risco Alto",IF(NETWORKDAYS(C1842,TODAY())&gt;=3,IF(NETWORKDAYS(C1842,TODAY())&lt;5,"Risco Médio",""),IF(NETWORKDAYS(C1842,TODAY())&lt;=2,"Risco Baixo",""))))</f>
        <v>Expedido</v>
      </c>
      <c r="P1842" s="5" t="s">
        <v>25</v>
      </c>
      <c r="S1842" s="7">
        <f>IF(ISBLANK(M1842),"Aguardando Previsão/Data",NETWORKDAYS(L1842,M1842)-1)</f>
        <v>-4</v>
      </c>
      <c r="T1842" s="5" t="s">
        <v>942</v>
      </c>
    </row>
    <row r="1843" spans="1:20" x14ac:dyDescent="0.35">
      <c r="A1843" s="5">
        <v>8100275136</v>
      </c>
      <c r="B1843" s="5">
        <v>7162</v>
      </c>
      <c r="C1843" s="6">
        <v>45671</v>
      </c>
      <c r="D1843" s="5" t="s">
        <v>194</v>
      </c>
      <c r="E1843" s="5" t="s">
        <v>195</v>
      </c>
      <c r="F1843" s="5" t="s">
        <v>406</v>
      </c>
      <c r="G1843" s="5" t="s">
        <v>407</v>
      </c>
      <c r="H1843" s="5" t="s">
        <v>108</v>
      </c>
      <c r="I1843" s="5" t="s">
        <v>1102</v>
      </c>
      <c r="J1843" s="5" t="s">
        <v>691</v>
      </c>
      <c r="K1843" s="5" t="s">
        <v>198</v>
      </c>
      <c r="L1843" s="6">
        <v>45678</v>
      </c>
      <c r="M1843" s="6">
        <v>45675</v>
      </c>
      <c r="N1843" s="6" t="s">
        <v>811</v>
      </c>
      <c r="O1843" s="5" t="str">
        <f ca="1">IF(P1843&lt;&gt;"EXPEDIÇÃO","Expedido",IF(NETWORKDAYS(C1843,TODAY())&gt;=5,"Risco Alto",IF(NETWORKDAYS(C1843,TODAY())&gt;=3,IF(NETWORKDAYS(C1843,TODAY())&lt;5,"Risco Médio",""),IF(NETWORKDAYS(C1843,TODAY())&lt;=2,"Risco Baixo",""))))</f>
        <v>Expedido</v>
      </c>
      <c r="P1843" s="5" t="s">
        <v>25</v>
      </c>
      <c r="S1843" s="7">
        <f>IF(ISBLANK(M1843),"Aguardando Previsão/Data",NETWORKDAYS(L1843,M1843)-1)</f>
        <v>-3</v>
      </c>
      <c r="T1843" s="5" t="s">
        <v>942</v>
      </c>
    </row>
    <row r="1844" spans="1:20" x14ac:dyDescent="0.35">
      <c r="A1844" s="5">
        <v>8100275328</v>
      </c>
      <c r="B1844" s="5">
        <v>7147</v>
      </c>
      <c r="C1844" s="6">
        <v>45671</v>
      </c>
      <c r="D1844" s="5" t="s">
        <v>194</v>
      </c>
      <c r="E1844" s="5" t="s">
        <v>195</v>
      </c>
      <c r="F1844" s="5" t="s">
        <v>406</v>
      </c>
      <c r="G1844" s="5" t="s">
        <v>407</v>
      </c>
      <c r="H1844" s="5" t="s">
        <v>108</v>
      </c>
      <c r="I1844" s="5" t="s">
        <v>1313</v>
      </c>
      <c r="J1844" s="5" t="s">
        <v>407</v>
      </c>
      <c r="K1844" s="5" t="s">
        <v>198</v>
      </c>
      <c r="L1844" s="6">
        <v>45677</v>
      </c>
      <c r="M1844" s="6">
        <v>45674</v>
      </c>
      <c r="N1844" s="6" t="s">
        <v>811</v>
      </c>
      <c r="O1844" s="5" t="str">
        <f ca="1">IF(P1844&lt;&gt;"EXPEDIÇÃO","Expedido",IF(NETWORKDAYS(C1844,TODAY())&gt;=5,"Risco Alto",IF(NETWORKDAYS(C1844,TODAY())&gt;=3,IF(NETWORKDAYS(C1844,TODAY())&lt;5,"Risco Médio",""),IF(NETWORKDAYS(C1844,TODAY())&lt;=2,"Risco Baixo",""))))</f>
        <v>Expedido</v>
      </c>
      <c r="P1844" s="5" t="s">
        <v>25</v>
      </c>
      <c r="S1844" s="7">
        <f>IF(ISBLANK(M1844),"Aguardando Previsão/Data",NETWORKDAYS(L1844,M1844)-1)</f>
        <v>-3</v>
      </c>
      <c r="T1844" s="5" t="s">
        <v>942</v>
      </c>
    </row>
    <row r="1845" spans="1:20" x14ac:dyDescent="0.35">
      <c r="A1845" s="5">
        <v>8100276050</v>
      </c>
      <c r="B1845" s="5">
        <v>7135</v>
      </c>
      <c r="C1845" s="6">
        <v>45671</v>
      </c>
      <c r="D1845" s="5" t="s">
        <v>194</v>
      </c>
      <c r="E1845" s="5" t="s">
        <v>195</v>
      </c>
      <c r="F1845" s="5" t="s">
        <v>58</v>
      </c>
      <c r="G1845" s="5" t="s">
        <v>59</v>
      </c>
      <c r="H1845" s="5" t="s">
        <v>108</v>
      </c>
      <c r="I1845" s="5" t="s">
        <v>532</v>
      </c>
      <c r="J1845" s="5" t="s">
        <v>336</v>
      </c>
      <c r="K1845" s="5" t="s">
        <v>198</v>
      </c>
      <c r="L1845" s="6">
        <v>45678</v>
      </c>
      <c r="M1845" s="6">
        <v>45675</v>
      </c>
      <c r="N1845" s="6" t="s">
        <v>811</v>
      </c>
      <c r="O1845" s="5" t="str">
        <f ca="1">IF(P1845&lt;&gt;"EXPEDIÇÃO","Expedido",IF(NETWORKDAYS(C1845,TODAY())&gt;=5,"Risco Alto",IF(NETWORKDAYS(C1845,TODAY())&gt;=3,IF(NETWORKDAYS(C1845,TODAY())&lt;5,"Risco Médio",""),IF(NETWORKDAYS(C1845,TODAY())&lt;=2,"Risco Baixo",""))))</f>
        <v>Expedido</v>
      </c>
      <c r="P1845" s="5" t="s">
        <v>25</v>
      </c>
      <c r="S1845" s="7">
        <f>IF(ISBLANK(M1845),"Aguardando Previsão/Data",NETWORKDAYS(L1845,M1845)-1)</f>
        <v>-3</v>
      </c>
      <c r="T1845" s="5" t="s">
        <v>942</v>
      </c>
    </row>
    <row r="1846" spans="1:20" x14ac:dyDescent="0.35">
      <c r="A1846" s="5">
        <v>8100276250</v>
      </c>
      <c r="B1846" s="5">
        <v>7136</v>
      </c>
      <c r="C1846" s="6">
        <v>45671</v>
      </c>
      <c r="D1846" s="5" t="s">
        <v>194</v>
      </c>
      <c r="E1846" s="5" t="s">
        <v>195</v>
      </c>
      <c r="F1846" s="5" t="s">
        <v>69</v>
      </c>
      <c r="G1846" s="5" t="s">
        <v>70</v>
      </c>
      <c r="H1846" s="5" t="s">
        <v>108</v>
      </c>
      <c r="I1846" s="5" t="s">
        <v>311</v>
      </c>
      <c r="J1846" s="5" t="s">
        <v>202</v>
      </c>
      <c r="K1846" s="5" t="s">
        <v>198</v>
      </c>
      <c r="L1846" s="6">
        <v>45678</v>
      </c>
      <c r="M1846" s="6">
        <v>45677</v>
      </c>
      <c r="N1846" s="6" t="s">
        <v>811</v>
      </c>
      <c r="O1846" s="5" t="str">
        <f ca="1">IF(P1846&lt;&gt;"EXPEDIÇÃO","Expedido",IF(NETWORKDAYS(C1846,TODAY())&gt;=5,"Risco Alto",IF(NETWORKDAYS(C1846,TODAY())&gt;=3,IF(NETWORKDAYS(C1846,TODAY())&lt;5,"Risco Médio",""),IF(NETWORKDAYS(C1846,TODAY())&lt;=2,"Risco Baixo",""))))</f>
        <v>Expedido</v>
      </c>
      <c r="P1846" s="5" t="s">
        <v>25</v>
      </c>
      <c r="S1846" s="7">
        <f>IF(ISBLANK(M1846),"Aguardando Previsão/Data",NETWORKDAYS(L1846,M1846)-1)</f>
        <v>-3</v>
      </c>
      <c r="T1846" s="5" t="s">
        <v>942</v>
      </c>
    </row>
    <row r="1847" spans="1:20" x14ac:dyDescent="0.35">
      <c r="A1847" s="5">
        <v>8100276251</v>
      </c>
      <c r="B1847" s="5">
        <v>7163</v>
      </c>
      <c r="C1847" s="6">
        <v>45671</v>
      </c>
      <c r="D1847" s="5" t="s">
        <v>194</v>
      </c>
      <c r="E1847" s="5" t="s">
        <v>195</v>
      </c>
      <c r="F1847" s="5" t="s">
        <v>196</v>
      </c>
      <c r="G1847" s="5" t="s">
        <v>197</v>
      </c>
      <c r="H1847" s="5" t="s">
        <v>108</v>
      </c>
      <c r="I1847" s="5" t="s">
        <v>732</v>
      </c>
      <c r="J1847" s="5" t="s">
        <v>590</v>
      </c>
      <c r="K1847" s="5" t="s">
        <v>198</v>
      </c>
      <c r="L1847" s="6">
        <v>45678</v>
      </c>
      <c r="M1847" s="6">
        <v>45679</v>
      </c>
      <c r="N1847" s="6" t="s">
        <v>812</v>
      </c>
      <c r="O1847" s="5" t="str">
        <f ca="1">IF(P1847&lt;&gt;"EXPEDIÇÃO","Expedido",IF(NETWORKDAYS(C1847,TODAY())&gt;=5,"Risco Alto",IF(NETWORKDAYS(C1847,TODAY())&gt;=3,IF(NETWORKDAYS(C1847,TODAY())&lt;5,"Risco Médio",""),IF(NETWORKDAYS(C1847,TODAY())&lt;=2,"Risco Baixo",""))))</f>
        <v>Expedido</v>
      </c>
      <c r="P1847" s="5" t="s">
        <v>25</v>
      </c>
      <c r="Q1847" s="5" t="s">
        <v>899</v>
      </c>
      <c r="S1847" s="7">
        <f>IF(ISBLANK(M1847),"Aguardando Previsão/Data",NETWORKDAYS(L1847,M1847)-1)</f>
        <v>1</v>
      </c>
      <c r="T1847" s="5" t="s">
        <v>942</v>
      </c>
    </row>
    <row r="1848" spans="1:20" x14ac:dyDescent="0.35">
      <c r="A1848" s="5">
        <v>8100276252</v>
      </c>
      <c r="B1848" s="5">
        <v>7140</v>
      </c>
      <c r="C1848" s="6">
        <v>45671</v>
      </c>
      <c r="D1848" s="5" t="s">
        <v>194</v>
      </c>
      <c r="E1848" s="5" t="s">
        <v>195</v>
      </c>
      <c r="F1848" s="5" t="s">
        <v>199</v>
      </c>
      <c r="G1848" s="5" t="s">
        <v>200</v>
      </c>
      <c r="H1848" s="5" t="s">
        <v>108</v>
      </c>
      <c r="I1848" s="5" t="s">
        <v>409</v>
      </c>
      <c r="J1848" s="5" t="s">
        <v>717</v>
      </c>
      <c r="K1848" s="5" t="s">
        <v>207</v>
      </c>
      <c r="L1848" s="6">
        <v>45680</v>
      </c>
      <c r="M1848" s="6">
        <v>45678</v>
      </c>
      <c r="N1848" s="6" t="s">
        <v>811</v>
      </c>
      <c r="O1848" s="5" t="str">
        <f ca="1">IF(P1848&lt;&gt;"EXPEDIÇÃO","Expedido",IF(NETWORKDAYS(C1848,TODAY())&gt;=5,"Risco Alto",IF(NETWORKDAYS(C1848,TODAY())&gt;=3,IF(NETWORKDAYS(C1848,TODAY())&lt;5,"Risco Médio",""),IF(NETWORKDAYS(C1848,TODAY())&lt;=2,"Risco Baixo",""))))</f>
        <v>Expedido</v>
      </c>
      <c r="P1848" s="5" t="s">
        <v>25</v>
      </c>
      <c r="Q1848" s="5" t="s">
        <v>1415</v>
      </c>
      <c r="R1848" s="5">
        <v>3097043</v>
      </c>
      <c r="S1848" s="7">
        <f>IF(ISBLANK(M1848),"Aguardando Previsão/Data",NETWORKDAYS(L1848,M1848)-1)</f>
        <v>-4</v>
      </c>
      <c r="T1848" s="5" t="s">
        <v>942</v>
      </c>
    </row>
    <row r="1849" spans="1:20" x14ac:dyDescent="0.35">
      <c r="A1849" s="5">
        <v>8100276253</v>
      </c>
      <c r="B1849" s="5">
        <v>7153</v>
      </c>
      <c r="C1849" s="6">
        <v>45671</v>
      </c>
      <c r="D1849" s="5" t="s">
        <v>194</v>
      </c>
      <c r="E1849" s="5" t="s">
        <v>195</v>
      </c>
      <c r="F1849" s="5" t="s">
        <v>69</v>
      </c>
      <c r="G1849" s="5" t="s">
        <v>70</v>
      </c>
      <c r="H1849" s="5" t="s">
        <v>108</v>
      </c>
      <c r="I1849" s="5" t="s">
        <v>128</v>
      </c>
      <c r="J1849" s="5" t="s">
        <v>290</v>
      </c>
      <c r="K1849" s="5" t="s">
        <v>198</v>
      </c>
      <c r="L1849" s="6">
        <v>45677</v>
      </c>
      <c r="M1849" s="6">
        <v>45673</v>
      </c>
      <c r="N1849" s="6" t="s">
        <v>811</v>
      </c>
      <c r="O1849" s="5" t="str">
        <f ca="1">IF(P1849&lt;&gt;"EXPEDIÇÃO","Expedido",IF(NETWORKDAYS(C1849,TODAY())&gt;=5,"Risco Alto",IF(NETWORKDAYS(C1849,TODAY())&gt;=3,IF(NETWORKDAYS(C1849,TODAY())&lt;5,"Risco Médio",""),IF(NETWORKDAYS(C1849,TODAY())&lt;=2,"Risco Baixo",""))))</f>
        <v>Expedido</v>
      </c>
      <c r="P1849" s="5" t="s">
        <v>25</v>
      </c>
      <c r="Q1849" s="5" t="s">
        <v>1364</v>
      </c>
      <c r="S1849" s="7">
        <f>IF(ISBLANK(M1849),"Aguardando Previsão/Data",NETWORKDAYS(L1849,M1849)-1)</f>
        <v>-4</v>
      </c>
      <c r="T1849" s="5" t="s">
        <v>942</v>
      </c>
    </row>
    <row r="1850" spans="1:20" x14ac:dyDescent="0.35">
      <c r="A1850" s="5">
        <v>8100276255</v>
      </c>
      <c r="B1850" s="5">
        <v>7139</v>
      </c>
      <c r="C1850" s="6">
        <v>45671</v>
      </c>
      <c r="D1850" s="5" t="s">
        <v>194</v>
      </c>
      <c r="E1850" s="5" t="s">
        <v>195</v>
      </c>
      <c r="F1850" s="5" t="s">
        <v>69</v>
      </c>
      <c r="G1850" s="5" t="s">
        <v>70</v>
      </c>
      <c r="H1850" s="5" t="s">
        <v>108</v>
      </c>
      <c r="I1850" s="5" t="s">
        <v>128</v>
      </c>
      <c r="J1850" s="5" t="s">
        <v>291</v>
      </c>
      <c r="K1850" s="5" t="s">
        <v>198</v>
      </c>
      <c r="L1850" s="6">
        <v>45678</v>
      </c>
      <c r="M1850" s="6">
        <v>45673</v>
      </c>
      <c r="N1850" s="6" t="s">
        <v>811</v>
      </c>
      <c r="O1850" s="5" t="str">
        <f ca="1">IF(P1850&lt;&gt;"EXPEDIÇÃO","Expedido",IF(NETWORKDAYS(C1850,TODAY())&gt;=5,"Risco Alto",IF(NETWORKDAYS(C1850,TODAY())&gt;=3,IF(NETWORKDAYS(C1850,TODAY())&lt;5,"Risco Médio",""),IF(NETWORKDAYS(C1850,TODAY())&lt;=2,"Risco Baixo",""))))</f>
        <v>Expedido</v>
      </c>
      <c r="P1850" s="5" t="s">
        <v>25</v>
      </c>
      <c r="S1850" s="7">
        <f>IF(ISBLANK(M1850),"Aguardando Previsão/Data",NETWORKDAYS(L1850,M1850)-1)</f>
        <v>-5</v>
      </c>
      <c r="T1850" s="5" t="s">
        <v>942</v>
      </c>
    </row>
    <row r="1851" spans="1:20" x14ac:dyDescent="0.35">
      <c r="A1851" s="5">
        <v>8100276256</v>
      </c>
      <c r="B1851" s="5">
        <v>7141</v>
      </c>
      <c r="C1851" s="6">
        <v>45671</v>
      </c>
      <c r="D1851" s="5" t="s">
        <v>194</v>
      </c>
      <c r="E1851" s="5" t="s">
        <v>195</v>
      </c>
      <c r="F1851" s="5" t="s">
        <v>58</v>
      </c>
      <c r="G1851" s="5" t="s">
        <v>59</v>
      </c>
      <c r="H1851" s="5" t="s">
        <v>108</v>
      </c>
      <c r="I1851" s="5" t="s">
        <v>209</v>
      </c>
      <c r="J1851" s="5" t="s">
        <v>210</v>
      </c>
      <c r="K1851" s="5" t="s">
        <v>198</v>
      </c>
      <c r="L1851" s="6">
        <v>45678</v>
      </c>
      <c r="M1851" s="6">
        <v>45678</v>
      </c>
      <c r="N1851" s="6" t="s">
        <v>811</v>
      </c>
      <c r="O1851" s="5" t="str">
        <f ca="1">IF(P1851&lt;&gt;"EXPEDIÇÃO","Expedido",IF(NETWORKDAYS(C1851,TODAY())&gt;=5,"Risco Alto",IF(NETWORKDAYS(C1851,TODAY())&gt;=3,IF(NETWORKDAYS(C1851,TODAY())&lt;5,"Risco Médio",""),IF(NETWORKDAYS(C1851,TODAY())&lt;=2,"Risco Baixo",""))))</f>
        <v>Expedido</v>
      </c>
      <c r="P1851" s="5" t="s">
        <v>25</v>
      </c>
      <c r="S1851" s="7">
        <f>IF(ISBLANK(M1851),"Aguardando Previsão/Data",NETWORKDAYS(L1851,M1851)-1)</f>
        <v>0</v>
      </c>
      <c r="T1851" s="5" t="s">
        <v>942</v>
      </c>
    </row>
    <row r="1852" spans="1:20" x14ac:dyDescent="0.35">
      <c r="A1852" s="5">
        <v>8100276257</v>
      </c>
      <c r="B1852" s="5">
        <v>7149</v>
      </c>
      <c r="C1852" s="6">
        <v>45671</v>
      </c>
      <c r="D1852" s="5" t="s">
        <v>194</v>
      </c>
      <c r="E1852" s="5" t="s">
        <v>195</v>
      </c>
      <c r="F1852" s="5" t="s">
        <v>406</v>
      </c>
      <c r="G1852" s="5" t="s">
        <v>407</v>
      </c>
      <c r="H1852" s="5" t="s">
        <v>108</v>
      </c>
      <c r="I1852" s="5" t="s">
        <v>532</v>
      </c>
      <c r="J1852" s="5" t="s">
        <v>336</v>
      </c>
      <c r="K1852" s="5" t="s">
        <v>198</v>
      </c>
      <c r="L1852" s="6">
        <v>45678</v>
      </c>
      <c r="M1852" s="6">
        <v>45675</v>
      </c>
      <c r="N1852" s="6" t="s">
        <v>811</v>
      </c>
      <c r="O1852" s="5" t="str">
        <f ca="1">IF(P1852&lt;&gt;"EXPEDIÇÃO","Expedido",IF(NETWORKDAYS(C1852,TODAY())&gt;=5,"Risco Alto",IF(NETWORKDAYS(C1852,TODAY())&gt;=3,IF(NETWORKDAYS(C1852,TODAY())&lt;5,"Risco Médio",""),IF(NETWORKDAYS(C1852,TODAY())&lt;=2,"Risco Baixo",""))))</f>
        <v>Expedido</v>
      </c>
      <c r="P1852" s="5" t="s">
        <v>25</v>
      </c>
      <c r="S1852" s="7">
        <f>IF(ISBLANK(M1852),"Aguardando Previsão/Data",NETWORKDAYS(L1852,M1852)-1)</f>
        <v>-3</v>
      </c>
      <c r="T1852" s="5" t="s">
        <v>942</v>
      </c>
    </row>
    <row r="1853" spans="1:20" x14ac:dyDescent="0.35">
      <c r="A1853" s="5">
        <v>8100276259</v>
      </c>
      <c r="B1853" s="5">
        <v>7156</v>
      </c>
      <c r="C1853" s="6">
        <v>45671</v>
      </c>
      <c r="D1853" s="5" t="s">
        <v>194</v>
      </c>
      <c r="E1853" s="5" t="s">
        <v>195</v>
      </c>
      <c r="F1853" s="5" t="s">
        <v>199</v>
      </c>
      <c r="G1853" s="5" t="s">
        <v>200</v>
      </c>
      <c r="H1853" s="5" t="s">
        <v>108</v>
      </c>
      <c r="I1853" s="5" t="s">
        <v>859</v>
      </c>
      <c r="J1853" s="5" t="s">
        <v>734</v>
      </c>
      <c r="K1853" s="5" t="s">
        <v>198</v>
      </c>
      <c r="L1853" s="6">
        <v>45679</v>
      </c>
      <c r="M1853" s="6">
        <v>45679</v>
      </c>
      <c r="N1853" s="6" t="s">
        <v>811</v>
      </c>
      <c r="O1853" s="5" t="str">
        <f ca="1">IF(P1853&lt;&gt;"EXPEDIÇÃO","Expedido",IF(NETWORKDAYS(C1853,TODAY())&gt;=5,"Risco Alto",IF(NETWORKDAYS(C1853,TODAY())&gt;=3,IF(NETWORKDAYS(C1853,TODAY())&lt;5,"Risco Médio",""),IF(NETWORKDAYS(C1853,TODAY())&lt;=2,"Risco Baixo",""))))</f>
        <v>Expedido</v>
      </c>
      <c r="P1853" s="5" t="s">
        <v>25</v>
      </c>
      <c r="Q1853" s="5" t="s">
        <v>899</v>
      </c>
      <c r="S1853" s="7">
        <f>IF(ISBLANK(M1853),"Aguardando Previsão/Data",NETWORKDAYS(L1853,M1853)-1)</f>
        <v>0</v>
      </c>
      <c r="T1853" s="5" t="s">
        <v>942</v>
      </c>
    </row>
    <row r="1854" spans="1:20" x14ac:dyDescent="0.35">
      <c r="A1854" s="5">
        <v>8100276260</v>
      </c>
      <c r="B1854" s="5">
        <v>7151</v>
      </c>
      <c r="C1854" s="6">
        <v>45671</v>
      </c>
      <c r="D1854" s="5" t="s">
        <v>194</v>
      </c>
      <c r="E1854" s="5" t="s">
        <v>195</v>
      </c>
      <c r="F1854" s="5" t="s">
        <v>406</v>
      </c>
      <c r="G1854" s="5" t="s">
        <v>407</v>
      </c>
      <c r="H1854" s="5" t="s">
        <v>108</v>
      </c>
      <c r="I1854" s="5" t="s">
        <v>731</v>
      </c>
      <c r="J1854" s="5" t="s">
        <v>200</v>
      </c>
      <c r="K1854" s="5" t="s">
        <v>198</v>
      </c>
      <c r="L1854" s="6">
        <v>45678</v>
      </c>
      <c r="M1854" s="6">
        <v>45678</v>
      </c>
      <c r="N1854" s="6" t="s">
        <v>811</v>
      </c>
      <c r="O1854" s="5" t="str">
        <f ca="1">IF(P1854&lt;&gt;"EXPEDIÇÃO","Expedido",IF(NETWORKDAYS(C1854,TODAY())&gt;=5,"Risco Alto",IF(NETWORKDAYS(C1854,TODAY())&gt;=3,IF(NETWORKDAYS(C1854,TODAY())&lt;5,"Risco Médio",""),IF(NETWORKDAYS(C1854,TODAY())&lt;=2,"Risco Baixo",""))))</f>
        <v>Expedido</v>
      </c>
      <c r="P1854" s="5" t="s">
        <v>25</v>
      </c>
      <c r="S1854" s="7">
        <f>IF(ISBLANK(M1854),"Aguardando Previsão/Data",NETWORKDAYS(L1854,M1854)-1)</f>
        <v>0</v>
      </c>
      <c r="T1854" s="5" t="s">
        <v>942</v>
      </c>
    </row>
    <row r="1855" spans="1:20" x14ac:dyDescent="0.35">
      <c r="A1855" s="5">
        <v>8100276263</v>
      </c>
      <c r="B1855" s="5">
        <v>7154</v>
      </c>
      <c r="C1855" s="6">
        <v>45671</v>
      </c>
      <c r="D1855" s="5" t="s">
        <v>194</v>
      </c>
      <c r="E1855" s="5" t="s">
        <v>195</v>
      </c>
      <c r="F1855" s="5" t="s">
        <v>199</v>
      </c>
      <c r="G1855" s="5" t="s">
        <v>200</v>
      </c>
      <c r="H1855" s="5" t="s">
        <v>108</v>
      </c>
      <c r="I1855" s="5" t="s">
        <v>1101</v>
      </c>
      <c r="J1855" s="5" t="s">
        <v>206</v>
      </c>
      <c r="K1855" s="5" t="s">
        <v>207</v>
      </c>
      <c r="L1855" s="6">
        <v>45680</v>
      </c>
      <c r="M1855" s="6">
        <v>45679</v>
      </c>
      <c r="N1855" s="6" t="s">
        <v>811</v>
      </c>
      <c r="O1855" s="5" t="str">
        <f ca="1">IF(P1855&lt;&gt;"EXPEDIÇÃO","Expedido",IF(NETWORKDAYS(C1855,TODAY())&gt;=5,"Risco Alto",IF(NETWORKDAYS(C1855,TODAY())&gt;=3,IF(NETWORKDAYS(C1855,TODAY())&lt;5,"Risco Médio",""),IF(NETWORKDAYS(C1855,TODAY())&lt;=2,"Risco Baixo",""))))</f>
        <v>Expedido</v>
      </c>
      <c r="P1855" s="5" t="s">
        <v>25</v>
      </c>
      <c r="Q1855" s="5" t="s">
        <v>1415</v>
      </c>
      <c r="R1855" s="5">
        <v>3097043</v>
      </c>
      <c r="S1855" s="7">
        <f>IF(ISBLANK(M1855),"Aguardando Previsão/Data",NETWORKDAYS(L1855,M1855)-1)</f>
        <v>-3</v>
      </c>
      <c r="T1855" s="5" t="s">
        <v>942</v>
      </c>
    </row>
    <row r="1856" spans="1:20" x14ac:dyDescent="0.35">
      <c r="A1856" s="5">
        <v>8100276267</v>
      </c>
      <c r="B1856" s="5">
        <v>7159</v>
      </c>
      <c r="C1856" s="6">
        <v>45671</v>
      </c>
      <c r="D1856" s="5" t="s">
        <v>194</v>
      </c>
      <c r="E1856" s="5" t="s">
        <v>195</v>
      </c>
      <c r="F1856" s="5" t="s">
        <v>406</v>
      </c>
      <c r="G1856" s="5" t="s">
        <v>407</v>
      </c>
      <c r="H1856" s="5" t="s">
        <v>108</v>
      </c>
      <c r="I1856" s="5" t="s">
        <v>788</v>
      </c>
      <c r="J1856" s="5" t="s">
        <v>407</v>
      </c>
      <c r="K1856" s="5" t="s">
        <v>198</v>
      </c>
      <c r="L1856" s="6">
        <v>45677</v>
      </c>
      <c r="M1856" s="6">
        <v>45674</v>
      </c>
      <c r="N1856" s="6" t="s">
        <v>811</v>
      </c>
      <c r="O1856" s="5" t="str">
        <f ca="1">IF(P1856&lt;&gt;"EXPEDIÇÃO","Expedido",IF(NETWORKDAYS(C1856,TODAY())&gt;=5,"Risco Alto",IF(NETWORKDAYS(C1856,TODAY())&gt;=3,IF(NETWORKDAYS(C1856,TODAY())&lt;5,"Risco Médio",""),IF(NETWORKDAYS(C1856,TODAY())&lt;=2,"Risco Baixo",""))))</f>
        <v>Expedido</v>
      </c>
      <c r="P1856" s="5" t="s">
        <v>25</v>
      </c>
      <c r="S1856" s="7">
        <f>IF(ISBLANK(M1856),"Aguardando Previsão/Data",NETWORKDAYS(L1856,M1856)-1)</f>
        <v>-3</v>
      </c>
      <c r="T1856" s="5" t="s">
        <v>942</v>
      </c>
    </row>
    <row r="1857" spans="1:20" x14ac:dyDescent="0.35">
      <c r="A1857" s="5">
        <v>8100276269</v>
      </c>
      <c r="B1857" s="5">
        <v>7138</v>
      </c>
      <c r="C1857" s="6">
        <v>45671</v>
      </c>
      <c r="D1857" s="5" t="s">
        <v>194</v>
      </c>
      <c r="E1857" s="5" t="s">
        <v>195</v>
      </c>
      <c r="F1857" s="5" t="s">
        <v>329</v>
      </c>
      <c r="G1857" s="5" t="s">
        <v>330</v>
      </c>
      <c r="H1857" s="5" t="s">
        <v>108</v>
      </c>
      <c r="I1857" s="5" t="s">
        <v>509</v>
      </c>
      <c r="J1857" s="5" t="s">
        <v>291</v>
      </c>
      <c r="K1857" s="5" t="s">
        <v>198</v>
      </c>
      <c r="L1857" s="6">
        <v>45678</v>
      </c>
      <c r="M1857" s="6">
        <v>45673</v>
      </c>
      <c r="N1857" s="6" t="s">
        <v>811</v>
      </c>
      <c r="O1857" s="5" t="str">
        <f ca="1">IF(P1857&lt;&gt;"EXPEDIÇÃO","Expedido",IF(NETWORKDAYS(C1857,TODAY())&gt;=5,"Risco Alto",IF(NETWORKDAYS(C1857,TODAY())&gt;=3,IF(NETWORKDAYS(C1857,TODAY())&lt;5,"Risco Médio",""),IF(NETWORKDAYS(C1857,TODAY())&lt;=2,"Risco Baixo",""))))</f>
        <v>Expedido</v>
      </c>
      <c r="P1857" s="5" t="s">
        <v>25</v>
      </c>
      <c r="S1857" s="7">
        <f>IF(ISBLANK(M1857),"Aguardando Previsão/Data",NETWORKDAYS(L1857,M1857)-1)</f>
        <v>-5</v>
      </c>
      <c r="T1857" s="5" t="s">
        <v>942</v>
      </c>
    </row>
    <row r="1858" spans="1:20" x14ac:dyDescent="0.35">
      <c r="A1858" s="5">
        <v>8100276271</v>
      </c>
      <c r="B1858" s="5">
        <v>7161</v>
      </c>
      <c r="C1858" s="6">
        <v>45671</v>
      </c>
      <c r="D1858" s="5" t="s">
        <v>194</v>
      </c>
      <c r="E1858" s="5" t="s">
        <v>195</v>
      </c>
      <c r="F1858" s="5" t="s">
        <v>406</v>
      </c>
      <c r="G1858" s="5" t="s">
        <v>407</v>
      </c>
      <c r="H1858" s="5" t="s">
        <v>108</v>
      </c>
      <c r="I1858" s="5" t="s">
        <v>1102</v>
      </c>
      <c r="J1858" s="5" t="s">
        <v>290</v>
      </c>
      <c r="K1858" s="5" t="s">
        <v>198</v>
      </c>
      <c r="L1858" s="6">
        <v>45677</v>
      </c>
      <c r="M1858" s="6">
        <v>45675</v>
      </c>
      <c r="N1858" s="6" t="s">
        <v>811</v>
      </c>
      <c r="O1858" s="5" t="str">
        <f ca="1">IF(P1858&lt;&gt;"EXPEDIÇÃO","Expedido",IF(NETWORKDAYS(C1858,TODAY())&gt;=5,"Risco Alto",IF(NETWORKDAYS(C1858,TODAY())&gt;=3,IF(NETWORKDAYS(C1858,TODAY())&lt;5,"Risco Médio",""),IF(NETWORKDAYS(C1858,TODAY())&lt;=2,"Risco Baixo",""))))</f>
        <v>Expedido</v>
      </c>
      <c r="P1858" s="5" t="s">
        <v>25</v>
      </c>
      <c r="S1858" s="7">
        <f>IF(ISBLANK(M1858),"Aguardando Previsão/Data",NETWORKDAYS(L1858,M1858)-1)</f>
        <v>-2</v>
      </c>
      <c r="T1858" s="5" t="s">
        <v>942</v>
      </c>
    </row>
    <row r="1859" spans="1:20" x14ac:dyDescent="0.35">
      <c r="A1859" s="5">
        <v>8100276272</v>
      </c>
      <c r="B1859" s="5">
        <v>7148</v>
      </c>
      <c r="C1859" s="6">
        <v>45671</v>
      </c>
      <c r="D1859" s="5" t="s">
        <v>194</v>
      </c>
      <c r="E1859" s="5" t="s">
        <v>195</v>
      </c>
      <c r="F1859" s="5" t="s">
        <v>406</v>
      </c>
      <c r="G1859" s="5" t="s">
        <v>407</v>
      </c>
      <c r="H1859" s="5" t="s">
        <v>108</v>
      </c>
      <c r="I1859" s="5" t="s">
        <v>689</v>
      </c>
      <c r="J1859" s="5" t="s">
        <v>204</v>
      </c>
      <c r="K1859" s="5" t="s">
        <v>198</v>
      </c>
      <c r="L1859" s="6">
        <v>45678</v>
      </c>
      <c r="M1859" s="6">
        <v>45674</v>
      </c>
      <c r="N1859" s="6" t="s">
        <v>811</v>
      </c>
      <c r="O1859" s="5" t="str">
        <f ca="1">IF(P1859&lt;&gt;"EXPEDIÇÃO","Expedido",IF(NETWORKDAYS(C1859,TODAY())&gt;=5,"Risco Alto",IF(NETWORKDAYS(C1859,TODAY())&gt;=3,IF(NETWORKDAYS(C1859,TODAY())&lt;5,"Risco Médio",""),IF(NETWORKDAYS(C1859,TODAY())&lt;=2,"Risco Baixo",""))))</f>
        <v>Expedido</v>
      </c>
      <c r="P1859" s="5" t="s">
        <v>25</v>
      </c>
      <c r="S1859" s="7">
        <f>IF(ISBLANK(M1859),"Aguardando Previsão/Data",NETWORKDAYS(L1859,M1859)-1)</f>
        <v>-4</v>
      </c>
      <c r="T1859" s="5" t="s">
        <v>942</v>
      </c>
    </row>
    <row r="1860" spans="1:20" x14ac:dyDescent="0.35">
      <c r="A1860" s="5">
        <v>8100276278</v>
      </c>
      <c r="B1860" s="5">
        <v>7142</v>
      </c>
      <c r="C1860" s="6">
        <v>45671</v>
      </c>
      <c r="D1860" s="5" t="s">
        <v>194</v>
      </c>
      <c r="E1860" s="5" t="s">
        <v>195</v>
      </c>
      <c r="F1860" s="5" t="s">
        <v>58</v>
      </c>
      <c r="G1860" s="5" t="s">
        <v>59</v>
      </c>
      <c r="H1860" s="5" t="s">
        <v>108</v>
      </c>
      <c r="I1860" s="5" t="s">
        <v>209</v>
      </c>
      <c r="J1860" s="5" t="s">
        <v>210</v>
      </c>
      <c r="K1860" s="5" t="s">
        <v>198</v>
      </c>
      <c r="L1860" s="6">
        <v>45678</v>
      </c>
      <c r="M1860" s="6">
        <v>45678</v>
      </c>
      <c r="N1860" s="6" t="s">
        <v>811</v>
      </c>
      <c r="O1860" s="5" t="str">
        <f ca="1">IF(P1860&lt;&gt;"EXPEDIÇÃO","Expedido",IF(NETWORKDAYS(C1860,TODAY())&gt;=5,"Risco Alto",IF(NETWORKDAYS(C1860,TODAY())&gt;=3,IF(NETWORKDAYS(C1860,TODAY())&lt;5,"Risco Médio",""),IF(NETWORKDAYS(C1860,TODAY())&lt;=2,"Risco Baixo",""))))</f>
        <v>Expedido</v>
      </c>
      <c r="P1860" s="5" t="s">
        <v>25</v>
      </c>
      <c r="Q1860" s="5" t="s">
        <v>899</v>
      </c>
      <c r="S1860" s="7">
        <f>IF(ISBLANK(M1860),"Aguardando Previsão/Data",NETWORKDAYS(L1860,M1860)-1)</f>
        <v>0</v>
      </c>
      <c r="T1860" s="5" t="s">
        <v>942</v>
      </c>
    </row>
    <row r="1861" spans="1:20" x14ac:dyDescent="0.35">
      <c r="A1861" s="5">
        <v>8100276279</v>
      </c>
      <c r="B1861" s="5">
        <v>7143</v>
      </c>
      <c r="C1861" s="6">
        <v>45671</v>
      </c>
      <c r="D1861" s="5" t="s">
        <v>194</v>
      </c>
      <c r="E1861" s="5" t="s">
        <v>195</v>
      </c>
      <c r="F1861" s="5" t="s">
        <v>58</v>
      </c>
      <c r="G1861" s="5" t="s">
        <v>59</v>
      </c>
      <c r="H1861" s="5" t="s">
        <v>108</v>
      </c>
      <c r="I1861" s="5" t="s">
        <v>209</v>
      </c>
      <c r="J1861" s="5" t="s">
        <v>210</v>
      </c>
      <c r="K1861" s="5" t="s">
        <v>198</v>
      </c>
      <c r="L1861" s="6">
        <v>45678</v>
      </c>
      <c r="M1861" s="6">
        <v>45678</v>
      </c>
      <c r="N1861" s="6" t="s">
        <v>811</v>
      </c>
      <c r="O1861" s="5" t="str">
        <f ca="1">IF(P1861&lt;&gt;"EXPEDIÇÃO","Expedido",IF(NETWORKDAYS(C1861,TODAY())&gt;=5,"Risco Alto",IF(NETWORKDAYS(C1861,TODAY())&gt;=3,IF(NETWORKDAYS(C1861,TODAY())&lt;5,"Risco Médio",""),IF(NETWORKDAYS(C1861,TODAY())&lt;=2,"Risco Baixo",""))))</f>
        <v>Expedido</v>
      </c>
      <c r="P1861" s="5" t="s">
        <v>25</v>
      </c>
      <c r="Q1861" s="5" t="s">
        <v>899</v>
      </c>
      <c r="S1861" s="7">
        <f>IF(ISBLANK(M1861),"Aguardando Previsão/Data",NETWORKDAYS(L1861,M1861)-1)</f>
        <v>0</v>
      </c>
      <c r="T1861" s="5" t="s">
        <v>942</v>
      </c>
    </row>
    <row r="1862" spans="1:20" x14ac:dyDescent="0.35">
      <c r="A1862" s="5">
        <v>8100276280</v>
      </c>
      <c r="B1862" s="5">
        <v>7150</v>
      </c>
      <c r="C1862" s="6">
        <v>45671</v>
      </c>
      <c r="D1862" s="5" t="s">
        <v>194</v>
      </c>
      <c r="E1862" s="5" t="s">
        <v>195</v>
      </c>
      <c r="F1862" s="5" t="s">
        <v>406</v>
      </c>
      <c r="G1862" s="5" t="s">
        <v>407</v>
      </c>
      <c r="H1862" s="5" t="s">
        <v>108</v>
      </c>
      <c r="I1862" s="5" t="s">
        <v>532</v>
      </c>
      <c r="J1862" s="5" t="s">
        <v>336</v>
      </c>
      <c r="K1862" s="5" t="s">
        <v>198</v>
      </c>
      <c r="L1862" s="6">
        <v>45678</v>
      </c>
      <c r="M1862" s="6">
        <v>45675</v>
      </c>
      <c r="N1862" s="6" t="s">
        <v>811</v>
      </c>
      <c r="O1862" s="5" t="str">
        <f ca="1">IF(P1862&lt;&gt;"EXPEDIÇÃO","Expedido",IF(NETWORKDAYS(C1862,TODAY())&gt;=5,"Risco Alto",IF(NETWORKDAYS(C1862,TODAY())&gt;=3,IF(NETWORKDAYS(C1862,TODAY())&lt;5,"Risco Médio",""),IF(NETWORKDAYS(C1862,TODAY())&lt;=2,"Risco Baixo",""))))</f>
        <v>Expedido</v>
      </c>
      <c r="P1862" s="5" t="s">
        <v>25</v>
      </c>
      <c r="S1862" s="7">
        <f>IF(ISBLANK(M1862),"Aguardando Previsão/Data",NETWORKDAYS(L1862,M1862)-1)</f>
        <v>-3</v>
      </c>
      <c r="T1862" s="5" t="s">
        <v>942</v>
      </c>
    </row>
    <row r="1863" spans="1:20" x14ac:dyDescent="0.35">
      <c r="A1863" s="5">
        <v>8100276281</v>
      </c>
      <c r="B1863" s="5">
        <v>7146</v>
      </c>
      <c r="C1863" s="6">
        <v>45671</v>
      </c>
      <c r="D1863" s="5" t="s">
        <v>194</v>
      </c>
      <c r="E1863" s="5" t="s">
        <v>195</v>
      </c>
      <c r="F1863" s="5" t="s">
        <v>199</v>
      </c>
      <c r="G1863" s="5" t="s">
        <v>200</v>
      </c>
      <c r="H1863" s="5" t="s">
        <v>108</v>
      </c>
      <c r="I1863" s="5" t="s">
        <v>409</v>
      </c>
      <c r="J1863" s="5" t="s">
        <v>717</v>
      </c>
      <c r="K1863" s="5" t="s">
        <v>207</v>
      </c>
      <c r="L1863" s="6">
        <v>45680</v>
      </c>
      <c r="M1863" s="6">
        <v>45678</v>
      </c>
      <c r="N1863" s="6" t="s">
        <v>811</v>
      </c>
      <c r="O1863" s="5" t="str">
        <f ca="1">IF(P1863&lt;&gt;"EXPEDIÇÃO","Expedido",IF(NETWORKDAYS(C1863,TODAY())&gt;=5,"Risco Alto",IF(NETWORKDAYS(C1863,TODAY())&gt;=3,IF(NETWORKDAYS(C1863,TODAY())&lt;5,"Risco Médio",""),IF(NETWORKDAYS(C1863,TODAY())&lt;=2,"Risco Baixo",""))))</f>
        <v>Expedido</v>
      </c>
      <c r="P1863" s="5" t="s">
        <v>25</v>
      </c>
      <c r="Q1863" s="5" t="s">
        <v>1415</v>
      </c>
      <c r="R1863" s="5">
        <v>3097043</v>
      </c>
      <c r="S1863" s="7">
        <f>IF(ISBLANK(M1863),"Aguardando Previsão/Data",NETWORKDAYS(L1863,M1863)-1)</f>
        <v>-4</v>
      </c>
      <c r="T1863" s="5" t="s">
        <v>942</v>
      </c>
    </row>
    <row r="1864" spans="1:20" x14ac:dyDescent="0.35">
      <c r="A1864" s="5">
        <v>8100276366</v>
      </c>
      <c r="B1864" s="5">
        <v>7132</v>
      </c>
      <c r="C1864" s="6">
        <v>45671</v>
      </c>
      <c r="D1864" s="5" t="s">
        <v>723</v>
      </c>
      <c r="E1864" s="5" t="s">
        <v>195</v>
      </c>
      <c r="F1864" s="5" t="s">
        <v>724</v>
      </c>
      <c r="G1864" s="5" t="s">
        <v>725</v>
      </c>
      <c r="H1864" s="5" t="s">
        <v>108</v>
      </c>
      <c r="I1864" s="5" t="s">
        <v>832</v>
      </c>
      <c r="J1864" s="5" t="s">
        <v>407</v>
      </c>
      <c r="K1864" s="5" t="s">
        <v>198</v>
      </c>
      <c r="L1864" s="6">
        <v>45677</v>
      </c>
      <c r="M1864" s="6">
        <v>45671</v>
      </c>
      <c r="N1864" s="6" t="s">
        <v>811</v>
      </c>
      <c r="O1864" s="5" t="str">
        <f ca="1">IF(P1864&lt;&gt;"EXPEDIÇÃO","Expedido",IF(NETWORKDAYS(C1864,TODAY())&gt;=5,"Risco Alto",IF(NETWORKDAYS(C1864,TODAY())&gt;=3,IF(NETWORKDAYS(C1864,TODAY())&lt;5,"Risco Médio",""),IF(NETWORKDAYS(C1864,TODAY())&lt;=2,"Risco Baixo",""))))</f>
        <v>Expedido</v>
      </c>
      <c r="P1864" s="5" t="s">
        <v>25</v>
      </c>
      <c r="S1864" s="7">
        <f>IF(ISBLANK(M1864),"Aguardando Previsão/Data",NETWORKDAYS(L1864,M1864)-1)</f>
        <v>-6</v>
      </c>
      <c r="T1864" s="5" t="s">
        <v>942</v>
      </c>
    </row>
    <row r="1865" spans="1:20" x14ac:dyDescent="0.35">
      <c r="A1865" s="5">
        <v>8100276394</v>
      </c>
      <c r="B1865" s="5">
        <v>7133</v>
      </c>
      <c r="C1865" s="6">
        <v>45671</v>
      </c>
      <c r="D1865" s="5" t="s">
        <v>723</v>
      </c>
      <c r="E1865" s="5" t="s">
        <v>195</v>
      </c>
      <c r="F1865" s="5" t="s">
        <v>724</v>
      </c>
      <c r="G1865" s="5" t="s">
        <v>725</v>
      </c>
      <c r="H1865" s="5" t="s">
        <v>108</v>
      </c>
      <c r="I1865" s="5" t="s">
        <v>1333</v>
      </c>
      <c r="J1865" s="5" t="s">
        <v>408</v>
      </c>
      <c r="K1865" s="5" t="s">
        <v>198</v>
      </c>
      <c r="L1865" s="6">
        <v>45677</v>
      </c>
      <c r="M1865" s="6">
        <v>45671</v>
      </c>
      <c r="N1865" s="6" t="s">
        <v>811</v>
      </c>
      <c r="O1865" s="5" t="str">
        <f ca="1">IF(P1865&lt;&gt;"EXPEDIÇÃO","Expedido",IF(NETWORKDAYS(C1865,TODAY())&gt;=5,"Risco Alto",IF(NETWORKDAYS(C1865,TODAY())&gt;=3,IF(NETWORKDAYS(C1865,TODAY())&lt;5,"Risco Médio",""),IF(NETWORKDAYS(C1865,TODAY())&lt;=2,"Risco Baixo",""))))</f>
        <v>Expedido</v>
      </c>
      <c r="P1865" s="5" t="s">
        <v>25</v>
      </c>
      <c r="S1865" s="7">
        <f>IF(ISBLANK(M1865),"Aguardando Previsão/Data",NETWORKDAYS(L1865,M1865)-1)</f>
        <v>-6</v>
      </c>
      <c r="T1865" s="5" t="s">
        <v>942</v>
      </c>
    </row>
    <row r="1866" spans="1:20" x14ac:dyDescent="0.35">
      <c r="A1866" s="5">
        <v>8100276670</v>
      </c>
      <c r="B1866" s="5">
        <v>7155</v>
      </c>
      <c r="C1866" s="6">
        <v>45671</v>
      </c>
      <c r="D1866" s="5" t="s">
        <v>723</v>
      </c>
      <c r="E1866" s="5" t="s">
        <v>195</v>
      </c>
      <c r="F1866" s="5" t="s">
        <v>724</v>
      </c>
      <c r="G1866" s="5" t="s">
        <v>725</v>
      </c>
      <c r="H1866" s="5" t="s">
        <v>108</v>
      </c>
      <c r="I1866" s="5" t="s">
        <v>1338</v>
      </c>
      <c r="J1866" s="5" t="s">
        <v>1339</v>
      </c>
      <c r="K1866" s="5" t="s">
        <v>198</v>
      </c>
      <c r="L1866" s="6">
        <v>45678</v>
      </c>
      <c r="M1866" s="6">
        <v>45671</v>
      </c>
      <c r="N1866" s="6" t="s">
        <v>811</v>
      </c>
      <c r="O1866" s="5" t="str">
        <f ca="1">IF(P1866&lt;&gt;"EXPEDIÇÃO","Expedido",IF(NETWORKDAYS(C1866,TODAY())&gt;=5,"Risco Alto",IF(NETWORKDAYS(C1866,TODAY())&gt;=3,IF(NETWORKDAYS(C1866,TODAY())&lt;5,"Risco Médio",""),IF(NETWORKDAYS(C1866,TODAY())&lt;=2,"Risco Baixo",""))))</f>
        <v>Expedido</v>
      </c>
      <c r="P1866" s="5" t="s">
        <v>25</v>
      </c>
      <c r="S1866" s="7">
        <f>IF(ISBLANK(M1866),"Aguardando Previsão/Data",NETWORKDAYS(L1866,M1866)-1)</f>
        <v>-7</v>
      </c>
      <c r="T1866" s="5" t="s">
        <v>942</v>
      </c>
    </row>
    <row r="1867" spans="1:20" x14ac:dyDescent="0.35">
      <c r="A1867" s="5">
        <v>8100275810</v>
      </c>
      <c r="B1867" s="5">
        <v>14372</v>
      </c>
      <c r="C1867" s="6">
        <v>45671</v>
      </c>
      <c r="D1867" s="5" t="s">
        <v>211</v>
      </c>
      <c r="E1867" s="5" t="s">
        <v>212</v>
      </c>
      <c r="F1867" s="5" t="s">
        <v>66</v>
      </c>
      <c r="G1867" s="5" t="s">
        <v>67</v>
      </c>
      <c r="H1867" s="5" t="s">
        <v>108</v>
      </c>
      <c r="I1867" s="5" t="s">
        <v>269</v>
      </c>
      <c r="J1867" s="5" t="s">
        <v>316</v>
      </c>
      <c r="K1867" s="5" t="s">
        <v>156</v>
      </c>
      <c r="L1867" s="6">
        <v>45681</v>
      </c>
      <c r="M1867" s="6">
        <v>45677</v>
      </c>
      <c r="N1867" s="6" t="s">
        <v>811</v>
      </c>
      <c r="O1867" s="5" t="str">
        <f ca="1">IF(P1867&lt;&gt;"EXPEDIÇÃO","Expedido",IF(NETWORKDAYS(C1867,TODAY())&gt;=5,"Risco Alto",IF(NETWORKDAYS(C1867,TODAY())&gt;=3,IF(NETWORKDAYS(C1867,TODAY())&lt;5,"Risco Médio",""),IF(NETWORKDAYS(C1867,TODAY())&lt;=2,"Risco Baixo",""))))</f>
        <v>Expedido</v>
      </c>
      <c r="P1867" s="5" t="s">
        <v>25</v>
      </c>
      <c r="S1867" s="7">
        <f>IF(ISBLANK(M1867),"Aguardando Previsão/Data",NETWORKDAYS(L1867,M1867)-1)</f>
        <v>-6</v>
      </c>
      <c r="T1867" s="5" t="s">
        <v>942</v>
      </c>
    </row>
    <row r="1868" spans="1:20" x14ac:dyDescent="0.35">
      <c r="A1868" s="5">
        <v>8100275811</v>
      </c>
      <c r="B1868" s="5">
        <v>14373</v>
      </c>
      <c r="C1868" s="6">
        <v>45671</v>
      </c>
      <c r="D1868" s="5" t="s">
        <v>211</v>
      </c>
      <c r="E1868" s="5" t="s">
        <v>212</v>
      </c>
      <c r="F1868" s="5" t="s">
        <v>66</v>
      </c>
      <c r="G1868" s="5" t="s">
        <v>67</v>
      </c>
      <c r="H1868" s="5" t="s">
        <v>108</v>
      </c>
      <c r="I1868" s="5" t="s">
        <v>269</v>
      </c>
      <c r="J1868" s="5" t="s">
        <v>316</v>
      </c>
      <c r="K1868" s="5" t="s">
        <v>156</v>
      </c>
      <c r="L1868" s="6">
        <v>45681</v>
      </c>
      <c r="M1868" s="6">
        <v>45677</v>
      </c>
      <c r="N1868" s="6" t="s">
        <v>811</v>
      </c>
      <c r="O1868" s="5" t="str">
        <f ca="1">IF(P1868&lt;&gt;"EXPEDIÇÃO","Expedido",IF(NETWORKDAYS(C1868,TODAY())&gt;=5,"Risco Alto",IF(NETWORKDAYS(C1868,TODAY())&gt;=3,IF(NETWORKDAYS(C1868,TODAY())&lt;5,"Risco Médio",""),IF(NETWORKDAYS(C1868,TODAY())&lt;=2,"Risco Baixo",""))))</f>
        <v>Expedido</v>
      </c>
      <c r="P1868" s="5" t="s">
        <v>25</v>
      </c>
      <c r="S1868" s="7">
        <f>IF(ISBLANK(M1868),"Aguardando Previsão/Data",NETWORKDAYS(L1868,M1868)-1)</f>
        <v>-6</v>
      </c>
      <c r="T1868" s="5" t="s">
        <v>942</v>
      </c>
    </row>
    <row r="1869" spans="1:20" x14ac:dyDescent="0.35">
      <c r="A1869" s="5">
        <v>8100276564</v>
      </c>
      <c r="B1869" s="5">
        <v>14404</v>
      </c>
      <c r="C1869" s="6">
        <v>45671</v>
      </c>
      <c r="D1869" s="5" t="s">
        <v>211</v>
      </c>
      <c r="E1869" s="5" t="s">
        <v>212</v>
      </c>
      <c r="F1869" s="5" t="s">
        <v>58</v>
      </c>
      <c r="G1869" s="5" t="s">
        <v>59</v>
      </c>
      <c r="H1869" s="5" t="s">
        <v>108</v>
      </c>
      <c r="I1869" s="5" t="s">
        <v>486</v>
      </c>
      <c r="J1869" s="5" t="s">
        <v>214</v>
      </c>
      <c r="K1869" s="5" t="s">
        <v>119</v>
      </c>
      <c r="L1869" s="6">
        <v>45677</v>
      </c>
      <c r="M1869" s="6">
        <v>45678</v>
      </c>
      <c r="N1869" s="6" t="s">
        <v>812</v>
      </c>
      <c r="O1869" s="5" t="str">
        <f ca="1">IF(P1869&lt;&gt;"EXPEDIÇÃO","Expedido",IF(NETWORKDAYS(C1869,TODAY())&gt;=5,"Risco Alto",IF(NETWORKDAYS(C1869,TODAY())&gt;=3,IF(NETWORKDAYS(C1869,TODAY())&lt;5,"Risco Médio",""),IF(NETWORKDAYS(C1869,TODAY())&lt;=2,"Risco Baixo",""))))</f>
        <v>Expedido</v>
      </c>
      <c r="P1869" s="5" t="s">
        <v>25</v>
      </c>
      <c r="S1869" s="7">
        <f>IF(ISBLANK(M1869),"Aguardando Previsão/Data",NETWORKDAYS(L1869,M1869)-1)</f>
        <v>1</v>
      </c>
      <c r="T1869" s="5" t="s">
        <v>942</v>
      </c>
    </row>
    <row r="1870" spans="1:20" x14ac:dyDescent="0.35">
      <c r="A1870" s="5">
        <v>8100276565</v>
      </c>
      <c r="B1870" s="5">
        <v>14405</v>
      </c>
      <c r="C1870" s="6">
        <v>45671</v>
      </c>
      <c r="D1870" s="5" t="s">
        <v>211</v>
      </c>
      <c r="E1870" s="5" t="s">
        <v>212</v>
      </c>
      <c r="F1870" s="5" t="s">
        <v>66</v>
      </c>
      <c r="G1870" s="5" t="s">
        <v>67</v>
      </c>
      <c r="H1870" s="5" t="s">
        <v>108</v>
      </c>
      <c r="I1870" s="5" t="s">
        <v>269</v>
      </c>
      <c r="J1870" s="5" t="s">
        <v>316</v>
      </c>
      <c r="K1870" s="5" t="s">
        <v>156</v>
      </c>
      <c r="L1870" s="6">
        <v>45681</v>
      </c>
      <c r="M1870" s="6">
        <v>45677</v>
      </c>
      <c r="N1870" s="6" t="s">
        <v>811</v>
      </c>
      <c r="O1870" s="5" t="str">
        <f ca="1">IF(P1870&lt;&gt;"EXPEDIÇÃO","Expedido",IF(NETWORKDAYS(C1870,TODAY())&gt;=5,"Risco Alto",IF(NETWORKDAYS(C1870,TODAY())&gt;=3,IF(NETWORKDAYS(C1870,TODAY())&lt;5,"Risco Médio",""),IF(NETWORKDAYS(C1870,TODAY())&lt;=2,"Risco Baixo",""))))</f>
        <v>Expedido</v>
      </c>
      <c r="P1870" s="5" t="s">
        <v>25</v>
      </c>
      <c r="S1870" s="7">
        <f>IF(ISBLANK(M1870),"Aguardando Previsão/Data",NETWORKDAYS(L1870,M1870)-1)</f>
        <v>-6</v>
      </c>
      <c r="T1870" s="5" t="s">
        <v>942</v>
      </c>
    </row>
    <row r="1871" spans="1:20" x14ac:dyDescent="0.35">
      <c r="A1871" s="5">
        <v>8100276566</v>
      </c>
      <c r="B1871" s="5">
        <v>14406</v>
      </c>
      <c r="C1871" s="6">
        <v>45671</v>
      </c>
      <c r="D1871" s="5" t="s">
        <v>211</v>
      </c>
      <c r="E1871" s="5" t="s">
        <v>212</v>
      </c>
      <c r="F1871" s="5" t="s">
        <v>66</v>
      </c>
      <c r="G1871" s="5" t="s">
        <v>67</v>
      </c>
      <c r="H1871" s="5" t="s">
        <v>108</v>
      </c>
      <c r="I1871" s="5" t="s">
        <v>269</v>
      </c>
      <c r="J1871" s="5" t="s">
        <v>316</v>
      </c>
      <c r="K1871" s="5" t="s">
        <v>156</v>
      </c>
      <c r="L1871" s="6">
        <v>45681</v>
      </c>
      <c r="M1871" s="6">
        <v>45677</v>
      </c>
      <c r="N1871" s="6" t="s">
        <v>811</v>
      </c>
      <c r="O1871" s="5" t="str">
        <f ca="1">IF(P1871&lt;&gt;"EXPEDIÇÃO","Expedido",IF(NETWORKDAYS(C1871,TODAY())&gt;=5,"Risco Alto",IF(NETWORKDAYS(C1871,TODAY())&gt;=3,IF(NETWORKDAYS(C1871,TODAY())&lt;5,"Risco Médio",""),IF(NETWORKDAYS(C1871,TODAY())&lt;=2,"Risco Baixo",""))))</f>
        <v>Expedido</v>
      </c>
      <c r="P1871" s="5" t="s">
        <v>25</v>
      </c>
      <c r="S1871" s="7">
        <f>IF(ISBLANK(M1871),"Aguardando Previsão/Data",NETWORKDAYS(L1871,M1871)-1)</f>
        <v>-6</v>
      </c>
      <c r="T1871" s="5" t="s">
        <v>942</v>
      </c>
    </row>
    <row r="1872" spans="1:20" x14ac:dyDescent="0.35">
      <c r="A1872" s="5">
        <v>8100276567</v>
      </c>
      <c r="B1872" s="5">
        <v>14407</v>
      </c>
      <c r="C1872" s="6">
        <v>45671</v>
      </c>
      <c r="D1872" s="5" t="s">
        <v>211</v>
      </c>
      <c r="E1872" s="5" t="s">
        <v>212</v>
      </c>
      <c r="F1872" s="5" t="s">
        <v>66</v>
      </c>
      <c r="G1872" s="5" t="s">
        <v>67</v>
      </c>
      <c r="H1872" s="5" t="s">
        <v>108</v>
      </c>
      <c r="I1872" s="5" t="s">
        <v>269</v>
      </c>
      <c r="J1872" s="5" t="s">
        <v>316</v>
      </c>
      <c r="K1872" s="5" t="s">
        <v>156</v>
      </c>
      <c r="L1872" s="6">
        <v>45681</v>
      </c>
      <c r="M1872" s="6">
        <v>45677</v>
      </c>
      <c r="N1872" s="6" t="s">
        <v>811</v>
      </c>
      <c r="O1872" s="5" t="str">
        <f ca="1">IF(P1872&lt;&gt;"EXPEDIÇÃO","Expedido",IF(NETWORKDAYS(C1872,TODAY())&gt;=5,"Risco Alto",IF(NETWORKDAYS(C1872,TODAY())&gt;=3,IF(NETWORKDAYS(C1872,TODAY())&lt;5,"Risco Médio",""),IF(NETWORKDAYS(C1872,TODAY())&lt;=2,"Risco Baixo",""))))</f>
        <v>Expedido</v>
      </c>
      <c r="P1872" s="5" t="s">
        <v>25</v>
      </c>
      <c r="S1872" s="7">
        <f>IF(ISBLANK(M1872),"Aguardando Previsão/Data",NETWORKDAYS(L1872,M1872)-1)</f>
        <v>-6</v>
      </c>
      <c r="T1872" s="5" t="s">
        <v>942</v>
      </c>
    </row>
    <row r="1873" spans="1:20" x14ac:dyDescent="0.35">
      <c r="A1873" s="8">
        <v>8100275362</v>
      </c>
      <c r="B1873" s="5">
        <v>12251</v>
      </c>
      <c r="C1873" s="6">
        <v>45671</v>
      </c>
      <c r="D1873" s="5" t="s">
        <v>158</v>
      </c>
      <c r="E1873" s="5" t="s">
        <v>159</v>
      </c>
      <c r="F1873" s="5" t="s">
        <v>176</v>
      </c>
      <c r="G1873" s="5" t="s">
        <v>177</v>
      </c>
      <c r="H1873" s="5" t="s">
        <v>108</v>
      </c>
      <c r="I1873" s="5" t="s">
        <v>1161</v>
      </c>
      <c r="J1873" s="5" t="s">
        <v>895</v>
      </c>
      <c r="K1873" s="5" t="s">
        <v>175</v>
      </c>
      <c r="L1873" s="6">
        <v>45681</v>
      </c>
      <c r="M1873" s="6">
        <v>45681</v>
      </c>
      <c r="N1873" s="6" t="s">
        <v>811</v>
      </c>
      <c r="O1873" s="5" t="str">
        <f ca="1">IF(P1873&lt;&gt;"EXPEDIÇÃO","Expedido",IF(NETWORKDAYS(C1873,TODAY())&gt;=5,"Risco Alto",IF(NETWORKDAYS(C1873,TODAY())&gt;=3,IF(NETWORKDAYS(C1873,TODAY())&lt;5,"Risco Médio",""),IF(NETWORKDAYS(C1873,TODAY())&lt;=2,"Risco Baixo",""))))</f>
        <v>Expedido</v>
      </c>
      <c r="P1873" s="5" t="s">
        <v>25</v>
      </c>
      <c r="S1873" s="7">
        <f>IF(ISBLANK(M1873),"Aguardando Previsão/Data",NETWORKDAYS(L1873,M1873)-1)</f>
        <v>0</v>
      </c>
      <c r="T1873" s="5" t="s">
        <v>942</v>
      </c>
    </row>
    <row r="1874" spans="1:20" x14ac:dyDescent="0.35">
      <c r="A1874" s="5">
        <v>8100276677</v>
      </c>
      <c r="B1874" s="5">
        <v>12270</v>
      </c>
      <c r="C1874" s="6">
        <v>45671</v>
      </c>
      <c r="D1874" s="5" t="s">
        <v>158</v>
      </c>
      <c r="E1874" s="5" t="s">
        <v>159</v>
      </c>
      <c r="F1874" s="5" t="s">
        <v>136</v>
      </c>
      <c r="G1874" s="5" t="s">
        <v>137</v>
      </c>
      <c r="H1874" s="5" t="s">
        <v>108</v>
      </c>
      <c r="I1874" s="5" t="s">
        <v>299</v>
      </c>
      <c r="J1874" s="5" t="s">
        <v>300</v>
      </c>
      <c r="K1874" s="5" t="s">
        <v>175</v>
      </c>
      <c r="L1874" s="6">
        <v>45681</v>
      </c>
      <c r="M1874" s="6">
        <v>45681</v>
      </c>
      <c r="N1874" s="6" t="s">
        <v>811</v>
      </c>
      <c r="O1874" s="5" t="str">
        <f ca="1">IF(P1874&lt;&gt;"EXPEDIÇÃO","Expedido",IF(NETWORKDAYS(C1874,TODAY())&gt;=5,"Risco Alto",IF(NETWORKDAYS(C1874,TODAY())&gt;=3,IF(NETWORKDAYS(C1874,TODAY())&lt;5,"Risco Médio",""),IF(NETWORKDAYS(C1874,TODAY())&lt;=2,"Risco Baixo",""))))</f>
        <v>Expedido</v>
      </c>
      <c r="P1874" s="5" t="s">
        <v>25</v>
      </c>
      <c r="Q1874" s="5" t="s">
        <v>897</v>
      </c>
      <c r="S1874" s="7">
        <f>IF(ISBLANK(M1874),"Aguardando Previsão/Data",NETWORKDAYS(L1874,M1874)-1)</f>
        <v>0</v>
      </c>
      <c r="T1874" s="5" t="s">
        <v>942</v>
      </c>
    </row>
    <row r="1875" spans="1:20" x14ac:dyDescent="0.35">
      <c r="A1875" s="5">
        <v>8100276678</v>
      </c>
      <c r="B1875" s="5">
        <v>12274</v>
      </c>
      <c r="C1875" s="6">
        <v>45671</v>
      </c>
      <c r="D1875" s="5" t="s">
        <v>158</v>
      </c>
      <c r="E1875" s="5" t="s">
        <v>159</v>
      </c>
      <c r="F1875" s="5" t="s">
        <v>136</v>
      </c>
      <c r="G1875" s="5" t="s">
        <v>137</v>
      </c>
      <c r="H1875" s="5" t="s">
        <v>108</v>
      </c>
      <c r="I1875" s="5" t="s">
        <v>299</v>
      </c>
      <c r="J1875" s="5" t="s">
        <v>300</v>
      </c>
      <c r="K1875" s="5" t="s">
        <v>175</v>
      </c>
      <c r="L1875" s="6">
        <v>45681</v>
      </c>
      <c r="M1875" s="6">
        <v>45681</v>
      </c>
      <c r="N1875" s="6" t="s">
        <v>811</v>
      </c>
      <c r="O1875" s="5" t="str">
        <f ca="1">IF(P1875&lt;&gt;"EXPEDIÇÃO","Expedido",IF(NETWORKDAYS(C1875,TODAY())&gt;=5,"Risco Alto",IF(NETWORKDAYS(C1875,TODAY())&gt;=3,IF(NETWORKDAYS(C1875,TODAY())&lt;5,"Risco Médio",""),IF(NETWORKDAYS(C1875,TODAY())&lt;=2,"Risco Baixo",""))))</f>
        <v>Expedido</v>
      </c>
      <c r="P1875" s="5" t="s">
        <v>25</v>
      </c>
      <c r="Q1875" s="5" t="s">
        <v>897</v>
      </c>
      <c r="S1875" s="7">
        <f>IF(ISBLANK(M1875),"Aguardando Previsão/Data",NETWORKDAYS(L1875,M1875)-1)</f>
        <v>0</v>
      </c>
      <c r="T1875" s="5" t="s">
        <v>942</v>
      </c>
    </row>
    <row r="1876" spans="1:20" x14ac:dyDescent="0.35">
      <c r="A1876" s="5">
        <v>8100276679</v>
      </c>
      <c r="B1876" s="5">
        <v>12275</v>
      </c>
      <c r="C1876" s="6">
        <v>45671</v>
      </c>
      <c r="D1876" s="5" t="s">
        <v>158</v>
      </c>
      <c r="E1876" s="5" t="s">
        <v>159</v>
      </c>
      <c r="F1876" s="5" t="s">
        <v>136</v>
      </c>
      <c r="G1876" s="5" t="s">
        <v>137</v>
      </c>
      <c r="H1876" s="5" t="s">
        <v>108</v>
      </c>
      <c r="I1876" s="5" t="s">
        <v>299</v>
      </c>
      <c r="J1876" s="5" t="s">
        <v>300</v>
      </c>
      <c r="K1876" s="5" t="s">
        <v>175</v>
      </c>
      <c r="L1876" s="6">
        <v>45681</v>
      </c>
      <c r="M1876" s="6">
        <v>45681</v>
      </c>
      <c r="N1876" s="6" t="s">
        <v>811</v>
      </c>
      <c r="O1876" s="5" t="str">
        <f ca="1">IF(P1876&lt;&gt;"EXPEDIÇÃO","Expedido",IF(NETWORKDAYS(C1876,TODAY())&gt;=5,"Risco Alto",IF(NETWORKDAYS(C1876,TODAY())&gt;=3,IF(NETWORKDAYS(C1876,TODAY())&lt;5,"Risco Médio",""),IF(NETWORKDAYS(C1876,TODAY())&lt;=2,"Risco Baixo",""))))</f>
        <v>Expedido</v>
      </c>
      <c r="P1876" s="5" t="s">
        <v>25</v>
      </c>
      <c r="Q1876" s="5" t="s">
        <v>897</v>
      </c>
      <c r="S1876" s="7">
        <f>IF(ISBLANK(M1876),"Aguardando Previsão/Data",NETWORKDAYS(L1876,M1876)-1)</f>
        <v>0</v>
      </c>
      <c r="T1876" s="5" t="s">
        <v>942</v>
      </c>
    </row>
    <row r="1877" spans="1:20" x14ac:dyDescent="0.35">
      <c r="A1877" s="5">
        <v>8100275482</v>
      </c>
      <c r="B1877" s="5">
        <v>12252</v>
      </c>
      <c r="C1877" s="6">
        <v>45671</v>
      </c>
      <c r="D1877" s="5" t="s">
        <v>158</v>
      </c>
      <c r="E1877" s="5" t="s">
        <v>159</v>
      </c>
      <c r="F1877" s="5" t="s">
        <v>176</v>
      </c>
      <c r="G1877" s="5" t="s">
        <v>177</v>
      </c>
      <c r="H1877" s="5" t="s">
        <v>108</v>
      </c>
      <c r="I1877" s="5" t="s">
        <v>1161</v>
      </c>
      <c r="J1877" s="5" t="s">
        <v>908</v>
      </c>
      <c r="K1877" s="5" t="s">
        <v>170</v>
      </c>
      <c r="L1877" s="6">
        <v>45678</v>
      </c>
      <c r="M1877" s="6">
        <v>45677</v>
      </c>
      <c r="N1877" s="6" t="s">
        <v>811</v>
      </c>
      <c r="O1877" s="5" t="str">
        <f ca="1">IF(P1877&lt;&gt;"EXPEDIÇÃO","Expedido",IF(NETWORKDAYS(C1877,TODAY())&gt;=5,"Risco Alto",IF(NETWORKDAYS(C1877,TODAY())&gt;=3,IF(NETWORKDAYS(C1877,TODAY())&lt;5,"Risco Médio",""),IF(NETWORKDAYS(C1877,TODAY())&lt;=2,"Risco Baixo",""))))</f>
        <v>Expedido</v>
      </c>
      <c r="P1877" s="5" t="s">
        <v>25</v>
      </c>
      <c r="S1877" s="7">
        <f>IF(ISBLANK(M1877),"Aguardando Previsão/Data",NETWORKDAYS(L1877,M1877)-1)</f>
        <v>-3</v>
      </c>
      <c r="T1877" s="5" t="s">
        <v>942</v>
      </c>
    </row>
    <row r="1878" spans="1:20" x14ac:dyDescent="0.35">
      <c r="A1878" s="5">
        <v>8100276288</v>
      </c>
      <c r="B1878" s="5">
        <v>12254</v>
      </c>
      <c r="C1878" s="6">
        <v>45671</v>
      </c>
      <c r="D1878" s="5" t="s">
        <v>158</v>
      </c>
      <c r="E1878" s="5" t="s">
        <v>159</v>
      </c>
      <c r="F1878" s="5" t="s">
        <v>167</v>
      </c>
      <c r="G1878" s="5" t="s">
        <v>168</v>
      </c>
      <c r="H1878" s="5" t="s">
        <v>108</v>
      </c>
      <c r="I1878" s="5" t="s">
        <v>542</v>
      </c>
      <c r="J1878" s="5" t="s">
        <v>186</v>
      </c>
      <c r="K1878" s="5" t="s">
        <v>170</v>
      </c>
      <c r="L1878" s="6">
        <v>45677</v>
      </c>
      <c r="M1878" s="6">
        <v>45673</v>
      </c>
      <c r="N1878" s="6" t="s">
        <v>811</v>
      </c>
      <c r="O1878" s="5" t="str">
        <f ca="1">IF(P1878&lt;&gt;"EXPEDIÇÃO","Expedido",IF(NETWORKDAYS(C1878,TODAY())&gt;=5,"Risco Alto",IF(NETWORKDAYS(C1878,TODAY())&gt;=3,IF(NETWORKDAYS(C1878,TODAY())&lt;5,"Risco Médio",""),IF(NETWORKDAYS(C1878,TODAY())&lt;=2,"Risco Baixo",""))))</f>
        <v>Expedido</v>
      </c>
      <c r="P1878" s="5" t="s">
        <v>25</v>
      </c>
      <c r="S1878" s="7">
        <f>IF(ISBLANK(M1878),"Aguardando Previsão/Data",NETWORKDAYS(L1878,M1878)-1)</f>
        <v>-4</v>
      </c>
      <c r="T1878" s="5" t="s">
        <v>942</v>
      </c>
    </row>
    <row r="1879" spans="1:20" x14ac:dyDescent="0.35">
      <c r="A1879" s="5">
        <v>8100276295</v>
      </c>
      <c r="B1879" s="5">
        <v>12256</v>
      </c>
      <c r="C1879" s="6">
        <v>45671</v>
      </c>
      <c r="D1879" s="5" t="s">
        <v>158</v>
      </c>
      <c r="E1879" s="5" t="s">
        <v>159</v>
      </c>
      <c r="F1879" s="5" t="s">
        <v>167</v>
      </c>
      <c r="G1879" s="5" t="s">
        <v>168</v>
      </c>
      <c r="H1879" s="5" t="s">
        <v>108</v>
      </c>
      <c r="I1879" s="5" t="s">
        <v>542</v>
      </c>
      <c r="J1879" s="5" t="s">
        <v>186</v>
      </c>
      <c r="K1879" s="5" t="s">
        <v>170</v>
      </c>
      <c r="L1879" s="6">
        <v>45677</v>
      </c>
      <c r="M1879" s="6">
        <v>45673</v>
      </c>
      <c r="N1879" s="6" t="s">
        <v>811</v>
      </c>
      <c r="O1879" s="5" t="str">
        <f ca="1">IF(P1879&lt;&gt;"EXPEDIÇÃO","Expedido",IF(NETWORKDAYS(C1879,TODAY())&gt;=5,"Risco Alto",IF(NETWORKDAYS(C1879,TODAY())&gt;=3,IF(NETWORKDAYS(C1879,TODAY())&lt;5,"Risco Médio",""),IF(NETWORKDAYS(C1879,TODAY())&lt;=2,"Risco Baixo",""))))</f>
        <v>Expedido</v>
      </c>
      <c r="P1879" s="5" t="s">
        <v>25</v>
      </c>
      <c r="S1879" s="7">
        <f>IF(ISBLANK(M1879),"Aguardando Previsão/Data",NETWORKDAYS(L1879,M1879)-1)</f>
        <v>-4</v>
      </c>
      <c r="T1879" s="5" t="s">
        <v>942</v>
      </c>
    </row>
    <row r="1880" spans="1:20" x14ac:dyDescent="0.35">
      <c r="A1880" s="5">
        <v>8100276409</v>
      </c>
      <c r="B1880" s="5">
        <v>12257</v>
      </c>
      <c r="C1880" s="6">
        <v>45671</v>
      </c>
      <c r="D1880" s="5" t="s">
        <v>158</v>
      </c>
      <c r="E1880" s="5" t="s">
        <v>159</v>
      </c>
      <c r="F1880" s="5" t="s">
        <v>176</v>
      </c>
      <c r="G1880" s="5" t="s">
        <v>177</v>
      </c>
      <c r="H1880" s="5" t="s">
        <v>108</v>
      </c>
      <c r="I1880" s="5" t="s">
        <v>178</v>
      </c>
      <c r="J1880" s="5" t="s">
        <v>179</v>
      </c>
      <c r="K1880" s="5" t="s">
        <v>175</v>
      </c>
      <c r="L1880" s="6">
        <v>45679</v>
      </c>
      <c r="M1880" s="6">
        <v>45677</v>
      </c>
      <c r="N1880" s="6" t="s">
        <v>811</v>
      </c>
      <c r="O1880" s="5" t="str">
        <f ca="1">IF(P1880&lt;&gt;"EXPEDIÇÃO","Expedido",IF(NETWORKDAYS(C1880,TODAY())&gt;=5,"Risco Alto",IF(NETWORKDAYS(C1880,TODAY())&gt;=3,IF(NETWORKDAYS(C1880,TODAY())&lt;5,"Risco Médio",""),IF(NETWORKDAYS(C1880,TODAY())&lt;=2,"Risco Baixo",""))))</f>
        <v>Expedido</v>
      </c>
      <c r="P1880" s="5" t="s">
        <v>25</v>
      </c>
      <c r="S1880" s="7">
        <f>IF(ISBLANK(M1880),"Aguardando Previsão/Data",NETWORKDAYS(L1880,M1880)-1)</f>
        <v>-4</v>
      </c>
      <c r="T1880" s="5" t="s">
        <v>942</v>
      </c>
    </row>
    <row r="1881" spans="1:20" x14ac:dyDescent="0.35">
      <c r="A1881" s="5">
        <v>8100276410</v>
      </c>
      <c r="B1881" s="5">
        <v>12258</v>
      </c>
      <c r="C1881" s="6">
        <v>45671</v>
      </c>
      <c r="D1881" s="5" t="s">
        <v>158</v>
      </c>
      <c r="E1881" s="5" t="s">
        <v>159</v>
      </c>
      <c r="F1881" s="5" t="s">
        <v>136</v>
      </c>
      <c r="G1881" s="5" t="s">
        <v>137</v>
      </c>
      <c r="H1881" s="5" t="s">
        <v>108</v>
      </c>
      <c r="I1881" s="5" t="s">
        <v>178</v>
      </c>
      <c r="J1881" s="5" t="s">
        <v>179</v>
      </c>
      <c r="K1881" s="5" t="s">
        <v>175</v>
      </c>
      <c r="L1881" s="6">
        <v>45679</v>
      </c>
      <c r="M1881" s="6">
        <v>45677</v>
      </c>
      <c r="N1881" s="6" t="s">
        <v>811</v>
      </c>
      <c r="O1881" s="5" t="str">
        <f ca="1">IF(P1881&lt;&gt;"EXPEDIÇÃO","Expedido",IF(NETWORKDAYS(C1881,TODAY())&gt;=5,"Risco Alto",IF(NETWORKDAYS(C1881,TODAY())&gt;=3,IF(NETWORKDAYS(C1881,TODAY())&lt;5,"Risco Médio",""),IF(NETWORKDAYS(C1881,TODAY())&lt;=2,"Risco Baixo",""))))</f>
        <v>Expedido</v>
      </c>
      <c r="P1881" s="5" t="s">
        <v>25</v>
      </c>
      <c r="S1881" s="7">
        <f>IF(ISBLANK(M1881),"Aguardando Previsão/Data",NETWORKDAYS(L1881,M1881)-1)</f>
        <v>-4</v>
      </c>
      <c r="T1881" s="5" t="s">
        <v>942</v>
      </c>
    </row>
    <row r="1882" spans="1:20" x14ac:dyDescent="0.35">
      <c r="A1882" s="5">
        <v>8100276411</v>
      </c>
      <c r="B1882" s="5">
        <v>12271</v>
      </c>
      <c r="C1882" s="6">
        <v>45671</v>
      </c>
      <c r="D1882" s="5" t="s">
        <v>158</v>
      </c>
      <c r="E1882" s="5" t="s">
        <v>159</v>
      </c>
      <c r="F1882" s="5" t="s">
        <v>136</v>
      </c>
      <c r="G1882" s="5" t="s">
        <v>137</v>
      </c>
      <c r="H1882" s="5" t="s">
        <v>108</v>
      </c>
      <c r="I1882" s="5" t="s">
        <v>178</v>
      </c>
      <c r="J1882" s="5" t="s">
        <v>179</v>
      </c>
      <c r="K1882" s="5" t="s">
        <v>175</v>
      </c>
      <c r="L1882" s="6">
        <v>45679</v>
      </c>
      <c r="M1882" s="6">
        <v>45677</v>
      </c>
      <c r="N1882" s="6" t="s">
        <v>811</v>
      </c>
      <c r="O1882" s="5" t="str">
        <f ca="1">IF(P1882&lt;&gt;"EXPEDIÇÃO","Expedido",IF(NETWORKDAYS(C1882,TODAY())&gt;=5,"Risco Alto",IF(NETWORKDAYS(C1882,TODAY())&gt;=3,IF(NETWORKDAYS(C1882,TODAY())&lt;5,"Risco Médio",""),IF(NETWORKDAYS(C1882,TODAY())&lt;=2,"Risco Baixo",""))))</f>
        <v>Expedido</v>
      </c>
      <c r="P1882" s="5" t="s">
        <v>25</v>
      </c>
      <c r="S1882" s="7">
        <f>IF(ISBLANK(M1882),"Aguardando Previsão/Data",NETWORKDAYS(L1882,M1882)-1)</f>
        <v>-4</v>
      </c>
      <c r="T1882" s="5" t="s">
        <v>942</v>
      </c>
    </row>
    <row r="1883" spans="1:20" x14ac:dyDescent="0.35">
      <c r="A1883" s="5">
        <v>8100276412</v>
      </c>
      <c r="B1883" s="5">
        <v>12253</v>
      </c>
      <c r="C1883" s="6">
        <v>45671</v>
      </c>
      <c r="D1883" s="5" t="s">
        <v>158</v>
      </c>
      <c r="E1883" s="5" t="s">
        <v>159</v>
      </c>
      <c r="F1883" s="5" t="s">
        <v>167</v>
      </c>
      <c r="G1883" s="5" t="s">
        <v>168</v>
      </c>
      <c r="H1883" s="5" t="s">
        <v>108</v>
      </c>
      <c r="I1883" s="5" t="s">
        <v>730</v>
      </c>
      <c r="J1883" s="5" t="s">
        <v>186</v>
      </c>
      <c r="K1883" s="5" t="s">
        <v>170</v>
      </c>
      <c r="L1883" s="6">
        <v>45677</v>
      </c>
      <c r="M1883" s="6">
        <v>45672</v>
      </c>
      <c r="N1883" s="6" t="s">
        <v>811</v>
      </c>
      <c r="O1883" s="5" t="str">
        <f ca="1">IF(P1883&lt;&gt;"EXPEDIÇÃO","Expedido",IF(NETWORKDAYS(C1883,TODAY())&gt;=5,"Risco Alto",IF(NETWORKDAYS(C1883,TODAY())&gt;=3,IF(NETWORKDAYS(C1883,TODAY())&lt;5,"Risco Médio",""),IF(NETWORKDAYS(C1883,TODAY())&lt;=2,"Risco Baixo",""))))</f>
        <v>Expedido</v>
      </c>
      <c r="P1883" s="5" t="s">
        <v>25</v>
      </c>
      <c r="S1883" s="7">
        <f>IF(ISBLANK(M1883),"Aguardando Previsão/Data",NETWORKDAYS(L1883,M1883)-1)</f>
        <v>-5</v>
      </c>
      <c r="T1883" s="5" t="s">
        <v>942</v>
      </c>
    </row>
    <row r="1884" spans="1:20" x14ac:dyDescent="0.35">
      <c r="A1884" s="5">
        <v>8100276413</v>
      </c>
      <c r="B1884" s="5">
        <v>12255</v>
      </c>
      <c r="C1884" s="6">
        <v>45671</v>
      </c>
      <c r="D1884" s="5" t="s">
        <v>158</v>
      </c>
      <c r="E1884" s="5" t="s">
        <v>159</v>
      </c>
      <c r="F1884" s="5" t="s">
        <v>167</v>
      </c>
      <c r="G1884" s="5" t="s">
        <v>168</v>
      </c>
      <c r="H1884" s="5" t="s">
        <v>108</v>
      </c>
      <c r="I1884" s="5" t="s">
        <v>542</v>
      </c>
      <c r="J1884" s="5" t="s">
        <v>186</v>
      </c>
      <c r="K1884" s="5" t="s">
        <v>170</v>
      </c>
      <c r="L1884" s="6">
        <v>45677</v>
      </c>
      <c r="M1884" s="6">
        <v>45677</v>
      </c>
      <c r="N1884" s="6" t="s">
        <v>811</v>
      </c>
      <c r="O1884" s="5" t="str">
        <f ca="1">IF(P1884&lt;&gt;"EXPEDIÇÃO","Expedido",IF(NETWORKDAYS(C1884,TODAY())&gt;=5,"Risco Alto",IF(NETWORKDAYS(C1884,TODAY())&gt;=3,IF(NETWORKDAYS(C1884,TODAY())&lt;5,"Risco Médio",""),IF(NETWORKDAYS(C1884,TODAY())&lt;=2,"Risco Baixo",""))))</f>
        <v>Expedido</v>
      </c>
      <c r="P1884" s="5" t="s">
        <v>25</v>
      </c>
      <c r="S1884" s="7">
        <f>IF(ISBLANK(M1884),"Aguardando Previsão/Data",NETWORKDAYS(L1884,M1884)-1)</f>
        <v>0</v>
      </c>
      <c r="T1884" s="5" t="s">
        <v>942</v>
      </c>
    </row>
    <row r="1885" spans="1:20" x14ac:dyDescent="0.35">
      <c r="A1885" s="5">
        <v>8100276579</v>
      </c>
      <c r="B1885" s="5">
        <v>12259</v>
      </c>
      <c r="C1885" s="6">
        <v>45671</v>
      </c>
      <c r="D1885" s="5" t="s">
        <v>158</v>
      </c>
      <c r="E1885" s="5" t="s">
        <v>159</v>
      </c>
      <c r="F1885" s="5" t="s">
        <v>84</v>
      </c>
      <c r="G1885" s="5" t="s">
        <v>85</v>
      </c>
      <c r="H1885" s="5" t="s">
        <v>108</v>
      </c>
      <c r="I1885" s="5" t="s">
        <v>766</v>
      </c>
      <c r="J1885" s="5" t="s">
        <v>181</v>
      </c>
      <c r="K1885" s="5" t="s">
        <v>80</v>
      </c>
      <c r="L1885" s="6">
        <v>45679</v>
      </c>
      <c r="M1885" s="6">
        <v>45679</v>
      </c>
      <c r="N1885" s="6" t="s">
        <v>811</v>
      </c>
      <c r="O1885" s="5" t="str">
        <f ca="1">IF(P1885&lt;&gt;"EXPEDIÇÃO","Expedido",IF(NETWORKDAYS(C1885,TODAY())&gt;=5,"Risco Alto",IF(NETWORKDAYS(C1885,TODAY())&gt;=3,IF(NETWORKDAYS(C1885,TODAY())&lt;5,"Risco Médio",""),IF(NETWORKDAYS(C1885,TODAY())&lt;=2,"Risco Baixo",""))))</f>
        <v>Expedido</v>
      </c>
      <c r="P1885" s="5" t="s">
        <v>25</v>
      </c>
      <c r="S1885" s="7">
        <f>IF(ISBLANK(M1885),"Aguardando Previsão/Data",NETWORKDAYS(L1885,M1885)-1)</f>
        <v>0</v>
      </c>
      <c r="T1885" s="5" t="s">
        <v>942</v>
      </c>
    </row>
    <row r="1886" spans="1:20" x14ac:dyDescent="0.35">
      <c r="A1886" s="5">
        <v>8100276580</v>
      </c>
      <c r="B1886" s="5">
        <v>12260</v>
      </c>
      <c r="C1886" s="6">
        <v>45671</v>
      </c>
      <c r="D1886" s="5" t="s">
        <v>158</v>
      </c>
      <c r="E1886" s="5" t="s">
        <v>159</v>
      </c>
      <c r="F1886" s="5" t="s">
        <v>84</v>
      </c>
      <c r="G1886" s="5" t="s">
        <v>85</v>
      </c>
      <c r="H1886" s="5" t="s">
        <v>108</v>
      </c>
      <c r="I1886" s="5" t="s">
        <v>766</v>
      </c>
      <c r="J1886" s="5" t="s">
        <v>181</v>
      </c>
      <c r="K1886" s="5" t="s">
        <v>80</v>
      </c>
      <c r="L1886" s="6">
        <v>45679</v>
      </c>
      <c r="M1886" s="6">
        <v>45679</v>
      </c>
      <c r="N1886" s="6" t="s">
        <v>811</v>
      </c>
      <c r="O1886" s="5" t="str">
        <f ca="1">IF(P1886&lt;&gt;"EXPEDIÇÃO","Expedido",IF(NETWORKDAYS(C1886,TODAY())&gt;=5,"Risco Alto",IF(NETWORKDAYS(C1886,TODAY())&gt;=3,IF(NETWORKDAYS(C1886,TODAY())&lt;5,"Risco Médio",""),IF(NETWORKDAYS(C1886,TODAY())&lt;=2,"Risco Baixo",""))))</f>
        <v>Expedido</v>
      </c>
      <c r="P1886" s="5" t="s">
        <v>25</v>
      </c>
      <c r="S1886" s="7">
        <f>IF(ISBLANK(M1886),"Aguardando Previsão/Data",NETWORKDAYS(L1886,M1886)-1)</f>
        <v>0</v>
      </c>
      <c r="T1886" s="5" t="s">
        <v>942</v>
      </c>
    </row>
    <row r="1887" spans="1:20" x14ac:dyDescent="0.35">
      <c r="A1887" s="5">
        <v>8100276581</v>
      </c>
      <c r="B1887" s="5">
        <v>12261</v>
      </c>
      <c r="C1887" s="6">
        <v>45671</v>
      </c>
      <c r="D1887" s="5" t="s">
        <v>158</v>
      </c>
      <c r="E1887" s="5" t="s">
        <v>159</v>
      </c>
      <c r="F1887" s="5" t="s">
        <v>84</v>
      </c>
      <c r="G1887" s="5" t="s">
        <v>85</v>
      </c>
      <c r="H1887" s="5" t="s">
        <v>108</v>
      </c>
      <c r="I1887" s="5" t="s">
        <v>766</v>
      </c>
      <c r="J1887" s="5" t="s">
        <v>181</v>
      </c>
      <c r="K1887" s="5" t="s">
        <v>80</v>
      </c>
      <c r="L1887" s="6">
        <v>45679</v>
      </c>
      <c r="M1887" s="6">
        <v>45679</v>
      </c>
      <c r="N1887" s="6" t="s">
        <v>811</v>
      </c>
      <c r="O1887" s="5" t="str">
        <f ca="1">IF(P1887&lt;&gt;"EXPEDIÇÃO","Expedido",IF(NETWORKDAYS(C1887,TODAY())&gt;=5,"Risco Alto",IF(NETWORKDAYS(C1887,TODAY())&gt;=3,IF(NETWORKDAYS(C1887,TODAY())&lt;5,"Risco Médio",""),IF(NETWORKDAYS(C1887,TODAY())&lt;=2,"Risco Baixo",""))))</f>
        <v>Expedido</v>
      </c>
      <c r="P1887" s="5" t="s">
        <v>25</v>
      </c>
      <c r="S1887" s="7">
        <f>IF(ISBLANK(M1887),"Aguardando Previsão/Data",NETWORKDAYS(L1887,M1887)-1)</f>
        <v>0</v>
      </c>
      <c r="T1887" s="5" t="s">
        <v>942</v>
      </c>
    </row>
    <row r="1888" spans="1:20" x14ac:dyDescent="0.35">
      <c r="A1888" s="5">
        <v>8100276582</v>
      </c>
      <c r="B1888" s="5">
        <v>12264</v>
      </c>
      <c r="C1888" s="6">
        <v>45671</v>
      </c>
      <c r="D1888" s="5" t="s">
        <v>158</v>
      </c>
      <c r="E1888" s="5" t="s">
        <v>159</v>
      </c>
      <c r="F1888" s="5" t="s">
        <v>176</v>
      </c>
      <c r="G1888" s="5" t="s">
        <v>177</v>
      </c>
      <c r="H1888" s="5" t="s">
        <v>108</v>
      </c>
      <c r="I1888" s="5" t="s">
        <v>178</v>
      </c>
      <c r="J1888" s="5" t="s">
        <v>179</v>
      </c>
      <c r="K1888" s="5" t="s">
        <v>175</v>
      </c>
      <c r="L1888" s="6">
        <v>45679</v>
      </c>
      <c r="M1888" s="6">
        <v>45677</v>
      </c>
      <c r="N1888" s="6" t="s">
        <v>811</v>
      </c>
      <c r="O1888" s="5" t="str">
        <f ca="1">IF(P1888&lt;&gt;"EXPEDIÇÃO","Expedido",IF(NETWORKDAYS(C1888,TODAY())&gt;=5,"Risco Alto",IF(NETWORKDAYS(C1888,TODAY())&gt;=3,IF(NETWORKDAYS(C1888,TODAY())&lt;5,"Risco Médio",""),IF(NETWORKDAYS(C1888,TODAY())&lt;=2,"Risco Baixo",""))))</f>
        <v>Expedido</v>
      </c>
      <c r="P1888" s="5" t="s">
        <v>25</v>
      </c>
      <c r="S1888" s="7">
        <f>IF(ISBLANK(M1888),"Aguardando Previsão/Data",NETWORKDAYS(L1888,M1888)-1)</f>
        <v>-4</v>
      </c>
      <c r="T1888" s="5" t="s">
        <v>942</v>
      </c>
    </row>
    <row r="1889" spans="1:20" x14ac:dyDescent="0.35">
      <c r="A1889" s="5">
        <v>8100276583</v>
      </c>
      <c r="B1889" s="5">
        <v>12266</v>
      </c>
      <c r="C1889" s="6">
        <v>45671</v>
      </c>
      <c r="D1889" s="5" t="s">
        <v>158</v>
      </c>
      <c r="E1889" s="5" t="s">
        <v>159</v>
      </c>
      <c r="F1889" s="5" t="s">
        <v>176</v>
      </c>
      <c r="G1889" s="5" t="s">
        <v>177</v>
      </c>
      <c r="H1889" s="5" t="s">
        <v>108</v>
      </c>
      <c r="I1889" s="5" t="s">
        <v>187</v>
      </c>
      <c r="J1889" s="5" t="s">
        <v>308</v>
      </c>
      <c r="K1889" s="5" t="s">
        <v>175</v>
      </c>
      <c r="L1889" s="6">
        <v>45680</v>
      </c>
      <c r="M1889" s="6">
        <v>45678</v>
      </c>
      <c r="N1889" s="6" t="s">
        <v>811</v>
      </c>
      <c r="O1889" s="5" t="str">
        <f ca="1">IF(P1889&lt;&gt;"EXPEDIÇÃO","Expedido",IF(NETWORKDAYS(C1889,TODAY())&gt;=5,"Risco Alto",IF(NETWORKDAYS(C1889,TODAY())&gt;=3,IF(NETWORKDAYS(C1889,TODAY())&lt;5,"Risco Médio",""),IF(NETWORKDAYS(C1889,TODAY())&lt;=2,"Risco Baixo",""))))</f>
        <v>Expedido</v>
      </c>
      <c r="P1889" s="5" t="s">
        <v>25</v>
      </c>
      <c r="S1889" s="7">
        <f>IF(ISBLANK(M1889),"Aguardando Previsão/Data",NETWORKDAYS(L1889,M1889)-1)</f>
        <v>-4</v>
      </c>
      <c r="T1889" s="5" t="s">
        <v>942</v>
      </c>
    </row>
    <row r="1890" spans="1:20" x14ac:dyDescent="0.35">
      <c r="A1890" s="5">
        <v>8100276584</v>
      </c>
      <c r="B1890" s="5">
        <v>12268</v>
      </c>
      <c r="C1890" s="6">
        <v>45671</v>
      </c>
      <c r="D1890" s="5" t="s">
        <v>158</v>
      </c>
      <c r="E1890" s="5" t="s">
        <v>159</v>
      </c>
      <c r="F1890" s="5" t="s">
        <v>176</v>
      </c>
      <c r="G1890" s="5" t="s">
        <v>177</v>
      </c>
      <c r="H1890" s="5" t="s">
        <v>108</v>
      </c>
      <c r="I1890" s="5" t="s">
        <v>187</v>
      </c>
      <c r="J1890" s="5" t="s">
        <v>301</v>
      </c>
      <c r="K1890" s="5" t="s">
        <v>175</v>
      </c>
      <c r="L1890" s="6">
        <v>45679</v>
      </c>
      <c r="M1890" s="6">
        <v>45674</v>
      </c>
      <c r="N1890" s="6" t="s">
        <v>811</v>
      </c>
      <c r="O1890" s="5" t="str">
        <f ca="1">IF(P1890&lt;&gt;"EXPEDIÇÃO","Expedido",IF(NETWORKDAYS(C1890,TODAY())&gt;=5,"Risco Alto",IF(NETWORKDAYS(C1890,TODAY())&gt;=3,IF(NETWORKDAYS(C1890,TODAY())&lt;5,"Risco Médio",""),IF(NETWORKDAYS(C1890,TODAY())&lt;=2,"Risco Baixo",""))))</f>
        <v>Expedido</v>
      </c>
      <c r="P1890" s="5" t="s">
        <v>25</v>
      </c>
      <c r="S1890" s="7">
        <f>IF(ISBLANK(M1890),"Aguardando Previsão/Data",NETWORKDAYS(L1890,M1890)-1)</f>
        <v>-5</v>
      </c>
      <c r="T1890" s="5" t="s">
        <v>942</v>
      </c>
    </row>
    <row r="1891" spans="1:20" x14ac:dyDescent="0.35">
      <c r="A1891" s="5">
        <v>8100276585</v>
      </c>
      <c r="B1891" s="5">
        <v>12265</v>
      </c>
      <c r="C1891" s="6">
        <v>45671</v>
      </c>
      <c r="D1891" s="5" t="s">
        <v>158</v>
      </c>
      <c r="E1891" s="5" t="s">
        <v>159</v>
      </c>
      <c r="F1891" s="5" t="s">
        <v>176</v>
      </c>
      <c r="G1891" s="5" t="s">
        <v>177</v>
      </c>
      <c r="H1891" s="5" t="s">
        <v>108</v>
      </c>
      <c r="I1891" s="5" t="s">
        <v>178</v>
      </c>
      <c r="J1891" s="5" t="s">
        <v>179</v>
      </c>
      <c r="K1891" s="5" t="s">
        <v>175</v>
      </c>
      <c r="L1891" s="6">
        <v>45679</v>
      </c>
      <c r="M1891" s="6">
        <v>45677</v>
      </c>
      <c r="N1891" s="6" t="s">
        <v>811</v>
      </c>
      <c r="O1891" s="5" t="str">
        <f ca="1">IF(P1891&lt;&gt;"EXPEDIÇÃO","Expedido",IF(NETWORKDAYS(C1891,TODAY())&gt;=5,"Risco Alto",IF(NETWORKDAYS(C1891,TODAY())&gt;=3,IF(NETWORKDAYS(C1891,TODAY())&lt;5,"Risco Médio",""),IF(NETWORKDAYS(C1891,TODAY())&lt;=2,"Risco Baixo",""))))</f>
        <v>Expedido</v>
      </c>
      <c r="P1891" s="5" t="s">
        <v>25</v>
      </c>
      <c r="S1891" s="7">
        <f>IF(ISBLANK(M1891),"Aguardando Previsão/Data",NETWORKDAYS(L1891,M1891)-1)</f>
        <v>-4</v>
      </c>
      <c r="T1891" s="5" t="s">
        <v>942</v>
      </c>
    </row>
    <row r="1892" spans="1:20" x14ac:dyDescent="0.35">
      <c r="A1892" s="5">
        <v>8100276586</v>
      </c>
      <c r="B1892" s="5">
        <v>12262</v>
      </c>
      <c r="C1892" s="6">
        <v>45671</v>
      </c>
      <c r="D1892" s="5" t="s">
        <v>158</v>
      </c>
      <c r="E1892" s="5" t="s">
        <v>159</v>
      </c>
      <c r="F1892" s="5" t="s">
        <v>136</v>
      </c>
      <c r="G1892" s="5" t="s">
        <v>137</v>
      </c>
      <c r="H1892" s="5" t="s">
        <v>108</v>
      </c>
      <c r="I1892" s="5" t="s">
        <v>404</v>
      </c>
      <c r="J1892" s="5" t="s">
        <v>405</v>
      </c>
      <c r="K1892" s="5" t="s">
        <v>170</v>
      </c>
      <c r="L1892" s="6">
        <v>45678</v>
      </c>
      <c r="M1892" s="6">
        <v>45678</v>
      </c>
      <c r="N1892" s="6" t="s">
        <v>811</v>
      </c>
      <c r="O1892" s="5" t="str">
        <f ca="1">IF(P1892&lt;&gt;"EXPEDIÇÃO","Expedido",IF(NETWORKDAYS(C1892,TODAY())&gt;=5,"Risco Alto",IF(NETWORKDAYS(C1892,TODAY())&gt;=3,IF(NETWORKDAYS(C1892,TODAY())&lt;5,"Risco Médio",""),IF(NETWORKDAYS(C1892,TODAY())&lt;=2,"Risco Baixo",""))))</f>
        <v>Expedido</v>
      </c>
      <c r="P1892" s="5" t="s">
        <v>25</v>
      </c>
      <c r="S1892" s="7">
        <f>IF(ISBLANK(M1892),"Aguardando Previsão/Data",NETWORKDAYS(L1892,M1892)-1)</f>
        <v>0</v>
      </c>
      <c r="T1892" s="5" t="s">
        <v>942</v>
      </c>
    </row>
    <row r="1893" spans="1:20" x14ac:dyDescent="0.35">
      <c r="A1893" s="5">
        <v>8100276587</v>
      </c>
      <c r="B1893" s="5">
        <v>12263</v>
      </c>
      <c r="C1893" s="6">
        <v>45671</v>
      </c>
      <c r="D1893" s="5" t="s">
        <v>158</v>
      </c>
      <c r="E1893" s="5" t="s">
        <v>159</v>
      </c>
      <c r="F1893" s="5" t="s">
        <v>167</v>
      </c>
      <c r="G1893" s="5" t="s">
        <v>168</v>
      </c>
      <c r="H1893" s="5" t="s">
        <v>108</v>
      </c>
      <c r="I1893" s="5" t="s">
        <v>542</v>
      </c>
      <c r="J1893" s="5" t="s">
        <v>186</v>
      </c>
      <c r="K1893" s="5" t="s">
        <v>170</v>
      </c>
      <c r="L1893" s="6">
        <v>45677</v>
      </c>
      <c r="M1893" s="6">
        <v>45673</v>
      </c>
      <c r="N1893" s="6" t="s">
        <v>811</v>
      </c>
      <c r="O1893" s="5" t="str">
        <f ca="1">IF(P1893&lt;&gt;"EXPEDIÇÃO","Expedido",IF(NETWORKDAYS(C1893,TODAY())&gt;=5,"Risco Alto",IF(NETWORKDAYS(C1893,TODAY())&gt;=3,IF(NETWORKDAYS(C1893,TODAY())&lt;5,"Risco Médio",""),IF(NETWORKDAYS(C1893,TODAY())&lt;=2,"Risco Baixo",""))))</f>
        <v>Expedido</v>
      </c>
      <c r="P1893" s="5" t="s">
        <v>25</v>
      </c>
      <c r="S1893" s="7">
        <f>IF(ISBLANK(M1893),"Aguardando Previsão/Data",NETWORKDAYS(L1893,M1893)-1)</f>
        <v>-4</v>
      </c>
      <c r="T1893" s="5" t="s">
        <v>942</v>
      </c>
    </row>
    <row r="1894" spans="1:20" x14ac:dyDescent="0.35">
      <c r="A1894" s="5">
        <v>8100276588</v>
      </c>
      <c r="B1894" s="5">
        <v>12267</v>
      </c>
      <c r="C1894" s="6">
        <v>45671</v>
      </c>
      <c r="D1894" s="5" t="s">
        <v>158</v>
      </c>
      <c r="E1894" s="5" t="s">
        <v>159</v>
      </c>
      <c r="F1894" s="5" t="s">
        <v>176</v>
      </c>
      <c r="G1894" s="5" t="s">
        <v>177</v>
      </c>
      <c r="H1894" s="5" t="s">
        <v>108</v>
      </c>
      <c r="I1894" s="5" t="s">
        <v>654</v>
      </c>
      <c r="J1894" s="5" t="s">
        <v>627</v>
      </c>
      <c r="K1894" s="5" t="s">
        <v>175</v>
      </c>
      <c r="L1894" s="6">
        <v>45680</v>
      </c>
      <c r="M1894" s="6">
        <v>45678</v>
      </c>
      <c r="N1894" s="6" t="s">
        <v>811</v>
      </c>
      <c r="O1894" s="5" t="str">
        <f ca="1">IF(P1894&lt;&gt;"EXPEDIÇÃO","Expedido",IF(NETWORKDAYS(C1894,TODAY())&gt;=5,"Risco Alto",IF(NETWORKDAYS(C1894,TODAY())&gt;=3,IF(NETWORKDAYS(C1894,TODAY())&lt;5,"Risco Médio",""),IF(NETWORKDAYS(C1894,TODAY())&lt;=2,"Risco Baixo",""))))</f>
        <v>Expedido</v>
      </c>
      <c r="P1894" s="5" t="s">
        <v>25</v>
      </c>
      <c r="S1894" s="7">
        <f>IF(ISBLANK(M1894),"Aguardando Previsão/Data",NETWORKDAYS(L1894,M1894)-1)</f>
        <v>-4</v>
      </c>
      <c r="T1894" s="5" t="s">
        <v>942</v>
      </c>
    </row>
    <row r="1895" spans="1:20" x14ac:dyDescent="0.35">
      <c r="A1895" s="5">
        <v>8100276676</v>
      </c>
      <c r="B1895" s="5">
        <v>12273</v>
      </c>
      <c r="C1895" s="6">
        <v>45671</v>
      </c>
      <c r="D1895" s="5" t="s">
        <v>158</v>
      </c>
      <c r="E1895" s="5" t="s">
        <v>159</v>
      </c>
      <c r="F1895" s="5" t="s">
        <v>79</v>
      </c>
      <c r="G1895" s="5" t="s">
        <v>80</v>
      </c>
      <c r="H1895" s="5" t="s">
        <v>108</v>
      </c>
      <c r="I1895" s="5" t="s">
        <v>626</v>
      </c>
      <c r="J1895" s="5" t="s">
        <v>165</v>
      </c>
      <c r="K1895" s="5" t="s">
        <v>80</v>
      </c>
      <c r="L1895" s="6">
        <v>45679</v>
      </c>
      <c r="M1895" s="6">
        <v>45678</v>
      </c>
      <c r="N1895" s="6" t="s">
        <v>811</v>
      </c>
      <c r="O1895" s="5" t="str">
        <f ca="1">IF(P1895&lt;&gt;"EXPEDIÇÃO","Expedido",IF(NETWORKDAYS(C1895,TODAY())&gt;=5,"Risco Alto",IF(NETWORKDAYS(C1895,TODAY())&gt;=3,IF(NETWORKDAYS(C1895,TODAY())&lt;5,"Risco Médio",""),IF(NETWORKDAYS(C1895,TODAY())&lt;=2,"Risco Baixo",""))))</f>
        <v>Expedido</v>
      </c>
      <c r="P1895" s="5" t="s">
        <v>25</v>
      </c>
      <c r="S1895" s="7">
        <f>IF(ISBLANK(M1895),"Aguardando Previsão/Data",NETWORKDAYS(L1895,M1895)-1)</f>
        <v>-3</v>
      </c>
      <c r="T1895" s="5" t="s">
        <v>942</v>
      </c>
    </row>
    <row r="1896" spans="1:20" x14ac:dyDescent="0.35">
      <c r="A1896" s="5">
        <v>8100276694</v>
      </c>
      <c r="B1896" s="5">
        <v>12272</v>
      </c>
      <c r="C1896" s="6">
        <v>45671</v>
      </c>
      <c r="D1896" s="5" t="s">
        <v>158</v>
      </c>
      <c r="E1896" s="5" t="s">
        <v>159</v>
      </c>
      <c r="F1896" s="5" t="s">
        <v>167</v>
      </c>
      <c r="G1896" s="5" t="s">
        <v>168</v>
      </c>
      <c r="H1896" s="5" t="s">
        <v>108</v>
      </c>
      <c r="I1896" s="5" t="s">
        <v>82</v>
      </c>
      <c r="J1896" s="5" t="s">
        <v>186</v>
      </c>
      <c r="K1896" s="5" t="s">
        <v>170</v>
      </c>
      <c r="L1896" s="6">
        <v>45677</v>
      </c>
      <c r="M1896" s="6">
        <v>45677</v>
      </c>
      <c r="N1896" s="6" t="s">
        <v>811</v>
      </c>
      <c r="O1896" s="5" t="str">
        <f ca="1">IF(P1896&lt;&gt;"EXPEDIÇÃO","Expedido",IF(NETWORKDAYS(C1896,TODAY())&gt;=5,"Risco Alto",IF(NETWORKDAYS(C1896,TODAY())&gt;=3,IF(NETWORKDAYS(C1896,TODAY())&lt;5,"Risco Médio",""),IF(NETWORKDAYS(C1896,TODAY())&lt;=2,"Risco Baixo",""))))</f>
        <v>Expedido</v>
      </c>
      <c r="P1896" s="5" t="s">
        <v>25</v>
      </c>
      <c r="S1896" s="7">
        <f>IF(ISBLANK(M1896),"Aguardando Previsão/Data",NETWORKDAYS(L1896,M1896)-1)</f>
        <v>0</v>
      </c>
      <c r="T1896" s="5" t="s">
        <v>942</v>
      </c>
    </row>
    <row r="1897" spans="1:20" x14ac:dyDescent="0.35">
      <c r="A1897" s="5">
        <v>8100276695</v>
      </c>
      <c r="B1897" s="5">
        <v>12269</v>
      </c>
      <c r="C1897" s="6">
        <v>45671</v>
      </c>
      <c r="D1897" s="5" t="s">
        <v>158</v>
      </c>
      <c r="E1897" s="5" t="s">
        <v>159</v>
      </c>
      <c r="F1897" s="5" t="s">
        <v>167</v>
      </c>
      <c r="G1897" s="5" t="s">
        <v>168</v>
      </c>
      <c r="H1897" s="5" t="s">
        <v>108</v>
      </c>
      <c r="I1897" s="5" t="s">
        <v>480</v>
      </c>
      <c r="J1897" s="5" t="s">
        <v>169</v>
      </c>
      <c r="K1897" s="5" t="s">
        <v>170</v>
      </c>
      <c r="L1897" s="6">
        <v>45678</v>
      </c>
      <c r="M1897" s="6">
        <v>45678</v>
      </c>
      <c r="N1897" s="6" t="s">
        <v>811</v>
      </c>
      <c r="O1897" s="5" t="str">
        <f ca="1">IF(P1897&lt;&gt;"EXPEDIÇÃO","Expedido",IF(NETWORKDAYS(C1897,TODAY())&gt;=5,"Risco Alto",IF(NETWORKDAYS(C1897,TODAY())&gt;=3,IF(NETWORKDAYS(C1897,TODAY())&lt;5,"Risco Médio",""),IF(NETWORKDAYS(C1897,TODAY())&lt;=2,"Risco Baixo",""))))</f>
        <v>Expedido</v>
      </c>
      <c r="P1897" s="5" t="s">
        <v>25</v>
      </c>
      <c r="S1897" s="7">
        <f>IF(ISBLANK(M1897),"Aguardando Previsão/Data",NETWORKDAYS(L1897,M1897)-1)</f>
        <v>0</v>
      </c>
      <c r="T1897" s="5" t="s">
        <v>942</v>
      </c>
    </row>
    <row r="1898" spans="1:20" x14ac:dyDescent="0.35">
      <c r="A1898" s="5">
        <v>8100277388</v>
      </c>
      <c r="B1898" s="5">
        <v>17406</v>
      </c>
      <c r="C1898" s="6">
        <v>45672</v>
      </c>
      <c r="D1898" s="5" t="s">
        <v>51</v>
      </c>
      <c r="E1898" s="5" t="s">
        <v>52</v>
      </c>
      <c r="F1898" s="5" t="s">
        <v>329</v>
      </c>
      <c r="G1898" s="5" t="s">
        <v>330</v>
      </c>
      <c r="H1898" s="5" t="s">
        <v>21</v>
      </c>
      <c r="I1898" s="5" t="s">
        <v>88</v>
      </c>
      <c r="J1898" s="5" t="s">
        <v>72</v>
      </c>
      <c r="K1898" s="5" t="s">
        <v>57</v>
      </c>
      <c r="L1898" s="6">
        <v>45678</v>
      </c>
      <c r="M1898" s="6">
        <v>45674</v>
      </c>
      <c r="N1898" s="6" t="s">
        <v>811</v>
      </c>
      <c r="O1898" s="5" t="str">
        <f ca="1">IF(P1898&lt;&gt;"EXPEDIÇÃO","Expedido",IF(NETWORKDAYS(C1898,TODAY())&gt;=5,"Risco Alto",IF(NETWORKDAYS(C1898,TODAY())&gt;=3,IF(NETWORKDAYS(C1898,TODAY())&lt;5,"Risco Médio",""),IF(NETWORKDAYS(C1898,TODAY())&lt;=2,"Risco Baixo",""))))</f>
        <v>Expedido</v>
      </c>
      <c r="P1898" s="5" t="s">
        <v>25</v>
      </c>
      <c r="S1898" s="7">
        <f>IF(ISBLANK(M1898),"Aguardando Previsão/Data",NETWORKDAYS(L1898,M1898)-1)</f>
        <v>-4</v>
      </c>
      <c r="T1898" s="5" t="s">
        <v>942</v>
      </c>
    </row>
    <row r="1899" spans="1:20" x14ac:dyDescent="0.35">
      <c r="A1899" s="5">
        <v>8100277389</v>
      </c>
      <c r="B1899" s="5">
        <v>17407</v>
      </c>
      <c r="C1899" s="6">
        <v>45672</v>
      </c>
      <c r="D1899" s="5" t="s">
        <v>51</v>
      </c>
      <c r="E1899" s="5" t="s">
        <v>52</v>
      </c>
      <c r="F1899" s="5" t="s">
        <v>329</v>
      </c>
      <c r="G1899" s="5" t="s">
        <v>330</v>
      </c>
      <c r="H1899" s="5" t="s">
        <v>21</v>
      </c>
      <c r="I1899" s="5" t="s">
        <v>88</v>
      </c>
      <c r="J1899" s="5" t="s">
        <v>72</v>
      </c>
      <c r="K1899" s="5" t="s">
        <v>57</v>
      </c>
      <c r="L1899" s="6">
        <v>45678</v>
      </c>
      <c r="M1899" s="6">
        <v>45674</v>
      </c>
      <c r="N1899" s="6" t="s">
        <v>811</v>
      </c>
      <c r="O1899" s="5" t="str">
        <f ca="1">IF(P1899&lt;&gt;"EXPEDIÇÃO","Expedido",IF(NETWORKDAYS(C1899,TODAY())&gt;=5,"Risco Alto",IF(NETWORKDAYS(C1899,TODAY())&gt;=3,IF(NETWORKDAYS(C1899,TODAY())&lt;5,"Risco Médio",""),IF(NETWORKDAYS(C1899,TODAY())&lt;=2,"Risco Baixo",""))))</f>
        <v>Expedido</v>
      </c>
      <c r="P1899" s="5" t="s">
        <v>25</v>
      </c>
      <c r="S1899" s="7">
        <f>IF(ISBLANK(M1899),"Aguardando Previsão/Data",NETWORKDAYS(L1899,M1899)-1)</f>
        <v>-4</v>
      </c>
      <c r="T1899" s="5" t="s">
        <v>942</v>
      </c>
    </row>
    <row r="1900" spans="1:20" x14ac:dyDescent="0.35">
      <c r="A1900" s="5">
        <v>8100277390</v>
      </c>
      <c r="B1900" s="5">
        <v>17400</v>
      </c>
      <c r="C1900" s="6">
        <v>45672</v>
      </c>
      <c r="D1900" s="5" t="s">
        <v>51</v>
      </c>
      <c r="E1900" s="5" t="s">
        <v>52</v>
      </c>
      <c r="F1900" s="5" t="s">
        <v>329</v>
      </c>
      <c r="G1900" s="5" t="s">
        <v>330</v>
      </c>
      <c r="H1900" s="5" t="s">
        <v>21</v>
      </c>
      <c r="I1900" s="5" t="s">
        <v>438</v>
      </c>
      <c r="J1900" s="5" t="s">
        <v>439</v>
      </c>
      <c r="K1900" s="5" t="s">
        <v>57</v>
      </c>
      <c r="L1900" s="6">
        <v>45678</v>
      </c>
      <c r="M1900" s="6">
        <v>45674</v>
      </c>
      <c r="N1900" s="6" t="s">
        <v>811</v>
      </c>
      <c r="O1900" s="5" t="str">
        <f ca="1">IF(P1900&lt;&gt;"EXPEDIÇÃO","Expedido",IF(NETWORKDAYS(C1900,TODAY())&gt;=5,"Risco Alto",IF(NETWORKDAYS(C1900,TODAY())&gt;=3,IF(NETWORKDAYS(C1900,TODAY())&lt;5,"Risco Médio",""),IF(NETWORKDAYS(C1900,TODAY())&lt;=2,"Risco Baixo",""))))</f>
        <v>Expedido</v>
      </c>
      <c r="P1900" s="5" t="s">
        <v>25</v>
      </c>
      <c r="S1900" s="7">
        <f>IF(ISBLANK(M1900),"Aguardando Previsão/Data",NETWORKDAYS(L1900,M1900)-1)</f>
        <v>-4</v>
      </c>
      <c r="T1900" s="5" t="s">
        <v>942</v>
      </c>
    </row>
    <row r="1901" spans="1:20" x14ac:dyDescent="0.35">
      <c r="A1901" s="5">
        <v>8100277391</v>
      </c>
      <c r="B1901" s="5">
        <v>17403</v>
      </c>
      <c r="C1901" s="6">
        <v>45672</v>
      </c>
      <c r="D1901" s="5" t="s">
        <v>51</v>
      </c>
      <c r="E1901" s="5" t="s">
        <v>52</v>
      </c>
      <c r="F1901" s="5" t="s">
        <v>58</v>
      </c>
      <c r="G1901" s="5" t="s">
        <v>59</v>
      </c>
      <c r="H1901" s="5" t="s">
        <v>21</v>
      </c>
      <c r="I1901" s="5" t="s">
        <v>1346</v>
      </c>
      <c r="J1901" s="5" t="s">
        <v>1347</v>
      </c>
      <c r="K1901" s="5" t="s">
        <v>57</v>
      </c>
      <c r="L1901" s="6">
        <v>45680</v>
      </c>
      <c r="M1901" s="6">
        <v>45680</v>
      </c>
      <c r="N1901" s="6" t="s">
        <v>811</v>
      </c>
      <c r="O1901" s="5" t="str">
        <f ca="1">IF(P1901&lt;&gt;"EXPEDIÇÃO","Expedido",IF(NETWORKDAYS(C1901,TODAY())&gt;=5,"Risco Alto",IF(NETWORKDAYS(C1901,TODAY())&gt;=3,IF(NETWORKDAYS(C1901,TODAY())&lt;5,"Risco Médio",""),IF(NETWORKDAYS(C1901,TODAY())&lt;=2,"Risco Baixo",""))))</f>
        <v>Expedido</v>
      </c>
      <c r="P1901" s="5" t="s">
        <v>25</v>
      </c>
      <c r="S1901" s="7">
        <f>IF(ISBLANK(M1901),"Aguardando Previsão/Data",NETWORKDAYS(L1901,M1901)-1)</f>
        <v>0</v>
      </c>
      <c r="T1901" s="5" t="s">
        <v>942</v>
      </c>
    </row>
    <row r="1902" spans="1:20" x14ac:dyDescent="0.35">
      <c r="A1902" s="5">
        <v>8100277392</v>
      </c>
      <c r="B1902" s="5">
        <v>17399</v>
      </c>
      <c r="C1902" s="6">
        <v>45672</v>
      </c>
      <c r="D1902" s="5" t="s">
        <v>382</v>
      </c>
      <c r="E1902" s="5" t="s">
        <v>52</v>
      </c>
      <c r="F1902" s="5" t="s">
        <v>199</v>
      </c>
      <c r="G1902" s="5" t="s">
        <v>200</v>
      </c>
      <c r="H1902" s="5" t="s">
        <v>21</v>
      </c>
      <c r="I1902" s="5" t="s">
        <v>1348</v>
      </c>
      <c r="J1902" s="5" t="s">
        <v>568</v>
      </c>
      <c r="K1902" s="5" t="s">
        <v>57</v>
      </c>
      <c r="L1902" s="6">
        <v>45679</v>
      </c>
      <c r="M1902" s="6">
        <v>45678</v>
      </c>
      <c r="N1902" s="6" t="s">
        <v>811</v>
      </c>
      <c r="O1902" s="5" t="str">
        <f ca="1">IF(P1902&lt;&gt;"EXPEDIÇÃO","Expedido",IF(NETWORKDAYS(C1902,TODAY())&gt;=5,"Risco Alto",IF(NETWORKDAYS(C1902,TODAY())&gt;=3,IF(NETWORKDAYS(C1902,TODAY())&lt;5,"Risco Médio",""),IF(NETWORKDAYS(C1902,TODAY())&lt;=2,"Risco Baixo",""))))</f>
        <v>Expedido</v>
      </c>
      <c r="P1902" s="5" t="s">
        <v>25</v>
      </c>
      <c r="S1902" s="7">
        <f>IF(ISBLANK(M1902),"Aguardando Previsão/Data",NETWORKDAYS(L1902,M1902)-1)</f>
        <v>-3</v>
      </c>
      <c r="T1902" s="5" t="s">
        <v>942</v>
      </c>
    </row>
    <row r="1903" spans="1:20" x14ac:dyDescent="0.35">
      <c r="A1903" s="5">
        <v>8100277455</v>
      </c>
      <c r="B1903" s="5">
        <v>17401</v>
      </c>
      <c r="C1903" s="6">
        <v>45672</v>
      </c>
      <c r="D1903" s="5" t="s">
        <v>51</v>
      </c>
      <c r="E1903" s="5" t="s">
        <v>52</v>
      </c>
      <c r="F1903" s="5" t="s">
        <v>58</v>
      </c>
      <c r="G1903" s="5" t="s">
        <v>59</v>
      </c>
      <c r="H1903" s="5" t="s">
        <v>21</v>
      </c>
      <c r="I1903" s="5" t="s">
        <v>376</v>
      </c>
      <c r="J1903" s="5" t="s">
        <v>377</v>
      </c>
      <c r="K1903" s="5" t="s">
        <v>57</v>
      </c>
      <c r="L1903" s="6">
        <v>45679</v>
      </c>
      <c r="M1903" s="6">
        <v>45677</v>
      </c>
      <c r="N1903" s="6" t="s">
        <v>811</v>
      </c>
      <c r="O1903" s="5" t="str">
        <f ca="1">IF(P1903&lt;&gt;"EXPEDIÇÃO","Expedido",IF(NETWORKDAYS(C1903,TODAY())&gt;=5,"Risco Alto",IF(NETWORKDAYS(C1903,TODAY())&gt;=3,IF(NETWORKDAYS(C1903,TODAY())&lt;5,"Risco Médio",""),IF(NETWORKDAYS(C1903,TODAY())&lt;=2,"Risco Baixo",""))))</f>
        <v>Expedido</v>
      </c>
      <c r="P1903" s="5" t="s">
        <v>25</v>
      </c>
      <c r="S1903" s="7">
        <f>IF(ISBLANK(M1903),"Aguardando Previsão/Data",NETWORKDAYS(L1903,M1903)-1)</f>
        <v>-4</v>
      </c>
      <c r="T1903" s="5" t="s">
        <v>942</v>
      </c>
    </row>
    <row r="1904" spans="1:20" x14ac:dyDescent="0.35">
      <c r="A1904" s="5">
        <v>8100277456</v>
      </c>
      <c r="B1904" s="5">
        <v>17404</v>
      </c>
      <c r="C1904" s="6">
        <v>45672</v>
      </c>
      <c r="D1904" s="5" t="s">
        <v>51</v>
      </c>
      <c r="E1904" s="5" t="s">
        <v>52</v>
      </c>
      <c r="F1904" s="5" t="s">
        <v>69</v>
      </c>
      <c r="G1904" s="5" t="s">
        <v>70</v>
      </c>
      <c r="H1904" s="5" t="s">
        <v>21</v>
      </c>
      <c r="I1904" s="5" t="s">
        <v>350</v>
      </c>
      <c r="J1904" s="5" t="s">
        <v>65</v>
      </c>
      <c r="K1904" s="5" t="s">
        <v>57</v>
      </c>
      <c r="L1904" s="6">
        <v>45677</v>
      </c>
      <c r="M1904" s="6">
        <v>45679</v>
      </c>
      <c r="N1904" s="6" t="s">
        <v>811</v>
      </c>
      <c r="O1904" s="5" t="str">
        <f ca="1">IF(P1904&lt;&gt;"EXPEDIÇÃO","Expedido",IF(NETWORKDAYS(C1904,TODAY())&gt;=5,"Risco Alto",IF(NETWORKDAYS(C1904,TODAY())&gt;=3,IF(NETWORKDAYS(C1904,TODAY())&lt;5,"Risco Médio",""),IF(NETWORKDAYS(C1904,TODAY())&lt;=2,"Risco Baixo",""))))</f>
        <v>Expedido</v>
      </c>
      <c r="P1904" s="5" t="s">
        <v>25</v>
      </c>
      <c r="Q1904" s="5" t="s">
        <v>897</v>
      </c>
      <c r="R1904" s="5" t="s">
        <v>1419</v>
      </c>
      <c r="S1904" s="7">
        <f>IF(ISBLANK(M1904),"Aguardando Previsão/Data",NETWORKDAYS(L1904,M1904)-1)</f>
        <v>2</v>
      </c>
      <c r="T1904" s="5" t="s">
        <v>942</v>
      </c>
    </row>
    <row r="1905" spans="1:20" x14ac:dyDescent="0.35">
      <c r="A1905" s="5">
        <v>8100277457</v>
      </c>
      <c r="B1905" s="5">
        <v>17402</v>
      </c>
      <c r="C1905" s="6">
        <v>45672</v>
      </c>
      <c r="D1905" s="5" t="s">
        <v>51</v>
      </c>
      <c r="E1905" s="5" t="s">
        <v>52</v>
      </c>
      <c r="F1905" s="5" t="s">
        <v>147</v>
      </c>
      <c r="G1905" s="5" t="s">
        <v>148</v>
      </c>
      <c r="H1905" s="5" t="s">
        <v>21</v>
      </c>
      <c r="I1905" s="5" t="s">
        <v>128</v>
      </c>
      <c r="J1905" s="5" t="s">
        <v>531</v>
      </c>
      <c r="K1905" s="5" t="s">
        <v>80</v>
      </c>
      <c r="L1905" s="6">
        <v>45679</v>
      </c>
      <c r="M1905" s="6">
        <v>45677</v>
      </c>
      <c r="N1905" s="6" t="s">
        <v>811</v>
      </c>
      <c r="O1905" s="5" t="str">
        <f ca="1">IF(P1905&lt;&gt;"EXPEDIÇÃO","Expedido",IF(NETWORKDAYS(C1905,TODAY())&gt;=5,"Risco Alto",IF(NETWORKDAYS(C1905,TODAY())&gt;=3,IF(NETWORKDAYS(C1905,TODAY())&lt;5,"Risco Médio",""),IF(NETWORKDAYS(C1905,TODAY())&lt;=2,"Risco Baixo",""))))</f>
        <v>Expedido</v>
      </c>
      <c r="P1905" s="5" t="s">
        <v>25</v>
      </c>
      <c r="S1905" s="7">
        <f>IF(ISBLANK(M1905),"Aguardando Previsão/Data",NETWORKDAYS(L1905,M1905)-1)</f>
        <v>-4</v>
      </c>
      <c r="T1905" s="5" t="s">
        <v>942</v>
      </c>
    </row>
    <row r="1906" spans="1:20" x14ac:dyDescent="0.35">
      <c r="A1906" s="5">
        <v>8100277458</v>
      </c>
      <c r="B1906" s="5">
        <v>17405</v>
      </c>
      <c r="C1906" s="6">
        <v>45672</v>
      </c>
      <c r="D1906" s="5" t="s">
        <v>51</v>
      </c>
      <c r="E1906" s="5" t="s">
        <v>52</v>
      </c>
      <c r="F1906" s="5" t="s">
        <v>69</v>
      </c>
      <c r="G1906" s="5" t="s">
        <v>70</v>
      </c>
      <c r="H1906" s="5" t="s">
        <v>21</v>
      </c>
      <c r="I1906" s="5" t="s">
        <v>82</v>
      </c>
      <c r="J1906" s="5" t="s">
        <v>83</v>
      </c>
      <c r="K1906" s="5" t="s">
        <v>57</v>
      </c>
      <c r="L1906" s="6">
        <v>45678</v>
      </c>
      <c r="M1906" s="6">
        <v>45674</v>
      </c>
      <c r="N1906" s="6" t="s">
        <v>811</v>
      </c>
      <c r="O1906" s="5" t="str">
        <f ca="1">IF(P1906&lt;&gt;"EXPEDIÇÃO","Expedido",IF(NETWORKDAYS(C1906,TODAY())&gt;=5,"Risco Alto",IF(NETWORKDAYS(C1906,TODAY())&gt;=3,IF(NETWORKDAYS(C1906,TODAY())&lt;5,"Risco Médio",""),IF(NETWORKDAYS(C1906,TODAY())&lt;=2,"Risco Baixo",""))))</f>
        <v>Expedido</v>
      </c>
      <c r="P1906" s="5" t="s">
        <v>25</v>
      </c>
      <c r="S1906" s="7">
        <f>IF(ISBLANK(M1906),"Aguardando Previsão/Data",NETWORKDAYS(L1906,M1906)-1)</f>
        <v>-4</v>
      </c>
      <c r="T1906" s="5" t="s">
        <v>942</v>
      </c>
    </row>
    <row r="1907" spans="1:20" x14ac:dyDescent="0.35">
      <c r="A1907" s="5">
        <v>8100277459</v>
      </c>
      <c r="B1907" s="5">
        <v>17408</v>
      </c>
      <c r="C1907" s="6">
        <v>45672</v>
      </c>
      <c r="D1907" s="5" t="s">
        <v>51</v>
      </c>
      <c r="E1907" s="5" t="s">
        <v>52</v>
      </c>
      <c r="F1907" s="5" t="s">
        <v>329</v>
      </c>
      <c r="G1907" s="5" t="s">
        <v>330</v>
      </c>
      <c r="H1907" s="5" t="s">
        <v>21</v>
      </c>
      <c r="I1907" s="5" t="s">
        <v>1351</v>
      </c>
      <c r="J1907" s="5" t="s">
        <v>1352</v>
      </c>
      <c r="K1907" s="5" t="s">
        <v>57</v>
      </c>
      <c r="L1907" s="6">
        <v>45679</v>
      </c>
      <c r="M1907" s="6">
        <v>45677</v>
      </c>
      <c r="N1907" s="6" t="s">
        <v>811</v>
      </c>
      <c r="O1907" s="5" t="str">
        <f ca="1">IF(P1907&lt;&gt;"EXPEDIÇÃO","Expedido",IF(NETWORKDAYS(C1907,TODAY())&gt;=5,"Risco Alto",IF(NETWORKDAYS(C1907,TODAY())&gt;=3,IF(NETWORKDAYS(C1907,TODAY())&lt;5,"Risco Médio",""),IF(NETWORKDAYS(C1907,TODAY())&lt;=2,"Risco Baixo",""))))</f>
        <v>Expedido</v>
      </c>
      <c r="P1907" s="5" t="s">
        <v>25</v>
      </c>
      <c r="S1907" s="7">
        <f>IF(ISBLANK(M1907),"Aguardando Previsão/Data",NETWORKDAYS(L1907,M1907)-1)</f>
        <v>-4</v>
      </c>
      <c r="T1907" s="5" t="s">
        <v>942</v>
      </c>
    </row>
    <row r="1908" spans="1:20" x14ac:dyDescent="0.35">
      <c r="A1908" s="5">
        <v>8100277465</v>
      </c>
      <c r="B1908" s="5">
        <v>17417</v>
      </c>
      <c r="C1908" s="6">
        <v>45672</v>
      </c>
      <c r="D1908" s="5" t="s">
        <v>382</v>
      </c>
      <c r="E1908" s="5" t="s">
        <v>52</v>
      </c>
      <c r="F1908" s="5" t="s">
        <v>199</v>
      </c>
      <c r="G1908" s="5" t="s">
        <v>200</v>
      </c>
      <c r="H1908" s="5" t="s">
        <v>21</v>
      </c>
      <c r="I1908" s="5" t="s">
        <v>1355</v>
      </c>
      <c r="J1908" s="5" t="s">
        <v>378</v>
      </c>
      <c r="K1908" s="5" t="s">
        <v>57</v>
      </c>
      <c r="L1908" s="6">
        <v>45679</v>
      </c>
      <c r="M1908" s="6">
        <v>45678</v>
      </c>
      <c r="N1908" s="6" t="s">
        <v>811</v>
      </c>
      <c r="O1908" s="5" t="str">
        <f ca="1">IF(P1908&lt;&gt;"EXPEDIÇÃO","Expedido",IF(NETWORKDAYS(C1908,TODAY())&gt;=5,"Risco Alto",IF(NETWORKDAYS(C1908,TODAY())&gt;=3,IF(NETWORKDAYS(C1908,TODAY())&lt;5,"Risco Médio",""),IF(NETWORKDAYS(C1908,TODAY())&lt;=2,"Risco Baixo",""))))</f>
        <v>Expedido</v>
      </c>
      <c r="P1908" s="5" t="s">
        <v>25</v>
      </c>
      <c r="S1908" s="7">
        <f>IF(ISBLANK(M1908),"Aguardando Previsão/Data",NETWORKDAYS(L1908,M1908)-1)</f>
        <v>-3</v>
      </c>
      <c r="T1908" s="5" t="s">
        <v>942</v>
      </c>
    </row>
    <row r="1909" spans="1:20" x14ac:dyDescent="0.35">
      <c r="A1909" s="5">
        <v>8100277466</v>
      </c>
      <c r="B1909" s="5">
        <v>17418</v>
      </c>
      <c r="C1909" s="6">
        <v>45672</v>
      </c>
      <c r="D1909" s="5" t="s">
        <v>382</v>
      </c>
      <c r="E1909" s="5" t="s">
        <v>52</v>
      </c>
      <c r="F1909" s="5" t="s">
        <v>199</v>
      </c>
      <c r="G1909" s="5" t="s">
        <v>200</v>
      </c>
      <c r="H1909" s="5" t="s">
        <v>21</v>
      </c>
      <c r="I1909" s="5" t="s">
        <v>1348</v>
      </c>
      <c r="J1909" s="5" t="s">
        <v>568</v>
      </c>
      <c r="K1909" s="5" t="s">
        <v>57</v>
      </c>
      <c r="L1909" s="6">
        <v>45679</v>
      </c>
      <c r="M1909" s="6">
        <v>45678</v>
      </c>
      <c r="N1909" s="6" t="s">
        <v>811</v>
      </c>
      <c r="O1909" s="5" t="str">
        <f ca="1">IF(P1909&lt;&gt;"EXPEDIÇÃO","Expedido",IF(NETWORKDAYS(C1909,TODAY())&gt;=5,"Risco Alto",IF(NETWORKDAYS(C1909,TODAY())&gt;=3,IF(NETWORKDAYS(C1909,TODAY())&lt;5,"Risco Médio",""),IF(NETWORKDAYS(C1909,TODAY())&lt;=2,"Risco Baixo",""))))</f>
        <v>Expedido</v>
      </c>
      <c r="P1909" s="5" t="s">
        <v>25</v>
      </c>
      <c r="S1909" s="7">
        <f>IF(ISBLANK(M1909),"Aguardando Previsão/Data",NETWORKDAYS(L1909,M1909)-1)</f>
        <v>-3</v>
      </c>
      <c r="T1909" s="5" t="s">
        <v>942</v>
      </c>
    </row>
    <row r="1910" spans="1:20" x14ac:dyDescent="0.35">
      <c r="A1910" s="5">
        <v>8100277467</v>
      </c>
      <c r="B1910" s="5">
        <v>17419</v>
      </c>
      <c r="C1910" s="6">
        <v>45672</v>
      </c>
      <c r="D1910" s="5" t="s">
        <v>382</v>
      </c>
      <c r="E1910" s="5" t="s">
        <v>52</v>
      </c>
      <c r="F1910" s="5" t="s">
        <v>199</v>
      </c>
      <c r="G1910" s="5" t="s">
        <v>200</v>
      </c>
      <c r="H1910" s="5" t="s">
        <v>21</v>
      </c>
      <c r="I1910" s="5" t="s">
        <v>1356</v>
      </c>
      <c r="J1910" s="5" t="s">
        <v>568</v>
      </c>
      <c r="K1910" s="5" t="s">
        <v>57</v>
      </c>
      <c r="L1910" s="6">
        <v>45679</v>
      </c>
      <c r="M1910" s="6">
        <v>45680</v>
      </c>
      <c r="N1910" s="6" t="s">
        <v>811</v>
      </c>
      <c r="O1910" s="5" t="str">
        <f ca="1">IF(P1910&lt;&gt;"EXPEDIÇÃO","Expedido",IF(NETWORKDAYS(C1910,TODAY())&gt;=5,"Risco Alto",IF(NETWORKDAYS(C1910,TODAY())&gt;=3,IF(NETWORKDAYS(C1910,TODAY())&lt;5,"Risco Médio",""),IF(NETWORKDAYS(C1910,TODAY())&lt;=2,"Risco Baixo",""))))</f>
        <v>Expedido</v>
      </c>
      <c r="P1910" s="5" t="s">
        <v>25</v>
      </c>
      <c r="Q1910" s="5" t="s">
        <v>897</v>
      </c>
      <c r="S1910" s="7">
        <f>IF(ISBLANK(M1910),"Aguardando Previsão/Data",NETWORKDAYS(L1910,M1910)-1)</f>
        <v>1</v>
      </c>
      <c r="T1910" s="5" t="s">
        <v>942</v>
      </c>
    </row>
    <row r="1911" spans="1:20" x14ac:dyDescent="0.35">
      <c r="A1911" s="5">
        <v>8100277555</v>
      </c>
      <c r="B1911" s="5">
        <v>17410</v>
      </c>
      <c r="C1911" s="6">
        <v>45672</v>
      </c>
      <c r="D1911" s="5" t="s">
        <v>51</v>
      </c>
      <c r="E1911" s="5" t="s">
        <v>52</v>
      </c>
      <c r="F1911" s="5" t="s">
        <v>69</v>
      </c>
      <c r="G1911" s="5" t="s">
        <v>70</v>
      </c>
      <c r="H1911" s="5" t="s">
        <v>21</v>
      </c>
      <c r="I1911" s="5" t="s">
        <v>350</v>
      </c>
      <c r="J1911" s="5" t="s">
        <v>65</v>
      </c>
      <c r="K1911" s="5" t="s">
        <v>57</v>
      </c>
      <c r="L1911" s="6">
        <v>45677</v>
      </c>
      <c r="M1911" s="6">
        <v>45679</v>
      </c>
      <c r="N1911" s="6" t="s">
        <v>811</v>
      </c>
      <c r="O1911" s="5" t="str">
        <f ca="1">IF(P1911&lt;&gt;"EXPEDIÇÃO","Expedido",IF(NETWORKDAYS(C1911,TODAY())&gt;=5,"Risco Alto",IF(NETWORKDAYS(C1911,TODAY())&gt;=3,IF(NETWORKDAYS(C1911,TODAY())&lt;5,"Risco Médio",""),IF(NETWORKDAYS(C1911,TODAY())&lt;=2,"Risco Baixo",""))))</f>
        <v>Expedido</v>
      </c>
      <c r="P1911" s="5" t="s">
        <v>25</v>
      </c>
      <c r="Q1911" s="5" t="s">
        <v>897</v>
      </c>
      <c r="R1911" s="5" t="s">
        <v>1419</v>
      </c>
      <c r="S1911" s="7">
        <f>IF(ISBLANK(M1911),"Aguardando Previsão/Data",NETWORKDAYS(L1911,M1911)-1)</f>
        <v>2</v>
      </c>
      <c r="T1911" s="5" t="s">
        <v>942</v>
      </c>
    </row>
    <row r="1912" spans="1:20" x14ac:dyDescent="0.35">
      <c r="A1912" s="5">
        <v>8100277556</v>
      </c>
      <c r="B1912" s="5">
        <v>17411</v>
      </c>
      <c r="C1912" s="6">
        <v>45672</v>
      </c>
      <c r="D1912" s="5" t="s">
        <v>51</v>
      </c>
      <c r="E1912" s="5" t="s">
        <v>52</v>
      </c>
      <c r="F1912" s="5" t="s">
        <v>58</v>
      </c>
      <c r="G1912" s="5" t="s">
        <v>59</v>
      </c>
      <c r="H1912" s="5" t="s">
        <v>21</v>
      </c>
      <c r="I1912" s="5" t="s">
        <v>60</v>
      </c>
      <c r="J1912" s="5" t="s">
        <v>61</v>
      </c>
      <c r="K1912" s="5" t="s">
        <v>57</v>
      </c>
      <c r="L1912" s="6">
        <v>45680</v>
      </c>
      <c r="M1912" s="6">
        <v>45678</v>
      </c>
      <c r="N1912" s="6" t="s">
        <v>811</v>
      </c>
      <c r="O1912" s="5" t="str">
        <f ca="1">IF(P1912&lt;&gt;"EXPEDIÇÃO","Expedido",IF(NETWORKDAYS(C1912,TODAY())&gt;=5,"Risco Alto",IF(NETWORKDAYS(C1912,TODAY())&gt;=3,IF(NETWORKDAYS(C1912,TODAY())&lt;5,"Risco Médio",""),IF(NETWORKDAYS(C1912,TODAY())&lt;=2,"Risco Baixo",""))))</f>
        <v>Expedido</v>
      </c>
      <c r="P1912" s="5" t="s">
        <v>25</v>
      </c>
      <c r="S1912" s="7">
        <f>IF(ISBLANK(M1912),"Aguardando Previsão/Data",NETWORKDAYS(L1912,M1912)-1)</f>
        <v>-4</v>
      </c>
      <c r="T1912" s="5" t="s">
        <v>942</v>
      </c>
    </row>
    <row r="1913" spans="1:20" x14ac:dyDescent="0.35">
      <c r="A1913" s="5">
        <v>8100277557</v>
      </c>
      <c r="B1913" s="5">
        <v>17409</v>
      </c>
      <c r="C1913" s="6">
        <v>45672</v>
      </c>
      <c r="D1913" s="5" t="s">
        <v>51</v>
      </c>
      <c r="E1913" s="5" t="s">
        <v>52</v>
      </c>
      <c r="F1913" s="5" t="s">
        <v>58</v>
      </c>
      <c r="G1913" s="5" t="s">
        <v>59</v>
      </c>
      <c r="H1913" s="5" t="s">
        <v>21</v>
      </c>
      <c r="I1913" s="5" t="s">
        <v>60</v>
      </c>
      <c r="J1913" s="5" t="s">
        <v>61</v>
      </c>
      <c r="K1913" s="5" t="s">
        <v>57</v>
      </c>
      <c r="L1913" s="6">
        <v>45680</v>
      </c>
      <c r="M1913" s="6">
        <v>45678</v>
      </c>
      <c r="N1913" s="6" t="s">
        <v>811</v>
      </c>
      <c r="O1913" s="5" t="str">
        <f ca="1">IF(P1913&lt;&gt;"EXPEDIÇÃO","Expedido",IF(NETWORKDAYS(C1913,TODAY())&gt;=5,"Risco Alto",IF(NETWORKDAYS(C1913,TODAY())&gt;=3,IF(NETWORKDAYS(C1913,TODAY())&lt;5,"Risco Médio",""),IF(NETWORKDAYS(C1913,TODAY())&lt;=2,"Risco Baixo",""))))</f>
        <v>Expedido</v>
      </c>
      <c r="P1913" s="5" t="s">
        <v>25</v>
      </c>
      <c r="S1913" s="7">
        <f>IF(ISBLANK(M1913),"Aguardando Previsão/Data",NETWORKDAYS(L1913,M1913)-1)</f>
        <v>-4</v>
      </c>
      <c r="T1913" s="5" t="s">
        <v>942</v>
      </c>
    </row>
    <row r="1914" spans="1:20" x14ac:dyDescent="0.35">
      <c r="A1914" s="5">
        <v>8100277558</v>
      </c>
      <c r="B1914" s="5">
        <v>17412</v>
      </c>
      <c r="C1914" s="6">
        <v>45672</v>
      </c>
      <c r="D1914" s="5" t="s">
        <v>51</v>
      </c>
      <c r="E1914" s="5" t="s">
        <v>52</v>
      </c>
      <c r="F1914" s="5" t="s">
        <v>58</v>
      </c>
      <c r="G1914" s="5" t="s">
        <v>59</v>
      </c>
      <c r="H1914" s="5" t="s">
        <v>21</v>
      </c>
      <c r="I1914" s="5" t="s">
        <v>60</v>
      </c>
      <c r="J1914" s="5" t="s">
        <v>61</v>
      </c>
      <c r="K1914" s="5" t="s">
        <v>57</v>
      </c>
      <c r="L1914" s="6">
        <v>45680</v>
      </c>
      <c r="M1914" s="6">
        <v>45678</v>
      </c>
      <c r="N1914" s="6" t="s">
        <v>811</v>
      </c>
      <c r="O1914" s="5" t="str">
        <f ca="1">IF(P1914&lt;&gt;"EXPEDIÇÃO","Expedido",IF(NETWORKDAYS(C1914,TODAY())&gt;=5,"Risco Alto",IF(NETWORKDAYS(C1914,TODAY())&gt;=3,IF(NETWORKDAYS(C1914,TODAY())&lt;5,"Risco Médio",""),IF(NETWORKDAYS(C1914,TODAY())&lt;=2,"Risco Baixo",""))))</f>
        <v>Expedido</v>
      </c>
      <c r="P1914" s="5" t="s">
        <v>25</v>
      </c>
      <c r="S1914" s="7">
        <f>IF(ISBLANK(M1914),"Aguardando Previsão/Data",NETWORKDAYS(L1914,M1914)-1)</f>
        <v>-4</v>
      </c>
      <c r="T1914" s="5" t="s">
        <v>942</v>
      </c>
    </row>
    <row r="1915" spans="1:20" x14ac:dyDescent="0.35">
      <c r="A1915" s="5">
        <v>8100277559</v>
      </c>
      <c r="B1915" s="5">
        <v>17413</v>
      </c>
      <c r="C1915" s="6">
        <v>45672</v>
      </c>
      <c r="D1915" s="5" t="s">
        <v>51</v>
      </c>
      <c r="E1915" s="5" t="s">
        <v>52</v>
      </c>
      <c r="F1915" s="5" t="s">
        <v>58</v>
      </c>
      <c r="G1915" s="5" t="s">
        <v>59</v>
      </c>
      <c r="H1915" s="5" t="s">
        <v>21</v>
      </c>
      <c r="I1915" s="5" t="s">
        <v>60</v>
      </c>
      <c r="J1915" s="5" t="s">
        <v>61</v>
      </c>
      <c r="K1915" s="5" t="s">
        <v>57</v>
      </c>
      <c r="L1915" s="6">
        <v>45680</v>
      </c>
      <c r="M1915" s="6">
        <v>45678</v>
      </c>
      <c r="N1915" s="6" t="s">
        <v>811</v>
      </c>
      <c r="O1915" s="5" t="str">
        <f ca="1">IF(P1915&lt;&gt;"EXPEDIÇÃO","Expedido",IF(NETWORKDAYS(C1915,TODAY())&gt;=5,"Risco Alto",IF(NETWORKDAYS(C1915,TODAY())&gt;=3,IF(NETWORKDAYS(C1915,TODAY())&lt;5,"Risco Médio",""),IF(NETWORKDAYS(C1915,TODAY())&lt;=2,"Risco Baixo",""))))</f>
        <v>Expedido</v>
      </c>
      <c r="P1915" s="5" t="s">
        <v>25</v>
      </c>
      <c r="S1915" s="7">
        <f>IF(ISBLANK(M1915),"Aguardando Previsão/Data",NETWORKDAYS(L1915,M1915)-1)</f>
        <v>-4</v>
      </c>
      <c r="T1915" s="5" t="s">
        <v>942</v>
      </c>
    </row>
    <row r="1916" spans="1:20" x14ac:dyDescent="0.35">
      <c r="A1916" s="5">
        <v>8100277560</v>
      </c>
      <c r="B1916" s="5">
        <v>17414</v>
      </c>
      <c r="C1916" s="6">
        <v>45672</v>
      </c>
      <c r="D1916" s="5" t="s">
        <v>51</v>
      </c>
      <c r="E1916" s="5" t="s">
        <v>52</v>
      </c>
      <c r="F1916" s="5" t="s">
        <v>58</v>
      </c>
      <c r="G1916" s="5" t="s">
        <v>59</v>
      </c>
      <c r="H1916" s="5" t="s">
        <v>21</v>
      </c>
      <c r="I1916" s="5" t="s">
        <v>555</v>
      </c>
      <c r="J1916" s="5" t="s">
        <v>556</v>
      </c>
      <c r="K1916" s="5" t="s">
        <v>57</v>
      </c>
      <c r="L1916" s="6">
        <v>45680</v>
      </c>
      <c r="M1916" s="6">
        <v>45678</v>
      </c>
      <c r="N1916" s="6" t="s">
        <v>811</v>
      </c>
      <c r="O1916" s="5" t="str">
        <f ca="1">IF(P1916&lt;&gt;"EXPEDIÇÃO","Expedido",IF(NETWORKDAYS(C1916,TODAY())&gt;=5,"Risco Alto",IF(NETWORKDAYS(C1916,TODAY())&gt;=3,IF(NETWORKDAYS(C1916,TODAY())&lt;5,"Risco Médio",""),IF(NETWORKDAYS(C1916,TODAY())&lt;=2,"Risco Baixo",""))))</f>
        <v>Expedido</v>
      </c>
      <c r="P1916" s="5" t="s">
        <v>25</v>
      </c>
      <c r="S1916" s="7">
        <f>IF(ISBLANK(M1916),"Aguardando Previsão/Data",NETWORKDAYS(L1916,M1916)-1)</f>
        <v>-4</v>
      </c>
      <c r="T1916" s="5" t="s">
        <v>942</v>
      </c>
    </row>
    <row r="1917" spans="1:20" x14ac:dyDescent="0.35">
      <c r="A1917" s="5">
        <v>8100277561</v>
      </c>
      <c r="B1917" s="5">
        <v>17415</v>
      </c>
      <c r="C1917" s="6">
        <v>45672</v>
      </c>
      <c r="D1917" s="5" t="s">
        <v>51</v>
      </c>
      <c r="E1917" s="5" t="s">
        <v>52</v>
      </c>
      <c r="F1917" s="5" t="s">
        <v>58</v>
      </c>
      <c r="G1917" s="5" t="s">
        <v>59</v>
      </c>
      <c r="H1917" s="5" t="s">
        <v>21</v>
      </c>
      <c r="I1917" s="5" t="s">
        <v>555</v>
      </c>
      <c r="J1917" s="5" t="s">
        <v>556</v>
      </c>
      <c r="K1917" s="5" t="s">
        <v>57</v>
      </c>
      <c r="L1917" s="6">
        <v>45680</v>
      </c>
      <c r="M1917" s="6">
        <v>45678</v>
      </c>
      <c r="N1917" s="6" t="s">
        <v>811</v>
      </c>
      <c r="O1917" s="5" t="str">
        <f ca="1">IF(P1917&lt;&gt;"EXPEDIÇÃO","Expedido",IF(NETWORKDAYS(C1917,TODAY())&gt;=5,"Risco Alto",IF(NETWORKDAYS(C1917,TODAY())&gt;=3,IF(NETWORKDAYS(C1917,TODAY())&lt;5,"Risco Médio",""),IF(NETWORKDAYS(C1917,TODAY())&lt;=2,"Risco Baixo",""))))</f>
        <v>Expedido</v>
      </c>
      <c r="P1917" s="5" t="s">
        <v>25</v>
      </c>
      <c r="S1917" s="7">
        <f>IF(ISBLANK(M1917),"Aguardando Previsão/Data",NETWORKDAYS(L1917,M1917)-1)</f>
        <v>-4</v>
      </c>
      <c r="T1917" s="5" t="s">
        <v>942</v>
      </c>
    </row>
    <row r="1918" spans="1:20" x14ac:dyDescent="0.35">
      <c r="A1918" s="5">
        <v>8100277562</v>
      </c>
      <c r="B1918" s="5">
        <v>17416</v>
      </c>
      <c r="C1918" s="6">
        <v>45672</v>
      </c>
      <c r="D1918" s="5" t="s">
        <v>51</v>
      </c>
      <c r="E1918" s="5" t="s">
        <v>52</v>
      </c>
      <c r="F1918" s="5" t="s">
        <v>58</v>
      </c>
      <c r="G1918" s="5" t="s">
        <v>59</v>
      </c>
      <c r="H1918" s="5" t="s">
        <v>21</v>
      </c>
      <c r="I1918" s="5" t="s">
        <v>983</v>
      </c>
      <c r="J1918" s="5" t="s">
        <v>56</v>
      </c>
      <c r="K1918" s="5" t="s">
        <v>57</v>
      </c>
      <c r="L1918" s="6">
        <v>45679</v>
      </c>
      <c r="M1918" s="6">
        <v>45678</v>
      </c>
      <c r="N1918" s="6" t="s">
        <v>811</v>
      </c>
      <c r="O1918" s="5" t="str">
        <f ca="1">IF(P1918&lt;&gt;"EXPEDIÇÃO","Expedido",IF(NETWORKDAYS(C1918,TODAY())&gt;=5,"Risco Alto",IF(NETWORKDAYS(C1918,TODAY())&gt;=3,IF(NETWORKDAYS(C1918,TODAY())&lt;5,"Risco Médio",""),IF(NETWORKDAYS(C1918,TODAY())&lt;=2,"Risco Baixo",""))))</f>
        <v>Expedido</v>
      </c>
      <c r="P1918" s="5" t="s">
        <v>25</v>
      </c>
      <c r="S1918" s="7">
        <f>IF(ISBLANK(M1918),"Aguardando Previsão/Data",NETWORKDAYS(L1918,M1918)-1)</f>
        <v>-3</v>
      </c>
      <c r="T1918" s="5" t="s">
        <v>942</v>
      </c>
    </row>
    <row r="1919" spans="1:20" x14ac:dyDescent="0.35">
      <c r="A1919" s="5">
        <v>8100277876</v>
      </c>
      <c r="B1919" s="5">
        <v>17423</v>
      </c>
      <c r="C1919" s="6">
        <v>45672</v>
      </c>
      <c r="D1919" s="5" t="s">
        <v>51</v>
      </c>
      <c r="E1919" s="5" t="s">
        <v>52</v>
      </c>
      <c r="F1919" s="5" t="s">
        <v>66</v>
      </c>
      <c r="G1919" s="5" t="s">
        <v>67</v>
      </c>
      <c r="H1919" s="5" t="s">
        <v>21</v>
      </c>
      <c r="I1919" s="5" t="s">
        <v>669</v>
      </c>
      <c r="J1919" s="5" t="s">
        <v>705</v>
      </c>
      <c r="K1919" s="5" t="s">
        <v>57</v>
      </c>
      <c r="L1919" s="6">
        <v>45679</v>
      </c>
      <c r="M1919" s="6">
        <v>45677</v>
      </c>
      <c r="N1919" s="6" t="s">
        <v>811</v>
      </c>
      <c r="O1919" s="5" t="str">
        <f ca="1">IF(P1919&lt;&gt;"EXPEDIÇÃO","Expedido",IF(NETWORKDAYS(C1919,TODAY())&gt;=5,"Risco Alto",IF(NETWORKDAYS(C1919,TODAY())&gt;=3,IF(NETWORKDAYS(C1919,TODAY())&lt;5,"Risco Médio",""),IF(NETWORKDAYS(C1919,TODAY())&lt;=2,"Risco Baixo",""))))</f>
        <v>Expedido</v>
      </c>
      <c r="P1919" s="5" t="s">
        <v>25</v>
      </c>
      <c r="Q1919" s="5" t="s">
        <v>897</v>
      </c>
      <c r="S1919" s="7">
        <f>IF(ISBLANK(M1919),"Aguardando Previsão/Data",NETWORKDAYS(L1919,M1919)-1)</f>
        <v>-4</v>
      </c>
      <c r="T1919" s="5" t="s">
        <v>942</v>
      </c>
    </row>
    <row r="1920" spans="1:20" x14ac:dyDescent="0.35">
      <c r="A1920" s="5">
        <v>8100277877</v>
      </c>
      <c r="B1920" s="5">
        <v>17424</v>
      </c>
      <c r="C1920" s="6">
        <v>45672</v>
      </c>
      <c r="D1920" s="5" t="s">
        <v>51</v>
      </c>
      <c r="E1920" s="5" t="s">
        <v>52</v>
      </c>
      <c r="F1920" s="5" t="s">
        <v>66</v>
      </c>
      <c r="G1920" s="5" t="s">
        <v>67</v>
      </c>
      <c r="H1920" s="5" t="s">
        <v>21</v>
      </c>
      <c r="I1920" s="5" t="s">
        <v>976</v>
      </c>
      <c r="J1920" s="5" t="s">
        <v>271</v>
      </c>
      <c r="K1920" s="5" t="s">
        <v>57</v>
      </c>
      <c r="L1920" s="6">
        <v>45678</v>
      </c>
      <c r="M1920" s="6">
        <v>45678</v>
      </c>
      <c r="N1920" s="6" t="s">
        <v>811</v>
      </c>
      <c r="O1920" s="5" t="str">
        <f ca="1">IF(P1920&lt;&gt;"EXPEDIÇÃO","Expedido",IF(NETWORKDAYS(C1920,TODAY())&gt;=5,"Risco Alto",IF(NETWORKDAYS(C1920,TODAY())&gt;=3,IF(NETWORKDAYS(C1920,TODAY())&lt;5,"Risco Médio",""),IF(NETWORKDAYS(C1920,TODAY())&lt;=2,"Risco Baixo",""))))</f>
        <v>Expedido</v>
      </c>
      <c r="P1920" s="5" t="s">
        <v>25</v>
      </c>
      <c r="Q1920" s="5" t="s">
        <v>897</v>
      </c>
      <c r="S1920" s="7">
        <f>IF(ISBLANK(M1920),"Aguardando Previsão/Data",NETWORKDAYS(L1920,M1920)-1)</f>
        <v>0</v>
      </c>
      <c r="T1920" s="5" t="s">
        <v>942</v>
      </c>
    </row>
    <row r="1921" spans="1:20" x14ac:dyDescent="0.35">
      <c r="A1921" s="5">
        <v>8100277878</v>
      </c>
      <c r="B1921" s="5">
        <v>17421</v>
      </c>
      <c r="C1921" s="6">
        <v>45672</v>
      </c>
      <c r="D1921" s="5" t="s">
        <v>51</v>
      </c>
      <c r="E1921" s="5" t="s">
        <v>52</v>
      </c>
      <c r="F1921" s="5" t="s">
        <v>58</v>
      </c>
      <c r="G1921" s="5" t="s">
        <v>59</v>
      </c>
      <c r="H1921" s="5" t="s">
        <v>21</v>
      </c>
      <c r="I1921" s="5" t="s">
        <v>569</v>
      </c>
      <c r="J1921" s="5" t="s">
        <v>1082</v>
      </c>
      <c r="K1921" s="5" t="s">
        <v>57</v>
      </c>
      <c r="L1921" s="6">
        <v>45679</v>
      </c>
      <c r="M1921" s="6">
        <v>45678</v>
      </c>
      <c r="N1921" s="6" t="s">
        <v>811</v>
      </c>
      <c r="O1921" s="5" t="str">
        <f ca="1">IF(P1921&lt;&gt;"EXPEDIÇÃO","Expedido",IF(NETWORKDAYS(C1921,TODAY())&gt;=5,"Risco Alto",IF(NETWORKDAYS(C1921,TODAY())&gt;=3,IF(NETWORKDAYS(C1921,TODAY())&lt;5,"Risco Médio",""),IF(NETWORKDAYS(C1921,TODAY())&lt;=2,"Risco Baixo",""))))</f>
        <v>Expedido</v>
      </c>
      <c r="P1921" s="5" t="s">
        <v>25</v>
      </c>
      <c r="S1921" s="7">
        <f>IF(ISBLANK(M1921),"Aguardando Previsão/Data",NETWORKDAYS(L1921,M1921)-1)</f>
        <v>-3</v>
      </c>
      <c r="T1921" s="5" t="s">
        <v>942</v>
      </c>
    </row>
    <row r="1922" spans="1:20" x14ac:dyDescent="0.35">
      <c r="A1922" s="5">
        <v>8100277879</v>
      </c>
      <c r="B1922" s="5">
        <v>17422</v>
      </c>
      <c r="C1922" s="6">
        <v>45672</v>
      </c>
      <c r="D1922" s="5" t="s">
        <v>51</v>
      </c>
      <c r="E1922" s="5" t="s">
        <v>52</v>
      </c>
      <c r="F1922" s="5" t="s">
        <v>58</v>
      </c>
      <c r="G1922" s="5" t="s">
        <v>59</v>
      </c>
      <c r="H1922" s="5" t="s">
        <v>21</v>
      </c>
      <c r="I1922" s="5" t="s">
        <v>569</v>
      </c>
      <c r="J1922" s="5" t="s">
        <v>1082</v>
      </c>
      <c r="K1922" s="5" t="s">
        <v>57</v>
      </c>
      <c r="L1922" s="6">
        <v>45679</v>
      </c>
      <c r="M1922" s="6">
        <v>45678</v>
      </c>
      <c r="N1922" s="6" t="s">
        <v>811</v>
      </c>
      <c r="O1922" s="5" t="str">
        <f ca="1">IF(P1922&lt;&gt;"EXPEDIÇÃO","Expedido",IF(NETWORKDAYS(C1922,TODAY())&gt;=5,"Risco Alto",IF(NETWORKDAYS(C1922,TODAY())&gt;=3,IF(NETWORKDAYS(C1922,TODAY())&lt;5,"Risco Médio",""),IF(NETWORKDAYS(C1922,TODAY())&lt;=2,"Risco Baixo",""))))</f>
        <v>Expedido</v>
      </c>
      <c r="P1922" s="5" t="s">
        <v>25</v>
      </c>
      <c r="S1922" s="7">
        <f>IF(ISBLANK(M1922),"Aguardando Previsão/Data",NETWORKDAYS(L1922,M1922)-1)</f>
        <v>-3</v>
      </c>
      <c r="T1922" s="5" t="s">
        <v>942</v>
      </c>
    </row>
    <row r="1923" spans="1:20" x14ac:dyDescent="0.35">
      <c r="A1923" s="5">
        <v>8100277880</v>
      </c>
      <c r="B1923" s="5">
        <v>17429</v>
      </c>
      <c r="C1923" s="6">
        <v>45672</v>
      </c>
      <c r="D1923" s="5" t="s">
        <v>51</v>
      </c>
      <c r="E1923" s="5" t="s">
        <v>52</v>
      </c>
      <c r="F1923" s="5" t="s">
        <v>66</v>
      </c>
      <c r="G1923" s="5" t="s">
        <v>67</v>
      </c>
      <c r="H1923" s="5" t="s">
        <v>21</v>
      </c>
      <c r="I1923" s="5" t="s">
        <v>528</v>
      </c>
      <c r="J1923" s="5" t="s">
        <v>268</v>
      </c>
      <c r="K1923" s="5" t="s">
        <v>57</v>
      </c>
      <c r="L1923" s="6">
        <v>45680</v>
      </c>
      <c r="M1923" s="6">
        <v>45679</v>
      </c>
      <c r="N1923" s="6" t="s">
        <v>811</v>
      </c>
      <c r="O1923" s="5" t="str">
        <f ca="1">IF(P1923&lt;&gt;"EXPEDIÇÃO","Expedido",IF(NETWORKDAYS(C1923,TODAY())&gt;=5,"Risco Alto",IF(NETWORKDAYS(C1923,TODAY())&gt;=3,IF(NETWORKDAYS(C1923,TODAY())&lt;5,"Risco Médio",""),IF(NETWORKDAYS(C1923,TODAY())&lt;=2,"Risco Baixo",""))))</f>
        <v>Expedido</v>
      </c>
      <c r="P1923" s="5" t="s">
        <v>25</v>
      </c>
      <c r="S1923" s="7">
        <f>IF(ISBLANK(M1923),"Aguardando Previsão/Data",NETWORKDAYS(L1923,M1923)-1)</f>
        <v>-3</v>
      </c>
      <c r="T1923" s="5" t="s">
        <v>942</v>
      </c>
    </row>
    <row r="1924" spans="1:20" x14ac:dyDescent="0.35">
      <c r="A1924" s="5">
        <v>8100277881</v>
      </c>
      <c r="B1924" s="5">
        <v>17431</v>
      </c>
      <c r="C1924" s="6">
        <v>45672</v>
      </c>
      <c r="D1924" s="5" t="s">
        <v>51</v>
      </c>
      <c r="E1924" s="5" t="s">
        <v>52</v>
      </c>
      <c r="F1924" s="5" t="s">
        <v>53</v>
      </c>
      <c r="G1924" s="5" t="s">
        <v>54</v>
      </c>
      <c r="H1924" s="5" t="s">
        <v>21</v>
      </c>
      <c r="I1924" s="5" t="s">
        <v>748</v>
      </c>
      <c r="J1924" s="5" t="s">
        <v>620</v>
      </c>
      <c r="K1924" s="5" t="s">
        <v>57</v>
      </c>
      <c r="L1924" s="6">
        <v>45680</v>
      </c>
      <c r="M1924" s="6">
        <v>45677</v>
      </c>
      <c r="N1924" s="6" t="s">
        <v>811</v>
      </c>
      <c r="O1924" s="5" t="str">
        <f ca="1">IF(P1924&lt;&gt;"EXPEDIÇÃO","Expedido",IF(NETWORKDAYS(C1924,TODAY())&gt;=5,"Risco Alto",IF(NETWORKDAYS(C1924,TODAY())&gt;=3,IF(NETWORKDAYS(C1924,TODAY())&lt;5,"Risco Médio",""),IF(NETWORKDAYS(C1924,TODAY())&lt;=2,"Risco Baixo",""))))</f>
        <v>Expedido</v>
      </c>
      <c r="P1924" s="5" t="s">
        <v>25</v>
      </c>
      <c r="S1924" s="7">
        <f>IF(ISBLANK(M1924),"Aguardando Previsão/Data",NETWORKDAYS(L1924,M1924)-1)</f>
        <v>-5</v>
      </c>
      <c r="T1924" s="5" t="s">
        <v>942</v>
      </c>
    </row>
    <row r="1925" spans="1:20" x14ac:dyDescent="0.35">
      <c r="A1925" s="5">
        <v>8100277882</v>
      </c>
      <c r="B1925" s="5">
        <v>17434</v>
      </c>
      <c r="C1925" s="6">
        <v>45672</v>
      </c>
      <c r="D1925" s="5" t="s">
        <v>51</v>
      </c>
      <c r="E1925" s="5" t="s">
        <v>52</v>
      </c>
      <c r="F1925" s="5" t="s">
        <v>53</v>
      </c>
      <c r="G1925" s="5" t="s">
        <v>54</v>
      </c>
      <c r="H1925" s="5" t="s">
        <v>21</v>
      </c>
      <c r="I1925" s="5" t="s">
        <v>569</v>
      </c>
      <c r="J1925" s="5" t="s">
        <v>570</v>
      </c>
      <c r="K1925" s="5" t="s">
        <v>57</v>
      </c>
      <c r="L1925" s="6">
        <v>45680</v>
      </c>
      <c r="M1925" s="6">
        <v>45679</v>
      </c>
      <c r="N1925" s="6" t="s">
        <v>811</v>
      </c>
      <c r="O1925" s="5" t="str">
        <f ca="1">IF(P1925&lt;&gt;"EXPEDIÇÃO","Expedido",IF(NETWORKDAYS(C1925,TODAY())&gt;=5,"Risco Alto",IF(NETWORKDAYS(C1925,TODAY())&gt;=3,IF(NETWORKDAYS(C1925,TODAY())&lt;5,"Risco Médio",""),IF(NETWORKDAYS(C1925,TODAY())&lt;=2,"Risco Baixo",""))))</f>
        <v>Expedido</v>
      </c>
      <c r="P1925" s="5" t="s">
        <v>25</v>
      </c>
      <c r="S1925" s="7">
        <f>IF(ISBLANK(M1925),"Aguardando Previsão/Data",NETWORKDAYS(L1925,M1925)-1)</f>
        <v>-3</v>
      </c>
      <c r="T1925" s="5" t="s">
        <v>942</v>
      </c>
    </row>
    <row r="1926" spans="1:20" x14ac:dyDescent="0.35">
      <c r="A1926" s="5">
        <v>8100277883</v>
      </c>
      <c r="B1926" s="5">
        <v>17435</v>
      </c>
      <c r="C1926" s="6">
        <v>45672</v>
      </c>
      <c r="D1926" s="5" t="s">
        <v>51</v>
      </c>
      <c r="E1926" s="5" t="s">
        <v>52</v>
      </c>
      <c r="F1926" s="5" t="s">
        <v>58</v>
      </c>
      <c r="G1926" s="5" t="s">
        <v>59</v>
      </c>
      <c r="H1926" s="5" t="s">
        <v>21</v>
      </c>
      <c r="I1926" s="5" t="s">
        <v>60</v>
      </c>
      <c r="J1926" s="5" t="s">
        <v>61</v>
      </c>
      <c r="K1926" s="5" t="s">
        <v>57</v>
      </c>
      <c r="L1926" s="6">
        <v>45680</v>
      </c>
      <c r="O1926" s="5" t="str">
        <f ca="1">IF(P1926&lt;&gt;"EXPEDIÇÃO","Expedido",IF(NETWORKDAYS(C1926,TODAY())&gt;=5,"Risco Alto",IF(NETWORKDAYS(C1926,TODAY())&gt;=3,IF(NETWORKDAYS(C1926,TODAY())&lt;5,"Risco Médio",""),IF(NETWORKDAYS(C1926,TODAY())&lt;=2,"Risco Baixo",""))))</f>
        <v>Expedido</v>
      </c>
      <c r="P1926" s="5" t="s">
        <v>629</v>
      </c>
      <c r="Q1926" s="5" t="s">
        <v>363</v>
      </c>
      <c r="S1926" s="7" t="str">
        <f>IF(ISBLANK(M1926),"Aguardando Previsão/Data",NETWORKDAYS(L1926,M1926)-1)</f>
        <v>Aguardando Previsão/Data</v>
      </c>
      <c r="T1926" s="5" t="s">
        <v>942</v>
      </c>
    </row>
    <row r="1927" spans="1:20" x14ac:dyDescent="0.35">
      <c r="A1927" s="5">
        <v>8100277884</v>
      </c>
      <c r="B1927" s="5">
        <v>17440</v>
      </c>
      <c r="C1927" s="6">
        <v>45672</v>
      </c>
      <c r="D1927" s="5" t="s">
        <v>51</v>
      </c>
      <c r="E1927" s="5" t="s">
        <v>52</v>
      </c>
      <c r="F1927" s="5" t="s">
        <v>58</v>
      </c>
      <c r="G1927" s="5" t="s">
        <v>59</v>
      </c>
      <c r="H1927" s="5" t="s">
        <v>21</v>
      </c>
      <c r="I1927" s="5" t="s">
        <v>60</v>
      </c>
      <c r="J1927" s="5" t="s">
        <v>61</v>
      </c>
      <c r="K1927" s="5" t="s">
        <v>57</v>
      </c>
      <c r="L1927" s="6">
        <v>45680</v>
      </c>
      <c r="O1927" s="5" t="str">
        <f ca="1">IF(P1927&lt;&gt;"EXPEDIÇÃO","Expedido",IF(NETWORKDAYS(C1927,TODAY())&gt;=5,"Risco Alto",IF(NETWORKDAYS(C1927,TODAY())&gt;=3,IF(NETWORKDAYS(C1927,TODAY())&lt;5,"Risco Médio",""),IF(NETWORKDAYS(C1927,TODAY())&lt;=2,"Risco Baixo",""))))</f>
        <v>Expedido</v>
      </c>
      <c r="P1927" s="5" t="s">
        <v>629</v>
      </c>
      <c r="Q1927" s="5" t="s">
        <v>363</v>
      </c>
      <c r="S1927" s="7" t="str">
        <f>IF(ISBLANK(M1927),"Aguardando Previsão/Data",NETWORKDAYS(L1927,M1927)-1)</f>
        <v>Aguardando Previsão/Data</v>
      </c>
      <c r="T1927" s="5" t="s">
        <v>942</v>
      </c>
    </row>
    <row r="1928" spans="1:20" x14ac:dyDescent="0.35">
      <c r="A1928" s="5">
        <v>8100277885</v>
      </c>
      <c r="B1928" s="5">
        <v>17441</v>
      </c>
      <c r="C1928" s="6">
        <v>45672</v>
      </c>
      <c r="D1928" s="5" t="s">
        <v>51</v>
      </c>
      <c r="E1928" s="5" t="s">
        <v>52</v>
      </c>
      <c r="F1928" s="5" t="s">
        <v>58</v>
      </c>
      <c r="G1928" s="5" t="s">
        <v>59</v>
      </c>
      <c r="H1928" s="5" t="s">
        <v>21</v>
      </c>
      <c r="I1928" s="5" t="s">
        <v>60</v>
      </c>
      <c r="J1928" s="5" t="s">
        <v>61</v>
      </c>
      <c r="K1928" s="5" t="s">
        <v>57</v>
      </c>
      <c r="L1928" s="6">
        <v>45680</v>
      </c>
      <c r="O1928" s="5" t="str">
        <f ca="1">IF(P1928&lt;&gt;"EXPEDIÇÃO","Expedido",IF(NETWORKDAYS(C1928,TODAY())&gt;=5,"Risco Alto",IF(NETWORKDAYS(C1928,TODAY())&gt;=3,IF(NETWORKDAYS(C1928,TODAY())&lt;5,"Risco Médio",""),IF(NETWORKDAYS(C1928,TODAY())&lt;=2,"Risco Baixo",""))))</f>
        <v>Expedido</v>
      </c>
      <c r="P1928" s="5" t="s">
        <v>629</v>
      </c>
      <c r="Q1928" s="5" t="s">
        <v>363</v>
      </c>
      <c r="S1928" s="7" t="str">
        <f>IF(ISBLANK(M1928),"Aguardando Previsão/Data",NETWORKDAYS(L1928,M1928)-1)</f>
        <v>Aguardando Previsão/Data</v>
      </c>
      <c r="T1928" s="5" t="s">
        <v>942</v>
      </c>
    </row>
    <row r="1929" spans="1:20" x14ac:dyDescent="0.35">
      <c r="A1929" s="5">
        <v>8100277886</v>
      </c>
      <c r="B1929" s="5">
        <v>17443</v>
      </c>
      <c r="C1929" s="6">
        <v>45672</v>
      </c>
      <c r="D1929" s="5" t="s">
        <v>51</v>
      </c>
      <c r="E1929" s="5" t="s">
        <v>52</v>
      </c>
      <c r="F1929" s="5" t="s">
        <v>58</v>
      </c>
      <c r="G1929" s="5" t="s">
        <v>59</v>
      </c>
      <c r="H1929" s="5" t="s">
        <v>21</v>
      </c>
      <c r="I1929" s="5" t="s">
        <v>55</v>
      </c>
      <c r="J1929" s="5" t="s">
        <v>648</v>
      </c>
      <c r="K1929" s="5" t="s">
        <v>57</v>
      </c>
      <c r="L1929" s="6">
        <v>45680</v>
      </c>
      <c r="O1929" s="5" t="str">
        <f ca="1">IF(P1929&lt;&gt;"EXPEDIÇÃO","Expedido",IF(NETWORKDAYS(C1929,TODAY())&gt;=5,"Risco Alto",IF(NETWORKDAYS(C1929,TODAY())&gt;=3,IF(NETWORKDAYS(C1929,TODAY())&lt;5,"Risco Médio",""),IF(NETWORKDAYS(C1929,TODAY())&lt;=2,"Risco Baixo",""))))</f>
        <v>Expedido</v>
      </c>
      <c r="P1929" s="5" t="s">
        <v>629</v>
      </c>
      <c r="Q1929" s="5" t="s">
        <v>363</v>
      </c>
      <c r="S1929" s="7" t="str">
        <f>IF(ISBLANK(M1929),"Aguardando Previsão/Data",NETWORKDAYS(L1929,M1929)-1)</f>
        <v>Aguardando Previsão/Data</v>
      </c>
      <c r="T1929" s="5" t="s">
        <v>942</v>
      </c>
    </row>
    <row r="1930" spans="1:20" x14ac:dyDescent="0.35">
      <c r="A1930" s="5">
        <v>8100277887</v>
      </c>
      <c r="B1930" s="5">
        <v>17446</v>
      </c>
      <c r="C1930" s="6">
        <v>45672</v>
      </c>
      <c r="D1930" s="5" t="s">
        <v>51</v>
      </c>
      <c r="E1930" s="5" t="s">
        <v>52</v>
      </c>
      <c r="F1930" s="5" t="s">
        <v>58</v>
      </c>
      <c r="G1930" s="5" t="s">
        <v>59</v>
      </c>
      <c r="H1930" s="5" t="s">
        <v>21</v>
      </c>
      <c r="I1930" s="5" t="s">
        <v>60</v>
      </c>
      <c r="J1930" s="5" t="s">
        <v>61</v>
      </c>
      <c r="K1930" s="5" t="s">
        <v>57</v>
      </c>
      <c r="L1930" s="6">
        <v>45680</v>
      </c>
      <c r="O1930" s="5" t="str">
        <f ca="1">IF(P1930&lt;&gt;"EXPEDIÇÃO","Expedido",IF(NETWORKDAYS(C1930,TODAY())&gt;=5,"Risco Alto",IF(NETWORKDAYS(C1930,TODAY())&gt;=3,IF(NETWORKDAYS(C1930,TODAY())&lt;5,"Risco Médio",""),IF(NETWORKDAYS(C1930,TODAY())&lt;=2,"Risco Baixo",""))))</f>
        <v>Expedido</v>
      </c>
      <c r="P1930" s="5" t="s">
        <v>629</v>
      </c>
      <c r="Q1930" s="5" t="s">
        <v>363</v>
      </c>
      <c r="S1930" s="7" t="str">
        <f>IF(ISBLANK(M1930),"Aguardando Previsão/Data",NETWORKDAYS(L1930,M1930)-1)</f>
        <v>Aguardando Previsão/Data</v>
      </c>
      <c r="T1930" s="5" t="s">
        <v>942</v>
      </c>
    </row>
    <row r="1931" spans="1:20" x14ac:dyDescent="0.35">
      <c r="A1931" s="5">
        <v>8100277888</v>
      </c>
      <c r="B1931" s="5">
        <v>17445</v>
      </c>
      <c r="C1931" s="6">
        <v>45672</v>
      </c>
      <c r="D1931" s="5" t="s">
        <v>51</v>
      </c>
      <c r="E1931" s="5" t="s">
        <v>52</v>
      </c>
      <c r="F1931" s="5" t="s">
        <v>58</v>
      </c>
      <c r="G1931" s="5" t="s">
        <v>59</v>
      </c>
      <c r="H1931" s="5" t="s">
        <v>21</v>
      </c>
      <c r="I1931" s="5" t="s">
        <v>748</v>
      </c>
      <c r="J1931" s="5" t="s">
        <v>620</v>
      </c>
      <c r="K1931" s="5" t="s">
        <v>57</v>
      </c>
      <c r="L1931" s="6">
        <v>45680</v>
      </c>
      <c r="M1931" s="6">
        <v>45677</v>
      </c>
      <c r="N1931" s="6" t="s">
        <v>811</v>
      </c>
      <c r="O1931" s="5" t="str">
        <f ca="1">IF(P1931&lt;&gt;"EXPEDIÇÃO","Expedido",IF(NETWORKDAYS(C1931,TODAY())&gt;=5,"Risco Alto",IF(NETWORKDAYS(C1931,TODAY())&gt;=3,IF(NETWORKDAYS(C1931,TODAY())&lt;5,"Risco Médio",""),IF(NETWORKDAYS(C1931,TODAY())&lt;=2,"Risco Baixo",""))))</f>
        <v>Expedido</v>
      </c>
      <c r="P1931" s="5" t="s">
        <v>25</v>
      </c>
      <c r="S1931" s="7">
        <f>IF(ISBLANK(M1931),"Aguardando Previsão/Data",NETWORKDAYS(L1931,M1931)-1)</f>
        <v>-5</v>
      </c>
      <c r="T1931" s="5" t="s">
        <v>942</v>
      </c>
    </row>
    <row r="1932" spans="1:20" x14ac:dyDescent="0.35">
      <c r="A1932" s="5">
        <v>8100277889</v>
      </c>
      <c r="B1932" s="5">
        <v>17444</v>
      </c>
      <c r="C1932" s="6">
        <v>45672</v>
      </c>
      <c r="D1932" s="5" t="s">
        <v>51</v>
      </c>
      <c r="E1932" s="5" t="s">
        <v>52</v>
      </c>
      <c r="F1932" s="5" t="s">
        <v>58</v>
      </c>
      <c r="G1932" s="5" t="s">
        <v>59</v>
      </c>
      <c r="H1932" s="5" t="s">
        <v>21</v>
      </c>
      <c r="I1932" s="5" t="s">
        <v>71</v>
      </c>
      <c r="J1932" s="5" t="s">
        <v>72</v>
      </c>
      <c r="K1932" s="5" t="s">
        <v>57</v>
      </c>
      <c r="L1932" s="6">
        <v>45678</v>
      </c>
      <c r="M1932" s="6">
        <v>45678</v>
      </c>
      <c r="N1932" s="6" t="s">
        <v>811</v>
      </c>
      <c r="O1932" s="5" t="str">
        <f ca="1">IF(P1932&lt;&gt;"EXPEDIÇÃO","Expedido",IF(NETWORKDAYS(C1932,TODAY())&gt;=5,"Risco Alto",IF(NETWORKDAYS(C1932,TODAY())&gt;=3,IF(NETWORKDAYS(C1932,TODAY())&lt;5,"Risco Médio",""),IF(NETWORKDAYS(C1932,TODAY())&lt;=2,"Risco Baixo",""))))</f>
        <v>Expedido</v>
      </c>
      <c r="P1932" s="5" t="s">
        <v>25</v>
      </c>
      <c r="S1932" s="7">
        <f>IF(ISBLANK(M1932),"Aguardando Previsão/Data",NETWORKDAYS(L1932,M1932)-1)</f>
        <v>0</v>
      </c>
      <c r="T1932" s="5" t="s">
        <v>942</v>
      </c>
    </row>
    <row r="1933" spans="1:20" x14ac:dyDescent="0.35">
      <c r="A1933" s="5">
        <v>8100277890</v>
      </c>
      <c r="B1933" s="5">
        <v>17442</v>
      </c>
      <c r="C1933" s="6">
        <v>45672</v>
      </c>
      <c r="D1933" s="5" t="s">
        <v>51</v>
      </c>
      <c r="E1933" s="5" t="s">
        <v>52</v>
      </c>
      <c r="F1933" s="5" t="s">
        <v>58</v>
      </c>
      <c r="G1933" s="5" t="s">
        <v>59</v>
      </c>
      <c r="H1933" s="5" t="s">
        <v>21</v>
      </c>
      <c r="I1933" s="5" t="s">
        <v>410</v>
      </c>
      <c r="J1933" s="5" t="s">
        <v>611</v>
      </c>
      <c r="K1933" s="5" t="s">
        <v>57</v>
      </c>
      <c r="L1933" s="6">
        <v>45678</v>
      </c>
      <c r="M1933" s="6">
        <v>45677</v>
      </c>
      <c r="N1933" s="6" t="s">
        <v>811</v>
      </c>
      <c r="O1933" s="5" t="str">
        <f ca="1">IF(P1933&lt;&gt;"EXPEDIÇÃO","Expedido",IF(NETWORKDAYS(C1933,TODAY())&gt;=5,"Risco Alto",IF(NETWORKDAYS(C1933,TODAY())&gt;=3,IF(NETWORKDAYS(C1933,TODAY())&lt;5,"Risco Médio",""),IF(NETWORKDAYS(C1933,TODAY())&lt;=2,"Risco Baixo",""))))</f>
        <v>Expedido</v>
      </c>
      <c r="P1933" s="5" t="s">
        <v>25</v>
      </c>
      <c r="S1933" s="7">
        <f>IF(ISBLANK(M1933),"Aguardando Previsão/Data",NETWORKDAYS(L1933,M1933)-1)</f>
        <v>-3</v>
      </c>
      <c r="T1933" s="5" t="s">
        <v>942</v>
      </c>
    </row>
    <row r="1934" spans="1:20" x14ac:dyDescent="0.35">
      <c r="A1934" s="5">
        <v>8100277891</v>
      </c>
      <c r="B1934" s="5">
        <v>17420</v>
      </c>
      <c r="C1934" s="6">
        <v>45672</v>
      </c>
      <c r="D1934" s="5" t="s">
        <v>51</v>
      </c>
      <c r="E1934" s="5" t="s">
        <v>52</v>
      </c>
      <c r="F1934" s="5" t="s">
        <v>58</v>
      </c>
      <c r="G1934" s="5" t="s">
        <v>59</v>
      </c>
      <c r="H1934" s="5" t="s">
        <v>21</v>
      </c>
      <c r="I1934" s="5" t="s">
        <v>22</v>
      </c>
      <c r="J1934" s="5" t="s">
        <v>65</v>
      </c>
      <c r="K1934" s="5" t="s">
        <v>57</v>
      </c>
      <c r="L1934" s="6">
        <v>45677</v>
      </c>
      <c r="M1934" s="6">
        <v>45675</v>
      </c>
      <c r="N1934" s="6" t="s">
        <v>811</v>
      </c>
      <c r="O1934" s="5" t="str">
        <f ca="1">IF(P1934&lt;&gt;"EXPEDIÇÃO","Expedido",IF(NETWORKDAYS(C1934,TODAY())&gt;=5,"Risco Alto",IF(NETWORKDAYS(C1934,TODAY())&gt;=3,IF(NETWORKDAYS(C1934,TODAY())&lt;5,"Risco Médio",""),IF(NETWORKDAYS(C1934,TODAY())&lt;=2,"Risco Baixo",""))))</f>
        <v>Expedido</v>
      </c>
      <c r="P1934" s="5" t="s">
        <v>25</v>
      </c>
      <c r="Q1934" s="5" t="s">
        <v>900</v>
      </c>
      <c r="S1934" s="7">
        <f>IF(ISBLANK(M1934),"Aguardando Previsão/Data",NETWORKDAYS(L1934,M1934)-1)</f>
        <v>-2</v>
      </c>
      <c r="T1934" s="5" t="s">
        <v>942</v>
      </c>
    </row>
    <row r="1935" spans="1:20" x14ac:dyDescent="0.35">
      <c r="A1935" s="5">
        <v>8100277892</v>
      </c>
      <c r="B1935" s="5">
        <v>17439</v>
      </c>
      <c r="C1935" s="6">
        <v>45672</v>
      </c>
      <c r="D1935" s="5" t="s">
        <v>51</v>
      </c>
      <c r="E1935" s="5" t="s">
        <v>52</v>
      </c>
      <c r="F1935" s="5" t="s">
        <v>66</v>
      </c>
      <c r="G1935" s="5" t="s">
        <v>67</v>
      </c>
      <c r="H1935" s="5" t="s">
        <v>21</v>
      </c>
      <c r="I1935" s="5" t="s">
        <v>434</v>
      </c>
      <c r="J1935" s="5" t="s">
        <v>435</v>
      </c>
      <c r="K1935" s="5" t="s">
        <v>57</v>
      </c>
      <c r="L1935" s="6">
        <v>45679</v>
      </c>
      <c r="M1935" s="6">
        <v>45677</v>
      </c>
      <c r="N1935" s="6" t="s">
        <v>811</v>
      </c>
      <c r="O1935" s="5" t="str">
        <f ca="1">IF(P1935&lt;&gt;"EXPEDIÇÃO","Expedido",IF(NETWORKDAYS(C1935,TODAY())&gt;=5,"Risco Alto",IF(NETWORKDAYS(C1935,TODAY())&gt;=3,IF(NETWORKDAYS(C1935,TODAY())&lt;5,"Risco Médio",""),IF(NETWORKDAYS(C1935,TODAY())&lt;=2,"Risco Baixo",""))))</f>
        <v>Expedido</v>
      </c>
      <c r="P1935" s="5" t="s">
        <v>25</v>
      </c>
      <c r="S1935" s="7">
        <f>IF(ISBLANK(M1935),"Aguardando Previsão/Data",NETWORKDAYS(L1935,M1935)-1)</f>
        <v>-4</v>
      </c>
      <c r="T1935" s="5" t="s">
        <v>942</v>
      </c>
    </row>
    <row r="1936" spans="1:20" x14ac:dyDescent="0.35">
      <c r="A1936" s="5">
        <v>8100277893</v>
      </c>
      <c r="B1936" s="5">
        <v>17438</v>
      </c>
      <c r="C1936" s="6">
        <v>45672</v>
      </c>
      <c r="D1936" s="5" t="s">
        <v>51</v>
      </c>
      <c r="E1936" s="5" t="s">
        <v>52</v>
      </c>
      <c r="F1936" s="5" t="s">
        <v>66</v>
      </c>
      <c r="G1936" s="5" t="s">
        <v>67</v>
      </c>
      <c r="H1936" s="5" t="s">
        <v>21</v>
      </c>
      <c r="I1936" s="5" t="s">
        <v>261</v>
      </c>
      <c r="J1936" s="5" t="s">
        <v>72</v>
      </c>
      <c r="K1936" s="5" t="s">
        <v>57</v>
      </c>
      <c r="L1936" s="6">
        <v>45678</v>
      </c>
      <c r="M1936" s="6">
        <v>45679</v>
      </c>
      <c r="N1936" s="6" t="s">
        <v>812</v>
      </c>
      <c r="O1936" s="5" t="str">
        <f ca="1">IF(P1936&lt;&gt;"EXPEDIÇÃO","Expedido",IF(NETWORKDAYS(C1936,TODAY())&gt;=5,"Risco Alto",IF(NETWORKDAYS(C1936,TODAY())&gt;=3,IF(NETWORKDAYS(C1936,TODAY())&lt;5,"Risco Médio",""),IF(NETWORKDAYS(C1936,TODAY())&lt;=2,"Risco Baixo",""))))</f>
        <v>Expedido</v>
      </c>
      <c r="P1936" s="5" t="s">
        <v>25</v>
      </c>
      <c r="Q1936" s="5" t="s">
        <v>1578</v>
      </c>
      <c r="R1936" s="10">
        <v>3094675</v>
      </c>
      <c r="S1936" s="7">
        <f>IF(ISBLANK(M1936),"Aguardando Previsão/Data",NETWORKDAYS(L1936,M1936)-1)</f>
        <v>1</v>
      </c>
      <c r="T1936" s="5" t="s">
        <v>942</v>
      </c>
    </row>
    <row r="1937" spans="1:20" x14ac:dyDescent="0.35">
      <c r="A1937" s="5">
        <v>8100277894</v>
      </c>
      <c r="B1937" s="5">
        <v>17433</v>
      </c>
      <c r="C1937" s="6">
        <v>45672</v>
      </c>
      <c r="D1937" s="5" t="s">
        <v>51</v>
      </c>
      <c r="E1937" s="5" t="s">
        <v>52</v>
      </c>
      <c r="F1937" s="5" t="s">
        <v>66</v>
      </c>
      <c r="G1937" s="5" t="s">
        <v>67</v>
      </c>
      <c r="H1937" s="5" t="s">
        <v>21</v>
      </c>
      <c r="I1937" s="5" t="s">
        <v>261</v>
      </c>
      <c r="J1937" s="5" t="s">
        <v>442</v>
      </c>
      <c r="K1937" s="5" t="s">
        <v>57</v>
      </c>
      <c r="L1937" s="6">
        <v>45679</v>
      </c>
      <c r="M1937" s="6">
        <v>45677</v>
      </c>
      <c r="N1937" s="6" t="s">
        <v>811</v>
      </c>
      <c r="O1937" s="5" t="str">
        <f ca="1">IF(P1937&lt;&gt;"EXPEDIÇÃO","Expedido",IF(NETWORKDAYS(C1937,TODAY())&gt;=5,"Risco Alto",IF(NETWORKDAYS(C1937,TODAY())&gt;=3,IF(NETWORKDAYS(C1937,TODAY())&lt;5,"Risco Médio",""),IF(NETWORKDAYS(C1937,TODAY())&lt;=2,"Risco Baixo",""))))</f>
        <v>Expedido</v>
      </c>
      <c r="P1937" s="5" t="s">
        <v>25</v>
      </c>
      <c r="S1937" s="7">
        <f>IF(ISBLANK(M1937),"Aguardando Previsão/Data",NETWORKDAYS(L1937,M1937)-1)</f>
        <v>-4</v>
      </c>
      <c r="T1937" s="5" t="s">
        <v>942</v>
      </c>
    </row>
    <row r="1938" spans="1:20" x14ac:dyDescent="0.35">
      <c r="A1938" s="5">
        <v>8100277895</v>
      </c>
      <c r="B1938" s="5">
        <v>17436</v>
      </c>
      <c r="C1938" s="6">
        <v>45672</v>
      </c>
      <c r="D1938" s="5" t="s">
        <v>51</v>
      </c>
      <c r="E1938" s="5" t="s">
        <v>52</v>
      </c>
      <c r="F1938" s="5" t="s">
        <v>66</v>
      </c>
      <c r="G1938" s="5" t="s">
        <v>67</v>
      </c>
      <c r="H1938" s="5" t="s">
        <v>21</v>
      </c>
      <c r="I1938" s="5" t="s">
        <v>528</v>
      </c>
      <c r="J1938" s="5" t="s">
        <v>268</v>
      </c>
      <c r="K1938" s="5" t="s">
        <v>57</v>
      </c>
      <c r="L1938" s="6">
        <v>45680</v>
      </c>
      <c r="M1938" s="6">
        <v>45679</v>
      </c>
      <c r="N1938" s="6" t="s">
        <v>811</v>
      </c>
      <c r="O1938" s="5" t="str">
        <f ca="1">IF(P1938&lt;&gt;"EXPEDIÇÃO","Expedido",IF(NETWORKDAYS(C1938,TODAY())&gt;=5,"Risco Alto",IF(NETWORKDAYS(C1938,TODAY())&gt;=3,IF(NETWORKDAYS(C1938,TODAY())&lt;5,"Risco Médio",""),IF(NETWORKDAYS(C1938,TODAY())&lt;=2,"Risco Baixo",""))))</f>
        <v>Expedido</v>
      </c>
      <c r="P1938" s="5" t="s">
        <v>25</v>
      </c>
      <c r="S1938" s="7">
        <f>IF(ISBLANK(M1938),"Aguardando Previsão/Data",NETWORKDAYS(L1938,M1938)-1)</f>
        <v>-3</v>
      </c>
      <c r="T1938" s="5" t="s">
        <v>942</v>
      </c>
    </row>
    <row r="1939" spans="1:20" x14ac:dyDescent="0.35">
      <c r="A1939" s="5">
        <v>8100277896</v>
      </c>
      <c r="B1939" s="5">
        <v>17432</v>
      </c>
      <c r="C1939" s="6">
        <v>45672</v>
      </c>
      <c r="D1939" s="5" t="s">
        <v>51</v>
      </c>
      <c r="E1939" s="5" t="s">
        <v>52</v>
      </c>
      <c r="F1939" s="5" t="s">
        <v>66</v>
      </c>
      <c r="G1939" s="5" t="s">
        <v>67</v>
      </c>
      <c r="H1939" s="5" t="s">
        <v>21</v>
      </c>
      <c r="I1939" s="5" t="s">
        <v>269</v>
      </c>
      <c r="J1939" s="5" t="s">
        <v>270</v>
      </c>
      <c r="K1939" s="5" t="s">
        <v>57</v>
      </c>
      <c r="L1939" s="6">
        <v>45680</v>
      </c>
      <c r="M1939" s="6">
        <v>45678</v>
      </c>
      <c r="N1939" s="6" t="s">
        <v>811</v>
      </c>
      <c r="O1939" s="5" t="str">
        <f ca="1">IF(P1939&lt;&gt;"EXPEDIÇÃO","Expedido",IF(NETWORKDAYS(C1939,TODAY())&gt;=5,"Risco Alto",IF(NETWORKDAYS(C1939,TODAY())&gt;=3,IF(NETWORKDAYS(C1939,TODAY())&lt;5,"Risco Médio",""),IF(NETWORKDAYS(C1939,TODAY())&lt;=2,"Risco Baixo",""))))</f>
        <v>Expedido</v>
      </c>
      <c r="P1939" s="5" t="s">
        <v>25</v>
      </c>
      <c r="S1939" s="7">
        <f>IF(ISBLANK(M1939),"Aguardando Previsão/Data",NETWORKDAYS(L1939,M1939)-1)</f>
        <v>-4</v>
      </c>
      <c r="T1939" s="5" t="s">
        <v>942</v>
      </c>
    </row>
    <row r="1940" spans="1:20" x14ac:dyDescent="0.35">
      <c r="A1940" s="5">
        <v>8100277897</v>
      </c>
      <c r="B1940" s="5">
        <v>17437</v>
      </c>
      <c r="C1940" s="6">
        <v>45672</v>
      </c>
      <c r="D1940" s="5" t="s">
        <v>51</v>
      </c>
      <c r="E1940" s="5" t="s">
        <v>52</v>
      </c>
      <c r="F1940" s="5" t="s">
        <v>66</v>
      </c>
      <c r="G1940" s="5" t="s">
        <v>67</v>
      </c>
      <c r="H1940" s="5" t="s">
        <v>21</v>
      </c>
      <c r="I1940" s="5" t="s">
        <v>517</v>
      </c>
      <c r="J1940" s="5" t="s">
        <v>270</v>
      </c>
      <c r="K1940" s="5" t="s">
        <v>57</v>
      </c>
      <c r="L1940" s="6">
        <v>45680</v>
      </c>
      <c r="M1940" s="6">
        <v>45678</v>
      </c>
      <c r="N1940" s="6" t="s">
        <v>811</v>
      </c>
      <c r="O1940" s="5" t="str">
        <f ca="1">IF(P1940&lt;&gt;"EXPEDIÇÃO","Expedido",IF(NETWORKDAYS(C1940,TODAY())&gt;=5,"Risco Alto",IF(NETWORKDAYS(C1940,TODAY())&gt;=3,IF(NETWORKDAYS(C1940,TODAY())&lt;5,"Risco Médio",""),IF(NETWORKDAYS(C1940,TODAY())&lt;=2,"Risco Baixo",""))))</f>
        <v>Expedido</v>
      </c>
      <c r="P1940" s="5" t="s">
        <v>25</v>
      </c>
      <c r="S1940" s="7">
        <f>IF(ISBLANK(M1940),"Aguardando Previsão/Data",NETWORKDAYS(L1940,M1940)-1)</f>
        <v>-4</v>
      </c>
      <c r="T1940" s="5" t="s">
        <v>942</v>
      </c>
    </row>
    <row r="1941" spans="1:20" x14ac:dyDescent="0.35">
      <c r="A1941" s="5">
        <v>8100277898</v>
      </c>
      <c r="B1941" s="5">
        <v>17428</v>
      </c>
      <c r="C1941" s="6">
        <v>45672</v>
      </c>
      <c r="D1941" s="5" t="s">
        <v>51</v>
      </c>
      <c r="E1941" s="5" t="s">
        <v>52</v>
      </c>
      <c r="F1941" s="5" t="s">
        <v>58</v>
      </c>
      <c r="G1941" s="5" t="s">
        <v>59</v>
      </c>
      <c r="H1941" s="5" t="s">
        <v>21</v>
      </c>
      <c r="I1941" s="5" t="s">
        <v>376</v>
      </c>
      <c r="J1941" s="5" t="s">
        <v>377</v>
      </c>
      <c r="K1941" s="5" t="s">
        <v>57</v>
      </c>
      <c r="L1941" s="6">
        <v>45679</v>
      </c>
      <c r="M1941" s="6">
        <v>45677</v>
      </c>
      <c r="N1941" s="6" t="s">
        <v>811</v>
      </c>
      <c r="O1941" s="5" t="str">
        <f ca="1">IF(P1941&lt;&gt;"EXPEDIÇÃO","Expedido",IF(NETWORKDAYS(C1941,TODAY())&gt;=5,"Risco Alto",IF(NETWORKDAYS(C1941,TODAY())&gt;=3,IF(NETWORKDAYS(C1941,TODAY())&lt;5,"Risco Médio",""),IF(NETWORKDAYS(C1941,TODAY())&lt;=2,"Risco Baixo",""))))</f>
        <v>Expedido</v>
      </c>
      <c r="P1941" s="5" t="s">
        <v>25</v>
      </c>
      <c r="S1941" s="7">
        <f>IF(ISBLANK(M1941),"Aguardando Previsão/Data",NETWORKDAYS(L1941,M1941)-1)</f>
        <v>-4</v>
      </c>
      <c r="T1941" s="5" t="s">
        <v>942</v>
      </c>
    </row>
    <row r="1942" spans="1:20" x14ac:dyDescent="0.35">
      <c r="A1942" s="5">
        <v>8100277899</v>
      </c>
      <c r="B1942" s="5">
        <v>17430</v>
      </c>
      <c r="C1942" s="6">
        <v>45672</v>
      </c>
      <c r="D1942" s="5" t="s">
        <v>51</v>
      </c>
      <c r="E1942" s="5" t="s">
        <v>52</v>
      </c>
      <c r="F1942" s="5" t="s">
        <v>66</v>
      </c>
      <c r="G1942" s="5" t="s">
        <v>67</v>
      </c>
      <c r="H1942" s="5" t="s">
        <v>21</v>
      </c>
      <c r="I1942" s="5" t="s">
        <v>669</v>
      </c>
      <c r="J1942" s="5" t="s">
        <v>705</v>
      </c>
      <c r="K1942" s="5" t="s">
        <v>57</v>
      </c>
      <c r="L1942" s="6">
        <v>45679</v>
      </c>
      <c r="M1942" s="6">
        <v>45677</v>
      </c>
      <c r="N1942" s="6" t="s">
        <v>811</v>
      </c>
      <c r="O1942" s="5" t="str">
        <f ca="1">IF(P1942&lt;&gt;"EXPEDIÇÃO","Expedido",IF(NETWORKDAYS(C1942,TODAY())&gt;=5,"Risco Alto",IF(NETWORKDAYS(C1942,TODAY())&gt;=3,IF(NETWORKDAYS(C1942,TODAY())&lt;5,"Risco Médio",""),IF(NETWORKDAYS(C1942,TODAY())&lt;=2,"Risco Baixo",""))))</f>
        <v>Expedido</v>
      </c>
      <c r="P1942" s="5" t="s">
        <v>25</v>
      </c>
      <c r="Q1942" s="5" t="s">
        <v>897</v>
      </c>
      <c r="S1942" s="7">
        <f>IF(ISBLANK(M1942),"Aguardando Previsão/Data",NETWORKDAYS(L1942,M1942)-1)</f>
        <v>-4</v>
      </c>
      <c r="T1942" s="5" t="s">
        <v>942</v>
      </c>
    </row>
    <row r="1943" spans="1:20" x14ac:dyDescent="0.35">
      <c r="A1943" s="5">
        <v>8100277925</v>
      </c>
      <c r="B1943" s="5">
        <v>17425</v>
      </c>
      <c r="C1943" s="6">
        <v>45672</v>
      </c>
      <c r="D1943" s="5" t="s">
        <v>51</v>
      </c>
      <c r="E1943" s="5" t="s">
        <v>52</v>
      </c>
      <c r="F1943" s="5" t="s">
        <v>58</v>
      </c>
      <c r="G1943" s="5" t="s">
        <v>59</v>
      </c>
      <c r="H1943" s="5" t="s">
        <v>21</v>
      </c>
      <c r="I1943" s="5" t="s">
        <v>269</v>
      </c>
      <c r="J1943" s="5" t="s">
        <v>270</v>
      </c>
      <c r="K1943" s="5" t="s">
        <v>57</v>
      </c>
      <c r="L1943" s="6">
        <v>45680</v>
      </c>
      <c r="M1943" s="6">
        <v>45678</v>
      </c>
      <c r="N1943" s="6" t="s">
        <v>811</v>
      </c>
      <c r="O1943" s="5" t="str">
        <f ca="1">IF(P1943&lt;&gt;"EXPEDIÇÃO","Expedido",IF(NETWORKDAYS(C1943,TODAY())&gt;=5,"Risco Alto",IF(NETWORKDAYS(C1943,TODAY())&gt;=3,IF(NETWORKDAYS(C1943,TODAY())&lt;5,"Risco Médio",""),IF(NETWORKDAYS(C1943,TODAY())&lt;=2,"Risco Baixo",""))))</f>
        <v>Expedido</v>
      </c>
      <c r="P1943" s="5" t="s">
        <v>25</v>
      </c>
      <c r="S1943" s="7">
        <f>IF(ISBLANK(M1943),"Aguardando Previsão/Data",NETWORKDAYS(L1943,M1943)-1)</f>
        <v>-4</v>
      </c>
      <c r="T1943" s="5" t="s">
        <v>942</v>
      </c>
    </row>
    <row r="1944" spans="1:20" x14ac:dyDescent="0.35">
      <c r="A1944" s="5">
        <v>8100277926</v>
      </c>
      <c r="B1944" s="5">
        <v>17426</v>
      </c>
      <c r="C1944" s="6">
        <v>45672</v>
      </c>
      <c r="D1944" s="5" t="s">
        <v>51</v>
      </c>
      <c r="E1944" s="5" t="s">
        <v>52</v>
      </c>
      <c r="F1944" s="5" t="s">
        <v>58</v>
      </c>
      <c r="G1944" s="5" t="s">
        <v>59</v>
      </c>
      <c r="H1944" s="5" t="s">
        <v>21</v>
      </c>
      <c r="I1944" s="5" t="s">
        <v>269</v>
      </c>
      <c r="J1944" s="5" t="s">
        <v>270</v>
      </c>
      <c r="K1944" s="5" t="s">
        <v>57</v>
      </c>
      <c r="L1944" s="6">
        <v>45680</v>
      </c>
      <c r="M1944" s="6">
        <v>45678</v>
      </c>
      <c r="N1944" s="6" t="s">
        <v>811</v>
      </c>
      <c r="O1944" s="5" t="str">
        <f ca="1">IF(P1944&lt;&gt;"EXPEDIÇÃO","Expedido",IF(NETWORKDAYS(C1944,TODAY())&gt;=5,"Risco Alto",IF(NETWORKDAYS(C1944,TODAY())&gt;=3,IF(NETWORKDAYS(C1944,TODAY())&lt;5,"Risco Médio",""),IF(NETWORKDAYS(C1944,TODAY())&lt;=2,"Risco Baixo",""))))</f>
        <v>Expedido</v>
      </c>
      <c r="P1944" s="5" t="s">
        <v>25</v>
      </c>
      <c r="S1944" s="7">
        <f>IF(ISBLANK(M1944),"Aguardando Previsão/Data",NETWORKDAYS(L1944,M1944)-1)</f>
        <v>-4</v>
      </c>
      <c r="T1944" s="5" t="s">
        <v>942</v>
      </c>
    </row>
    <row r="1945" spans="1:20" x14ac:dyDescent="0.35">
      <c r="A1945" s="5">
        <v>8100277927</v>
      </c>
      <c r="B1945" s="5">
        <v>17427</v>
      </c>
      <c r="C1945" s="6">
        <v>45672</v>
      </c>
      <c r="D1945" s="5" t="s">
        <v>51</v>
      </c>
      <c r="E1945" s="5" t="s">
        <v>52</v>
      </c>
      <c r="F1945" s="5" t="s">
        <v>58</v>
      </c>
      <c r="G1945" s="5" t="s">
        <v>59</v>
      </c>
      <c r="H1945" s="5" t="s">
        <v>21</v>
      </c>
      <c r="I1945" s="5" t="s">
        <v>269</v>
      </c>
      <c r="J1945" s="5" t="s">
        <v>270</v>
      </c>
      <c r="K1945" s="5" t="s">
        <v>57</v>
      </c>
      <c r="L1945" s="6">
        <v>45680</v>
      </c>
      <c r="M1945" s="6">
        <v>45678</v>
      </c>
      <c r="N1945" s="6" t="s">
        <v>811</v>
      </c>
      <c r="O1945" s="5" t="str">
        <f ca="1">IF(P1945&lt;&gt;"EXPEDIÇÃO","Expedido",IF(NETWORKDAYS(C1945,TODAY())&gt;=5,"Risco Alto",IF(NETWORKDAYS(C1945,TODAY())&gt;=3,IF(NETWORKDAYS(C1945,TODAY())&lt;5,"Risco Médio",""),IF(NETWORKDAYS(C1945,TODAY())&lt;=2,"Risco Baixo",""))))</f>
        <v>Expedido</v>
      </c>
      <c r="P1945" s="5" t="s">
        <v>25</v>
      </c>
      <c r="S1945" s="7">
        <f>IF(ISBLANK(M1945),"Aguardando Previsão/Data",NETWORKDAYS(L1945,M1945)-1)</f>
        <v>-4</v>
      </c>
      <c r="T1945" s="5" t="s">
        <v>942</v>
      </c>
    </row>
    <row r="1946" spans="1:20" x14ac:dyDescent="0.35">
      <c r="A1946" s="5">
        <v>8100269588</v>
      </c>
      <c r="B1946" s="5">
        <v>21310</v>
      </c>
      <c r="C1946" s="6">
        <v>45672</v>
      </c>
      <c r="D1946" s="5" t="s">
        <v>17</v>
      </c>
      <c r="E1946" s="5" t="s">
        <v>18</v>
      </c>
      <c r="F1946" s="5" t="s">
        <v>84</v>
      </c>
      <c r="G1946" s="5" t="s">
        <v>85</v>
      </c>
      <c r="H1946" s="5" t="s">
        <v>21</v>
      </c>
      <c r="I1946" s="5" t="s">
        <v>418</v>
      </c>
      <c r="J1946" s="5" t="s">
        <v>419</v>
      </c>
      <c r="K1946" s="5" t="s">
        <v>36</v>
      </c>
      <c r="L1946" s="6">
        <v>45684</v>
      </c>
      <c r="M1946" s="6">
        <v>45682</v>
      </c>
      <c r="N1946" s="6" t="s">
        <v>811</v>
      </c>
      <c r="O1946" s="5" t="str">
        <f ca="1">IF(P1946&lt;&gt;"EXPEDIÇÃO","Expedido",IF(NETWORKDAYS(C1946,TODAY())&gt;=5,"Risco Alto",IF(NETWORKDAYS(C1946,TODAY())&gt;=3,IF(NETWORKDAYS(C1946,TODAY())&lt;5,"Risco Médio",""),IF(NETWORKDAYS(C1946,TODAY())&lt;=2,"Risco Baixo",""))))</f>
        <v>Expedido</v>
      </c>
      <c r="P1946" s="5" t="s">
        <v>25</v>
      </c>
      <c r="S1946" s="7">
        <f>IF(ISBLANK(M1946),"Aguardando Previsão/Data",NETWORKDAYS(L1946,M1946)-1)</f>
        <v>-2</v>
      </c>
      <c r="T1946" s="5" t="s">
        <v>942</v>
      </c>
    </row>
    <row r="1947" spans="1:20" x14ac:dyDescent="0.35">
      <c r="A1947" s="5">
        <v>8100275344</v>
      </c>
      <c r="B1947" s="5">
        <v>21306</v>
      </c>
      <c r="C1947" s="6">
        <v>45672</v>
      </c>
      <c r="D1947" s="5" t="s">
        <v>17</v>
      </c>
      <c r="E1947" s="5" t="s">
        <v>18</v>
      </c>
      <c r="F1947" s="5" t="s">
        <v>84</v>
      </c>
      <c r="G1947" s="5" t="s">
        <v>85</v>
      </c>
      <c r="H1947" s="5" t="s">
        <v>21</v>
      </c>
      <c r="I1947" s="5" t="s">
        <v>881</v>
      </c>
      <c r="J1947" s="5" t="s">
        <v>713</v>
      </c>
      <c r="K1947" s="5" t="s">
        <v>24</v>
      </c>
      <c r="L1947" s="6">
        <v>45679</v>
      </c>
      <c r="M1947" s="6">
        <v>45678</v>
      </c>
      <c r="N1947" s="6" t="s">
        <v>811</v>
      </c>
      <c r="O1947" s="5" t="str">
        <f ca="1">IF(P1947&lt;&gt;"EXPEDIÇÃO","Expedido",IF(NETWORKDAYS(C1947,TODAY())&gt;=5,"Risco Alto",IF(NETWORKDAYS(C1947,TODAY())&gt;=3,IF(NETWORKDAYS(C1947,TODAY())&lt;5,"Risco Médio",""),IF(NETWORKDAYS(C1947,TODAY())&lt;=2,"Risco Baixo",""))))</f>
        <v>Expedido</v>
      </c>
      <c r="P1947" s="5" t="s">
        <v>25</v>
      </c>
      <c r="S1947" s="7">
        <f>IF(ISBLANK(M1947),"Aguardando Previsão/Data",NETWORKDAYS(L1947,M1947)-1)</f>
        <v>-3</v>
      </c>
      <c r="T1947" s="5" t="s">
        <v>942</v>
      </c>
    </row>
    <row r="1948" spans="1:20" x14ac:dyDescent="0.35">
      <c r="A1948" s="5">
        <v>8100277376</v>
      </c>
      <c r="B1948" s="5">
        <v>21307</v>
      </c>
      <c r="C1948" s="6">
        <v>45672</v>
      </c>
      <c r="D1948" s="5" t="s">
        <v>17</v>
      </c>
      <c r="E1948" s="5" t="s">
        <v>18</v>
      </c>
      <c r="F1948" s="5" t="s">
        <v>44</v>
      </c>
      <c r="G1948" s="5" t="s">
        <v>45</v>
      </c>
      <c r="H1948" s="5" t="s">
        <v>21</v>
      </c>
      <c r="I1948" s="5" t="s">
        <v>618</v>
      </c>
      <c r="J1948" s="5" t="s">
        <v>45</v>
      </c>
      <c r="K1948" s="5" t="s">
        <v>24</v>
      </c>
      <c r="L1948" s="6">
        <v>45679</v>
      </c>
      <c r="M1948" s="6">
        <v>45677</v>
      </c>
      <c r="N1948" s="6" t="s">
        <v>811</v>
      </c>
      <c r="O1948" s="5" t="str">
        <f ca="1">IF(P1948&lt;&gt;"EXPEDIÇÃO","Expedido",IF(NETWORKDAYS(C1948,TODAY())&gt;=5,"Risco Alto",IF(NETWORKDAYS(C1948,TODAY())&gt;=3,IF(NETWORKDAYS(C1948,TODAY())&lt;5,"Risco Médio",""),IF(NETWORKDAYS(C1948,TODAY())&lt;=2,"Risco Baixo",""))))</f>
        <v>Expedido</v>
      </c>
      <c r="P1948" s="5" t="s">
        <v>25</v>
      </c>
      <c r="S1948" s="7">
        <f>IF(ISBLANK(M1948),"Aguardando Previsão/Data",NETWORKDAYS(L1948,M1948)-1)</f>
        <v>-4</v>
      </c>
      <c r="T1948" s="5" t="s">
        <v>942</v>
      </c>
    </row>
    <row r="1949" spans="1:20" x14ac:dyDescent="0.35">
      <c r="A1949" s="5">
        <v>8100277377</v>
      </c>
      <c r="B1949" s="5">
        <v>21308</v>
      </c>
      <c r="C1949" s="6">
        <v>45672</v>
      </c>
      <c r="D1949" s="5" t="s">
        <v>17</v>
      </c>
      <c r="E1949" s="5" t="s">
        <v>18</v>
      </c>
      <c r="F1949" s="5" t="s">
        <v>32</v>
      </c>
      <c r="G1949" s="5" t="s">
        <v>33</v>
      </c>
      <c r="H1949" s="5" t="s">
        <v>21</v>
      </c>
      <c r="I1949" s="5" t="s">
        <v>258</v>
      </c>
      <c r="J1949" s="5" t="s">
        <v>713</v>
      </c>
      <c r="K1949" s="5" t="s">
        <v>24</v>
      </c>
      <c r="L1949" s="6">
        <v>45679</v>
      </c>
      <c r="M1949" s="6">
        <v>45674</v>
      </c>
      <c r="N1949" s="6" t="s">
        <v>811</v>
      </c>
      <c r="O1949" s="5" t="str">
        <f ca="1">IF(P1949&lt;&gt;"EXPEDIÇÃO","Expedido",IF(NETWORKDAYS(C1949,TODAY())&gt;=5,"Risco Alto",IF(NETWORKDAYS(C1949,TODAY())&gt;=3,IF(NETWORKDAYS(C1949,TODAY())&lt;5,"Risco Médio",""),IF(NETWORKDAYS(C1949,TODAY())&lt;=2,"Risco Baixo",""))))</f>
        <v>Expedido</v>
      </c>
      <c r="P1949" s="5" t="s">
        <v>25</v>
      </c>
      <c r="S1949" s="7">
        <f>IF(ISBLANK(M1949),"Aguardando Previsão/Data",NETWORKDAYS(L1949,M1949)-1)</f>
        <v>-5</v>
      </c>
      <c r="T1949" s="5" t="s">
        <v>942</v>
      </c>
    </row>
    <row r="1950" spans="1:20" x14ac:dyDescent="0.35">
      <c r="A1950" s="5">
        <v>8100277547</v>
      </c>
      <c r="B1950" s="5">
        <v>21305</v>
      </c>
      <c r="C1950" s="6">
        <v>45672</v>
      </c>
      <c r="D1950" s="5" t="s">
        <v>17</v>
      </c>
      <c r="E1950" s="5" t="s">
        <v>18</v>
      </c>
      <c r="F1950" s="5" t="s">
        <v>147</v>
      </c>
      <c r="G1950" s="5" t="s">
        <v>148</v>
      </c>
      <c r="H1950" s="5" t="s">
        <v>21</v>
      </c>
      <c r="I1950" s="5" t="s">
        <v>263</v>
      </c>
      <c r="J1950" s="5" t="s">
        <v>264</v>
      </c>
      <c r="K1950" s="5" t="s">
        <v>24</v>
      </c>
      <c r="L1950" s="6">
        <v>45679</v>
      </c>
      <c r="M1950" s="6">
        <v>45678</v>
      </c>
      <c r="N1950" s="6" t="s">
        <v>811</v>
      </c>
      <c r="O1950" s="5" t="str">
        <f ca="1">IF(P1950&lt;&gt;"EXPEDIÇÃO","Expedido",IF(NETWORKDAYS(C1950,TODAY())&gt;=5,"Risco Alto",IF(NETWORKDAYS(C1950,TODAY())&gt;=3,IF(NETWORKDAYS(C1950,TODAY())&lt;5,"Risco Médio",""),IF(NETWORKDAYS(C1950,TODAY())&lt;=2,"Risco Baixo",""))))</f>
        <v>Expedido</v>
      </c>
      <c r="P1950" s="5" t="s">
        <v>25</v>
      </c>
      <c r="S1950" s="7">
        <f>IF(ISBLANK(M1950),"Aguardando Previsão/Data",NETWORKDAYS(L1950,M1950)-1)</f>
        <v>-3</v>
      </c>
      <c r="T1950" s="5" t="s">
        <v>942</v>
      </c>
    </row>
    <row r="1951" spans="1:20" x14ac:dyDescent="0.35">
      <c r="A1951" s="5">
        <v>8100277833</v>
      </c>
      <c r="B1951" s="5">
        <v>21311</v>
      </c>
      <c r="C1951" s="6">
        <v>45672</v>
      </c>
      <c r="D1951" s="5" t="s">
        <v>17</v>
      </c>
      <c r="E1951" s="5" t="s">
        <v>18</v>
      </c>
      <c r="F1951" s="5" t="s">
        <v>44</v>
      </c>
      <c r="G1951" s="5" t="s">
        <v>45</v>
      </c>
      <c r="H1951" s="5" t="s">
        <v>21</v>
      </c>
      <c r="I1951" s="5" t="s">
        <v>255</v>
      </c>
      <c r="J1951" s="5" t="s">
        <v>256</v>
      </c>
      <c r="K1951" s="5" t="s">
        <v>24</v>
      </c>
      <c r="L1951" s="6">
        <v>45679</v>
      </c>
      <c r="M1951" s="6">
        <v>45677</v>
      </c>
      <c r="N1951" s="6" t="s">
        <v>811</v>
      </c>
      <c r="O1951" s="5" t="str">
        <f ca="1">IF(P1951&lt;&gt;"EXPEDIÇÃO","Expedido",IF(NETWORKDAYS(C1951,TODAY())&gt;=5,"Risco Alto",IF(NETWORKDAYS(C1951,TODAY())&gt;=3,IF(NETWORKDAYS(C1951,TODAY())&lt;5,"Risco Médio",""),IF(NETWORKDAYS(C1951,TODAY())&lt;=2,"Risco Baixo",""))))</f>
        <v>Expedido</v>
      </c>
      <c r="P1951" s="5" t="s">
        <v>25</v>
      </c>
      <c r="S1951" s="7">
        <f>IF(ISBLANK(M1951),"Aguardando Previsão/Data",NETWORKDAYS(L1951,M1951)-1)</f>
        <v>-4</v>
      </c>
      <c r="T1951" s="5" t="s">
        <v>942</v>
      </c>
    </row>
    <row r="1952" spans="1:20" x14ac:dyDescent="0.35">
      <c r="A1952" s="5">
        <v>8100277842</v>
      </c>
      <c r="B1952" s="5">
        <v>21312</v>
      </c>
      <c r="C1952" s="6">
        <v>45672</v>
      </c>
      <c r="D1952" s="5" t="s">
        <v>17</v>
      </c>
      <c r="E1952" s="5" t="s">
        <v>18</v>
      </c>
      <c r="F1952" s="5" t="s">
        <v>44</v>
      </c>
      <c r="G1952" s="5" t="s">
        <v>45</v>
      </c>
      <c r="H1952" s="5" t="s">
        <v>21</v>
      </c>
      <c r="I1952" s="5" t="s">
        <v>255</v>
      </c>
      <c r="J1952" s="5" t="s">
        <v>256</v>
      </c>
      <c r="K1952" s="5" t="s">
        <v>24</v>
      </c>
      <c r="L1952" s="6">
        <v>45679</v>
      </c>
      <c r="O1952" s="5" t="str">
        <f ca="1">IF(P1952&lt;&gt;"EXPEDIÇÃO","Expedido",IF(NETWORKDAYS(C1952,TODAY())&gt;=5,"Risco Alto",IF(NETWORKDAYS(C1952,TODAY())&gt;=3,IF(NETWORKDAYS(C1952,TODAY())&lt;5,"Risco Médio",""),IF(NETWORKDAYS(C1952,TODAY())&lt;=2,"Risco Baixo",""))))</f>
        <v>Expedido</v>
      </c>
      <c r="P1952" s="5" t="s">
        <v>145</v>
      </c>
      <c r="Q1952" s="5" t="s">
        <v>363</v>
      </c>
      <c r="S1952" s="7" t="str">
        <f>IF(ISBLANK(M1952),"Aguardando Previsão/Data",NETWORKDAYS(L1952,M1952)-1)</f>
        <v>Aguardando Previsão/Data</v>
      </c>
      <c r="T1952" s="5" t="s">
        <v>942</v>
      </c>
    </row>
    <row r="1953" spans="1:20" x14ac:dyDescent="0.35">
      <c r="A1953" s="5">
        <v>8100277843</v>
      </c>
      <c r="B1953" s="5">
        <v>21313</v>
      </c>
      <c r="C1953" s="6">
        <v>45672</v>
      </c>
      <c r="D1953" s="5" t="s">
        <v>17</v>
      </c>
      <c r="E1953" s="5" t="s">
        <v>18</v>
      </c>
      <c r="F1953" s="5" t="s">
        <v>44</v>
      </c>
      <c r="G1953" s="5" t="s">
        <v>45</v>
      </c>
      <c r="H1953" s="5" t="s">
        <v>21</v>
      </c>
      <c r="I1953" s="5" t="s">
        <v>255</v>
      </c>
      <c r="J1953" s="5" t="s">
        <v>256</v>
      </c>
      <c r="K1953" s="5" t="s">
        <v>24</v>
      </c>
      <c r="L1953" s="6">
        <v>45679</v>
      </c>
      <c r="O1953" s="5" t="str">
        <f ca="1">IF(P1953&lt;&gt;"EXPEDIÇÃO","Expedido",IF(NETWORKDAYS(C1953,TODAY())&gt;=5,"Risco Alto",IF(NETWORKDAYS(C1953,TODAY())&gt;=3,IF(NETWORKDAYS(C1953,TODAY())&lt;5,"Risco Médio",""),IF(NETWORKDAYS(C1953,TODAY())&lt;=2,"Risco Baixo",""))))</f>
        <v>Expedido</v>
      </c>
      <c r="P1953" s="5" t="s">
        <v>145</v>
      </c>
      <c r="Q1953" s="5" t="s">
        <v>363</v>
      </c>
      <c r="S1953" s="7" t="str">
        <f>IF(ISBLANK(M1953),"Aguardando Previsão/Data",NETWORKDAYS(L1953,M1953)-1)</f>
        <v>Aguardando Previsão/Data</v>
      </c>
      <c r="T1953" s="5" t="s">
        <v>942</v>
      </c>
    </row>
    <row r="1954" spans="1:20" x14ac:dyDescent="0.35">
      <c r="A1954" s="5">
        <v>8100277865</v>
      </c>
      <c r="B1954" s="5">
        <v>21314</v>
      </c>
      <c r="C1954" s="6">
        <v>45672</v>
      </c>
      <c r="D1954" s="5" t="s">
        <v>17</v>
      </c>
      <c r="E1954" s="5" t="s">
        <v>18</v>
      </c>
      <c r="F1954" s="5" t="s">
        <v>44</v>
      </c>
      <c r="G1954" s="5" t="s">
        <v>45</v>
      </c>
      <c r="H1954" s="5" t="s">
        <v>21</v>
      </c>
      <c r="I1954" s="5" t="s">
        <v>255</v>
      </c>
      <c r="J1954" s="5" t="s">
        <v>256</v>
      </c>
      <c r="K1954" s="5" t="s">
        <v>24</v>
      </c>
      <c r="L1954" s="6">
        <v>45679</v>
      </c>
      <c r="M1954" s="6">
        <v>45677</v>
      </c>
      <c r="N1954" s="6" t="s">
        <v>811</v>
      </c>
      <c r="O1954" s="5" t="str">
        <f ca="1">IF(P1954&lt;&gt;"EXPEDIÇÃO","Expedido",IF(NETWORKDAYS(C1954,TODAY())&gt;=5,"Risco Alto",IF(NETWORKDAYS(C1954,TODAY())&gt;=3,IF(NETWORKDAYS(C1954,TODAY())&lt;5,"Risco Médio",""),IF(NETWORKDAYS(C1954,TODAY())&lt;=2,"Risco Baixo",""))))</f>
        <v>Expedido</v>
      </c>
      <c r="P1954" s="5" t="s">
        <v>25</v>
      </c>
      <c r="S1954" s="7">
        <f>IF(ISBLANK(M1954),"Aguardando Previsão/Data",NETWORKDAYS(L1954,M1954)-1)</f>
        <v>-4</v>
      </c>
      <c r="T1954" s="5" t="s">
        <v>942</v>
      </c>
    </row>
    <row r="1955" spans="1:20" x14ac:dyDescent="0.35">
      <c r="A1955" s="5">
        <v>8100276062</v>
      </c>
      <c r="B1955" s="5">
        <v>13245</v>
      </c>
      <c r="C1955" s="6">
        <v>45672</v>
      </c>
      <c r="D1955" s="5" t="s">
        <v>91</v>
      </c>
      <c r="E1955" s="5" t="s">
        <v>92</v>
      </c>
      <c r="F1955" s="5" t="s">
        <v>103</v>
      </c>
      <c r="G1955" s="5" t="s">
        <v>104</v>
      </c>
      <c r="H1955" s="5" t="s">
        <v>21</v>
      </c>
      <c r="I1955" s="5" t="s">
        <v>846</v>
      </c>
      <c r="J1955" s="5" t="s">
        <v>847</v>
      </c>
      <c r="K1955" s="5" t="s">
        <v>423</v>
      </c>
      <c r="L1955" s="6">
        <v>45684</v>
      </c>
      <c r="M1955" s="6">
        <v>45679</v>
      </c>
      <c r="N1955" s="6" t="s">
        <v>811</v>
      </c>
      <c r="O1955" s="5" t="str">
        <f ca="1">IF(P1955&lt;&gt;"EXPEDIÇÃO","Expedido",IF(NETWORKDAYS(C1955,TODAY())&gt;=5,"Risco Alto",IF(NETWORKDAYS(C1955,TODAY())&gt;=3,IF(NETWORKDAYS(C1955,TODAY())&lt;5,"Risco Médio",""),IF(NETWORKDAYS(C1955,TODAY())&lt;=2,"Risco Baixo",""))))</f>
        <v>Expedido</v>
      </c>
      <c r="P1955" s="5" t="s">
        <v>25</v>
      </c>
      <c r="S1955" s="7">
        <f>IF(ISBLANK(M1955),"Aguardando Previsão/Data",NETWORKDAYS(L1955,M1955)-1)</f>
        <v>-5</v>
      </c>
      <c r="T1955" s="5" t="s">
        <v>942</v>
      </c>
    </row>
    <row r="1956" spans="1:20" x14ac:dyDescent="0.35">
      <c r="A1956" s="5">
        <v>8100276067</v>
      </c>
      <c r="B1956" s="5">
        <v>13247</v>
      </c>
      <c r="C1956" s="6">
        <v>45672</v>
      </c>
      <c r="D1956" s="5" t="s">
        <v>91</v>
      </c>
      <c r="E1956" s="5" t="s">
        <v>92</v>
      </c>
      <c r="F1956" s="5" t="s">
        <v>103</v>
      </c>
      <c r="G1956" s="5" t="s">
        <v>104</v>
      </c>
      <c r="H1956" s="5" t="s">
        <v>21</v>
      </c>
      <c r="I1956" s="5" t="s">
        <v>805</v>
      </c>
      <c r="J1956" s="5" t="s">
        <v>575</v>
      </c>
      <c r="K1956" s="5" t="s">
        <v>423</v>
      </c>
      <c r="L1956" s="6">
        <v>45681</v>
      </c>
      <c r="M1956" s="6">
        <v>45678</v>
      </c>
      <c r="N1956" s="6" t="s">
        <v>811</v>
      </c>
      <c r="O1956" s="5" t="str">
        <f ca="1">IF(P1956&lt;&gt;"EXPEDIÇÃO","Expedido",IF(NETWORKDAYS(C1956,TODAY())&gt;=5,"Risco Alto",IF(NETWORKDAYS(C1956,TODAY())&gt;=3,IF(NETWORKDAYS(C1956,TODAY())&lt;5,"Risco Médio",""),IF(NETWORKDAYS(C1956,TODAY())&lt;=2,"Risco Baixo",""))))</f>
        <v>Expedido</v>
      </c>
      <c r="P1956" s="5" t="s">
        <v>25</v>
      </c>
      <c r="S1956" s="7">
        <f>IF(ISBLANK(M1956),"Aguardando Previsão/Data",NETWORKDAYS(L1956,M1956)-1)</f>
        <v>-5</v>
      </c>
      <c r="T1956" s="5" t="s">
        <v>942</v>
      </c>
    </row>
    <row r="1957" spans="1:20" x14ac:dyDescent="0.35">
      <c r="A1957" s="5">
        <v>8100276123</v>
      </c>
      <c r="B1957" s="5">
        <v>13251</v>
      </c>
      <c r="C1957" s="6">
        <v>45672</v>
      </c>
      <c r="D1957" s="5" t="s">
        <v>91</v>
      </c>
      <c r="E1957" s="5" t="s">
        <v>92</v>
      </c>
      <c r="F1957" s="5" t="s">
        <v>19</v>
      </c>
      <c r="G1957" s="5" t="s">
        <v>20</v>
      </c>
      <c r="H1957" s="5" t="s">
        <v>21</v>
      </c>
      <c r="I1957" s="5" t="s">
        <v>203</v>
      </c>
      <c r="J1957" s="5" t="s">
        <v>422</v>
      </c>
      <c r="K1957" s="5" t="s">
        <v>423</v>
      </c>
      <c r="L1957" s="6">
        <v>45681</v>
      </c>
      <c r="M1957" s="6">
        <v>45679</v>
      </c>
      <c r="N1957" s="6" t="s">
        <v>811</v>
      </c>
      <c r="O1957" s="5" t="str">
        <f ca="1">IF(P1957&lt;&gt;"EXPEDIÇÃO","Expedido",IF(NETWORKDAYS(C1957,TODAY())&gt;=5,"Risco Alto",IF(NETWORKDAYS(C1957,TODAY())&gt;=3,IF(NETWORKDAYS(C1957,TODAY())&lt;5,"Risco Médio",""),IF(NETWORKDAYS(C1957,TODAY())&lt;=2,"Risco Baixo",""))))</f>
        <v>Expedido</v>
      </c>
      <c r="P1957" s="5" t="s">
        <v>25</v>
      </c>
      <c r="S1957" s="7">
        <f>IF(ISBLANK(M1957),"Aguardando Previsão/Data",NETWORKDAYS(L1957,M1957)-1)</f>
        <v>-4</v>
      </c>
      <c r="T1957" s="5" t="s">
        <v>942</v>
      </c>
    </row>
    <row r="1958" spans="1:20" x14ac:dyDescent="0.35">
      <c r="A1958" s="5">
        <v>8100276287</v>
      </c>
      <c r="B1958" s="5">
        <v>13246</v>
      </c>
      <c r="C1958" s="6">
        <v>45672</v>
      </c>
      <c r="D1958" s="5" t="s">
        <v>91</v>
      </c>
      <c r="E1958" s="5" t="s">
        <v>92</v>
      </c>
      <c r="F1958" s="5" t="s">
        <v>103</v>
      </c>
      <c r="G1958" s="5" t="s">
        <v>104</v>
      </c>
      <c r="H1958" s="5" t="s">
        <v>21</v>
      </c>
      <c r="I1958" s="5" t="s">
        <v>964</v>
      </c>
      <c r="J1958" s="5" t="s">
        <v>575</v>
      </c>
      <c r="K1958" s="5" t="s">
        <v>423</v>
      </c>
      <c r="L1958" s="6">
        <v>45681</v>
      </c>
      <c r="M1958" s="6">
        <v>45678</v>
      </c>
      <c r="N1958" s="6" t="s">
        <v>811</v>
      </c>
      <c r="O1958" s="5" t="str">
        <f ca="1">IF(P1958&lt;&gt;"EXPEDIÇÃO","Expedido",IF(NETWORKDAYS(C1958,TODAY())&gt;=5,"Risco Alto",IF(NETWORKDAYS(C1958,TODAY())&gt;=3,IF(NETWORKDAYS(C1958,TODAY())&lt;5,"Risco Médio",""),IF(NETWORKDAYS(C1958,TODAY())&lt;=2,"Risco Baixo",""))))</f>
        <v>Expedido</v>
      </c>
      <c r="P1958" s="5" t="s">
        <v>25</v>
      </c>
      <c r="S1958" s="7">
        <f>IF(ISBLANK(M1958),"Aguardando Previsão/Data",NETWORKDAYS(L1958,M1958)-1)</f>
        <v>-5</v>
      </c>
      <c r="T1958" s="5" t="s">
        <v>942</v>
      </c>
    </row>
    <row r="1959" spans="1:20" x14ac:dyDescent="0.35">
      <c r="A1959" s="5">
        <v>8100276506</v>
      </c>
      <c r="B1959" s="5">
        <v>13252</v>
      </c>
      <c r="C1959" s="6">
        <v>45672</v>
      </c>
      <c r="D1959" s="5" t="s">
        <v>91</v>
      </c>
      <c r="E1959" s="5" t="s">
        <v>92</v>
      </c>
      <c r="F1959" s="5" t="s">
        <v>19</v>
      </c>
      <c r="G1959" s="5" t="s">
        <v>20</v>
      </c>
      <c r="H1959" s="5" t="s">
        <v>21</v>
      </c>
      <c r="I1959" s="5" t="s">
        <v>203</v>
      </c>
      <c r="J1959" s="5" t="s">
        <v>422</v>
      </c>
      <c r="K1959" s="5" t="s">
        <v>423</v>
      </c>
      <c r="L1959" s="6">
        <v>45681</v>
      </c>
      <c r="M1959" s="6">
        <v>45679</v>
      </c>
      <c r="N1959" s="6" t="s">
        <v>811</v>
      </c>
      <c r="O1959" s="5" t="str">
        <f ca="1">IF(P1959&lt;&gt;"EXPEDIÇÃO","Expedido",IF(NETWORKDAYS(C1959,TODAY())&gt;=5,"Risco Alto",IF(NETWORKDAYS(C1959,TODAY())&gt;=3,IF(NETWORKDAYS(C1959,TODAY())&lt;5,"Risco Médio",""),IF(NETWORKDAYS(C1959,TODAY())&lt;=2,"Risco Baixo",""))))</f>
        <v>Expedido</v>
      </c>
      <c r="P1959" s="5" t="s">
        <v>25</v>
      </c>
      <c r="S1959" s="7">
        <f>IF(ISBLANK(M1959),"Aguardando Previsão/Data",NETWORKDAYS(L1959,M1959)-1)</f>
        <v>-4</v>
      </c>
      <c r="T1959" s="5" t="s">
        <v>942</v>
      </c>
    </row>
    <row r="1960" spans="1:20" x14ac:dyDescent="0.35">
      <c r="A1960" s="5">
        <v>8100276854</v>
      </c>
      <c r="B1960" s="5">
        <v>13257</v>
      </c>
      <c r="C1960" s="6">
        <v>45672</v>
      </c>
      <c r="D1960" s="5" t="s">
        <v>91</v>
      </c>
      <c r="E1960" s="5" t="s">
        <v>92</v>
      </c>
      <c r="F1960" s="5" t="s">
        <v>196</v>
      </c>
      <c r="G1960" s="5" t="s">
        <v>197</v>
      </c>
      <c r="H1960" s="5" t="s">
        <v>21</v>
      </c>
      <c r="I1960" s="5" t="s">
        <v>768</v>
      </c>
      <c r="J1960" s="5" t="s">
        <v>426</v>
      </c>
      <c r="K1960" s="5" t="s">
        <v>95</v>
      </c>
      <c r="L1960" s="6">
        <v>45679</v>
      </c>
      <c r="M1960" s="6">
        <v>45673</v>
      </c>
      <c r="N1960" s="6" t="s">
        <v>811</v>
      </c>
      <c r="O1960" s="5" t="str">
        <f ca="1">IF(P1960&lt;&gt;"EXPEDIÇÃO","Expedido",IF(NETWORKDAYS(C1960,TODAY())&gt;=5,"Risco Alto",IF(NETWORKDAYS(C1960,TODAY())&gt;=3,IF(NETWORKDAYS(C1960,TODAY())&lt;5,"Risco Médio",""),IF(NETWORKDAYS(C1960,TODAY())&lt;=2,"Risco Baixo",""))))</f>
        <v>Expedido</v>
      </c>
      <c r="P1960" s="5" t="s">
        <v>25</v>
      </c>
      <c r="S1960" s="7">
        <f>IF(ISBLANK(M1960),"Aguardando Previsão/Data",NETWORKDAYS(L1960,M1960)-1)</f>
        <v>-6</v>
      </c>
      <c r="T1960" s="5" t="s">
        <v>942</v>
      </c>
    </row>
    <row r="1961" spans="1:20" x14ac:dyDescent="0.35">
      <c r="A1961" s="5">
        <v>8100276970</v>
      </c>
      <c r="B1961" s="5">
        <v>13256</v>
      </c>
      <c r="C1961" s="6">
        <v>45672</v>
      </c>
      <c r="D1961" s="5" t="s">
        <v>91</v>
      </c>
      <c r="E1961" s="5" t="s">
        <v>92</v>
      </c>
      <c r="F1961" s="5" t="s">
        <v>103</v>
      </c>
      <c r="G1961" s="5" t="s">
        <v>104</v>
      </c>
      <c r="H1961" s="5" t="s">
        <v>21</v>
      </c>
      <c r="I1961" s="5" t="s">
        <v>1020</v>
      </c>
      <c r="J1961" s="5" t="s">
        <v>422</v>
      </c>
      <c r="K1961" s="5" t="s">
        <v>423</v>
      </c>
      <c r="L1961" s="6">
        <v>45681</v>
      </c>
      <c r="M1961" s="6">
        <v>45677</v>
      </c>
      <c r="N1961" s="6" t="s">
        <v>811</v>
      </c>
      <c r="O1961" s="5" t="str">
        <f ca="1">IF(P1961&lt;&gt;"EXPEDIÇÃO","Expedido",IF(NETWORKDAYS(C1961,TODAY())&gt;=5,"Risco Alto",IF(NETWORKDAYS(C1961,TODAY())&gt;=3,IF(NETWORKDAYS(C1961,TODAY())&lt;5,"Risco Médio",""),IF(NETWORKDAYS(C1961,TODAY())&lt;=2,"Risco Baixo",""))))</f>
        <v>Expedido</v>
      </c>
      <c r="P1961" s="5" t="s">
        <v>25</v>
      </c>
      <c r="S1961" s="7">
        <f>IF(ISBLANK(M1961),"Aguardando Previsão/Data",NETWORKDAYS(L1961,M1961)-1)</f>
        <v>-6</v>
      </c>
      <c r="T1961" s="5" t="s">
        <v>942</v>
      </c>
    </row>
    <row r="1962" spans="1:20" x14ac:dyDescent="0.35">
      <c r="A1962" s="5">
        <v>8100277327</v>
      </c>
      <c r="B1962" s="5">
        <v>13258</v>
      </c>
      <c r="C1962" s="6">
        <v>45672</v>
      </c>
      <c r="D1962" s="5" t="s">
        <v>91</v>
      </c>
      <c r="E1962" s="5" t="s">
        <v>92</v>
      </c>
      <c r="F1962" s="5" t="s">
        <v>96</v>
      </c>
      <c r="G1962" s="5" t="s">
        <v>97</v>
      </c>
      <c r="H1962" s="5" t="s">
        <v>21</v>
      </c>
      <c r="I1962" s="5" t="s">
        <v>745</v>
      </c>
      <c r="J1962" s="5" t="s">
        <v>746</v>
      </c>
      <c r="K1962" s="5" t="s">
        <v>101</v>
      </c>
      <c r="L1962" s="6">
        <v>45684</v>
      </c>
      <c r="M1962" s="6">
        <v>45678</v>
      </c>
      <c r="N1962" s="6" t="s">
        <v>811</v>
      </c>
      <c r="O1962" s="5" t="str">
        <f ca="1">IF(P1962&lt;&gt;"EXPEDIÇÃO","Expedido",IF(NETWORKDAYS(C1962,TODAY())&gt;=5,"Risco Alto",IF(NETWORKDAYS(C1962,TODAY())&gt;=3,IF(NETWORKDAYS(C1962,TODAY())&lt;5,"Risco Médio",""),IF(NETWORKDAYS(C1962,TODAY())&lt;=2,"Risco Baixo",""))))</f>
        <v>Expedido</v>
      </c>
      <c r="P1962" s="5" t="s">
        <v>25</v>
      </c>
      <c r="S1962" s="7">
        <f>IF(ISBLANK(M1962),"Aguardando Previsão/Data",NETWORKDAYS(L1962,M1962)-1)</f>
        <v>-6</v>
      </c>
      <c r="T1962" s="5" t="s">
        <v>942</v>
      </c>
    </row>
    <row r="1963" spans="1:20" x14ac:dyDescent="0.35">
      <c r="A1963" s="5">
        <v>8100277328</v>
      </c>
      <c r="B1963" s="5">
        <v>13262</v>
      </c>
      <c r="C1963" s="6">
        <v>45672</v>
      </c>
      <c r="D1963" s="5" t="s">
        <v>91</v>
      </c>
      <c r="E1963" s="5" t="s">
        <v>92</v>
      </c>
      <c r="F1963" s="5" t="s">
        <v>103</v>
      </c>
      <c r="G1963" s="5" t="s">
        <v>104</v>
      </c>
      <c r="H1963" s="5" t="s">
        <v>21</v>
      </c>
      <c r="I1963" s="5" t="s">
        <v>1342</v>
      </c>
      <c r="J1963" s="5" t="s">
        <v>696</v>
      </c>
      <c r="K1963" s="5" t="s">
        <v>423</v>
      </c>
      <c r="L1963" s="6">
        <v>45680</v>
      </c>
      <c r="M1963" s="6">
        <v>45677</v>
      </c>
      <c r="N1963" s="6" t="s">
        <v>811</v>
      </c>
      <c r="O1963" s="5" t="str">
        <f ca="1">IF(P1963&lt;&gt;"EXPEDIÇÃO","Expedido",IF(NETWORKDAYS(C1963,TODAY())&gt;=5,"Risco Alto",IF(NETWORKDAYS(C1963,TODAY())&gt;=3,IF(NETWORKDAYS(C1963,TODAY())&lt;5,"Risco Médio",""),IF(NETWORKDAYS(C1963,TODAY())&lt;=2,"Risco Baixo",""))))</f>
        <v>Expedido</v>
      </c>
      <c r="P1963" s="5" t="s">
        <v>25</v>
      </c>
      <c r="S1963" s="7">
        <f>IF(ISBLANK(M1963),"Aguardando Previsão/Data",NETWORKDAYS(L1963,M1963)-1)</f>
        <v>-5</v>
      </c>
      <c r="T1963" s="5" t="s">
        <v>942</v>
      </c>
    </row>
    <row r="1964" spans="1:20" x14ac:dyDescent="0.35">
      <c r="A1964" s="5">
        <v>8100277673</v>
      </c>
      <c r="B1964" s="5">
        <v>13286</v>
      </c>
      <c r="C1964" s="6">
        <v>45672</v>
      </c>
      <c r="D1964" s="5" t="s">
        <v>91</v>
      </c>
      <c r="E1964" s="5" t="s">
        <v>92</v>
      </c>
      <c r="F1964" s="5" t="s">
        <v>96</v>
      </c>
      <c r="G1964" s="5" t="s">
        <v>97</v>
      </c>
      <c r="H1964" s="5" t="s">
        <v>21</v>
      </c>
      <c r="I1964" s="5" t="s">
        <v>22</v>
      </c>
      <c r="J1964" s="5" t="s">
        <v>99</v>
      </c>
      <c r="K1964" s="5" t="s">
        <v>95</v>
      </c>
      <c r="L1964" s="6">
        <v>45678</v>
      </c>
      <c r="M1964" s="6">
        <v>45673</v>
      </c>
      <c r="N1964" s="6" t="s">
        <v>811</v>
      </c>
      <c r="O1964" s="5" t="str">
        <f ca="1">IF(P1964&lt;&gt;"EXPEDIÇÃO","Expedido",IF(NETWORKDAYS(C1964,TODAY())&gt;=5,"Risco Alto",IF(NETWORKDAYS(C1964,TODAY())&gt;=3,IF(NETWORKDAYS(C1964,TODAY())&lt;5,"Risco Médio",""),IF(NETWORKDAYS(C1964,TODAY())&lt;=2,"Risco Baixo",""))))</f>
        <v>Expedido</v>
      </c>
      <c r="P1964" s="5" t="s">
        <v>25</v>
      </c>
      <c r="Q1964" s="5" t="s">
        <v>900</v>
      </c>
      <c r="S1964" s="7">
        <f>IF(ISBLANK(M1964),"Aguardando Previsão/Data",NETWORKDAYS(L1964,M1964)-1)</f>
        <v>-5</v>
      </c>
      <c r="T1964" s="5" t="s">
        <v>942</v>
      </c>
    </row>
    <row r="1965" spans="1:20" x14ac:dyDescent="0.35">
      <c r="A1965" s="5">
        <v>8100277675</v>
      </c>
      <c r="B1965" s="5">
        <v>13266</v>
      </c>
      <c r="C1965" s="6">
        <v>45672</v>
      </c>
      <c r="D1965" s="5" t="s">
        <v>91</v>
      </c>
      <c r="E1965" s="5" t="s">
        <v>92</v>
      </c>
      <c r="F1965" s="5" t="s">
        <v>58</v>
      </c>
      <c r="G1965" s="5" t="s">
        <v>59</v>
      </c>
      <c r="H1965" s="5" t="s">
        <v>21</v>
      </c>
      <c r="I1965" s="5" t="s">
        <v>1293</v>
      </c>
      <c r="J1965" s="5" t="s">
        <v>1357</v>
      </c>
      <c r="K1965" s="5" t="s">
        <v>95</v>
      </c>
      <c r="L1965" s="6">
        <v>45685</v>
      </c>
      <c r="O1965" s="5" t="str">
        <f ca="1">IF(P1965&lt;&gt;"EXPEDIÇÃO","Expedido",IF(NETWORKDAYS(C1965,TODAY())&gt;=5,"Risco Alto",IF(NETWORKDAYS(C1965,TODAY())&gt;=3,IF(NETWORKDAYS(C1965,TODAY())&lt;5,"Risco Médio",""),IF(NETWORKDAYS(C1965,TODAY())&lt;=2,"Risco Baixo",""))))</f>
        <v>Expedido</v>
      </c>
      <c r="P1965" s="5" t="s">
        <v>629</v>
      </c>
      <c r="Q1965" s="5" t="s">
        <v>363</v>
      </c>
      <c r="S1965" s="7" t="str">
        <f>IF(ISBLANK(M1965),"Aguardando Previsão/Data",NETWORKDAYS(L1965,M1965)-1)</f>
        <v>Aguardando Previsão/Data</v>
      </c>
      <c r="T1965" s="5" t="s">
        <v>942</v>
      </c>
    </row>
    <row r="1966" spans="1:20" x14ac:dyDescent="0.35">
      <c r="A1966" s="5">
        <v>8100277700</v>
      </c>
      <c r="B1966" s="5">
        <v>13287</v>
      </c>
      <c r="C1966" s="6">
        <v>45672</v>
      </c>
      <c r="D1966" s="5" t="s">
        <v>91</v>
      </c>
      <c r="E1966" s="5" t="s">
        <v>92</v>
      </c>
      <c r="F1966" s="5" t="s">
        <v>96</v>
      </c>
      <c r="G1966" s="5" t="s">
        <v>97</v>
      </c>
      <c r="H1966" s="5" t="s">
        <v>21</v>
      </c>
      <c r="I1966" s="5" t="s">
        <v>22</v>
      </c>
      <c r="J1966" s="5" t="s">
        <v>99</v>
      </c>
      <c r="K1966" s="5" t="s">
        <v>95</v>
      </c>
      <c r="L1966" s="6">
        <v>45678</v>
      </c>
      <c r="M1966" s="6">
        <v>45673</v>
      </c>
      <c r="N1966" s="6" t="s">
        <v>811</v>
      </c>
      <c r="O1966" s="5" t="str">
        <f ca="1">IF(P1966&lt;&gt;"EXPEDIÇÃO","Expedido",IF(NETWORKDAYS(C1966,TODAY())&gt;=5,"Risco Alto",IF(NETWORKDAYS(C1966,TODAY())&gt;=3,IF(NETWORKDAYS(C1966,TODAY())&lt;5,"Risco Médio",""),IF(NETWORKDAYS(C1966,TODAY())&lt;=2,"Risco Baixo",""))))</f>
        <v>Expedido</v>
      </c>
      <c r="P1966" s="5" t="s">
        <v>25</v>
      </c>
      <c r="Q1966" s="5" t="s">
        <v>900</v>
      </c>
      <c r="S1966" s="7">
        <f>IF(ISBLANK(M1966),"Aguardando Previsão/Data",NETWORKDAYS(L1966,M1966)-1)</f>
        <v>-5</v>
      </c>
      <c r="T1966" s="5" t="s">
        <v>942</v>
      </c>
    </row>
    <row r="1967" spans="1:20" x14ac:dyDescent="0.35">
      <c r="A1967" s="5">
        <v>8100276855</v>
      </c>
      <c r="B1967" s="5">
        <v>21303</v>
      </c>
      <c r="C1967" s="6">
        <v>45672</v>
      </c>
      <c r="D1967" s="5" t="s">
        <v>836</v>
      </c>
      <c r="E1967" s="5" t="s">
        <v>837</v>
      </c>
      <c r="F1967" s="5" t="s">
        <v>84</v>
      </c>
      <c r="G1967" s="5" t="s">
        <v>85</v>
      </c>
      <c r="H1967" s="5" t="s">
        <v>21</v>
      </c>
      <c r="I1967" s="5" t="s">
        <v>912</v>
      </c>
      <c r="J1967" s="5" t="s">
        <v>41</v>
      </c>
      <c r="K1967" s="5" t="s">
        <v>24</v>
      </c>
      <c r="L1967" s="6">
        <v>45678</v>
      </c>
      <c r="M1967" s="6">
        <v>45677</v>
      </c>
      <c r="N1967" s="6" t="s">
        <v>811</v>
      </c>
      <c r="O1967" s="5" t="str">
        <f ca="1">IF(P1967&lt;&gt;"EXPEDIÇÃO","Expedido",IF(NETWORKDAYS(C1967,TODAY())&gt;=5,"Risco Alto",IF(NETWORKDAYS(C1967,TODAY())&gt;=3,IF(NETWORKDAYS(C1967,TODAY())&lt;5,"Risco Médio",""),IF(NETWORKDAYS(C1967,TODAY())&lt;=2,"Risco Baixo",""))))</f>
        <v>Expedido</v>
      </c>
      <c r="P1967" s="5" t="s">
        <v>25</v>
      </c>
      <c r="S1967" s="7">
        <f>IF(ISBLANK(M1967),"Aguardando Previsão/Data",NETWORKDAYS(L1967,M1967)-1)</f>
        <v>-3</v>
      </c>
      <c r="T1967" s="5" t="s">
        <v>942</v>
      </c>
    </row>
    <row r="1968" spans="1:20" x14ac:dyDescent="0.35">
      <c r="A1968" s="5">
        <v>8100276856</v>
      </c>
      <c r="B1968" s="5">
        <v>21304</v>
      </c>
      <c r="C1968" s="6">
        <v>45672</v>
      </c>
      <c r="D1968" s="5" t="s">
        <v>836</v>
      </c>
      <c r="E1968" s="5" t="s">
        <v>837</v>
      </c>
      <c r="F1968" s="5" t="s">
        <v>84</v>
      </c>
      <c r="G1968" s="5" t="s">
        <v>85</v>
      </c>
      <c r="H1968" s="5" t="s">
        <v>21</v>
      </c>
      <c r="I1968" s="5" t="s">
        <v>923</v>
      </c>
      <c r="J1968" s="5" t="s">
        <v>41</v>
      </c>
      <c r="K1968" s="5" t="s">
        <v>24</v>
      </c>
      <c r="L1968" s="6">
        <v>45678</v>
      </c>
      <c r="M1968" s="6">
        <v>45678</v>
      </c>
      <c r="N1968" s="6" t="s">
        <v>811</v>
      </c>
      <c r="O1968" s="5" t="str">
        <f ca="1">IF(P1968&lt;&gt;"EXPEDIÇÃO","Expedido",IF(NETWORKDAYS(C1968,TODAY())&gt;=5,"Risco Alto",IF(NETWORKDAYS(C1968,TODAY())&gt;=3,IF(NETWORKDAYS(C1968,TODAY())&lt;5,"Risco Médio",""),IF(NETWORKDAYS(C1968,TODAY())&lt;=2,"Risco Baixo",""))))</f>
        <v>Expedido</v>
      </c>
      <c r="P1968" s="5" t="s">
        <v>25</v>
      </c>
      <c r="S1968" s="7">
        <f>IF(ISBLANK(M1968),"Aguardando Previsão/Data",NETWORKDAYS(L1968,M1968)-1)</f>
        <v>0</v>
      </c>
      <c r="T1968" s="5" t="s">
        <v>942</v>
      </c>
    </row>
    <row r="1969" spans="1:20" x14ac:dyDescent="0.35">
      <c r="A1969" s="5">
        <v>8100276859</v>
      </c>
      <c r="B1969" s="5">
        <v>21285</v>
      </c>
      <c r="C1969" s="6">
        <v>45672</v>
      </c>
      <c r="D1969" s="5" t="s">
        <v>836</v>
      </c>
      <c r="E1969" s="5" t="s">
        <v>837</v>
      </c>
      <c r="F1969" s="5" t="s">
        <v>84</v>
      </c>
      <c r="G1969" s="5" t="s">
        <v>85</v>
      </c>
      <c r="H1969" s="5" t="s">
        <v>21</v>
      </c>
      <c r="I1969" s="5" t="s">
        <v>977</v>
      </c>
      <c r="J1969" s="5" t="s">
        <v>698</v>
      </c>
      <c r="K1969" s="5" t="s">
        <v>24</v>
      </c>
      <c r="L1969" s="6">
        <v>45681</v>
      </c>
      <c r="M1969" s="6">
        <v>45687</v>
      </c>
      <c r="N1969" s="6" t="s">
        <v>811</v>
      </c>
      <c r="O1969" s="5" t="str">
        <f ca="1">IF(P1969&lt;&gt;"EXPEDIÇÃO","Expedido",IF(NETWORKDAYS(C1969,TODAY())&gt;=5,"Risco Alto",IF(NETWORKDAYS(C1969,TODAY())&gt;=3,IF(NETWORKDAYS(C1969,TODAY())&lt;5,"Risco Médio",""),IF(NETWORKDAYS(C1969,TODAY())&lt;=2,"Risco Baixo",""))))</f>
        <v>Expedido</v>
      </c>
      <c r="P1969" s="5" t="s">
        <v>617</v>
      </c>
      <c r="Q1969" s="5" t="s">
        <v>897</v>
      </c>
      <c r="R1969" s="5">
        <v>1691316</v>
      </c>
      <c r="S1969" s="7">
        <f>IF(ISBLANK(M1969),"Aguardando Previsão/Data",NETWORKDAYS(L1969,M1969)-1)</f>
        <v>4</v>
      </c>
    </row>
    <row r="1970" spans="1:20" x14ac:dyDescent="0.35">
      <c r="A1970" s="5">
        <v>8100276864</v>
      </c>
      <c r="B1970" s="5">
        <v>21287</v>
      </c>
      <c r="C1970" s="6">
        <v>45672</v>
      </c>
      <c r="D1970" s="5" t="s">
        <v>836</v>
      </c>
      <c r="E1970" s="5" t="s">
        <v>837</v>
      </c>
      <c r="F1970" s="5" t="s">
        <v>39</v>
      </c>
      <c r="G1970" s="5" t="s">
        <v>40</v>
      </c>
      <c r="H1970" s="5" t="s">
        <v>21</v>
      </c>
      <c r="I1970" s="5" t="s">
        <v>607</v>
      </c>
      <c r="J1970" s="5" t="s">
        <v>608</v>
      </c>
      <c r="K1970" s="5" t="s">
        <v>24</v>
      </c>
      <c r="L1970" s="6">
        <v>45680</v>
      </c>
      <c r="M1970" s="6">
        <v>45687</v>
      </c>
      <c r="N1970" s="6" t="s">
        <v>811</v>
      </c>
      <c r="O1970" s="5" t="str">
        <f ca="1">IF(P1970&lt;&gt;"EXPEDIÇÃO","Expedido",IF(NETWORKDAYS(C1970,TODAY())&gt;=5,"Risco Alto",IF(NETWORKDAYS(C1970,TODAY())&gt;=3,IF(NETWORKDAYS(C1970,TODAY())&lt;5,"Risco Médio",""),IF(NETWORKDAYS(C1970,TODAY())&lt;=2,"Risco Baixo",""))))</f>
        <v>Expedido</v>
      </c>
      <c r="P1970" s="5" t="s">
        <v>617</v>
      </c>
      <c r="Q1970" s="5" t="s">
        <v>897</v>
      </c>
      <c r="R1970" s="5">
        <v>1690586</v>
      </c>
      <c r="S1970" s="7">
        <f>IF(ISBLANK(M1970),"Aguardando Previsão/Data",NETWORKDAYS(L1970,M1970)-1)</f>
        <v>5</v>
      </c>
    </row>
    <row r="1971" spans="1:20" x14ac:dyDescent="0.35">
      <c r="A1971" s="5">
        <v>8100276865</v>
      </c>
      <c r="B1971" s="5">
        <v>21288</v>
      </c>
      <c r="C1971" s="6">
        <v>45672</v>
      </c>
      <c r="D1971" s="5" t="s">
        <v>836</v>
      </c>
      <c r="E1971" s="5" t="s">
        <v>837</v>
      </c>
      <c r="F1971" s="5" t="s">
        <v>39</v>
      </c>
      <c r="G1971" s="5" t="s">
        <v>40</v>
      </c>
      <c r="H1971" s="5" t="s">
        <v>21</v>
      </c>
      <c r="I1971" s="5" t="s">
        <v>1052</v>
      </c>
      <c r="J1971" s="5" t="s">
        <v>41</v>
      </c>
      <c r="K1971" s="5" t="s">
        <v>24</v>
      </c>
      <c r="L1971" s="6">
        <v>45678</v>
      </c>
      <c r="M1971" s="6">
        <v>45679</v>
      </c>
      <c r="N1971" s="6" t="s">
        <v>812</v>
      </c>
      <c r="O1971" s="5" t="str">
        <f ca="1">IF(P1971&lt;&gt;"EXPEDIÇÃO","Expedido",IF(NETWORKDAYS(C1971,TODAY())&gt;=5,"Risco Alto",IF(NETWORKDAYS(C1971,TODAY())&gt;=3,IF(NETWORKDAYS(C1971,TODAY())&lt;5,"Risco Médio",""),IF(NETWORKDAYS(C1971,TODAY())&lt;=2,"Risco Baixo",""))))</f>
        <v>Expedido</v>
      </c>
      <c r="P1971" s="5" t="s">
        <v>25</v>
      </c>
      <c r="S1971" s="7">
        <f>IF(ISBLANK(M1971),"Aguardando Previsão/Data",NETWORKDAYS(L1971,M1971)-1)</f>
        <v>1</v>
      </c>
      <c r="T1971" s="5" t="s">
        <v>942</v>
      </c>
    </row>
    <row r="1972" spans="1:20" x14ac:dyDescent="0.35">
      <c r="A1972" s="5">
        <v>8100276868</v>
      </c>
      <c r="B1972" s="5">
        <v>21289</v>
      </c>
      <c r="C1972" s="6">
        <v>45672</v>
      </c>
      <c r="D1972" s="5" t="s">
        <v>836</v>
      </c>
      <c r="E1972" s="5" t="s">
        <v>837</v>
      </c>
      <c r="F1972" s="5" t="s">
        <v>39</v>
      </c>
      <c r="G1972" s="5" t="s">
        <v>40</v>
      </c>
      <c r="H1972" s="5" t="s">
        <v>21</v>
      </c>
      <c r="I1972" s="5" t="s">
        <v>918</v>
      </c>
      <c r="J1972" s="5" t="s">
        <v>495</v>
      </c>
      <c r="K1972" s="5" t="s">
        <v>24</v>
      </c>
      <c r="L1972" s="6">
        <v>45681</v>
      </c>
      <c r="M1972" s="6">
        <v>45684</v>
      </c>
      <c r="N1972" s="6" t="s">
        <v>812</v>
      </c>
      <c r="O1972" s="5" t="str">
        <f ca="1">IF(P1972&lt;&gt;"EXPEDIÇÃO","Expedido",IF(NETWORKDAYS(C1972,TODAY())&gt;=5,"Risco Alto",IF(NETWORKDAYS(C1972,TODAY())&gt;=3,IF(NETWORKDAYS(C1972,TODAY())&lt;5,"Risco Médio",""),IF(NETWORKDAYS(C1972,TODAY())&lt;=2,"Risco Baixo",""))))</f>
        <v>Expedido</v>
      </c>
      <c r="P1972" s="5" t="s">
        <v>25</v>
      </c>
      <c r="Q1972" s="5" t="s">
        <v>937</v>
      </c>
      <c r="S1972" s="7">
        <f>IF(ISBLANK(M1972),"Aguardando Previsão/Data",NETWORKDAYS(L1972,M1972)-1)</f>
        <v>1</v>
      </c>
      <c r="T1972" s="5" t="s">
        <v>942</v>
      </c>
    </row>
    <row r="1973" spans="1:20" x14ac:dyDescent="0.35">
      <c r="A1973" s="5">
        <v>8100276870</v>
      </c>
      <c r="B1973" s="5">
        <v>21290</v>
      </c>
      <c r="C1973" s="6">
        <v>45672</v>
      </c>
      <c r="D1973" s="5" t="s">
        <v>836</v>
      </c>
      <c r="E1973" s="5" t="s">
        <v>837</v>
      </c>
      <c r="F1973" s="5" t="s">
        <v>39</v>
      </c>
      <c r="G1973" s="5" t="s">
        <v>40</v>
      </c>
      <c r="H1973" s="5" t="s">
        <v>21</v>
      </c>
      <c r="I1973" s="5" t="s">
        <v>931</v>
      </c>
      <c r="J1973" s="5" t="s">
        <v>657</v>
      </c>
      <c r="K1973" s="5" t="s">
        <v>24</v>
      </c>
      <c r="L1973" s="6">
        <v>45681</v>
      </c>
      <c r="M1973" s="6">
        <v>45688</v>
      </c>
      <c r="N1973" s="6" t="s">
        <v>811</v>
      </c>
      <c r="O1973" s="5" t="str">
        <f ca="1">IF(P1973&lt;&gt;"EXPEDIÇÃO","Expedido",IF(NETWORKDAYS(C1973,TODAY())&gt;=5,"Risco Alto",IF(NETWORKDAYS(C1973,TODAY())&gt;=3,IF(NETWORKDAYS(C1973,TODAY())&lt;5,"Risco Médio",""),IF(NETWORKDAYS(C1973,TODAY())&lt;=2,"Risco Baixo",""))))</f>
        <v>Risco Alto</v>
      </c>
      <c r="P1973" s="5" t="s">
        <v>726</v>
      </c>
      <c r="Q1973" s="5" t="s">
        <v>897</v>
      </c>
      <c r="R1973" s="5">
        <v>1691319</v>
      </c>
      <c r="S1973" s="7">
        <f>IF(ISBLANK(M1973),"Aguardando Previsão/Data",NETWORKDAYS(L1973,M1973)-1)</f>
        <v>5</v>
      </c>
    </row>
    <row r="1974" spans="1:20" x14ac:dyDescent="0.35">
      <c r="A1974" s="5">
        <v>8100277075</v>
      </c>
      <c r="B1974" s="5">
        <v>21291</v>
      </c>
      <c r="C1974" s="6">
        <v>45672</v>
      </c>
      <c r="D1974" s="5" t="s">
        <v>836</v>
      </c>
      <c r="E1974" s="5" t="s">
        <v>837</v>
      </c>
      <c r="F1974" s="5" t="s">
        <v>39</v>
      </c>
      <c r="G1974" s="5" t="s">
        <v>40</v>
      </c>
      <c r="H1974" s="5" t="s">
        <v>21</v>
      </c>
      <c r="I1974" s="5" t="s">
        <v>938</v>
      </c>
      <c r="J1974" s="5" t="s">
        <v>465</v>
      </c>
      <c r="K1974" s="5" t="s">
        <v>24</v>
      </c>
      <c r="L1974" s="6">
        <v>45678</v>
      </c>
      <c r="M1974" s="6">
        <v>45677</v>
      </c>
      <c r="N1974" s="6" t="s">
        <v>811</v>
      </c>
      <c r="O1974" s="5" t="str">
        <f ca="1">IF(P1974&lt;&gt;"EXPEDIÇÃO","Expedido",IF(NETWORKDAYS(C1974,TODAY())&gt;=5,"Risco Alto",IF(NETWORKDAYS(C1974,TODAY())&gt;=3,IF(NETWORKDAYS(C1974,TODAY())&lt;5,"Risco Médio",""),IF(NETWORKDAYS(C1974,TODAY())&lt;=2,"Risco Baixo",""))))</f>
        <v>Expedido</v>
      </c>
      <c r="P1974" s="5" t="s">
        <v>25</v>
      </c>
      <c r="S1974" s="7">
        <f>IF(ISBLANK(M1974),"Aguardando Previsão/Data",NETWORKDAYS(L1974,M1974)-1)</f>
        <v>-3</v>
      </c>
      <c r="T1974" s="5" t="s">
        <v>942</v>
      </c>
    </row>
    <row r="1975" spans="1:20" x14ac:dyDescent="0.35">
      <c r="A1975" s="5">
        <v>8100277076</v>
      </c>
      <c r="B1975" s="5">
        <v>21292</v>
      </c>
      <c r="C1975" s="6">
        <v>45672</v>
      </c>
      <c r="D1975" s="5" t="s">
        <v>836</v>
      </c>
      <c r="E1975" s="5" t="s">
        <v>837</v>
      </c>
      <c r="F1975" s="5" t="s">
        <v>39</v>
      </c>
      <c r="G1975" s="5" t="s">
        <v>40</v>
      </c>
      <c r="H1975" s="5" t="s">
        <v>21</v>
      </c>
      <c r="I1975" s="5" t="s">
        <v>1109</v>
      </c>
      <c r="J1975" s="5" t="s">
        <v>600</v>
      </c>
      <c r="K1975" s="5" t="s">
        <v>24</v>
      </c>
      <c r="L1975" s="6">
        <v>45680</v>
      </c>
      <c r="M1975" s="6">
        <v>45679</v>
      </c>
      <c r="N1975" s="6" t="s">
        <v>811</v>
      </c>
      <c r="O1975" s="5" t="str">
        <f ca="1">IF(P1975&lt;&gt;"EXPEDIÇÃO","Expedido",IF(NETWORKDAYS(C1975,TODAY())&gt;=5,"Risco Alto",IF(NETWORKDAYS(C1975,TODAY())&gt;=3,IF(NETWORKDAYS(C1975,TODAY())&lt;5,"Risco Médio",""),IF(NETWORKDAYS(C1975,TODAY())&lt;=2,"Risco Baixo",""))))</f>
        <v>Expedido</v>
      </c>
      <c r="P1975" s="5" t="s">
        <v>25</v>
      </c>
      <c r="Q1975" s="5" t="s">
        <v>897</v>
      </c>
      <c r="R1975" s="5">
        <v>1690588</v>
      </c>
      <c r="S1975" s="7">
        <f>IF(ISBLANK(M1975),"Aguardando Previsão/Data",NETWORKDAYS(L1975,M1975)-1)</f>
        <v>-3</v>
      </c>
      <c r="T1975" s="5" t="s">
        <v>942</v>
      </c>
    </row>
    <row r="1976" spans="1:20" x14ac:dyDescent="0.35">
      <c r="A1976" s="5">
        <v>8100277077</v>
      </c>
      <c r="B1976" s="5">
        <v>21293</v>
      </c>
      <c r="C1976" s="6">
        <v>45672</v>
      </c>
      <c r="D1976" s="5" t="s">
        <v>836</v>
      </c>
      <c r="E1976" s="5" t="s">
        <v>837</v>
      </c>
      <c r="F1976" s="5" t="s">
        <v>39</v>
      </c>
      <c r="G1976" s="5" t="s">
        <v>40</v>
      </c>
      <c r="H1976" s="5" t="s">
        <v>21</v>
      </c>
      <c r="I1976" s="5" t="s">
        <v>605</v>
      </c>
      <c r="J1976" s="5" t="s">
        <v>41</v>
      </c>
      <c r="K1976" s="5" t="s">
        <v>24</v>
      </c>
      <c r="L1976" s="6">
        <v>45678</v>
      </c>
      <c r="M1976" s="6">
        <v>45678</v>
      </c>
      <c r="N1976" s="6" t="s">
        <v>811</v>
      </c>
      <c r="O1976" s="5" t="str">
        <f ca="1">IF(P1976&lt;&gt;"EXPEDIÇÃO","Expedido",IF(NETWORKDAYS(C1976,TODAY())&gt;=5,"Risco Alto",IF(NETWORKDAYS(C1976,TODAY())&gt;=3,IF(NETWORKDAYS(C1976,TODAY())&lt;5,"Risco Médio",""),IF(NETWORKDAYS(C1976,TODAY())&lt;=2,"Risco Baixo",""))))</f>
        <v>Expedido</v>
      </c>
      <c r="P1976" s="5" t="s">
        <v>25</v>
      </c>
      <c r="S1976" s="7">
        <f>IF(ISBLANK(M1976),"Aguardando Previsão/Data",NETWORKDAYS(L1976,M1976)-1)</f>
        <v>0</v>
      </c>
      <c r="T1976" s="5" t="s">
        <v>942</v>
      </c>
    </row>
    <row r="1977" spans="1:20" x14ac:dyDescent="0.35">
      <c r="A1977" s="5">
        <v>8100277078</v>
      </c>
      <c r="B1977" s="5">
        <v>21294</v>
      </c>
      <c r="C1977" s="6">
        <v>45672</v>
      </c>
      <c r="D1977" s="5" t="s">
        <v>836</v>
      </c>
      <c r="E1977" s="5" t="s">
        <v>837</v>
      </c>
      <c r="F1977" s="5" t="s">
        <v>84</v>
      </c>
      <c r="G1977" s="5" t="s">
        <v>85</v>
      </c>
      <c r="H1977" s="5" t="s">
        <v>21</v>
      </c>
      <c r="I1977" s="5" t="s">
        <v>545</v>
      </c>
      <c r="J1977" s="5" t="s">
        <v>41</v>
      </c>
      <c r="K1977" s="5" t="s">
        <v>24</v>
      </c>
      <c r="L1977" s="6">
        <v>45678</v>
      </c>
      <c r="M1977" s="6">
        <v>45674</v>
      </c>
      <c r="N1977" s="6" t="s">
        <v>811</v>
      </c>
      <c r="O1977" s="5" t="str">
        <f ca="1">IF(P1977&lt;&gt;"EXPEDIÇÃO","Expedido",IF(NETWORKDAYS(C1977,TODAY())&gt;=5,"Risco Alto",IF(NETWORKDAYS(C1977,TODAY())&gt;=3,IF(NETWORKDAYS(C1977,TODAY())&lt;5,"Risco Médio",""),IF(NETWORKDAYS(C1977,TODAY())&lt;=2,"Risco Baixo",""))))</f>
        <v>Expedido</v>
      </c>
      <c r="P1977" s="5" t="s">
        <v>25</v>
      </c>
      <c r="S1977" s="7">
        <f>IF(ISBLANK(M1977),"Aguardando Previsão/Data",NETWORKDAYS(L1977,M1977)-1)</f>
        <v>-4</v>
      </c>
      <c r="T1977" s="5" t="s">
        <v>942</v>
      </c>
    </row>
    <row r="1978" spans="1:20" x14ac:dyDescent="0.35">
      <c r="A1978" s="5">
        <v>8100277079</v>
      </c>
      <c r="B1978" s="5">
        <v>21295</v>
      </c>
      <c r="C1978" s="6">
        <v>45672</v>
      </c>
      <c r="D1978" s="5" t="s">
        <v>836</v>
      </c>
      <c r="E1978" s="5" t="s">
        <v>837</v>
      </c>
      <c r="F1978" s="5" t="s">
        <v>39</v>
      </c>
      <c r="G1978" s="5" t="s">
        <v>40</v>
      </c>
      <c r="H1978" s="5" t="s">
        <v>21</v>
      </c>
      <c r="I1978" s="5" t="s">
        <v>605</v>
      </c>
      <c r="J1978" s="5" t="s">
        <v>41</v>
      </c>
      <c r="K1978" s="5" t="s">
        <v>24</v>
      </c>
      <c r="L1978" s="6">
        <v>45678</v>
      </c>
      <c r="M1978" s="6">
        <v>45678</v>
      </c>
      <c r="N1978" s="6" t="s">
        <v>811</v>
      </c>
      <c r="O1978" s="5" t="str">
        <f ca="1">IF(P1978&lt;&gt;"EXPEDIÇÃO","Expedido",IF(NETWORKDAYS(C1978,TODAY())&gt;=5,"Risco Alto",IF(NETWORKDAYS(C1978,TODAY())&gt;=3,IF(NETWORKDAYS(C1978,TODAY())&lt;5,"Risco Médio",""),IF(NETWORKDAYS(C1978,TODAY())&lt;=2,"Risco Baixo",""))))</f>
        <v>Expedido</v>
      </c>
      <c r="P1978" s="5" t="s">
        <v>25</v>
      </c>
      <c r="S1978" s="7">
        <f>IF(ISBLANK(M1978),"Aguardando Previsão/Data",NETWORKDAYS(L1978,M1978)-1)</f>
        <v>0</v>
      </c>
      <c r="T1978" s="5" t="s">
        <v>942</v>
      </c>
    </row>
    <row r="1979" spans="1:20" x14ac:dyDescent="0.35">
      <c r="A1979" s="5">
        <v>8100277080</v>
      </c>
      <c r="B1979" s="5">
        <v>21296</v>
      </c>
      <c r="C1979" s="6">
        <v>45672</v>
      </c>
      <c r="D1979" s="5" t="s">
        <v>836</v>
      </c>
      <c r="E1979" s="5" t="s">
        <v>837</v>
      </c>
      <c r="F1979" s="5" t="s">
        <v>39</v>
      </c>
      <c r="G1979" s="5" t="s">
        <v>40</v>
      </c>
      <c r="H1979" s="5" t="s">
        <v>21</v>
      </c>
      <c r="I1979" s="5" t="s">
        <v>1188</v>
      </c>
      <c r="J1979" s="5" t="s">
        <v>495</v>
      </c>
      <c r="K1979" s="5" t="s">
        <v>24</v>
      </c>
      <c r="L1979" s="6">
        <v>45681</v>
      </c>
      <c r="M1979" s="6">
        <v>45688</v>
      </c>
      <c r="N1979" s="6" t="s">
        <v>811</v>
      </c>
      <c r="O1979" s="5" t="str">
        <f ca="1">IF(P1979&lt;&gt;"EXPEDIÇÃO","Expedido",IF(NETWORKDAYS(C1979,TODAY())&gt;=5,"Risco Alto",IF(NETWORKDAYS(C1979,TODAY())&gt;=3,IF(NETWORKDAYS(C1979,TODAY())&lt;5,"Risco Médio",""),IF(NETWORKDAYS(C1979,TODAY())&lt;=2,"Risco Baixo",""))))</f>
        <v>Risco Alto</v>
      </c>
      <c r="P1979" s="5" t="s">
        <v>726</v>
      </c>
      <c r="Q1979" s="5" t="s">
        <v>897</v>
      </c>
      <c r="R1979" s="5">
        <v>1691323</v>
      </c>
      <c r="S1979" s="7">
        <f>IF(ISBLANK(M1979),"Aguardando Previsão/Data",NETWORKDAYS(L1979,M1979)-1)</f>
        <v>5</v>
      </c>
    </row>
    <row r="1980" spans="1:20" x14ac:dyDescent="0.35">
      <c r="A1980" s="5">
        <v>8100277081</v>
      </c>
      <c r="B1980" s="5">
        <v>21297</v>
      </c>
      <c r="C1980" s="6">
        <v>45672</v>
      </c>
      <c r="D1980" s="5" t="s">
        <v>836</v>
      </c>
      <c r="E1980" s="5" t="s">
        <v>837</v>
      </c>
      <c r="F1980" s="5" t="s">
        <v>39</v>
      </c>
      <c r="G1980" s="5" t="s">
        <v>40</v>
      </c>
      <c r="H1980" s="5" t="s">
        <v>21</v>
      </c>
      <c r="I1980" s="5" t="s">
        <v>849</v>
      </c>
      <c r="J1980" s="5" t="s">
        <v>603</v>
      </c>
      <c r="K1980" s="5" t="s">
        <v>24</v>
      </c>
      <c r="L1980" s="6">
        <v>45680</v>
      </c>
      <c r="M1980" s="6">
        <v>45678</v>
      </c>
      <c r="N1980" s="6" t="s">
        <v>811</v>
      </c>
      <c r="O1980" s="5" t="str">
        <f ca="1">IF(P1980&lt;&gt;"EXPEDIÇÃO","Expedido",IF(NETWORKDAYS(C1980,TODAY())&gt;=5,"Risco Alto",IF(NETWORKDAYS(C1980,TODAY())&gt;=3,IF(NETWORKDAYS(C1980,TODAY())&lt;5,"Risco Médio",""),IF(NETWORKDAYS(C1980,TODAY())&lt;=2,"Risco Baixo",""))))</f>
        <v>Expedido</v>
      </c>
      <c r="P1980" s="5" t="s">
        <v>25</v>
      </c>
      <c r="S1980" s="7">
        <f>IF(ISBLANK(M1980),"Aguardando Previsão/Data",NETWORKDAYS(L1980,M1980)-1)</f>
        <v>-4</v>
      </c>
      <c r="T1980" s="5" t="s">
        <v>942</v>
      </c>
    </row>
    <row r="1981" spans="1:20" x14ac:dyDescent="0.35">
      <c r="A1981" s="5">
        <v>8100277082</v>
      </c>
      <c r="B1981" s="5">
        <v>21298</v>
      </c>
      <c r="C1981" s="6">
        <v>45672</v>
      </c>
      <c r="D1981" s="5" t="s">
        <v>836</v>
      </c>
      <c r="E1981" s="5" t="s">
        <v>837</v>
      </c>
      <c r="F1981" s="5" t="s">
        <v>39</v>
      </c>
      <c r="G1981" s="5" t="s">
        <v>40</v>
      </c>
      <c r="H1981" s="5" t="s">
        <v>21</v>
      </c>
      <c r="I1981" s="5" t="s">
        <v>1086</v>
      </c>
      <c r="J1981" s="5" t="s">
        <v>600</v>
      </c>
      <c r="K1981" s="5" t="s">
        <v>24</v>
      </c>
      <c r="L1981" s="6">
        <v>45680</v>
      </c>
      <c r="M1981" s="6">
        <v>45679</v>
      </c>
      <c r="N1981" s="6" t="s">
        <v>811</v>
      </c>
      <c r="O1981" s="5" t="str">
        <f ca="1">IF(P1981&lt;&gt;"EXPEDIÇÃO","Expedido",IF(NETWORKDAYS(C1981,TODAY())&gt;=5,"Risco Alto",IF(NETWORKDAYS(C1981,TODAY())&gt;=3,IF(NETWORKDAYS(C1981,TODAY())&lt;5,"Risco Médio",""),IF(NETWORKDAYS(C1981,TODAY())&lt;=2,"Risco Baixo",""))))</f>
        <v>Expedido</v>
      </c>
      <c r="P1981" s="5" t="s">
        <v>25</v>
      </c>
      <c r="S1981" s="7">
        <f>IF(ISBLANK(M1981),"Aguardando Previsão/Data",NETWORKDAYS(L1981,M1981)-1)</f>
        <v>-3</v>
      </c>
      <c r="T1981" s="5" t="s">
        <v>942</v>
      </c>
    </row>
    <row r="1982" spans="1:20" x14ac:dyDescent="0.35">
      <c r="A1982" s="5">
        <v>8100277083</v>
      </c>
      <c r="B1982" s="5">
        <v>21299</v>
      </c>
      <c r="C1982" s="6">
        <v>45672</v>
      </c>
      <c r="D1982" s="5" t="s">
        <v>836</v>
      </c>
      <c r="E1982" s="5" t="s">
        <v>837</v>
      </c>
      <c r="F1982" s="5" t="s">
        <v>39</v>
      </c>
      <c r="G1982" s="5" t="s">
        <v>40</v>
      </c>
      <c r="H1982" s="5" t="s">
        <v>21</v>
      </c>
      <c r="I1982" s="5" t="s">
        <v>1190</v>
      </c>
      <c r="J1982" s="5" t="s">
        <v>522</v>
      </c>
      <c r="K1982" s="5" t="s">
        <v>24</v>
      </c>
      <c r="L1982" s="6">
        <v>45680</v>
      </c>
      <c r="M1982" s="6">
        <v>45683</v>
      </c>
      <c r="N1982" s="6" t="s">
        <v>811</v>
      </c>
      <c r="O1982" s="5" t="str">
        <f ca="1">IF(P1982&lt;&gt;"EXPEDIÇÃO","Expedido",IF(NETWORKDAYS(C1982,TODAY())&gt;=5,"Risco Alto",IF(NETWORKDAYS(C1982,TODAY())&gt;=3,IF(NETWORKDAYS(C1982,TODAY())&lt;5,"Risco Médio",""),IF(NETWORKDAYS(C1982,TODAY())&lt;=2,"Risco Baixo",""))))</f>
        <v>Expedido</v>
      </c>
      <c r="P1982" s="5" t="s">
        <v>25</v>
      </c>
      <c r="Q1982" s="5" t="s">
        <v>897</v>
      </c>
      <c r="S1982" s="7">
        <f>IF(ISBLANK(M1982),"Aguardando Previsão/Data",NETWORKDAYS(L1982,M1982)-1)</f>
        <v>1</v>
      </c>
      <c r="T1982" s="5" t="s">
        <v>942</v>
      </c>
    </row>
    <row r="1983" spans="1:20" x14ac:dyDescent="0.35">
      <c r="A1983" s="5">
        <v>8100277084</v>
      </c>
      <c r="B1983" s="5">
        <v>21300</v>
      </c>
      <c r="C1983" s="6">
        <v>45672</v>
      </c>
      <c r="D1983" s="5" t="s">
        <v>836</v>
      </c>
      <c r="E1983" s="5" t="s">
        <v>837</v>
      </c>
      <c r="F1983" s="5" t="s">
        <v>39</v>
      </c>
      <c r="G1983" s="5" t="s">
        <v>40</v>
      </c>
      <c r="H1983" s="5" t="s">
        <v>21</v>
      </c>
      <c r="I1983" s="5" t="s">
        <v>918</v>
      </c>
      <c r="J1983" s="5" t="s">
        <v>495</v>
      </c>
      <c r="K1983" s="5" t="s">
        <v>24</v>
      </c>
      <c r="L1983" s="6">
        <v>45681</v>
      </c>
      <c r="M1983" s="6">
        <v>45684</v>
      </c>
      <c r="N1983" s="6" t="s">
        <v>812</v>
      </c>
      <c r="O1983" s="5" t="str">
        <f ca="1">IF(P1983&lt;&gt;"EXPEDIÇÃO","Expedido",IF(NETWORKDAYS(C1983,TODAY())&gt;=5,"Risco Alto",IF(NETWORKDAYS(C1983,TODAY())&gt;=3,IF(NETWORKDAYS(C1983,TODAY())&lt;5,"Risco Médio",""),IF(NETWORKDAYS(C1983,TODAY())&lt;=2,"Risco Baixo",""))))</f>
        <v>Expedido</v>
      </c>
      <c r="P1983" s="5" t="s">
        <v>25</v>
      </c>
      <c r="Q1983" s="5" t="s">
        <v>937</v>
      </c>
      <c r="S1983" s="7">
        <f>IF(ISBLANK(M1983),"Aguardando Previsão/Data",NETWORKDAYS(L1983,M1983)-1)</f>
        <v>1</v>
      </c>
      <c r="T1983" s="5" t="s">
        <v>942</v>
      </c>
    </row>
    <row r="1984" spans="1:20" x14ac:dyDescent="0.35">
      <c r="A1984" s="5">
        <v>8100277086</v>
      </c>
      <c r="B1984" s="5">
        <v>21301</v>
      </c>
      <c r="C1984" s="6">
        <v>45672</v>
      </c>
      <c r="D1984" s="5" t="s">
        <v>836</v>
      </c>
      <c r="E1984" s="5" t="s">
        <v>837</v>
      </c>
      <c r="F1984" s="5" t="s">
        <v>39</v>
      </c>
      <c r="G1984" s="5" t="s">
        <v>40</v>
      </c>
      <c r="H1984" s="5" t="s">
        <v>21</v>
      </c>
      <c r="I1984" s="5" t="s">
        <v>781</v>
      </c>
      <c r="J1984" s="5" t="s">
        <v>260</v>
      </c>
      <c r="K1984" s="5" t="s">
        <v>24</v>
      </c>
      <c r="L1984" s="6">
        <v>45680</v>
      </c>
      <c r="M1984" s="6">
        <v>45683</v>
      </c>
      <c r="N1984" s="6" t="s">
        <v>811</v>
      </c>
      <c r="O1984" s="5" t="str">
        <f ca="1">IF(P1984&lt;&gt;"EXPEDIÇÃO","Expedido",IF(NETWORKDAYS(C1984,TODAY())&gt;=5,"Risco Alto",IF(NETWORKDAYS(C1984,TODAY())&gt;=3,IF(NETWORKDAYS(C1984,TODAY())&lt;5,"Risco Médio",""),IF(NETWORKDAYS(C1984,TODAY())&lt;=2,"Risco Baixo",""))))</f>
        <v>Expedido</v>
      </c>
      <c r="P1984" s="5" t="s">
        <v>25</v>
      </c>
      <c r="Q1984" s="5" t="s">
        <v>897</v>
      </c>
      <c r="S1984" s="7">
        <f>IF(ISBLANK(M1984),"Aguardando Previsão/Data",NETWORKDAYS(L1984,M1984)-1)</f>
        <v>1</v>
      </c>
      <c r="T1984" s="5" t="s">
        <v>942</v>
      </c>
    </row>
    <row r="1985" spans="1:20" x14ac:dyDescent="0.35">
      <c r="A1985" s="5">
        <v>8100277087</v>
      </c>
      <c r="B1985" s="5">
        <v>21302</v>
      </c>
      <c r="C1985" s="6">
        <v>45672</v>
      </c>
      <c r="D1985" s="5" t="s">
        <v>836</v>
      </c>
      <c r="E1985" s="5" t="s">
        <v>837</v>
      </c>
      <c r="F1985" s="5" t="s">
        <v>39</v>
      </c>
      <c r="G1985" s="5" t="s">
        <v>40</v>
      </c>
      <c r="H1985" s="5" t="s">
        <v>21</v>
      </c>
      <c r="I1985" s="5" t="s">
        <v>780</v>
      </c>
      <c r="J1985" s="5" t="s">
        <v>522</v>
      </c>
      <c r="K1985" s="5" t="s">
        <v>24</v>
      </c>
      <c r="L1985" s="6">
        <v>45680</v>
      </c>
      <c r="M1985" s="6">
        <v>45677</v>
      </c>
      <c r="N1985" s="6" t="s">
        <v>811</v>
      </c>
      <c r="O1985" s="5" t="str">
        <f ca="1">IF(P1985&lt;&gt;"EXPEDIÇÃO","Expedido",IF(NETWORKDAYS(C1985,TODAY())&gt;=5,"Risco Alto",IF(NETWORKDAYS(C1985,TODAY())&gt;=3,IF(NETWORKDAYS(C1985,TODAY())&lt;5,"Risco Médio",""),IF(NETWORKDAYS(C1985,TODAY())&lt;=2,"Risco Baixo",""))))</f>
        <v>Expedido</v>
      </c>
      <c r="P1985" s="5" t="s">
        <v>25</v>
      </c>
      <c r="S1985" s="7">
        <f>IF(ISBLANK(M1985),"Aguardando Previsão/Data",NETWORKDAYS(L1985,M1985)-1)</f>
        <v>-5</v>
      </c>
      <c r="T1985" s="5" t="s">
        <v>942</v>
      </c>
    </row>
    <row r="1986" spans="1:20" x14ac:dyDescent="0.35">
      <c r="A1986" s="5">
        <v>8100276692</v>
      </c>
      <c r="B1986" s="5">
        <v>10821</v>
      </c>
      <c r="C1986" s="6">
        <v>45672</v>
      </c>
      <c r="D1986" s="5" t="s">
        <v>239</v>
      </c>
      <c r="E1986" s="5" t="s">
        <v>240</v>
      </c>
      <c r="F1986" s="5" t="s">
        <v>176</v>
      </c>
      <c r="G1986" s="5" t="s">
        <v>177</v>
      </c>
      <c r="H1986" s="5" t="s">
        <v>218</v>
      </c>
      <c r="I1986" s="5" t="s">
        <v>1320</v>
      </c>
      <c r="J1986" s="5" t="s">
        <v>1319</v>
      </c>
      <c r="K1986" s="5" t="s">
        <v>241</v>
      </c>
      <c r="L1986" s="6">
        <v>45679</v>
      </c>
      <c r="M1986" s="6">
        <v>45678</v>
      </c>
      <c r="N1986" s="6" t="s">
        <v>811</v>
      </c>
      <c r="O1986" s="5" t="str">
        <f ca="1">IF(P1986&lt;&gt;"EXPEDIÇÃO","Expedido",IF(NETWORKDAYS(C1986,TODAY())&gt;=5,"Risco Alto",IF(NETWORKDAYS(C1986,TODAY())&gt;=3,IF(NETWORKDAYS(C1986,TODAY())&lt;5,"Risco Médio",""),IF(NETWORKDAYS(C1986,TODAY())&lt;=2,"Risco Baixo",""))))</f>
        <v>Expedido</v>
      </c>
      <c r="P1986" s="5" t="s">
        <v>25</v>
      </c>
      <c r="Q1986" s="5" t="s">
        <v>793</v>
      </c>
      <c r="S1986" s="7">
        <f>IF(ISBLANK(M1986),"Aguardando Previsão/Data",NETWORKDAYS(L1986,M1986)-1)</f>
        <v>-3</v>
      </c>
      <c r="T1986" s="5" t="s">
        <v>942</v>
      </c>
    </row>
    <row r="1987" spans="1:20" x14ac:dyDescent="0.35">
      <c r="A1987" s="5">
        <v>8100277022</v>
      </c>
      <c r="B1987" s="5">
        <v>10809</v>
      </c>
      <c r="C1987" s="6">
        <v>45672</v>
      </c>
      <c r="D1987" s="5" t="s">
        <v>239</v>
      </c>
      <c r="E1987" s="5" t="s">
        <v>240</v>
      </c>
      <c r="F1987" s="5" t="s">
        <v>176</v>
      </c>
      <c r="G1987" s="5" t="s">
        <v>177</v>
      </c>
      <c r="H1987" s="5" t="s">
        <v>218</v>
      </c>
      <c r="I1987" s="5" t="s">
        <v>1341</v>
      </c>
      <c r="J1987" s="5" t="s">
        <v>797</v>
      </c>
      <c r="K1987" s="5" t="s">
        <v>241</v>
      </c>
      <c r="L1987" s="6">
        <v>45679</v>
      </c>
      <c r="M1987" s="6">
        <v>45679</v>
      </c>
      <c r="N1987" s="6" t="s">
        <v>811</v>
      </c>
      <c r="O1987" s="5" t="str">
        <f ca="1">IF(P1987&lt;&gt;"EXPEDIÇÃO","Expedido",IF(NETWORKDAYS(C1987,TODAY())&gt;=5,"Risco Alto",IF(NETWORKDAYS(C1987,TODAY())&gt;=3,IF(NETWORKDAYS(C1987,TODAY())&lt;5,"Risco Médio",""),IF(NETWORKDAYS(C1987,TODAY())&lt;=2,"Risco Baixo",""))))</f>
        <v>Expedido</v>
      </c>
      <c r="P1987" s="5" t="s">
        <v>25</v>
      </c>
      <c r="Q1987" s="5" t="s">
        <v>793</v>
      </c>
      <c r="S1987" s="7">
        <f>IF(ISBLANK(M1987),"Aguardando Previsão/Data",NETWORKDAYS(L1987,M1987)-1)</f>
        <v>0</v>
      </c>
      <c r="T1987" s="5" t="s">
        <v>942</v>
      </c>
    </row>
    <row r="1988" spans="1:20" x14ac:dyDescent="0.35">
      <c r="A1988" s="5">
        <v>8100277394</v>
      </c>
      <c r="B1988" s="5">
        <v>10810</v>
      </c>
      <c r="C1988" s="6">
        <v>45672</v>
      </c>
      <c r="D1988" s="5" t="s">
        <v>239</v>
      </c>
      <c r="E1988" s="5" t="s">
        <v>240</v>
      </c>
      <c r="F1988" s="5" t="s">
        <v>242</v>
      </c>
      <c r="G1988" s="5" t="s">
        <v>243</v>
      </c>
      <c r="H1988" s="5" t="s">
        <v>218</v>
      </c>
      <c r="I1988" s="5" t="s">
        <v>354</v>
      </c>
      <c r="J1988" s="5" t="s">
        <v>355</v>
      </c>
      <c r="K1988" s="5" t="s">
        <v>241</v>
      </c>
      <c r="L1988" s="6">
        <v>45678</v>
      </c>
      <c r="M1988" s="6">
        <v>45679</v>
      </c>
      <c r="N1988" s="6" t="s">
        <v>811</v>
      </c>
      <c r="O1988" s="5" t="str">
        <f ca="1">IF(P1988&lt;&gt;"EXPEDIÇÃO","Expedido",IF(NETWORKDAYS(C1988,TODAY())&gt;=5,"Risco Alto",IF(NETWORKDAYS(C1988,TODAY())&gt;=3,IF(NETWORKDAYS(C1988,TODAY())&lt;5,"Risco Médio",""),IF(NETWORKDAYS(C1988,TODAY())&lt;=2,"Risco Baixo",""))))</f>
        <v>Expedido</v>
      </c>
      <c r="P1988" s="5" t="s">
        <v>25</v>
      </c>
      <c r="Q1988" s="5" t="s">
        <v>897</v>
      </c>
      <c r="S1988" s="7">
        <f>IF(ISBLANK(M1988),"Aguardando Previsão/Data",NETWORKDAYS(L1988,M1988)-1)</f>
        <v>1</v>
      </c>
      <c r="T1988" s="5" t="s">
        <v>942</v>
      </c>
    </row>
    <row r="1989" spans="1:20" x14ac:dyDescent="0.35">
      <c r="A1989" s="5">
        <v>8100277630</v>
      </c>
      <c r="B1989" s="5">
        <v>10822</v>
      </c>
      <c r="C1989" s="6">
        <v>45672</v>
      </c>
      <c r="D1989" s="5" t="s">
        <v>239</v>
      </c>
      <c r="E1989" s="5" t="s">
        <v>240</v>
      </c>
      <c r="F1989" s="5" t="s">
        <v>160</v>
      </c>
      <c r="G1989" s="5" t="s">
        <v>161</v>
      </c>
      <c r="H1989" s="5" t="s">
        <v>218</v>
      </c>
      <c r="I1989" s="5" t="s">
        <v>1100</v>
      </c>
      <c r="J1989" s="5" t="s">
        <v>161</v>
      </c>
      <c r="K1989" s="5" t="s">
        <v>241</v>
      </c>
      <c r="L1989" s="6">
        <v>45678</v>
      </c>
      <c r="M1989" s="6">
        <v>45678</v>
      </c>
      <c r="N1989" s="6" t="s">
        <v>811</v>
      </c>
      <c r="O1989" s="5" t="str">
        <f ca="1">IF(P1989&lt;&gt;"EXPEDIÇÃO","Expedido",IF(NETWORKDAYS(C1989,TODAY())&gt;=5,"Risco Alto",IF(NETWORKDAYS(C1989,TODAY())&gt;=3,IF(NETWORKDAYS(C1989,TODAY())&lt;5,"Risco Médio",""),IF(NETWORKDAYS(C1989,TODAY())&lt;=2,"Risco Baixo",""))))</f>
        <v>Expedido</v>
      </c>
      <c r="P1989" s="5" t="s">
        <v>25</v>
      </c>
      <c r="Q1989" s="5" t="s">
        <v>793</v>
      </c>
      <c r="S1989" s="7">
        <f>IF(ISBLANK(M1989),"Aguardando Previsão/Data",NETWORKDAYS(L1989,M1989)-1)</f>
        <v>0</v>
      </c>
      <c r="T1989" s="5" t="s">
        <v>942</v>
      </c>
    </row>
    <row r="1990" spans="1:20" x14ac:dyDescent="0.35">
      <c r="A1990" s="5">
        <v>8100277790</v>
      </c>
      <c r="B1990" s="5">
        <v>10823</v>
      </c>
      <c r="C1990" s="6">
        <v>45672</v>
      </c>
      <c r="D1990" s="5" t="s">
        <v>239</v>
      </c>
      <c r="E1990" s="5" t="s">
        <v>240</v>
      </c>
      <c r="F1990" s="5" t="s">
        <v>242</v>
      </c>
      <c r="G1990" s="5" t="s">
        <v>243</v>
      </c>
      <c r="H1990" s="5" t="s">
        <v>218</v>
      </c>
      <c r="I1990" s="5" t="s">
        <v>630</v>
      </c>
      <c r="J1990" s="5" t="s">
        <v>631</v>
      </c>
      <c r="K1990" s="5" t="s">
        <v>241</v>
      </c>
      <c r="L1990" s="6">
        <v>45679</v>
      </c>
      <c r="M1990" s="6">
        <v>45678</v>
      </c>
      <c r="N1990" s="6" t="s">
        <v>811</v>
      </c>
      <c r="O1990" s="5" t="str">
        <f ca="1">IF(P1990&lt;&gt;"EXPEDIÇÃO","Expedido",IF(NETWORKDAYS(C1990,TODAY())&gt;=5,"Risco Alto",IF(NETWORKDAYS(C1990,TODAY())&gt;=3,IF(NETWORKDAYS(C1990,TODAY())&lt;5,"Risco Médio",""),IF(NETWORKDAYS(C1990,TODAY())&lt;=2,"Risco Baixo",""))))</f>
        <v>Expedido</v>
      </c>
      <c r="P1990" s="5" t="s">
        <v>25</v>
      </c>
      <c r="Q1990" s="5" t="s">
        <v>793</v>
      </c>
      <c r="S1990" s="7">
        <f>IF(ISBLANK(M1990),"Aguardando Previsão/Data",NETWORKDAYS(L1990,M1990)-1)</f>
        <v>-3</v>
      </c>
      <c r="T1990" s="5" t="s">
        <v>942</v>
      </c>
    </row>
    <row r="1991" spans="1:20" x14ac:dyDescent="0.35">
      <c r="A1991" s="5">
        <v>8100277791</v>
      </c>
      <c r="B1991" s="5">
        <v>10824</v>
      </c>
      <c r="C1991" s="6">
        <v>45672</v>
      </c>
      <c r="D1991" s="5" t="s">
        <v>239</v>
      </c>
      <c r="E1991" s="5" t="s">
        <v>240</v>
      </c>
      <c r="F1991" s="5" t="s">
        <v>242</v>
      </c>
      <c r="G1991" s="5" t="s">
        <v>243</v>
      </c>
      <c r="H1991" s="5" t="s">
        <v>218</v>
      </c>
      <c r="I1991" s="5" t="s">
        <v>630</v>
      </c>
      <c r="J1991" s="5" t="s">
        <v>631</v>
      </c>
      <c r="K1991" s="5" t="s">
        <v>241</v>
      </c>
      <c r="L1991" s="6">
        <v>45679</v>
      </c>
      <c r="M1991" s="6">
        <v>45678</v>
      </c>
      <c r="N1991" s="6" t="s">
        <v>811</v>
      </c>
      <c r="O1991" s="5" t="str">
        <f ca="1">IF(P1991&lt;&gt;"EXPEDIÇÃO","Expedido",IF(NETWORKDAYS(C1991,TODAY())&gt;=5,"Risco Alto",IF(NETWORKDAYS(C1991,TODAY())&gt;=3,IF(NETWORKDAYS(C1991,TODAY())&lt;5,"Risco Médio",""),IF(NETWORKDAYS(C1991,TODAY())&lt;=2,"Risco Baixo",""))))</f>
        <v>Expedido</v>
      </c>
      <c r="P1991" s="5" t="s">
        <v>25</v>
      </c>
      <c r="Q1991" s="5" t="s">
        <v>793</v>
      </c>
      <c r="S1991" s="7">
        <f>IF(ISBLANK(M1991),"Aguardando Previsão/Data",NETWORKDAYS(L1991,M1991)-1)</f>
        <v>-3</v>
      </c>
      <c r="T1991" s="5" t="s">
        <v>942</v>
      </c>
    </row>
    <row r="1992" spans="1:20" x14ac:dyDescent="0.35">
      <c r="A1992" s="5">
        <v>8100277792</v>
      </c>
      <c r="B1992" s="5">
        <v>10825</v>
      </c>
      <c r="C1992" s="6">
        <v>45672</v>
      </c>
      <c r="D1992" s="5" t="s">
        <v>239</v>
      </c>
      <c r="E1992" s="5" t="s">
        <v>240</v>
      </c>
      <c r="F1992" s="5" t="s">
        <v>160</v>
      </c>
      <c r="G1992" s="5" t="s">
        <v>161</v>
      </c>
      <c r="H1992" s="5" t="s">
        <v>218</v>
      </c>
      <c r="I1992" s="5" t="s">
        <v>1100</v>
      </c>
      <c r="J1992" s="5" t="s">
        <v>161</v>
      </c>
      <c r="K1992" s="5" t="s">
        <v>241</v>
      </c>
      <c r="L1992" s="6">
        <v>45678</v>
      </c>
      <c r="M1992" s="6">
        <v>45678</v>
      </c>
      <c r="N1992" s="6" t="s">
        <v>811</v>
      </c>
      <c r="O1992" s="5" t="str">
        <f ca="1">IF(P1992&lt;&gt;"EXPEDIÇÃO","Expedido",IF(NETWORKDAYS(C1992,TODAY())&gt;=5,"Risco Alto",IF(NETWORKDAYS(C1992,TODAY())&gt;=3,IF(NETWORKDAYS(C1992,TODAY())&lt;5,"Risco Médio",""),IF(NETWORKDAYS(C1992,TODAY())&lt;=2,"Risco Baixo",""))))</f>
        <v>Expedido</v>
      </c>
      <c r="P1992" s="5" t="s">
        <v>25</v>
      </c>
      <c r="Q1992" s="5" t="s">
        <v>793</v>
      </c>
      <c r="S1992" s="7">
        <f>IF(ISBLANK(M1992),"Aguardando Previsão/Data",NETWORKDAYS(L1992,M1992)-1)</f>
        <v>0</v>
      </c>
      <c r="T1992" s="5" t="s">
        <v>942</v>
      </c>
    </row>
    <row r="1993" spans="1:20" x14ac:dyDescent="0.35">
      <c r="A1993" s="5">
        <v>8100277793</v>
      </c>
      <c r="B1993" s="5">
        <v>10826</v>
      </c>
      <c r="C1993" s="6">
        <v>45672</v>
      </c>
      <c r="D1993" s="5" t="s">
        <v>239</v>
      </c>
      <c r="E1993" s="5" t="s">
        <v>240</v>
      </c>
      <c r="F1993" s="5" t="s">
        <v>160</v>
      </c>
      <c r="G1993" s="5" t="s">
        <v>161</v>
      </c>
      <c r="H1993" s="5" t="s">
        <v>218</v>
      </c>
      <c r="I1993" s="5" t="s">
        <v>1100</v>
      </c>
      <c r="J1993" s="5" t="s">
        <v>161</v>
      </c>
      <c r="K1993" s="5" t="s">
        <v>241</v>
      </c>
      <c r="L1993" s="6">
        <v>45678</v>
      </c>
      <c r="M1993" s="6">
        <v>45678</v>
      </c>
      <c r="N1993" s="6" t="s">
        <v>811</v>
      </c>
      <c r="O1993" s="5" t="str">
        <f ca="1">IF(P1993&lt;&gt;"EXPEDIÇÃO","Expedido",IF(NETWORKDAYS(C1993,TODAY())&gt;=5,"Risco Alto",IF(NETWORKDAYS(C1993,TODAY())&gt;=3,IF(NETWORKDAYS(C1993,TODAY())&lt;5,"Risco Médio",""),IF(NETWORKDAYS(C1993,TODAY())&lt;=2,"Risco Baixo",""))))</f>
        <v>Expedido</v>
      </c>
      <c r="P1993" s="5" t="s">
        <v>25</v>
      </c>
      <c r="Q1993" s="5" t="s">
        <v>793</v>
      </c>
      <c r="S1993" s="7">
        <f>IF(ISBLANK(M1993),"Aguardando Previsão/Data",NETWORKDAYS(L1993,M1993)-1)</f>
        <v>0</v>
      </c>
      <c r="T1993" s="5" t="s">
        <v>942</v>
      </c>
    </row>
    <row r="1994" spans="1:20" x14ac:dyDescent="0.35">
      <c r="A1994" s="5">
        <v>8100277794</v>
      </c>
      <c r="B1994" s="5">
        <v>10820</v>
      </c>
      <c r="C1994" s="6">
        <v>45672</v>
      </c>
      <c r="D1994" s="5" t="s">
        <v>239</v>
      </c>
      <c r="E1994" s="5" t="s">
        <v>240</v>
      </c>
      <c r="F1994" s="5" t="s">
        <v>176</v>
      </c>
      <c r="G1994" s="5" t="s">
        <v>177</v>
      </c>
      <c r="H1994" s="5" t="s">
        <v>218</v>
      </c>
      <c r="I1994" s="5" t="s">
        <v>546</v>
      </c>
      <c r="J1994" s="5" t="s">
        <v>355</v>
      </c>
      <c r="K1994" s="5" t="s">
        <v>241</v>
      </c>
      <c r="L1994" s="6">
        <v>45678</v>
      </c>
      <c r="M1994" s="6">
        <v>45672</v>
      </c>
      <c r="N1994" s="6" t="s">
        <v>811</v>
      </c>
      <c r="O1994" s="5" t="str">
        <f ca="1">IF(P1994&lt;&gt;"EXPEDIÇÃO","Expedido",IF(NETWORKDAYS(C1994,TODAY())&gt;=5,"Risco Alto",IF(NETWORKDAYS(C1994,TODAY())&gt;=3,IF(NETWORKDAYS(C1994,TODAY())&lt;5,"Risco Médio",""),IF(NETWORKDAYS(C1994,TODAY())&lt;=2,"Risco Baixo",""))))</f>
        <v>Expedido</v>
      </c>
      <c r="P1994" s="5" t="s">
        <v>25</v>
      </c>
      <c r="Q1994" s="5" t="s">
        <v>900</v>
      </c>
      <c r="S1994" s="7">
        <f>IF(ISBLANK(M1994),"Aguardando Previsão/Data",NETWORKDAYS(L1994,M1994)-1)</f>
        <v>-6</v>
      </c>
      <c r="T1994" s="5" t="s">
        <v>942</v>
      </c>
    </row>
    <row r="1995" spans="1:20" x14ac:dyDescent="0.35">
      <c r="A1995" s="5">
        <v>8100277621</v>
      </c>
      <c r="B1995" s="5">
        <v>19324</v>
      </c>
      <c r="C1995" s="6">
        <v>45672</v>
      </c>
      <c r="D1995" s="5" t="s">
        <v>106</v>
      </c>
      <c r="E1995" s="5" t="s">
        <v>107</v>
      </c>
      <c r="F1995" s="5" t="s">
        <v>58</v>
      </c>
      <c r="G1995" s="5" t="s">
        <v>59</v>
      </c>
      <c r="H1995" s="5" t="s">
        <v>218</v>
      </c>
      <c r="I1995" s="5" t="s">
        <v>237</v>
      </c>
      <c r="J1995" s="5" t="s">
        <v>220</v>
      </c>
      <c r="K1995" s="5" t="s">
        <v>221</v>
      </c>
      <c r="L1995" s="6">
        <v>45687</v>
      </c>
      <c r="M1995" s="6">
        <v>45685</v>
      </c>
      <c r="N1995" s="6" t="s">
        <v>811</v>
      </c>
      <c r="O1995" s="5" t="str">
        <f ca="1">IF(P1995&lt;&gt;"EXPEDIÇÃO","Expedido",IF(NETWORKDAYS(C1995,TODAY())&gt;=5,"Risco Alto",IF(NETWORKDAYS(C1995,TODAY())&gt;=3,IF(NETWORKDAYS(C1995,TODAY())&lt;5,"Risco Médio",""),IF(NETWORKDAYS(C1995,TODAY())&lt;=2,"Risco Baixo",""))))</f>
        <v>Expedido</v>
      </c>
      <c r="P1995" s="5" t="s">
        <v>25</v>
      </c>
      <c r="S1995" s="7">
        <f>IF(ISBLANK(M1995),"Aguardando Previsão/Data",NETWORKDAYS(L1995,M1995)-1)</f>
        <v>-4</v>
      </c>
      <c r="T1995" s="5" t="s">
        <v>942</v>
      </c>
    </row>
    <row r="1996" spans="1:20" x14ac:dyDescent="0.35">
      <c r="A1996" s="5">
        <v>8100277990</v>
      </c>
      <c r="B1996" s="11">
        <v>19326</v>
      </c>
      <c r="C1996" s="6">
        <v>45672</v>
      </c>
      <c r="D1996" s="5" t="s">
        <v>106</v>
      </c>
      <c r="E1996" s="5" t="s">
        <v>107</v>
      </c>
      <c r="F1996" s="5" t="s">
        <v>58</v>
      </c>
      <c r="G1996" s="5" t="s">
        <v>59</v>
      </c>
      <c r="H1996" s="5" t="s">
        <v>218</v>
      </c>
      <c r="I1996" s="5" t="s">
        <v>230</v>
      </c>
      <c r="J1996" s="5" t="s">
        <v>684</v>
      </c>
      <c r="K1996" s="5" t="s">
        <v>238</v>
      </c>
      <c r="L1996" s="6">
        <v>45691</v>
      </c>
      <c r="O1996" s="5" t="str">
        <f ca="1">IF(P1996&lt;&gt;"EXPEDIÇÃO","Expedido",IF(NETWORKDAYS(C1996,TODAY())&gt;=5,"Risco Alto",IF(NETWORKDAYS(C1996,TODAY())&gt;=3,IF(NETWORKDAYS(C1996,TODAY())&lt;5,"Risco Médio",""),IF(NETWORKDAYS(C1996,TODAY())&lt;=2,"Risco Baixo",""))))</f>
        <v>Expedido</v>
      </c>
      <c r="P1996" s="5" t="s">
        <v>629</v>
      </c>
      <c r="R1996" s="5" t="s">
        <v>1522</v>
      </c>
      <c r="S1996" s="7" t="str">
        <f>IF(ISBLANK(M1996),"Aguardando Previsão/Data",NETWORKDAYS(L1996,M1996)-1)</f>
        <v>Aguardando Previsão/Data</v>
      </c>
      <c r="T1996" s="5" t="s">
        <v>942</v>
      </c>
    </row>
    <row r="1997" spans="1:20" x14ac:dyDescent="0.35">
      <c r="A1997" s="5">
        <v>8100277991</v>
      </c>
      <c r="B1997" s="11">
        <v>19327</v>
      </c>
      <c r="C1997" s="6">
        <v>45672</v>
      </c>
      <c r="D1997" s="5" t="s">
        <v>106</v>
      </c>
      <c r="E1997" s="5" t="s">
        <v>107</v>
      </c>
      <c r="F1997" s="5" t="s">
        <v>58</v>
      </c>
      <c r="G1997" s="5" t="s">
        <v>59</v>
      </c>
      <c r="H1997" s="5" t="s">
        <v>218</v>
      </c>
      <c r="I1997" s="5" t="s">
        <v>520</v>
      </c>
      <c r="J1997" s="5" t="s">
        <v>684</v>
      </c>
      <c r="K1997" s="5" t="s">
        <v>238</v>
      </c>
      <c r="L1997" s="6">
        <v>45691</v>
      </c>
      <c r="O1997" s="5" t="str">
        <f ca="1">IF(P1997&lt;&gt;"EXPEDIÇÃO","Expedido",IF(NETWORKDAYS(C1997,TODAY())&gt;=5,"Risco Alto",IF(NETWORKDAYS(C1997,TODAY())&gt;=3,IF(NETWORKDAYS(C1997,TODAY())&lt;5,"Risco Médio",""),IF(NETWORKDAYS(C1997,TODAY())&lt;=2,"Risco Baixo",""))))</f>
        <v>Expedido</v>
      </c>
      <c r="P1997" s="5" t="s">
        <v>629</v>
      </c>
      <c r="R1997" s="5" t="s">
        <v>1522</v>
      </c>
      <c r="S1997" s="7" t="str">
        <f>IF(ISBLANK(M1997),"Aguardando Previsão/Data",NETWORKDAYS(L1997,M1997)-1)</f>
        <v>Aguardando Previsão/Data</v>
      </c>
      <c r="T1997" s="5" t="s">
        <v>942</v>
      </c>
    </row>
    <row r="1998" spans="1:20" x14ac:dyDescent="0.35">
      <c r="A1998" s="5">
        <v>8100277992</v>
      </c>
      <c r="B1998" s="11">
        <v>19322</v>
      </c>
      <c r="C1998" s="6">
        <v>45672</v>
      </c>
      <c r="D1998" s="5" t="s">
        <v>106</v>
      </c>
      <c r="E1998" s="5" t="s">
        <v>107</v>
      </c>
      <c r="F1998" s="5" t="s">
        <v>58</v>
      </c>
      <c r="G1998" s="5" t="s">
        <v>59</v>
      </c>
      <c r="H1998" s="5" t="s">
        <v>218</v>
      </c>
      <c r="I1998" s="5" t="s">
        <v>317</v>
      </c>
      <c r="J1998" s="5" t="s">
        <v>770</v>
      </c>
      <c r="K1998" s="5" t="s">
        <v>238</v>
      </c>
      <c r="L1998" s="6">
        <v>45691</v>
      </c>
      <c r="O1998" s="5" t="str">
        <f ca="1">IF(P1998&lt;&gt;"EXPEDIÇÃO","Expedido",IF(NETWORKDAYS(C1998,TODAY())&gt;=5,"Risco Alto",IF(NETWORKDAYS(C1998,TODAY())&gt;=3,IF(NETWORKDAYS(C1998,TODAY())&lt;5,"Risco Médio",""),IF(NETWORKDAYS(C1998,TODAY())&lt;=2,"Risco Baixo",""))))</f>
        <v>Expedido</v>
      </c>
      <c r="P1998" s="5" t="s">
        <v>629</v>
      </c>
      <c r="R1998" s="5" t="s">
        <v>1522</v>
      </c>
      <c r="S1998" s="7" t="str">
        <f>IF(ISBLANK(M1998),"Aguardando Previsão/Data",NETWORKDAYS(L1998,M1998)-1)</f>
        <v>Aguardando Previsão/Data</v>
      </c>
      <c r="T1998" s="5" t="s">
        <v>942</v>
      </c>
    </row>
    <row r="1999" spans="1:20" x14ac:dyDescent="0.35">
      <c r="A1999" s="5">
        <v>8100277993</v>
      </c>
      <c r="B1999" s="11">
        <v>19325</v>
      </c>
      <c r="C1999" s="6">
        <v>45672</v>
      </c>
      <c r="D1999" s="5" t="s">
        <v>106</v>
      </c>
      <c r="E1999" s="5" t="s">
        <v>107</v>
      </c>
      <c r="F1999" s="5" t="s">
        <v>58</v>
      </c>
      <c r="G1999" s="5" t="s">
        <v>59</v>
      </c>
      <c r="H1999" s="5" t="s">
        <v>218</v>
      </c>
      <c r="I1999" s="5" t="s">
        <v>412</v>
      </c>
      <c r="J1999" s="5" t="s">
        <v>413</v>
      </c>
      <c r="K1999" s="5" t="s">
        <v>238</v>
      </c>
      <c r="L1999" s="6">
        <v>45692</v>
      </c>
      <c r="O1999" s="5" t="str">
        <f ca="1">IF(P1999&lt;&gt;"EXPEDIÇÃO","Expedido",IF(NETWORKDAYS(C1999,TODAY())&gt;=5,"Risco Alto",IF(NETWORKDAYS(C1999,TODAY())&gt;=3,IF(NETWORKDAYS(C1999,TODAY())&lt;5,"Risco Médio",""),IF(NETWORKDAYS(C1999,TODAY())&lt;=2,"Risco Baixo",""))))</f>
        <v>Expedido</v>
      </c>
      <c r="P1999" s="5" t="s">
        <v>629</v>
      </c>
      <c r="R1999" s="5" t="s">
        <v>1522</v>
      </c>
      <c r="S1999" s="7" t="str">
        <f>IF(ISBLANK(M1999),"Aguardando Previsão/Data",NETWORKDAYS(L1999,M1999)-1)</f>
        <v>Aguardando Previsão/Data</v>
      </c>
      <c r="T1999" s="5" t="s">
        <v>942</v>
      </c>
    </row>
    <row r="2000" spans="1:20" x14ac:dyDescent="0.35">
      <c r="A2000" s="5">
        <v>8100277999</v>
      </c>
      <c r="B2000" s="11">
        <v>19323</v>
      </c>
      <c r="C2000" s="6">
        <v>45672</v>
      </c>
      <c r="D2000" s="5" t="s">
        <v>106</v>
      </c>
      <c r="E2000" s="5" t="s">
        <v>107</v>
      </c>
      <c r="F2000" s="5" t="s">
        <v>58</v>
      </c>
      <c r="G2000" s="5" t="s">
        <v>59</v>
      </c>
      <c r="H2000" s="5" t="s">
        <v>218</v>
      </c>
      <c r="I2000" s="5" t="s">
        <v>384</v>
      </c>
      <c r="J2000" s="5" t="s">
        <v>487</v>
      </c>
      <c r="K2000" s="5" t="s">
        <v>226</v>
      </c>
      <c r="L2000" s="6">
        <v>45691</v>
      </c>
      <c r="O2000" s="5" t="str">
        <f ca="1">IF(P2000&lt;&gt;"EXPEDIÇÃO","Expedido",IF(NETWORKDAYS(C2000,TODAY())&gt;=5,"Risco Alto",IF(NETWORKDAYS(C2000,TODAY())&gt;=3,IF(NETWORKDAYS(C2000,TODAY())&lt;5,"Risco Médio",""),IF(NETWORKDAYS(C2000,TODAY())&lt;=2,"Risco Baixo",""))))</f>
        <v>Expedido</v>
      </c>
      <c r="P2000" s="5" t="s">
        <v>629</v>
      </c>
      <c r="R2000" s="5" t="s">
        <v>1522</v>
      </c>
      <c r="S2000" s="7" t="str">
        <f>IF(ISBLANK(M2000),"Aguardando Previsão/Data",NETWORKDAYS(L2000,M2000)-1)</f>
        <v>Aguardando Previsão/Data</v>
      </c>
      <c r="T2000" s="5" t="s">
        <v>942</v>
      </c>
    </row>
    <row r="2001" spans="1:20" x14ac:dyDescent="0.35">
      <c r="A2001" s="5">
        <v>8100278001</v>
      </c>
      <c r="B2001" s="11">
        <v>19328</v>
      </c>
      <c r="C2001" s="6">
        <v>45672</v>
      </c>
      <c r="D2001" s="5" t="s">
        <v>106</v>
      </c>
      <c r="E2001" s="5" t="s">
        <v>107</v>
      </c>
      <c r="F2001" s="5" t="s">
        <v>58</v>
      </c>
      <c r="G2001" s="5" t="s">
        <v>59</v>
      </c>
      <c r="H2001" s="5" t="s">
        <v>218</v>
      </c>
      <c r="I2001" s="5" t="s">
        <v>520</v>
      </c>
      <c r="J2001" s="5" t="s">
        <v>684</v>
      </c>
      <c r="K2001" s="5" t="s">
        <v>238</v>
      </c>
      <c r="L2001" s="6">
        <v>45691</v>
      </c>
      <c r="O2001" s="5" t="str">
        <f ca="1">IF(P2001&lt;&gt;"EXPEDIÇÃO","Expedido",IF(NETWORKDAYS(C2001,TODAY())&gt;=5,"Risco Alto",IF(NETWORKDAYS(C2001,TODAY())&gt;=3,IF(NETWORKDAYS(C2001,TODAY())&lt;5,"Risco Médio",""),IF(NETWORKDAYS(C2001,TODAY())&lt;=2,"Risco Baixo",""))))</f>
        <v>Expedido</v>
      </c>
      <c r="P2001" s="5" t="s">
        <v>629</v>
      </c>
      <c r="R2001" s="5" t="s">
        <v>1522</v>
      </c>
      <c r="S2001" s="7" t="str">
        <f>IF(ISBLANK(M2001),"Aguardando Previsão/Data",NETWORKDAYS(L2001,M2001)-1)</f>
        <v>Aguardando Previsão/Data</v>
      </c>
      <c r="T2001" s="5" t="s">
        <v>942</v>
      </c>
    </row>
    <row r="2002" spans="1:20" x14ac:dyDescent="0.35">
      <c r="A2002" s="5">
        <v>8100276175</v>
      </c>
      <c r="B2002" s="5">
        <v>19295</v>
      </c>
      <c r="C2002" s="6">
        <v>45672</v>
      </c>
      <c r="D2002" s="5" t="s">
        <v>106</v>
      </c>
      <c r="E2002" s="5" t="s">
        <v>107</v>
      </c>
      <c r="F2002" s="5" t="s">
        <v>58</v>
      </c>
      <c r="G2002" s="5" t="s">
        <v>59</v>
      </c>
      <c r="H2002" s="5" t="s">
        <v>108</v>
      </c>
      <c r="I2002" s="5" t="s">
        <v>140</v>
      </c>
      <c r="J2002" s="5" t="s">
        <v>141</v>
      </c>
      <c r="K2002" s="5" t="s">
        <v>110</v>
      </c>
      <c r="L2002" s="6">
        <v>45678</v>
      </c>
      <c r="M2002" s="6">
        <v>45672</v>
      </c>
      <c r="N2002" s="6" t="s">
        <v>811</v>
      </c>
      <c r="O2002" s="5" t="str">
        <f ca="1">IF(P2002&lt;&gt;"EXPEDIÇÃO","Expedido",IF(NETWORKDAYS(C2002,TODAY())&gt;=5,"Risco Alto",IF(NETWORKDAYS(C2002,TODAY())&gt;=3,IF(NETWORKDAYS(C2002,TODAY())&lt;5,"Risco Médio",""),IF(NETWORKDAYS(C2002,TODAY())&lt;=2,"Risco Baixo",""))))</f>
        <v>Expedido</v>
      </c>
      <c r="P2002" s="5" t="s">
        <v>25</v>
      </c>
      <c r="Q2002" s="5" t="s">
        <v>900</v>
      </c>
      <c r="S2002" s="7">
        <f>IF(ISBLANK(M2002),"Aguardando Previsão/Data",NETWORKDAYS(L2002,M2002)-1)</f>
        <v>-6</v>
      </c>
      <c r="T2002" s="5" t="s">
        <v>942</v>
      </c>
    </row>
    <row r="2003" spans="1:20" x14ac:dyDescent="0.35">
      <c r="A2003" s="5">
        <v>8100276784</v>
      </c>
      <c r="B2003" s="5">
        <v>19289</v>
      </c>
      <c r="C2003" s="6">
        <v>45672</v>
      </c>
      <c r="D2003" s="5" t="s">
        <v>106</v>
      </c>
      <c r="E2003" s="5" t="s">
        <v>107</v>
      </c>
      <c r="F2003" s="5" t="s">
        <v>69</v>
      </c>
      <c r="G2003" s="5" t="s">
        <v>70</v>
      </c>
      <c r="H2003" s="5" t="s">
        <v>108</v>
      </c>
      <c r="I2003" s="5" t="s">
        <v>284</v>
      </c>
      <c r="J2003" s="5" t="s">
        <v>286</v>
      </c>
      <c r="K2003" s="5" t="s">
        <v>110</v>
      </c>
      <c r="L2003" s="6">
        <v>45679</v>
      </c>
      <c r="M2003" s="6">
        <v>45679</v>
      </c>
      <c r="N2003" s="6" t="s">
        <v>811</v>
      </c>
      <c r="O2003" s="5" t="str">
        <f ca="1">IF(P2003&lt;&gt;"EXPEDIÇÃO","Expedido",IF(NETWORKDAYS(C2003,TODAY())&gt;=5,"Risco Alto",IF(NETWORKDAYS(C2003,TODAY())&gt;=3,IF(NETWORKDAYS(C2003,TODAY())&lt;5,"Risco Médio",""),IF(NETWORKDAYS(C2003,TODAY())&lt;=2,"Risco Baixo",""))))</f>
        <v>Expedido</v>
      </c>
      <c r="P2003" s="5" t="s">
        <v>25</v>
      </c>
      <c r="S2003" s="7">
        <f>IF(ISBLANK(M2003),"Aguardando Previsão/Data",NETWORKDAYS(L2003,M2003)-1)</f>
        <v>0</v>
      </c>
      <c r="T2003" s="5" t="s">
        <v>942</v>
      </c>
    </row>
    <row r="2004" spans="1:20" x14ac:dyDescent="0.35">
      <c r="A2004" s="5">
        <v>8100277067</v>
      </c>
      <c r="B2004" s="5">
        <v>19291</v>
      </c>
      <c r="C2004" s="6">
        <v>45672</v>
      </c>
      <c r="D2004" s="5" t="s">
        <v>106</v>
      </c>
      <c r="E2004" s="5" t="s">
        <v>107</v>
      </c>
      <c r="F2004" s="5" t="s">
        <v>66</v>
      </c>
      <c r="G2004" s="5" t="s">
        <v>67</v>
      </c>
      <c r="H2004" s="5" t="s">
        <v>108</v>
      </c>
      <c r="I2004" s="5" t="s">
        <v>157</v>
      </c>
      <c r="J2004" s="5" t="s">
        <v>114</v>
      </c>
      <c r="K2004" s="5" t="s">
        <v>110</v>
      </c>
      <c r="L2004" s="6">
        <v>45680</v>
      </c>
      <c r="M2004" s="6">
        <v>45678</v>
      </c>
      <c r="N2004" s="6" t="s">
        <v>811</v>
      </c>
      <c r="O2004" s="5" t="str">
        <f ca="1">IF(P2004&lt;&gt;"EXPEDIÇÃO","Expedido",IF(NETWORKDAYS(C2004,TODAY())&gt;=5,"Risco Alto",IF(NETWORKDAYS(C2004,TODAY())&gt;=3,IF(NETWORKDAYS(C2004,TODAY())&lt;5,"Risco Médio",""),IF(NETWORKDAYS(C2004,TODAY())&lt;=2,"Risco Baixo",""))))</f>
        <v>Expedido</v>
      </c>
      <c r="P2004" s="5" t="s">
        <v>25</v>
      </c>
      <c r="Q2004" s="5" t="s">
        <v>897</v>
      </c>
      <c r="S2004" s="7">
        <f>IF(ISBLANK(M2004),"Aguardando Previsão/Data",NETWORKDAYS(L2004,M2004)-1)</f>
        <v>-4</v>
      </c>
      <c r="T2004" s="5" t="s">
        <v>942</v>
      </c>
    </row>
    <row r="2005" spans="1:20" x14ac:dyDescent="0.35">
      <c r="A2005" s="5">
        <v>8100277068</v>
      </c>
      <c r="B2005" s="5">
        <v>19294</v>
      </c>
      <c r="C2005" s="6">
        <v>45672</v>
      </c>
      <c r="D2005" s="5" t="s">
        <v>106</v>
      </c>
      <c r="E2005" s="5" t="s">
        <v>107</v>
      </c>
      <c r="F2005" s="5" t="s">
        <v>66</v>
      </c>
      <c r="G2005" s="5" t="s">
        <v>67</v>
      </c>
      <c r="H2005" s="5" t="s">
        <v>108</v>
      </c>
      <c r="I2005" s="5" t="s">
        <v>115</v>
      </c>
      <c r="J2005" s="5" t="s">
        <v>393</v>
      </c>
      <c r="K2005" s="5" t="s">
        <v>110</v>
      </c>
      <c r="L2005" s="6">
        <v>45680</v>
      </c>
      <c r="M2005" s="6">
        <v>45678</v>
      </c>
      <c r="N2005" s="6" t="s">
        <v>811</v>
      </c>
      <c r="O2005" s="5" t="str">
        <f ca="1">IF(P2005&lt;&gt;"EXPEDIÇÃO","Expedido",IF(NETWORKDAYS(C2005,TODAY())&gt;=5,"Risco Alto",IF(NETWORKDAYS(C2005,TODAY())&gt;=3,IF(NETWORKDAYS(C2005,TODAY())&lt;5,"Risco Médio",""),IF(NETWORKDAYS(C2005,TODAY())&lt;=2,"Risco Baixo",""))))</f>
        <v>Expedido</v>
      </c>
      <c r="P2005" s="5" t="s">
        <v>25</v>
      </c>
      <c r="S2005" s="7">
        <f>IF(ISBLANK(M2005),"Aguardando Previsão/Data",NETWORKDAYS(L2005,M2005)-1)</f>
        <v>-4</v>
      </c>
      <c r="T2005" s="5" t="s">
        <v>942</v>
      </c>
    </row>
    <row r="2006" spans="1:20" x14ac:dyDescent="0.35">
      <c r="A2006" s="5">
        <v>8100277072</v>
      </c>
      <c r="B2006" s="5">
        <v>19275</v>
      </c>
      <c r="C2006" s="6">
        <v>45672</v>
      </c>
      <c r="D2006" s="5" t="s">
        <v>106</v>
      </c>
      <c r="E2006" s="5" t="s">
        <v>107</v>
      </c>
      <c r="F2006" s="5" t="s">
        <v>66</v>
      </c>
      <c r="G2006" s="5" t="s">
        <v>67</v>
      </c>
      <c r="H2006" s="5" t="s">
        <v>108</v>
      </c>
      <c r="I2006" s="5" t="s">
        <v>115</v>
      </c>
      <c r="J2006" s="5" t="s">
        <v>477</v>
      </c>
      <c r="K2006" s="5" t="s">
        <v>110</v>
      </c>
      <c r="L2006" s="6">
        <v>45679</v>
      </c>
      <c r="M2006" s="6">
        <v>45678</v>
      </c>
      <c r="N2006" s="6" t="s">
        <v>811</v>
      </c>
      <c r="O2006" s="5" t="str">
        <f ca="1">IF(P2006&lt;&gt;"EXPEDIÇÃO","Expedido",IF(NETWORKDAYS(C2006,TODAY())&gt;=5,"Risco Alto",IF(NETWORKDAYS(C2006,TODAY())&gt;=3,IF(NETWORKDAYS(C2006,TODAY())&lt;5,"Risco Médio",""),IF(NETWORKDAYS(C2006,TODAY())&lt;=2,"Risco Baixo",""))))</f>
        <v>Expedido</v>
      </c>
      <c r="P2006" s="5" t="s">
        <v>25</v>
      </c>
      <c r="S2006" s="7">
        <f>IF(ISBLANK(M2006),"Aguardando Previsão/Data",NETWORKDAYS(L2006,M2006)-1)</f>
        <v>-3</v>
      </c>
      <c r="T2006" s="5" t="s">
        <v>942</v>
      </c>
    </row>
    <row r="2007" spans="1:20" x14ac:dyDescent="0.35">
      <c r="A2007" s="5">
        <v>8100277073</v>
      </c>
      <c r="B2007" s="5">
        <v>19276</v>
      </c>
      <c r="C2007" s="6">
        <v>45672</v>
      </c>
      <c r="D2007" s="5" t="s">
        <v>106</v>
      </c>
      <c r="E2007" s="5" t="s">
        <v>107</v>
      </c>
      <c r="F2007" s="5" t="s">
        <v>66</v>
      </c>
      <c r="G2007" s="5" t="s">
        <v>67</v>
      </c>
      <c r="H2007" s="5" t="s">
        <v>108</v>
      </c>
      <c r="I2007" s="5" t="s">
        <v>115</v>
      </c>
      <c r="J2007" s="5" t="s">
        <v>946</v>
      </c>
      <c r="K2007" s="5" t="s">
        <v>110</v>
      </c>
      <c r="L2007" s="6">
        <v>45680</v>
      </c>
      <c r="M2007" s="6">
        <v>45678</v>
      </c>
      <c r="N2007" s="6" t="s">
        <v>811</v>
      </c>
      <c r="O2007" s="5" t="str">
        <f ca="1">IF(P2007&lt;&gt;"EXPEDIÇÃO","Expedido",IF(NETWORKDAYS(C2007,TODAY())&gt;=5,"Risco Alto",IF(NETWORKDAYS(C2007,TODAY())&gt;=3,IF(NETWORKDAYS(C2007,TODAY())&lt;5,"Risco Médio",""),IF(NETWORKDAYS(C2007,TODAY())&lt;=2,"Risco Baixo",""))))</f>
        <v>Expedido</v>
      </c>
      <c r="P2007" s="5" t="s">
        <v>25</v>
      </c>
      <c r="S2007" s="7">
        <f>IF(ISBLANK(M2007),"Aguardando Previsão/Data",NETWORKDAYS(L2007,M2007)-1)</f>
        <v>-4</v>
      </c>
      <c r="T2007" s="5" t="s">
        <v>942</v>
      </c>
    </row>
    <row r="2008" spans="1:20" x14ac:dyDescent="0.35">
      <c r="A2008" s="5">
        <v>8100277417</v>
      </c>
      <c r="B2008" s="5">
        <v>19292</v>
      </c>
      <c r="C2008" s="6">
        <v>45672</v>
      </c>
      <c r="D2008" s="5" t="s">
        <v>106</v>
      </c>
      <c r="E2008" s="5" t="s">
        <v>107</v>
      </c>
      <c r="F2008" s="5" t="s">
        <v>69</v>
      </c>
      <c r="G2008" s="5" t="s">
        <v>70</v>
      </c>
      <c r="H2008" s="5" t="s">
        <v>108</v>
      </c>
      <c r="I2008" s="5" t="s">
        <v>77</v>
      </c>
      <c r="J2008" s="5" t="s">
        <v>825</v>
      </c>
      <c r="K2008" s="5" t="s">
        <v>110</v>
      </c>
      <c r="L2008" s="6">
        <v>45679</v>
      </c>
      <c r="M2008" s="6">
        <v>45678</v>
      </c>
      <c r="N2008" s="6" t="s">
        <v>811</v>
      </c>
      <c r="O2008" s="5" t="str">
        <f ca="1">IF(P2008&lt;&gt;"EXPEDIÇÃO","Expedido",IF(NETWORKDAYS(C2008,TODAY())&gt;=5,"Risco Alto",IF(NETWORKDAYS(C2008,TODAY())&gt;=3,IF(NETWORKDAYS(C2008,TODAY())&lt;5,"Risco Médio",""),IF(NETWORKDAYS(C2008,TODAY())&lt;=2,"Risco Baixo",""))))</f>
        <v>Expedido</v>
      </c>
      <c r="P2008" s="5" t="s">
        <v>25</v>
      </c>
      <c r="S2008" s="7">
        <f>IF(ISBLANK(M2008),"Aguardando Previsão/Data",NETWORKDAYS(L2008,M2008)-1)</f>
        <v>-3</v>
      </c>
      <c r="T2008" s="5" t="s">
        <v>942</v>
      </c>
    </row>
    <row r="2009" spans="1:20" x14ac:dyDescent="0.35">
      <c r="A2009" s="5">
        <v>8100277418</v>
      </c>
      <c r="B2009" s="5">
        <v>19277</v>
      </c>
      <c r="C2009" s="6">
        <v>45672</v>
      </c>
      <c r="D2009" s="5" t="s">
        <v>106</v>
      </c>
      <c r="E2009" s="5" t="s">
        <v>107</v>
      </c>
      <c r="F2009" s="5" t="s">
        <v>69</v>
      </c>
      <c r="G2009" s="5" t="s">
        <v>70</v>
      </c>
      <c r="H2009" s="5" t="s">
        <v>108</v>
      </c>
      <c r="I2009" s="5" t="s">
        <v>64</v>
      </c>
      <c r="J2009" s="5" t="s">
        <v>537</v>
      </c>
      <c r="K2009" s="5" t="s">
        <v>110</v>
      </c>
      <c r="L2009" s="6">
        <v>45680</v>
      </c>
      <c r="M2009" s="6">
        <v>45679</v>
      </c>
      <c r="N2009" s="6" t="s">
        <v>811</v>
      </c>
      <c r="O2009" s="5" t="str">
        <f ca="1">IF(P2009&lt;&gt;"EXPEDIÇÃO","Expedido",IF(NETWORKDAYS(C2009,TODAY())&gt;=5,"Risco Alto",IF(NETWORKDAYS(C2009,TODAY())&gt;=3,IF(NETWORKDAYS(C2009,TODAY())&lt;5,"Risco Médio",""),IF(NETWORKDAYS(C2009,TODAY())&lt;=2,"Risco Baixo",""))))</f>
        <v>Expedido</v>
      </c>
      <c r="P2009" s="5" t="s">
        <v>25</v>
      </c>
      <c r="S2009" s="7">
        <f>IF(ISBLANK(M2009),"Aguardando Previsão/Data",NETWORKDAYS(L2009,M2009)-1)</f>
        <v>-3</v>
      </c>
      <c r="T2009" s="5" t="s">
        <v>942</v>
      </c>
    </row>
    <row r="2010" spans="1:20" x14ac:dyDescent="0.35">
      <c r="A2010" s="5">
        <v>8100277419</v>
      </c>
      <c r="B2010" s="5">
        <v>19278</v>
      </c>
      <c r="C2010" s="6">
        <v>45672</v>
      </c>
      <c r="D2010" s="5" t="s">
        <v>106</v>
      </c>
      <c r="E2010" s="5" t="s">
        <v>107</v>
      </c>
      <c r="F2010" s="5" t="s">
        <v>69</v>
      </c>
      <c r="G2010" s="5" t="s">
        <v>70</v>
      </c>
      <c r="H2010" s="5" t="s">
        <v>108</v>
      </c>
      <c r="I2010" s="5" t="s">
        <v>64</v>
      </c>
      <c r="J2010" s="5" t="s">
        <v>537</v>
      </c>
      <c r="K2010" s="5" t="s">
        <v>110</v>
      </c>
      <c r="L2010" s="6">
        <v>45680</v>
      </c>
      <c r="M2010" s="6">
        <v>45679</v>
      </c>
      <c r="N2010" s="6" t="s">
        <v>811</v>
      </c>
      <c r="O2010" s="5" t="str">
        <f ca="1">IF(P2010&lt;&gt;"EXPEDIÇÃO","Expedido",IF(NETWORKDAYS(C2010,TODAY())&gt;=5,"Risco Alto",IF(NETWORKDAYS(C2010,TODAY())&gt;=3,IF(NETWORKDAYS(C2010,TODAY())&lt;5,"Risco Médio",""),IF(NETWORKDAYS(C2010,TODAY())&lt;=2,"Risco Baixo",""))))</f>
        <v>Expedido</v>
      </c>
      <c r="P2010" s="5" t="s">
        <v>25</v>
      </c>
      <c r="S2010" s="7">
        <f>IF(ISBLANK(M2010),"Aguardando Previsão/Data",NETWORKDAYS(L2010,M2010)-1)</f>
        <v>-3</v>
      </c>
      <c r="T2010" s="5" t="s">
        <v>942</v>
      </c>
    </row>
    <row r="2011" spans="1:20" x14ac:dyDescent="0.35">
      <c r="A2011" s="5">
        <v>8100277420</v>
      </c>
      <c r="B2011" s="5">
        <v>19279</v>
      </c>
      <c r="C2011" s="6">
        <v>45672</v>
      </c>
      <c r="D2011" s="5" t="s">
        <v>106</v>
      </c>
      <c r="E2011" s="5" t="s">
        <v>107</v>
      </c>
      <c r="F2011" s="5" t="s">
        <v>69</v>
      </c>
      <c r="G2011" s="5" t="s">
        <v>70</v>
      </c>
      <c r="H2011" s="5" t="s">
        <v>108</v>
      </c>
      <c r="I2011" s="5" t="s">
        <v>64</v>
      </c>
      <c r="J2011" s="5" t="s">
        <v>537</v>
      </c>
      <c r="K2011" s="5" t="s">
        <v>110</v>
      </c>
      <c r="L2011" s="6">
        <v>45680</v>
      </c>
      <c r="M2011" s="6">
        <v>45679</v>
      </c>
      <c r="N2011" s="6" t="s">
        <v>811</v>
      </c>
      <c r="O2011" s="5" t="str">
        <f ca="1">IF(P2011&lt;&gt;"EXPEDIÇÃO","Expedido",IF(NETWORKDAYS(C2011,TODAY())&gt;=5,"Risco Alto",IF(NETWORKDAYS(C2011,TODAY())&gt;=3,IF(NETWORKDAYS(C2011,TODAY())&lt;5,"Risco Médio",""),IF(NETWORKDAYS(C2011,TODAY())&lt;=2,"Risco Baixo",""))))</f>
        <v>Expedido</v>
      </c>
      <c r="P2011" s="5" t="s">
        <v>25</v>
      </c>
      <c r="S2011" s="7">
        <f>IF(ISBLANK(M2011),"Aguardando Previsão/Data",NETWORKDAYS(L2011,M2011)-1)</f>
        <v>-3</v>
      </c>
      <c r="T2011" s="5" t="s">
        <v>942</v>
      </c>
    </row>
    <row r="2012" spans="1:20" x14ac:dyDescent="0.35">
      <c r="A2012" s="5">
        <v>8100277421</v>
      </c>
      <c r="B2012" s="5">
        <v>19280</v>
      </c>
      <c r="C2012" s="6">
        <v>45672</v>
      </c>
      <c r="D2012" s="5" t="s">
        <v>106</v>
      </c>
      <c r="E2012" s="5" t="s">
        <v>107</v>
      </c>
      <c r="F2012" s="5" t="s">
        <v>69</v>
      </c>
      <c r="G2012" s="5" t="s">
        <v>70</v>
      </c>
      <c r="H2012" s="5" t="s">
        <v>108</v>
      </c>
      <c r="I2012" s="5" t="s">
        <v>64</v>
      </c>
      <c r="J2012" s="5" t="s">
        <v>537</v>
      </c>
      <c r="K2012" s="5" t="s">
        <v>110</v>
      </c>
      <c r="L2012" s="6">
        <v>45680</v>
      </c>
      <c r="M2012" s="6">
        <v>45679</v>
      </c>
      <c r="N2012" s="6" t="s">
        <v>811</v>
      </c>
      <c r="O2012" s="5" t="str">
        <f ca="1">IF(P2012&lt;&gt;"EXPEDIÇÃO","Expedido",IF(NETWORKDAYS(C2012,TODAY())&gt;=5,"Risco Alto",IF(NETWORKDAYS(C2012,TODAY())&gt;=3,IF(NETWORKDAYS(C2012,TODAY())&lt;5,"Risco Médio",""),IF(NETWORKDAYS(C2012,TODAY())&lt;=2,"Risco Baixo",""))))</f>
        <v>Expedido</v>
      </c>
      <c r="P2012" s="5" t="s">
        <v>25</v>
      </c>
      <c r="S2012" s="7">
        <f>IF(ISBLANK(M2012),"Aguardando Previsão/Data",NETWORKDAYS(L2012,M2012)-1)</f>
        <v>-3</v>
      </c>
      <c r="T2012" s="5" t="s">
        <v>942</v>
      </c>
    </row>
    <row r="2013" spans="1:20" x14ac:dyDescent="0.35">
      <c r="A2013" s="5">
        <v>8100277422</v>
      </c>
      <c r="B2013" s="5">
        <v>19281</v>
      </c>
      <c r="C2013" s="6">
        <v>45672</v>
      </c>
      <c r="D2013" s="5" t="s">
        <v>106</v>
      </c>
      <c r="E2013" s="5" t="s">
        <v>107</v>
      </c>
      <c r="F2013" s="5" t="s">
        <v>69</v>
      </c>
      <c r="G2013" s="5" t="s">
        <v>70</v>
      </c>
      <c r="H2013" s="5" t="s">
        <v>108</v>
      </c>
      <c r="I2013" s="5" t="s">
        <v>64</v>
      </c>
      <c r="J2013" s="5" t="s">
        <v>537</v>
      </c>
      <c r="K2013" s="5" t="s">
        <v>110</v>
      </c>
      <c r="L2013" s="6">
        <v>45680</v>
      </c>
      <c r="M2013" s="6">
        <v>45679</v>
      </c>
      <c r="N2013" s="6" t="s">
        <v>811</v>
      </c>
      <c r="O2013" s="5" t="str">
        <f ca="1">IF(P2013&lt;&gt;"EXPEDIÇÃO","Expedido",IF(NETWORKDAYS(C2013,TODAY())&gt;=5,"Risco Alto",IF(NETWORKDAYS(C2013,TODAY())&gt;=3,IF(NETWORKDAYS(C2013,TODAY())&lt;5,"Risco Médio",""),IF(NETWORKDAYS(C2013,TODAY())&lt;=2,"Risco Baixo",""))))</f>
        <v>Expedido</v>
      </c>
      <c r="P2013" s="5" t="s">
        <v>25</v>
      </c>
      <c r="S2013" s="7">
        <f>IF(ISBLANK(M2013),"Aguardando Previsão/Data",NETWORKDAYS(L2013,M2013)-1)</f>
        <v>-3</v>
      </c>
      <c r="T2013" s="5" t="s">
        <v>942</v>
      </c>
    </row>
    <row r="2014" spans="1:20" x14ac:dyDescent="0.35">
      <c r="A2014" s="5">
        <v>8100277423</v>
      </c>
      <c r="B2014" s="5">
        <v>19282</v>
      </c>
      <c r="C2014" s="6">
        <v>45672</v>
      </c>
      <c r="D2014" s="5" t="s">
        <v>106</v>
      </c>
      <c r="E2014" s="5" t="s">
        <v>107</v>
      </c>
      <c r="F2014" s="5" t="s">
        <v>69</v>
      </c>
      <c r="G2014" s="5" t="s">
        <v>70</v>
      </c>
      <c r="H2014" s="5" t="s">
        <v>108</v>
      </c>
      <c r="I2014" s="5" t="s">
        <v>64</v>
      </c>
      <c r="J2014" s="5" t="s">
        <v>537</v>
      </c>
      <c r="K2014" s="5" t="s">
        <v>110</v>
      </c>
      <c r="L2014" s="6">
        <v>45680</v>
      </c>
      <c r="M2014" s="6">
        <v>45679</v>
      </c>
      <c r="N2014" s="6" t="s">
        <v>811</v>
      </c>
      <c r="O2014" s="5" t="str">
        <f ca="1">IF(P2014&lt;&gt;"EXPEDIÇÃO","Expedido",IF(NETWORKDAYS(C2014,TODAY())&gt;=5,"Risco Alto",IF(NETWORKDAYS(C2014,TODAY())&gt;=3,IF(NETWORKDAYS(C2014,TODAY())&lt;5,"Risco Médio",""),IF(NETWORKDAYS(C2014,TODAY())&lt;=2,"Risco Baixo",""))))</f>
        <v>Expedido</v>
      </c>
      <c r="P2014" s="5" t="s">
        <v>25</v>
      </c>
      <c r="S2014" s="7">
        <f>IF(ISBLANK(M2014),"Aguardando Previsão/Data",NETWORKDAYS(L2014,M2014)-1)</f>
        <v>-3</v>
      </c>
      <c r="T2014" s="5" t="s">
        <v>942</v>
      </c>
    </row>
    <row r="2015" spans="1:20" x14ac:dyDescent="0.35">
      <c r="A2015" s="5">
        <v>8100277424</v>
      </c>
      <c r="B2015" s="5">
        <v>19283</v>
      </c>
      <c r="C2015" s="6">
        <v>45672</v>
      </c>
      <c r="D2015" s="5" t="s">
        <v>106</v>
      </c>
      <c r="E2015" s="5" t="s">
        <v>107</v>
      </c>
      <c r="F2015" s="5" t="s">
        <v>69</v>
      </c>
      <c r="G2015" s="5" t="s">
        <v>70</v>
      </c>
      <c r="H2015" s="5" t="s">
        <v>108</v>
      </c>
      <c r="I2015" s="5" t="s">
        <v>64</v>
      </c>
      <c r="J2015" s="5" t="s">
        <v>537</v>
      </c>
      <c r="K2015" s="5" t="s">
        <v>110</v>
      </c>
      <c r="L2015" s="6">
        <v>45680</v>
      </c>
      <c r="M2015" s="6">
        <v>45679</v>
      </c>
      <c r="N2015" s="6" t="s">
        <v>811</v>
      </c>
      <c r="O2015" s="5" t="str">
        <f ca="1">IF(P2015&lt;&gt;"EXPEDIÇÃO","Expedido",IF(NETWORKDAYS(C2015,TODAY())&gt;=5,"Risco Alto",IF(NETWORKDAYS(C2015,TODAY())&gt;=3,IF(NETWORKDAYS(C2015,TODAY())&lt;5,"Risco Médio",""),IF(NETWORKDAYS(C2015,TODAY())&lt;=2,"Risco Baixo",""))))</f>
        <v>Expedido</v>
      </c>
      <c r="P2015" s="5" t="s">
        <v>25</v>
      </c>
      <c r="S2015" s="7">
        <f>IF(ISBLANK(M2015),"Aguardando Previsão/Data",NETWORKDAYS(L2015,M2015)-1)</f>
        <v>-3</v>
      </c>
      <c r="T2015" s="5" t="s">
        <v>942</v>
      </c>
    </row>
    <row r="2016" spans="1:20" x14ac:dyDescent="0.35">
      <c r="A2016" s="5">
        <v>8100277425</v>
      </c>
      <c r="B2016" s="5">
        <v>19284</v>
      </c>
      <c r="C2016" s="6">
        <v>45672</v>
      </c>
      <c r="D2016" s="5" t="s">
        <v>106</v>
      </c>
      <c r="E2016" s="5" t="s">
        <v>107</v>
      </c>
      <c r="F2016" s="5" t="s">
        <v>69</v>
      </c>
      <c r="G2016" s="5" t="s">
        <v>70</v>
      </c>
      <c r="H2016" s="5" t="s">
        <v>108</v>
      </c>
      <c r="I2016" s="5" t="s">
        <v>64</v>
      </c>
      <c r="J2016" s="5" t="s">
        <v>537</v>
      </c>
      <c r="K2016" s="5" t="s">
        <v>110</v>
      </c>
      <c r="L2016" s="6">
        <v>45680</v>
      </c>
      <c r="M2016" s="6">
        <v>45679</v>
      </c>
      <c r="N2016" s="6" t="s">
        <v>811</v>
      </c>
      <c r="O2016" s="5" t="str">
        <f ca="1">IF(P2016&lt;&gt;"EXPEDIÇÃO","Expedido",IF(NETWORKDAYS(C2016,TODAY())&gt;=5,"Risco Alto",IF(NETWORKDAYS(C2016,TODAY())&gt;=3,IF(NETWORKDAYS(C2016,TODAY())&lt;5,"Risco Médio",""),IF(NETWORKDAYS(C2016,TODAY())&lt;=2,"Risco Baixo",""))))</f>
        <v>Expedido</v>
      </c>
      <c r="P2016" s="5" t="s">
        <v>25</v>
      </c>
      <c r="S2016" s="7">
        <f>IF(ISBLANK(M2016),"Aguardando Previsão/Data",NETWORKDAYS(L2016,M2016)-1)</f>
        <v>-3</v>
      </c>
      <c r="T2016" s="5" t="s">
        <v>942</v>
      </c>
    </row>
    <row r="2017" spans="1:20" x14ac:dyDescent="0.35">
      <c r="A2017" s="5">
        <v>8100277439</v>
      </c>
      <c r="B2017" s="5">
        <v>19290</v>
      </c>
      <c r="C2017" s="6">
        <v>45672</v>
      </c>
      <c r="D2017" s="5" t="s">
        <v>106</v>
      </c>
      <c r="E2017" s="5" t="s">
        <v>107</v>
      </c>
      <c r="F2017" s="5" t="s">
        <v>147</v>
      </c>
      <c r="G2017" s="5" t="s">
        <v>148</v>
      </c>
      <c r="H2017" s="5" t="s">
        <v>108</v>
      </c>
      <c r="I2017" s="5" t="s">
        <v>128</v>
      </c>
      <c r="J2017" s="5" t="s">
        <v>293</v>
      </c>
      <c r="K2017" s="5" t="s">
        <v>110</v>
      </c>
      <c r="L2017" s="6">
        <v>45678</v>
      </c>
      <c r="M2017" s="6">
        <v>45677</v>
      </c>
      <c r="N2017" s="6" t="s">
        <v>811</v>
      </c>
      <c r="O2017" s="5" t="str">
        <f ca="1">IF(P2017&lt;&gt;"EXPEDIÇÃO","Expedido",IF(NETWORKDAYS(C2017,TODAY())&gt;=5,"Risco Alto",IF(NETWORKDAYS(C2017,TODAY())&gt;=3,IF(NETWORKDAYS(C2017,TODAY())&lt;5,"Risco Médio",""),IF(NETWORKDAYS(C2017,TODAY())&lt;=2,"Risco Baixo",""))))</f>
        <v>Expedido</v>
      </c>
      <c r="P2017" s="5" t="s">
        <v>25</v>
      </c>
      <c r="S2017" s="7">
        <f>IF(ISBLANK(M2017),"Aguardando Previsão/Data",NETWORKDAYS(L2017,M2017)-1)</f>
        <v>-3</v>
      </c>
      <c r="T2017" s="5" t="s">
        <v>942</v>
      </c>
    </row>
    <row r="2018" spans="1:20" x14ac:dyDescent="0.35">
      <c r="A2018" s="5">
        <v>8100277440</v>
      </c>
      <c r="B2018" s="5">
        <v>19332</v>
      </c>
      <c r="C2018" s="6">
        <v>45672</v>
      </c>
      <c r="D2018" s="5" t="s">
        <v>106</v>
      </c>
      <c r="E2018" s="5" t="s">
        <v>107</v>
      </c>
      <c r="F2018" s="5" t="s">
        <v>147</v>
      </c>
      <c r="G2018" s="5" t="s">
        <v>148</v>
      </c>
      <c r="H2018" s="5" t="s">
        <v>108</v>
      </c>
      <c r="I2018" s="5" t="s">
        <v>144</v>
      </c>
      <c r="J2018" s="5" t="s">
        <v>141</v>
      </c>
      <c r="K2018" s="5" t="s">
        <v>110</v>
      </c>
      <c r="L2018" s="6">
        <v>45678</v>
      </c>
      <c r="M2018" s="6">
        <v>45672</v>
      </c>
      <c r="N2018" s="6" t="s">
        <v>811</v>
      </c>
      <c r="O2018" s="5" t="str">
        <f ca="1">IF(P2018&lt;&gt;"EXPEDIÇÃO","Expedido",IF(NETWORKDAYS(C2018,TODAY())&gt;=5,"Risco Alto",IF(NETWORKDAYS(C2018,TODAY())&gt;=3,IF(NETWORKDAYS(C2018,TODAY())&lt;5,"Risco Médio",""),IF(NETWORKDAYS(C2018,TODAY())&lt;=2,"Risco Baixo",""))))</f>
        <v>Expedido</v>
      </c>
      <c r="P2018" s="5" t="s">
        <v>25</v>
      </c>
      <c r="Q2018" s="5" t="s">
        <v>900</v>
      </c>
      <c r="S2018" s="7">
        <f>IF(ISBLANK(M2018),"Aguardando Previsão/Data",NETWORKDAYS(L2018,M2018)-1)</f>
        <v>-6</v>
      </c>
      <c r="T2018" s="5" t="s">
        <v>942</v>
      </c>
    </row>
    <row r="2019" spans="1:20" x14ac:dyDescent="0.35">
      <c r="A2019" s="5">
        <v>8100277442</v>
      </c>
      <c r="B2019" s="5">
        <v>19285</v>
      </c>
      <c r="C2019" s="6">
        <v>45672</v>
      </c>
      <c r="D2019" s="5" t="s">
        <v>106</v>
      </c>
      <c r="E2019" s="5" t="s">
        <v>107</v>
      </c>
      <c r="F2019" s="5" t="s">
        <v>69</v>
      </c>
      <c r="G2019" s="5" t="s">
        <v>70</v>
      </c>
      <c r="H2019" s="5" t="s">
        <v>108</v>
      </c>
      <c r="I2019" s="5" t="s">
        <v>64</v>
      </c>
      <c r="J2019" s="5" t="s">
        <v>537</v>
      </c>
      <c r="K2019" s="5" t="s">
        <v>110</v>
      </c>
      <c r="L2019" s="6">
        <v>45680</v>
      </c>
      <c r="M2019" s="6">
        <v>45679</v>
      </c>
      <c r="N2019" s="6" t="s">
        <v>811</v>
      </c>
      <c r="O2019" s="5" t="str">
        <f ca="1">IF(P2019&lt;&gt;"EXPEDIÇÃO","Expedido",IF(NETWORKDAYS(C2019,TODAY())&gt;=5,"Risco Alto",IF(NETWORKDAYS(C2019,TODAY())&gt;=3,IF(NETWORKDAYS(C2019,TODAY())&lt;5,"Risco Médio",""),IF(NETWORKDAYS(C2019,TODAY())&lt;=2,"Risco Baixo",""))))</f>
        <v>Expedido</v>
      </c>
      <c r="P2019" s="5" t="s">
        <v>25</v>
      </c>
      <c r="S2019" s="7">
        <f>IF(ISBLANK(M2019),"Aguardando Previsão/Data",NETWORKDAYS(L2019,M2019)-1)</f>
        <v>-3</v>
      </c>
      <c r="T2019" s="5" t="s">
        <v>942</v>
      </c>
    </row>
    <row r="2020" spans="1:20" x14ac:dyDescent="0.35">
      <c r="A2020" s="5">
        <v>8100277443</v>
      </c>
      <c r="B2020" s="5">
        <v>19286</v>
      </c>
      <c r="C2020" s="6">
        <v>45672</v>
      </c>
      <c r="D2020" s="5" t="s">
        <v>106</v>
      </c>
      <c r="E2020" s="5" t="s">
        <v>107</v>
      </c>
      <c r="F2020" s="5" t="s">
        <v>69</v>
      </c>
      <c r="G2020" s="5" t="s">
        <v>70</v>
      </c>
      <c r="H2020" s="5" t="s">
        <v>108</v>
      </c>
      <c r="I2020" s="5" t="s">
        <v>64</v>
      </c>
      <c r="J2020" s="5" t="s">
        <v>537</v>
      </c>
      <c r="K2020" s="5" t="s">
        <v>110</v>
      </c>
      <c r="L2020" s="6">
        <v>45680</v>
      </c>
      <c r="M2020" s="6">
        <v>45679</v>
      </c>
      <c r="N2020" s="6" t="s">
        <v>811</v>
      </c>
      <c r="O2020" s="5" t="str">
        <f ca="1">IF(P2020&lt;&gt;"EXPEDIÇÃO","Expedido",IF(NETWORKDAYS(C2020,TODAY())&gt;=5,"Risco Alto",IF(NETWORKDAYS(C2020,TODAY())&gt;=3,IF(NETWORKDAYS(C2020,TODAY())&lt;5,"Risco Médio",""),IF(NETWORKDAYS(C2020,TODAY())&lt;=2,"Risco Baixo",""))))</f>
        <v>Expedido</v>
      </c>
      <c r="P2020" s="5" t="s">
        <v>25</v>
      </c>
      <c r="S2020" s="7">
        <f>IF(ISBLANK(M2020),"Aguardando Previsão/Data",NETWORKDAYS(L2020,M2020)-1)</f>
        <v>-3</v>
      </c>
      <c r="T2020" s="5" t="s">
        <v>942</v>
      </c>
    </row>
    <row r="2021" spans="1:20" x14ac:dyDescent="0.35">
      <c r="A2021" s="5">
        <v>8100277444</v>
      </c>
      <c r="B2021" s="5">
        <v>19287</v>
      </c>
      <c r="C2021" s="6">
        <v>45672</v>
      </c>
      <c r="D2021" s="5" t="s">
        <v>106</v>
      </c>
      <c r="E2021" s="5" t="s">
        <v>107</v>
      </c>
      <c r="F2021" s="5" t="s">
        <v>69</v>
      </c>
      <c r="G2021" s="5" t="s">
        <v>70</v>
      </c>
      <c r="H2021" s="5" t="s">
        <v>108</v>
      </c>
      <c r="I2021" s="5" t="s">
        <v>64</v>
      </c>
      <c r="J2021" s="5" t="s">
        <v>537</v>
      </c>
      <c r="K2021" s="5" t="s">
        <v>110</v>
      </c>
      <c r="L2021" s="6">
        <v>45680</v>
      </c>
      <c r="M2021" s="6">
        <v>45679</v>
      </c>
      <c r="N2021" s="6" t="s">
        <v>811</v>
      </c>
      <c r="O2021" s="5" t="str">
        <f ca="1">IF(P2021&lt;&gt;"EXPEDIÇÃO","Expedido",IF(NETWORKDAYS(C2021,TODAY())&gt;=5,"Risco Alto",IF(NETWORKDAYS(C2021,TODAY())&gt;=3,IF(NETWORKDAYS(C2021,TODAY())&lt;5,"Risco Médio",""),IF(NETWORKDAYS(C2021,TODAY())&lt;=2,"Risco Baixo",""))))</f>
        <v>Expedido</v>
      </c>
      <c r="P2021" s="5" t="s">
        <v>25</v>
      </c>
      <c r="S2021" s="7">
        <f>IF(ISBLANK(M2021),"Aguardando Previsão/Data",NETWORKDAYS(L2021,M2021)-1)</f>
        <v>-3</v>
      </c>
      <c r="T2021" s="5" t="s">
        <v>942</v>
      </c>
    </row>
    <row r="2022" spans="1:20" x14ac:dyDescent="0.35">
      <c r="A2022" s="5">
        <v>8100277445</v>
      </c>
      <c r="B2022" s="5">
        <v>19288</v>
      </c>
      <c r="C2022" s="6">
        <v>45672</v>
      </c>
      <c r="D2022" s="5" t="s">
        <v>106</v>
      </c>
      <c r="E2022" s="5" t="s">
        <v>107</v>
      </c>
      <c r="F2022" s="5" t="s">
        <v>69</v>
      </c>
      <c r="G2022" s="5" t="s">
        <v>70</v>
      </c>
      <c r="H2022" s="5" t="s">
        <v>108</v>
      </c>
      <c r="I2022" s="5" t="s">
        <v>64</v>
      </c>
      <c r="J2022" s="5" t="s">
        <v>537</v>
      </c>
      <c r="K2022" s="5" t="s">
        <v>110</v>
      </c>
      <c r="L2022" s="6">
        <v>45680</v>
      </c>
      <c r="M2022" s="6">
        <v>45679</v>
      </c>
      <c r="N2022" s="6" t="s">
        <v>811</v>
      </c>
      <c r="O2022" s="5" t="str">
        <f ca="1">IF(P2022&lt;&gt;"EXPEDIÇÃO","Expedido",IF(NETWORKDAYS(C2022,TODAY())&gt;=5,"Risco Alto",IF(NETWORKDAYS(C2022,TODAY())&gt;=3,IF(NETWORKDAYS(C2022,TODAY())&lt;5,"Risco Médio",""),IF(NETWORKDAYS(C2022,TODAY())&lt;=2,"Risco Baixo",""))))</f>
        <v>Expedido</v>
      </c>
      <c r="P2022" s="5" t="s">
        <v>25</v>
      </c>
      <c r="S2022" s="7">
        <f>IF(ISBLANK(M2022),"Aguardando Previsão/Data",NETWORKDAYS(L2022,M2022)-1)</f>
        <v>-3</v>
      </c>
      <c r="T2022" s="5" t="s">
        <v>942</v>
      </c>
    </row>
    <row r="2023" spans="1:20" x14ac:dyDescent="0.35">
      <c r="A2023" s="5">
        <v>8100277446</v>
      </c>
      <c r="B2023" s="5">
        <v>19333</v>
      </c>
      <c r="C2023" s="6">
        <v>45672</v>
      </c>
      <c r="D2023" s="5" t="s">
        <v>106</v>
      </c>
      <c r="E2023" s="5" t="s">
        <v>107</v>
      </c>
      <c r="F2023" s="5" t="s">
        <v>147</v>
      </c>
      <c r="G2023" s="5" t="s">
        <v>148</v>
      </c>
      <c r="H2023" s="5" t="s">
        <v>108</v>
      </c>
      <c r="I2023" s="5" t="s">
        <v>144</v>
      </c>
      <c r="J2023" s="5" t="s">
        <v>141</v>
      </c>
      <c r="K2023" s="5" t="s">
        <v>110</v>
      </c>
      <c r="L2023" s="6">
        <v>45678</v>
      </c>
      <c r="M2023" s="6">
        <v>45672</v>
      </c>
      <c r="N2023" s="6" t="s">
        <v>811</v>
      </c>
      <c r="O2023" s="5" t="str">
        <f ca="1">IF(P2023&lt;&gt;"EXPEDIÇÃO","Expedido",IF(NETWORKDAYS(C2023,TODAY())&gt;=5,"Risco Alto",IF(NETWORKDAYS(C2023,TODAY())&gt;=3,IF(NETWORKDAYS(C2023,TODAY())&lt;5,"Risco Médio",""),IF(NETWORKDAYS(C2023,TODAY())&lt;=2,"Risco Baixo",""))))</f>
        <v>Expedido</v>
      </c>
      <c r="P2023" s="5" t="s">
        <v>25</v>
      </c>
      <c r="Q2023" s="5" t="s">
        <v>900</v>
      </c>
      <c r="S2023" s="7">
        <f>IF(ISBLANK(M2023),"Aguardando Previsão/Data",NETWORKDAYS(L2023,M2023)-1)</f>
        <v>-6</v>
      </c>
      <c r="T2023" s="5" t="s">
        <v>942</v>
      </c>
    </row>
    <row r="2024" spans="1:20" x14ac:dyDescent="0.35">
      <c r="A2024" s="5">
        <v>8100277622</v>
      </c>
      <c r="B2024" s="5">
        <v>19311</v>
      </c>
      <c r="C2024" s="6">
        <v>45672</v>
      </c>
      <c r="D2024" s="5" t="s">
        <v>106</v>
      </c>
      <c r="E2024" s="5" t="s">
        <v>107</v>
      </c>
      <c r="F2024" s="5" t="s">
        <v>329</v>
      </c>
      <c r="G2024" s="5" t="s">
        <v>330</v>
      </c>
      <c r="H2024" s="5" t="s">
        <v>108</v>
      </c>
      <c r="I2024" s="5" t="s">
        <v>311</v>
      </c>
      <c r="J2024" s="5" t="s">
        <v>338</v>
      </c>
      <c r="K2024" s="5" t="s">
        <v>110</v>
      </c>
      <c r="L2024" s="6">
        <v>45680</v>
      </c>
      <c r="M2024" s="6">
        <v>45680</v>
      </c>
      <c r="O2024" s="5" t="str">
        <f ca="1">IF(P2024&lt;&gt;"EXPEDIÇÃO","Expedido",IF(NETWORKDAYS(C2024,TODAY())&gt;=5,"Risco Alto",IF(NETWORKDAYS(C2024,TODAY())&gt;=3,IF(NETWORKDAYS(C2024,TODAY())&lt;5,"Risco Médio",""),IF(NETWORKDAYS(C2024,TODAY())&lt;=2,"Risco Baixo",""))))</f>
        <v>Expedido</v>
      </c>
      <c r="P2024" s="5" t="s">
        <v>145</v>
      </c>
      <c r="Q2024" s="5" t="s">
        <v>900</v>
      </c>
      <c r="S2024" s="7">
        <f>IF(ISBLANK(M2024),"Aguardando Previsão/Data",NETWORKDAYS(L2024,M2024)-1)</f>
        <v>0</v>
      </c>
      <c r="T2024" s="5" t="s">
        <v>942</v>
      </c>
    </row>
    <row r="2025" spans="1:20" x14ac:dyDescent="0.35">
      <c r="A2025" s="5">
        <v>8100277623</v>
      </c>
      <c r="B2025" s="5">
        <v>19316</v>
      </c>
      <c r="C2025" s="6">
        <v>45672</v>
      </c>
      <c r="D2025" s="5" t="s">
        <v>106</v>
      </c>
      <c r="E2025" s="5" t="s">
        <v>107</v>
      </c>
      <c r="F2025" s="5" t="s">
        <v>58</v>
      </c>
      <c r="G2025" s="5" t="s">
        <v>59</v>
      </c>
      <c r="H2025" s="5" t="s">
        <v>108</v>
      </c>
      <c r="I2025" s="5" t="s">
        <v>585</v>
      </c>
      <c r="J2025" s="5" t="s">
        <v>586</v>
      </c>
      <c r="K2025" s="5" t="s">
        <v>110</v>
      </c>
      <c r="L2025" s="6">
        <v>45679</v>
      </c>
      <c r="M2025" s="6">
        <v>45674</v>
      </c>
      <c r="N2025" s="6" t="s">
        <v>811</v>
      </c>
      <c r="O2025" s="5" t="str">
        <f ca="1">IF(P2025&lt;&gt;"EXPEDIÇÃO","Expedido",IF(NETWORKDAYS(C2025,TODAY())&gt;=5,"Risco Alto",IF(NETWORKDAYS(C2025,TODAY())&gt;=3,IF(NETWORKDAYS(C2025,TODAY())&lt;5,"Risco Médio",""),IF(NETWORKDAYS(C2025,TODAY())&lt;=2,"Risco Baixo",""))))</f>
        <v>Expedido</v>
      </c>
      <c r="P2025" s="5" t="s">
        <v>25</v>
      </c>
      <c r="S2025" s="7">
        <f>IF(ISBLANK(M2025),"Aguardando Previsão/Data",NETWORKDAYS(L2025,M2025)-1)</f>
        <v>-5</v>
      </c>
      <c r="T2025" s="5" t="s">
        <v>942</v>
      </c>
    </row>
    <row r="2026" spans="1:20" x14ac:dyDescent="0.35">
      <c r="A2026" s="5">
        <v>8100277994</v>
      </c>
      <c r="B2026" s="5">
        <v>19329</v>
      </c>
      <c r="C2026" s="6">
        <v>45672</v>
      </c>
      <c r="D2026" s="5" t="s">
        <v>106</v>
      </c>
      <c r="E2026" s="5" t="s">
        <v>107</v>
      </c>
      <c r="F2026" s="5" t="s">
        <v>58</v>
      </c>
      <c r="G2026" s="5" t="s">
        <v>59</v>
      </c>
      <c r="H2026" s="5" t="s">
        <v>108</v>
      </c>
      <c r="I2026" s="5" t="s">
        <v>140</v>
      </c>
      <c r="J2026" s="5" t="s">
        <v>141</v>
      </c>
      <c r="K2026" s="5" t="s">
        <v>110</v>
      </c>
      <c r="L2026" s="6">
        <v>45678</v>
      </c>
      <c r="M2026" s="6">
        <v>45672</v>
      </c>
      <c r="N2026" s="6" t="s">
        <v>811</v>
      </c>
      <c r="O2026" s="5" t="str">
        <f ca="1">IF(P2026&lt;&gt;"EXPEDIÇÃO","Expedido",IF(NETWORKDAYS(C2026,TODAY())&gt;=5,"Risco Alto",IF(NETWORKDAYS(C2026,TODAY())&gt;=3,IF(NETWORKDAYS(C2026,TODAY())&lt;5,"Risco Médio",""),IF(NETWORKDAYS(C2026,TODAY())&lt;=2,"Risco Baixo",""))))</f>
        <v>Expedido</v>
      </c>
      <c r="P2026" s="5" t="s">
        <v>25</v>
      </c>
      <c r="Q2026" s="5" t="s">
        <v>900</v>
      </c>
      <c r="S2026" s="7">
        <f>IF(ISBLANK(M2026),"Aguardando Previsão/Data",NETWORKDAYS(L2026,M2026)-1)</f>
        <v>-6</v>
      </c>
      <c r="T2026" s="5" t="s">
        <v>942</v>
      </c>
    </row>
    <row r="2027" spans="1:20" x14ac:dyDescent="0.35">
      <c r="A2027" s="5">
        <v>8100277995</v>
      </c>
      <c r="B2027" s="5">
        <v>19330</v>
      </c>
      <c r="C2027" s="6">
        <v>45672</v>
      </c>
      <c r="D2027" s="5" t="s">
        <v>106</v>
      </c>
      <c r="E2027" s="5" t="s">
        <v>107</v>
      </c>
      <c r="F2027" s="5" t="s">
        <v>58</v>
      </c>
      <c r="G2027" s="5" t="s">
        <v>59</v>
      </c>
      <c r="H2027" s="5" t="s">
        <v>108</v>
      </c>
      <c r="I2027" s="5" t="s">
        <v>140</v>
      </c>
      <c r="J2027" s="5" t="s">
        <v>141</v>
      </c>
      <c r="K2027" s="5" t="s">
        <v>110</v>
      </c>
      <c r="L2027" s="6">
        <v>45678</v>
      </c>
      <c r="M2027" s="6">
        <v>45672</v>
      </c>
      <c r="N2027" s="6" t="s">
        <v>811</v>
      </c>
      <c r="O2027" s="5" t="str">
        <f ca="1">IF(P2027&lt;&gt;"EXPEDIÇÃO","Expedido",IF(NETWORKDAYS(C2027,TODAY())&gt;=5,"Risco Alto",IF(NETWORKDAYS(C2027,TODAY())&gt;=3,IF(NETWORKDAYS(C2027,TODAY())&lt;5,"Risco Médio",""),IF(NETWORKDAYS(C2027,TODAY())&lt;=2,"Risco Baixo",""))))</f>
        <v>Expedido</v>
      </c>
      <c r="P2027" s="5" t="s">
        <v>25</v>
      </c>
      <c r="Q2027" s="5" t="s">
        <v>900</v>
      </c>
      <c r="S2027" s="7">
        <f>IF(ISBLANK(M2027),"Aguardando Previsão/Data",NETWORKDAYS(L2027,M2027)-1)</f>
        <v>-6</v>
      </c>
      <c r="T2027" s="5" t="s">
        <v>942</v>
      </c>
    </row>
    <row r="2028" spans="1:20" x14ac:dyDescent="0.35">
      <c r="A2028" s="5">
        <v>8100277996</v>
      </c>
      <c r="B2028" s="5">
        <v>19331</v>
      </c>
      <c r="C2028" s="6">
        <v>45672</v>
      </c>
      <c r="D2028" s="5" t="s">
        <v>106</v>
      </c>
      <c r="E2028" s="5" t="s">
        <v>107</v>
      </c>
      <c r="F2028" s="5" t="s">
        <v>58</v>
      </c>
      <c r="G2028" s="5" t="s">
        <v>59</v>
      </c>
      <c r="H2028" s="5" t="s">
        <v>108</v>
      </c>
      <c r="I2028" s="5" t="s">
        <v>140</v>
      </c>
      <c r="J2028" s="5" t="s">
        <v>141</v>
      </c>
      <c r="K2028" s="5" t="s">
        <v>110</v>
      </c>
      <c r="L2028" s="6">
        <v>45678</v>
      </c>
      <c r="M2028" s="6">
        <v>45672</v>
      </c>
      <c r="N2028" s="6" t="s">
        <v>811</v>
      </c>
      <c r="O2028" s="5" t="str">
        <f ca="1">IF(P2028&lt;&gt;"EXPEDIÇÃO","Expedido",IF(NETWORKDAYS(C2028,TODAY())&gt;=5,"Risco Alto",IF(NETWORKDAYS(C2028,TODAY())&gt;=3,IF(NETWORKDAYS(C2028,TODAY())&lt;5,"Risco Médio",""),IF(NETWORKDAYS(C2028,TODAY())&lt;=2,"Risco Baixo",""))))</f>
        <v>Expedido</v>
      </c>
      <c r="P2028" s="5" t="s">
        <v>25</v>
      </c>
      <c r="Q2028" s="5" t="s">
        <v>900</v>
      </c>
      <c r="S2028" s="7">
        <f>IF(ISBLANK(M2028),"Aguardando Previsão/Data",NETWORKDAYS(L2028,M2028)-1)</f>
        <v>-6</v>
      </c>
      <c r="T2028" s="5" t="s">
        <v>942</v>
      </c>
    </row>
    <row r="2029" spans="1:20" x14ac:dyDescent="0.35">
      <c r="A2029" s="5">
        <v>8100277998</v>
      </c>
      <c r="B2029" s="5">
        <v>19315</v>
      </c>
      <c r="C2029" s="6">
        <v>45672</v>
      </c>
      <c r="D2029" s="5" t="s">
        <v>106</v>
      </c>
      <c r="E2029" s="5" t="s">
        <v>107</v>
      </c>
      <c r="F2029" s="5" t="s">
        <v>58</v>
      </c>
      <c r="G2029" s="5" t="s">
        <v>59</v>
      </c>
      <c r="H2029" s="5" t="s">
        <v>108</v>
      </c>
      <c r="I2029" s="5" t="s">
        <v>501</v>
      </c>
      <c r="J2029" s="5" t="s">
        <v>502</v>
      </c>
      <c r="K2029" s="5" t="s">
        <v>110</v>
      </c>
      <c r="L2029" s="6">
        <v>45679</v>
      </c>
      <c r="M2029" s="6">
        <v>45679</v>
      </c>
      <c r="N2029" s="5"/>
      <c r="O2029" s="5" t="str">
        <f ca="1">IF(P2029&lt;&gt;"EXPEDIÇÃO","Expedido",IF(NETWORKDAYS(C2029,TODAY())&gt;=5,"Risco Alto",IF(NETWORKDAYS(C2029,TODAY())&gt;=3,IF(NETWORKDAYS(C2029,TODAY())&lt;5,"Risco Médio",""),IF(NETWORKDAYS(C2029,TODAY())&lt;=2,"Risco Baixo",""))))</f>
        <v>Expedido</v>
      </c>
      <c r="P2029" s="5" t="s">
        <v>629</v>
      </c>
      <c r="R2029" s="5" t="s">
        <v>990</v>
      </c>
      <c r="S2029" s="7">
        <f>IF(ISBLANK(M2029),"Aguardando Previsão/Data",NETWORKDAYS(L2029,M2029)-1)</f>
        <v>0</v>
      </c>
      <c r="T2029" s="5" t="s">
        <v>942</v>
      </c>
    </row>
    <row r="2030" spans="1:20" x14ac:dyDescent="0.35">
      <c r="A2030" s="5">
        <v>8100278002</v>
      </c>
      <c r="B2030" s="5">
        <v>19314</v>
      </c>
      <c r="C2030" s="6">
        <v>45672</v>
      </c>
      <c r="D2030" s="5" t="s">
        <v>106</v>
      </c>
      <c r="E2030" s="5" t="s">
        <v>107</v>
      </c>
      <c r="F2030" s="5" t="s">
        <v>53</v>
      </c>
      <c r="G2030" s="5" t="s">
        <v>54</v>
      </c>
      <c r="H2030" s="5" t="s">
        <v>108</v>
      </c>
      <c r="I2030" s="5" t="s">
        <v>587</v>
      </c>
      <c r="J2030" s="5" t="s">
        <v>390</v>
      </c>
      <c r="K2030" s="5" t="s">
        <v>110</v>
      </c>
      <c r="L2030" s="6">
        <v>45680</v>
      </c>
      <c r="M2030" s="6">
        <v>45680</v>
      </c>
      <c r="N2030" s="6" t="s">
        <v>811</v>
      </c>
      <c r="O2030" s="5" t="str">
        <f ca="1">IF(P2030&lt;&gt;"EXPEDIÇÃO","Expedido",IF(NETWORKDAYS(C2030,TODAY())&gt;=5,"Risco Alto",IF(NETWORKDAYS(C2030,TODAY())&gt;=3,IF(NETWORKDAYS(C2030,TODAY())&lt;5,"Risco Médio",""),IF(NETWORKDAYS(C2030,TODAY())&lt;=2,"Risco Baixo",""))))</f>
        <v>Expedido</v>
      </c>
      <c r="P2030" s="5" t="s">
        <v>25</v>
      </c>
      <c r="S2030" s="7">
        <f>IF(ISBLANK(M2030),"Aguardando Previsão/Data",NETWORKDAYS(L2030,M2030)-1)</f>
        <v>0</v>
      </c>
      <c r="T2030" s="5" t="s">
        <v>942</v>
      </c>
    </row>
    <row r="2031" spans="1:20" x14ac:dyDescent="0.35">
      <c r="A2031" s="5">
        <v>8100278005</v>
      </c>
      <c r="B2031" s="5">
        <v>19317</v>
      </c>
      <c r="C2031" s="6">
        <v>45672</v>
      </c>
      <c r="D2031" s="5" t="s">
        <v>106</v>
      </c>
      <c r="E2031" s="5" t="s">
        <v>107</v>
      </c>
      <c r="F2031" s="5" t="s">
        <v>58</v>
      </c>
      <c r="G2031" s="5" t="s">
        <v>59</v>
      </c>
      <c r="H2031" s="5" t="s">
        <v>108</v>
      </c>
      <c r="I2031" s="5" t="s">
        <v>585</v>
      </c>
      <c r="J2031" s="5" t="s">
        <v>586</v>
      </c>
      <c r="K2031" s="5" t="s">
        <v>110</v>
      </c>
      <c r="L2031" s="6">
        <v>45679</v>
      </c>
      <c r="M2031" s="6">
        <v>45674</v>
      </c>
      <c r="N2031" s="6" t="s">
        <v>811</v>
      </c>
      <c r="O2031" s="5" t="str">
        <f ca="1">IF(P2031&lt;&gt;"EXPEDIÇÃO","Expedido",IF(NETWORKDAYS(C2031,TODAY())&gt;=5,"Risco Alto",IF(NETWORKDAYS(C2031,TODAY())&gt;=3,IF(NETWORKDAYS(C2031,TODAY())&lt;5,"Risco Médio",""),IF(NETWORKDAYS(C2031,TODAY())&lt;=2,"Risco Baixo",""))))</f>
        <v>Expedido</v>
      </c>
      <c r="P2031" s="5" t="s">
        <v>25</v>
      </c>
      <c r="S2031" s="7">
        <f>IF(ISBLANK(M2031),"Aguardando Previsão/Data",NETWORKDAYS(L2031,M2031)-1)</f>
        <v>-5</v>
      </c>
      <c r="T2031" s="5" t="s">
        <v>942</v>
      </c>
    </row>
    <row r="2032" spans="1:20" x14ac:dyDescent="0.35">
      <c r="A2032" s="5">
        <v>8100277441</v>
      </c>
      <c r="B2032" s="5">
        <v>19293</v>
      </c>
      <c r="C2032" s="6">
        <v>45672</v>
      </c>
      <c r="D2032" s="5" t="s">
        <v>106</v>
      </c>
      <c r="E2032" s="5" t="s">
        <v>107</v>
      </c>
      <c r="F2032" s="5" t="s">
        <v>69</v>
      </c>
      <c r="G2032" s="5" t="s">
        <v>70</v>
      </c>
      <c r="H2032" s="5" t="s">
        <v>108</v>
      </c>
      <c r="I2032" s="5" t="s">
        <v>278</v>
      </c>
      <c r="J2032" s="5" t="s">
        <v>279</v>
      </c>
      <c r="K2032" s="5" t="s">
        <v>110</v>
      </c>
      <c r="L2032" s="6">
        <v>45679</v>
      </c>
      <c r="M2032" s="6">
        <v>45681</v>
      </c>
      <c r="N2032" s="6" t="s">
        <v>811</v>
      </c>
      <c r="O2032" s="5" t="str">
        <f ca="1">IF(P2032&lt;&gt;"EXPEDIÇÃO","Expedido",IF(NETWORKDAYS(C2032,TODAY())&gt;=5,"Risco Alto",IF(NETWORKDAYS(C2032,TODAY())&gt;=3,IF(NETWORKDAYS(C2032,TODAY())&lt;5,"Risco Médio",""),IF(NETWORKDAYS(C2032,TODAY())&lt;=2,"Risco Baixo",""))))</f>
        <v>Expedido</v>
      </c>
      <c r="P2032" s="5" t="s">
        <v>25</v>
      </c>
      <c r="Q2032" s="5" t="s">
        <v>897</v>
      </c>
      <c r="R2032" s="5" t="s">
        <v>1424</v>
      </c>
      <c r="S2032" s="7">
        <f>IF(ISBLANK(M2032),"Aguardando Previsão/Data",NETWORKDAYS(L2032,M2032)-1)</f>
        <v>2</v>
      </c>
      <c r="T2032" s="5" t="s">
        <v>942</v>
      </c>
    </row>
    <row r="2033" spans="1:20" x14ac:dyDescent="0.35">
      <c r="A2033" s="5">
        <v>8100278000</v>
      </c>
      <c r="B2033" s="5">
        <v>19312</v>
      </c>
      <c r="C2033" s="6">
        <v>45672</v>
      </c>
      <c r="D2033" s="5" t="s">
        <v>106</v>
      </c>
      <c r="E2033" s="5" t="s">
        <v>107</v>
      </c>
      <c r="F2033" s="5" t="s">
        <v>66</v>
      </c>
      <c r="G2033" s="5" t="s">
        <v>67</v>
      </c>
      <c r="H2033" s="5" t="s">
        <v>108</v>
      </c>
      <c r="I2033" s="5" t="s">
        <v>315</v>
      </c>
      <c r="J2033" s="5" t="s">
        <v>316</v>
      </c>
      <c r="K2033" s="5" t="s">
        <v>156</v>
      </c>
      <c r="L2033" s="6">
        <v>45686</v>
      </c>
      <c r="M2033" s="6">
        <v>45681</v>
      </c>
      <c r="N2033" s="6" t="s">
        <v>811</v>
      </c>
      <c r="O2033" s="5" t="str">
        <f ca="1">IF(P2033&lt;&gt;"EXPEDIÇÃO","Expedido",IF(NETWORKDAYS(C2033,TODAY())&gt;=5,"Risco Alto",IF(NETWORKDAYS(C2033,TODAY())&gt;=3,IF(NETWORKDAYS(C2033,TODAY())&lt;5,"Risco Médio",""),IF(NETWORKDAYS(C2033,TODAY())&lt;=2,"Risco Baixo",""))))</f>
        <v>Expedido</v>
      </c>
      <c r="P2033" s="5" t="s">
        <v>25</v>
      </c>
      <c r="R2033" s="5" t="s">
        <v>1490</v>
      </c>
      <c r="S2033" s="7">
        <f>IF(ISBLANK(M2033),"Aguardando Previsão/Data",NETWORKDAYS(L2033,M2033)-1)</f>
        <v>-5</v>
      </c>
      <c r="T2033" s="5" t="s">
        <v>942</v>
      </c>
    </row>
    <row r="2034" spans="1:20" x14ac:dyDescent="0.35">
      <c r="A2034" s="5">
        <v>8100278003</v>
      </c>
      <c r="B2034" s="5">
        <v>19321</v>
      </c>
      <c r="C2034" s="6">
        <v>45672</v>
      </c>
      <c r="D2034" s="5" t="s">
        <v>106</v>
      </c>
      <c r="E2034" s="5" t="s">
        <v>107</v>
      </c>
      <c r="F2034" s="5" t="s">
        <v>66</v>
      </c>
      <c r="G2034" s="5" t="s">
        <v>67</v>
      </c>
      <c r="H2034" s="5" t="s">
        <v>108</v>
      </c>
      <c r="I2034" s="5" t="s">
        <v>154</v>
      </c>
      <c r="J2034" s="5" t="s">
        <v>155</v>
      </c>
      <c r="K2034" s="5" t="s">
        <v>156</v>
      </c>
      <c r="L2034" s="6">
        <v>45684</v>
      </c>
      <c r="M2034" s="6">
        <v>45680</v>
      </c>
      <c r="N2034" s="6" t="s">
        <v>811</v>
      </c>
      <c r="O2034" s="5" t="str">
        <f ca="1">IF(P2034&lt;&gt;"EXPEDIÇÃO","Expedido",IF(NETWORKDAYS(C2034,TODAY())&gt;=5,"Risco Alto",IF(NETWORKDAYS(C2034,TODAY())&gt;=3,IF(NETWORKDAYS(C2034,TODAY())&lt;5,"Risco Médio",""),IF(NETWORKDAYS(C2034,TODAY())&lt;=2,"Risco Baixo",""))))</f>
        <v>Expedido</v>
      </c>
      <c r="P2034" s="5" t="s">
        <v>25</v>
      </c>
      <c r="Q2034" s="5" t="s">
        <v>897</v>
      </c>
      <c r="R2034" s="5" t="s">
        <v>1490</v>
      </c>
      <c r="S2034" s="7">
        <f>IF(ISBLANK(M2034),"Aguardando Previsão/Data",NETWORKDAYS(L2034,M2034)-1)</f>
        <v>-4</v>
      </c>
      <c r="T2034" s="5" t="s">
        <v>942</v>
      </c>
    </row>
    <row r="2035" spans="1:20" x14ac:dyDescent="0.35">
      <c r="A2035" s="5">
        <v>8100278004</v>
      </c>
      <c r="B2035" s="5">
        <v>19313</v>
      </c>
      <c r="C2035" s="6">
        <v>45672</v>
      </c>
      <c r="D2035" s="5" t="s">
        <v>106</v>
      </c>
      <c r="E2035" s="5" t="s">
        <v>107</v>
      </c>
      <c r="F2035" s="5" t="s">
        <v>66</v>
      </c>
      <c r="G2035" s="5" t="s">
        <v>67</v>
      </c>
      <c r="H2035" s="5" t="s">
        <v>108</v>
      </c>
      <c r="I2035" s="5" t="s">
        <v>269</v>
      </c>
      <c r="J2035" s="5" t="s">
        <v>316</v>
      </c>
      <c r="K2035" s="5" t="s">
        <v>156</v>
      </c>
      <c r="L2035" s="6">
        <v>45686</v>
      </c>
      <c r="M2035" s="6">
        <v>45681</v>
      </c>
      <c r="N2035" s="6" t="s">
        <v>811</v>
      </c>
      <c r="O2035" s="5" t="str">
        <f ca="1">IF(P2035&lt;&gt;"EXPEDIÇÃO","Expedido",IF(NETWORKDAYS(C2035,TODAY())&gt;=5,"Risco Alto",IF(NETWORKDAYS(C2035,TODAY())&gt;=3,IF(NETWORKDAYS(C2035,TODAY())&lt;5,"Risco Médio",""),IF(NETWORKDAYS(C2035,TODAY())&lt;=2,"Risco Baixo",""))))</f>
        <v>Expedido</v>
      </c>
      <c r="P2035" s="5" t="s">
        <v>25</v>
      </c>
      <c r="R2035" s="5" t="s">
        <v>1490</v>
      </c>
      <c r="S2035" s="7">
        <f>IF(ISBLANK(M2035),"Aguardando Previsão/Data",NETWORKDAYS(L2035,M2035)-1)</f>
        <v>-5</v>
      </c>
      <c r="T2035" s="5" t="s">
        <v>942</v>
      </c>
    </row>
    <row r="2036" spans="1:20" x14ac:dyDescent="0.35">
      <c r="A2036" s="5">
        <v>8100278006</v>
      </c>
      <c r="B2036" s="5">
        <v>19319</v>
      </c>
      <c r="C2036" s="6">
        <v>45672</v>
      </c>
      <c r="D2036" s="5" t="s">
        <v>106</v>
      </c>
      <c r="E2036" s="5" t="s">
        <v>107</v>
      </c>
      <c r="F2036" s="5" t="s">
        <v>69</v>
      </c>
      <c r="G2036" s="5" t="s">
        <v>70</v>
      </c>
      <c r="H2036" s="5" t="s">
        <v>108</v>
      </c>
      <c r="I2036" s="5" t="s">
        <v>278</v>
      </c>
      <c r="J2036" s="5" t="s">
        <v>279</v>
      </c>
      <c r="K2036" s="5" t="s">
        <v>110</v>
      </c>
      <c r="L2036" s="6">
        <v>45679</v>
      </c>
      <c r="M2036" s="6">
        <v>45681</v>
      </c>
      <c r="N2036" s="6" t="s">
        <v>811</v>
      </c>
      <c r="O2036" s="5" t="str">
        <f ca="1">IF(P2036&lt;&gt;"EXPEDIÇÃO","Expedido",IF(NETWORKDAYS(C2036,TODAY())&gt;=5,"Risco Alto",IF(NETWORKDAYS(C2036,TODAY())&gt;=3,IF(NETWORKDAYS(C2036,TODAY())&lt;5,"Risco Médio",""),IF(NETWORKDAYS(C2036,TODAY())&lt;=2,"Risco Baixo",""))))</f>
        <v>Expedido</v>
      </c>
      <c r="P2036" s="5" t="s">
        <v>25</v>
      </c>
      <c r="Q2036" s="5" t="s">
        <v>897</v>
      </c>
      <c r="R2036" s="5" t="s">
        <v>1424</v>
      </c>
      <c r="S2036" s="7">
        <f>IF(ISBLANK(M2036),"Aguardando Previsão/Data",NETWORKDAYS(L2036,M2036)-1)</f>
        <v>2</v>
      </c>
      <c r="T2036" s="5" t="s">
        <v>942</v>
      </c>
    </row>
    <row r="2037" spans="1:20" x14ac:dyDescent="0.35">
      <c r="A2037" s="5">
        <v>8100278007</v>
      </c>
      <c r="B2037" s="5">
        <v>19320</v>
      </c>
      <c r="C2037" s="6">
        <v>45672</v>
      </c>
      <c r="D2037" s="5" t="s">
        <v>106</v>
      </c>
      <c r="E2037" s="5" t="s">
        <v>107</v>
      </c>
      <c r="F2037" s="5" t="s">
        <v>69</v>
      </c>
      <c r="G2037" s="5" t="s">
        <v>70</v>
      </c>
      <c r="H2037" s="5" t="s">
        <v>108</v>
      </c>
      <c r="I2037" s="5" t="s">
        <v>278</v>
      </c>
      <c r="J2037" s="5" t="s">
        <v>279</v>
      </c>
      <c r="K2037" s="5" t="s">
        <v>110</v>
      </c>
      <c r="L2037" s="6">
        <v>45679</v>
      </c>
      <c r="M2037" s="6">
        <v>45681</v>
      </c>
      <c r="N2037" s="6" t="s">
        <v>811</v>
      </c>
      <c r="O2037" s="5" t="str">
        <f ca="1">IF(P2037&lt;&gt;"EXPEDIÇÃO","Expedido",IF(NETWORKDAYS(C2037,TODAY())&gt;=5,"Risco Alto",IF(NETWORKDAYS(C2037,TODAY())&gt;=3,IF(NETWORKDAYS(C2037,TODAY())&lt;5,"Risco Médio",""),IF(NETWORKDAYS(C2037,TODAY())&lt;=2,"Risco Baixo",""))))</f>
        <v>Expedido</v>
      </c>
      <c r="P2037" s="5" t="s">
        <v>25</v>
      </c>
      <c r="Q2037" s="5" t="s">
        <v>897</v>
      </c>
      <c r="R2037" s="5" t="s">
        <v>1424</v>
      </c>
      <c r="S2037" s="7">
        <f>IF(ISBLANK(M2037),"Aguardando Previsão/Data",NETWORKDAYS(L2037,M2037)-1)</f>
        <v>2</v>
      </c>
      <c r="T2037" s="5" t="s">
        <v>942</v>
      </c>
    </row>
    <row r="2038" spans="1:20" x14ac:dyDescent="0.35">
      <c r="A2038" s="5">
        <v>8100278008</v>
      </c>
      <c r="B2038" s="5">
        <v>19318</v>
      </c>
      <c r="C2038" s="6">
        <v>45672</v>
      </c>
      <c r="D2038" s="5" t="s">
        <v>106</v>
      </c>
      <c r="E2038" s="5" t="s">
        <v>107</v>
      </c>
      <c r="F2038" s="5" t="s">
        <v>66</v>
      </c>
      <c r="G2038" s="5" t="s">
        <v>67</v>
      </c>
      <c r="H2038" s="5" t="s">
        <v>108</v>
      </c>
      <c r="I2038" s="5" t="s">
        <v>82</v>
      </c>
      <c r="J2038" s="5" t="s">
        <v>124</v>
      </c>
      <c r="K2038" s="5" t="s">
        <v>110</v>
      </c>
      <c r="L2038" s="6">
        <v>45680</v>
      </c>
      <c r="M2038" s="6">
        <v>45680</v>
      </c>
      <c r="O2038" s="5" t="str">
        <f ca="1">IF(P2038&lt;&gt;"EXPEDIÇÃO","Expedido",IF(NETWORKDAYS(C2038,TODAY())&gt;=5,"Risco Alto",IF(NETWORKDAYS(C2038,TODAY())&gt;=3,IF(NETWORKDAYS(C2038,TODAY())&lt;5,"Risco Médio",""),IF(NETWORKDAYS(C2038,TODAY())&lt;=2,"Risco Baixo",""))))</f>
        <v>Expedido</v>
      </c>
      <c r="P2038" s="5" t="s">
        <v>629</v>
      </c>
      <c r="Q2038" s="5" t="s">
        <v>1579</v>
      </c>
      <c r="R2038" s="15">
        <v>3087811</v>
      </c>
      <c r="S2038" s="7">
        <f>IF(ISBLANK(M2038),"Aguardando Previsão/Data",NETWORKDAYS(L2038,M2038)-1)</f>
        <v>0</v>
      </c>
      <c r="T2038" s="5" t="s">
        <v>942</v>
      </c>
    </row>
    <row r="2039" spans="1:20" x14ac:dyDescent="0.35">
      <c r="A2039" s="5">
        <v>8100276262</v>
      </c>
      <c r="B2039" s="5">
        <v>7166</v>
      </c>
      <c r="C2039" s="6">
        <v>45672</v>
      </c>
      <c r="D2039" s="5" t="s">
        <v>194</v>
      </c>
      <c r="E2039" s="5" t="s">
        <v>195</v>
      </c>
      <c r="F2039" s="5" t="s">
        <v>406</v>
      </c>
      <c r="G2039" s="5" t="s">
        <v>407</v>
      </c>
      <c r="H2039" s="5" t="s">
        <v>108</v>
      </c>
      <c r="I2039" s="5" t="s">
        <v>1248</v>
      </c>
      <c r="J2039" s="5" t="s">
        <v>588</v>
      </c>
      <c r="K2039" s="5" t="s">
        <v>198</v>
      </c>
      <c r="L2039" s="6">
        <v>45679</v>
      </c>
      <c r="M2039" s="6">
        <v>45681</v>
      </c>
      <c r="N2039" s="6" t="s">
        <v>812</v>
      </c>
      <c r="O2039" s="5" t="str">
        <f ca="1">IF(P2039&lt;&gt;"EXPEDIÇÃO","Expedido",IF(NETWORKDAYS(C2039,TODAY())&gt;=5,"Risco Alto",IF(NETWORKDAYS(C2039,TODAY())&gt;=3,IF(NETWORKDAYS(C2039,TODAY())&lt;5,"Risco Médio",""),IF(NETWORKDAYS(C2039,TODAY())&lt;=2,"Risco Baixo",""))))</f>
        <v>Expedido</v>
      </c>
      <c r="P2039" s="5" t="s">
        <v>25</v>
      </c>
      <c r="S2039" s="7">
        <f>IF(ISBLANK(M2039),"Aguardando Previsão/Data",NETWORKDAYS(L2039,M2039)-1)</f>
        <v>2</v>
      </c>
      <c r="T2039" s="5" t="s">
        <v>942</v>
      </c>
    </row>
    <row r="2040" spans="1:20" x14ac:dyDescent="0.35">
      <c r="A2040" s="5">
        <v>8100277401</v>
      </c>
      <c r="B2040" s="5">
        <v>7169</v>
      </c>
      <c r="C2040" s="6">
        <v>45672</v>
      </c>
      <c r="D2040" s="5" t="s">
        <v>194</v>
      </c>
      <c r="E2040" s="5" t="s">
        <v>195</v>
      </c>
      <c r="F2040" s="5" t="s">
        <v>199</v>
      </c>
      <c r="G2040" s="5" t="s">
        <v>200</v>
      </c>
      <c r="H2040" s="5" t="s">
        <v>108</v>
      </c>
      <c r="I2040" s="5" t="s">
        <v>1348</v>
      </c>
      <c r="J2040" s="5" t="s">
        <v>205</v>
      </c>
      <c r="K2040" s="5" t="s">
        <v>198</v>
      </c>
      <c r="L2040" s="6">
        <v>45680</v>
      </c>
      <c r="M2040" s="6">
        <v>45680</v>
      </c>
      <c r="N2040" s="6" t="s">
        <v>811</v>
      </c>
      <c r="O2040" s="5" t="str">
        <f ca="1">IF(P2040&lt;&gt;"EXPEDIÇÃO","Expedido",IF(NETWORKDAYS(C2040,TODAY())&gt;=5,"Risco Alto",IF(NETWORKDAYS(C2040,TODAY())&gt;=3,IF(NETWORKDAYS(C2040,TODAY())&lt;5,"Risco Médio",""),IF(NETWORKDAYS(C2040,TODAY())&lt;=2,"Risco Baixo",""))))</f>
        <v>Expedido</v>
      </c>
      <c r="P2040" s="5" t="s">
        <v>25</v>
      </c>
      <c r="Q2040" s="5" t="s">
        <v>1415</v>
      </c>
      <c r="R2040" s="5">
        <v>3097043</v>
      </c>
      <c r="S2040" s="7">
        <f>IF(ISBLANK(M2040),"Aguardando Previsão/Data",NETWORKDAYS(L2040,M2040)-1)</f>
        <v>0</v>
      </c>
      <c r="T2040" s="5" t="s">
        <v>942</v>
      </c>
    </row>
    <row r="2041" spans="1:20" x14ac:dyDescent="0.35">
      <c r="A2041" s="5">
        <v>8100277461</v>
      </c>
      <c r="B2041" s="5">
        <v>7186</v>
      </c>
      <c r="C2041" s="6">
        <v>45672</v>
      </c>
      <c r="D2041" s="5" t="s">
        <v>194</v>
      </c>
      <c r="E2041" s="5" t="s">
        <v>195</v>
      </c>
      <c r="F2041" s="5" t="s">
        <v>406</v>
      </c>
      <c r="G2041" s="5" t="s">
        <v>407</v>
      </c>
      <c r="H2041" s="5" t="s">
        <v>108</v>
      </c>
      <c r="I2041" s="5" t="s">
        <v>1353</v>
      </c>
      <c r="J2041" s="5" t="s">
        <v>588</v>
      </c>
      <c r="K2041" s="5" t="s">
        <v>198</v>
      </c>
      <c r="L2041" s="6">
        <v>45679</v>
      </c>
      <c r="M2041" s="6">
        <v>45680</v>
      </c>
      <c r="N2041" s="6" t="s">
        <v>812</v>
      </c>
      <c r="O2041" s="5" t="str">
        <f ca="1">IF(P2041&lt;&gt;"EXPEDIÇÃO","Expedido",IF(NETWORKDAYS(C2041,TODAY())&gt;=5,"Risco Alto",IF(NETWORKDAYS(C2041,TODAY())&gt;=3,IF(NETWORKDAYS(C2041,TODAY())&lt;5,"Risco Médio",""),IF(NETWORKDAYS(C2041,TODAY())&lt;=2,"Risco Baixo",""))))</f>
        <v>Expedido</v>
      </c>
      <c r="P2041" s="5" t="s">
        <v>25</v>
      </c>
      <c r="Q2041" s="5" t="s">
        <v>899</v>
      </c>
      <c r="S2041" s="7">
        <f>IF(ISBLANK(M2041),"Aguardando Previsão/Data",NETWORKDAYS(L2041,M2041)-1)</f>
        <v>1</v>
      </c>
      <c r="T2041" s="5" t="s">
        <v>942</v>
      </c>
    </row>
    <row r="2042" spans="1:20" x14ac:dyDescent="0.35">
      <c r="A2042" s="5">
        <v>8100277462</v>
      </c>
      <c r="B2042" s="5">
        <v>7187</v>
      </c>
      <c r="C2042" s="6">
        <v>45672</v>
      </c>
      <c r="D2042" s="5" t="s">
        <v>194</v>
      </c>
      <c r="E2042" s="5" t="s">
        <v>195</v>
      </c>
      <c r="F2042" s="5" t="s">
        <v>406</v>
      </c>
      <c r="G2042" s="5" t="s">
        <v>407</v>
      </c>
      <c r="H2042" s="5" t="s">
        <v>108</v>
      </c>
      <c r="I2042" s="5" t="s">
        <v>1354</v>
      </c>
      <c r="J2042" s="5" t="s">
        <v>735</v>
      </c>
      <c r="K2042" s="5" t="s">
        <v>198</v>
      </c>
      <c r="L2042" s="6">
        <v>45679</v>
      </c>
      <c r="M2042" s="6">
        <v>45681</v>
      </c>
      <c r="N2042" s="6" t="s">
        <v>812</v>
      </c>
      <c r="O2042" s="5" t="str">
        <f ca="1">IF(P2042&lt;&gt;"EXPEDIÇÃO","Expedido",IF(NETWORKDAYS(C2042,TODAY())&gt;=5,"Risco Alto",IF(NETWORKDAYS(C2042,TODAY())&gt;=3,IF(NETWORKDAYS(C2042,TODAY())&lt;5,"Risco Médio",""),IF(NETWORKDAYS(C2042,TODAY())&lt;=2,"Risco Baixo",""))))</f>
        <v>Expedido</v>
      </c>
      <c r="P2042" s="5" t="s">
        <v>25</v>
      </c>
      <c r="Q2042" s="5" t="s">
        <v>899</v>
      </c>
      <c r="S2042" s="7">
        <f>IF(ISBLANK(M2042),"Aguardando Previsão/Data",NETWORKDAYS(L2042,M2042)-1)</f>
        <v>2</v>
      </c>
      <c r="T2042" s="5" t="s">
        <v>942</v>
      </c>
    </row>
    <row r="2043" spans="1:20" x14ac:dyDescent="0.35">
      <c r="A2043" s="5">
        <v>8100278065</v>
      </c>
      <c r="B2043" s="5">
        <v>7188</v>
      </c>
      <c r="C2043" s="6">
        <v>45672</v>
      </c>
      <c r="D2043" s="5" t="s">
        <v>194</v>
      </c>
      <c r="E2043" s="5" t="s">
        <v>195</v>
      </c>
      <c r="F2043" s="5" t="s">
        <v>58</v>
      </c>
      <c r="G2043" s="5" t="s">
        <v>59</v>
      </c>
      <c r="H2043" s="5" t="s">
        <v>108</v>
      </c>
      <c r="I2043" s="5" t="s">
        <v>209</v>
      </c>
      <c r="J2043" s="5" t="s">
        <v>210</v>
      </c>
      <c r="K2043" s="5" t="s">
        <v>198</v>
      </c>
      <c r="L2043" s="6">
        <v>45679</v>
      </c>
      <c r="M2043" s="6">
        <v>45680</v>
      </c>
      <c r="N2043" s="6" t="s">
        <v>812</v>
      </c>
      <c r="O2043" s="5" t="str">
        <f ca="1">IF(P2043&lt;&gt;"EXPEDIÇÃO","Expedido",IF(NETWORKDAYS(C2043,TODAY())&gt;=5,"Risco Alto",IF(NETWORKDAYS(C2043,TODAY())&gt;=3,IF(NETWORKDAYS(C2043,TODAY())&lt;5,"Risco Médio",""),IF(NETWORKDAYS(C2043,TODAY())&lt;=2,"Risco Baixo",""))))</f>
        <v>Expedido</v>
      </c>
      <c r="P2043" s="5" t="s">
        <v>25</v>
      </c>
      <c r="Q2043" s="5" t="s">
        <v>899</v>
      </c>
      <c r="S2043" s="7">
        <f>IF(ISBLANK(M2043),"Aguardando Previsão/Data",NETWORKDAYS(L2043,M2043)-1)</f>
        <v>1</v>
      </c>
      <c r="T2043" s="5" t="s">
        <v>942</v>
      </c>
    </row>
    <row r="2044" spans="1:20" x14ac:dyDescent="0.35">
      <c r="A2044" s="5">
        <v>8100276266</v>
      </c>
      <c r="B2044" s="5">
        <v>7164</v>
      </c>
      <c r="C2044" s="6">
        <v>45672</v>
      </c>
      <c r="D2044" s="5" t="s">
        <v>194</v>
      </c>
      <c r="E2044" s="5" t="s">
        <v>195</v>
      </c>
      <c r="F2044" s="5" t="s">
        <v>406</v>
      </c>
      <c r="G2044" s="5" t="s">
        <v>407</v>
      </c>
      <c r="H2044" s="5" t="s">
        <v>108</v>
      </c>
      <c r="I2044" s="5" t="s">
        <v>788</v>
      </c>
      <c r="J2044" s="5" t="s">
        <v>407</v>
      </c>
      <c r="K2044" s="5" t="s">
        <v>198</v>
      </c>
      <c r="L2044" s="6">
        <v>45678</v>
      </c>
      <c r="M2044" s="6">
        <v>45674</v>
      </c>
      <c r="N2044" s="6" t="s">
        <v>811</v>
      </c>
      <c r="O2044" s="5" t="str">
        <f ca="1">IF(P2044&lt;&gt;"EXPEDIÇÃO","Expedido",IF(NETWORKDAYS(C2044,TODAY())&gt;=5,"Risco Alto",IF(NETWORKDAYS(C2044,TODAY())&gt;=3,IF(NETWORKDAYS(C2044,TODAY())&lt;5,"Risco Médio",""),IF(NETWORKDAYS(C2044,TODAY())&lt;=2,"Risco Baixo",""))))</f>
        <v>Expedido</v>
      </c>
      <c r="P2044" s="5" t="s">
        <v>25</v>
      </c>
      <c r="S2044" s="7">
        <f>IF(ISBLANK(M2044),"Aguardando Previsão/Data",NETWORKDAYS(L2044,M2044)-1)</f>
        <v>-4</v>
      </c>
      <c r="T2044" s="5" t="s">
        <v>942</v>
      </c>
    </row>
    <row r="2045" spans="1:20" x14ac:dyDescent="0.35">
      <c r="A2045" s="5">
        <v>8100276268</v>
      </c>
      <c r="B2045" s="5">
        <v>7167</v>
      </c>
      <c r="C2045" s="6">
        <v>45672</v>
      </c>
      <c r="D2045" s="5" t="s">
        <v>194</v>
      </c>
      <c r="E2045" s="5" t="s">
        <v>195</v>
      </c>
      <c r="F2045" s="5" t="s">
        <v>199</v>
      </c>
      <c r="G2045" s="5" t="s">
        <v>200</v>
      </c>
      <c r="H2045" s="5" t="s">
        <v>108</v>
      </c>
      <c r="I2045" s="5" t="s">
        <v>1283</v>
      </c>
      <c r="J2045" s="5" t="s">
        <v>628</v>
      </c>
      <c r="K2045" s="5" t="s">
        <v>198</v>
      </c>
      <c r="L2045" s="6">
        <v>45680</v>
      </c>
      <c r="M2045" s="6">
        <v>45679</v>
      </c>
      <c r="N2045" s="6" t="s">
        <v>811</v>
      </c>
      <c r="O2045" s="5" t="str">
        <f ca="1">IF(P2045&lt;&gt;"EXPEDIÇÃO","Expedido",IF(NETWORKDAYS(C2045,TODAY())&gt;=5,"Risco Alto",IF(NETWORKDAYS(C2045,TODAY())&gt;=3,IF(NETWORKDAYS(C2045,TODAY())&lt;5,"Risco Médio",""),IF(NETWORKDAYS(C2045,TODAY())&lt;=2,"Risco Baixo",""))))</f>
        <v>Expedido</v>
      </c>
      <c r="P2045" s="5" t="s">
        <v>25</v>
      </c>
      <c r="S2045" s="7">
        <f>IF(ISBLANK(M2045),"Aguardando Previsão/Data",NETWORKDAYS(L2045,M2045)-1)</f>
        <v>-3</v>
      </c>
      <c r="T2045" s="5" t="s">
        <v>942</v>
      </c>
    </row>
    <row r="2046" spans="1:20" x14ac:dyDescent="0.35">
      <c r="A2046" s="5">
        <v>8100276270</v>
      </c>
      <c r="B2046" s="5">
        <v>7165</v>
      </c>
      <c r="C2046" s="6">
        <v>45672</v>
      </c>
      <c r="D2046" s="5" t="s">
        <v>194</v>
      </c>
      <c r="E2046" s="5" t="s">
        <v>195</v>
      </c>
      <c r="F2046" s="5" t="s">
        <v>406</v>
      </c>
      <c r="G2046" s="5" t="s">
        <v>407</v>
      </c>
      <c r="H2046" s="5" t="s">
        <v>108</v>
      </c>
      <c r="I2046" s="5" t="s">
        <v>1102</v>
      </c>
      <c r="J2046" s="5" t="s">
        <v>691</v>
      </c>
      <c r="K2046" s="5" t="s">
        <v>198</v>
      </c>
      <c r="L2046" s="6">
        <v>45679</v>
      </c>
      <c r="M2046" s="6">
        <v>45675</v>
      </c>
      <c r="N2046" s="6" t="s">
        <v>811</v>
      </c>
      <c r="O2046" s="5" t="str">
        <f ca="1">IF(P2046&lt;&gt;"EXPEDIÇÃO","Expedido",IF(NETWORKDAYS(C2046,TODAY())&gt;=5,"Risco Alto",IF(NETWORKDAYS(C2046,TODAY())&gt;=3,IF(NETWORKDAYS(C2046,TODAY())&lt;5,"Risco Médio",""),IF(NETWORKDAYS(C2046,TODAY())&lt;=2,"Risco Baixo",""))))</f>
        <v>Expedido</v>
      </c>
      <c r="P2046" s="5" t="s">
        <v>25</v>
      </c>
      <c r="S2046" s="7">
        <f>IF(ISBLANK(M2046),"Aguardando Previsão/Data",NETWORKDAYS(L2046,M2046)-1)</f>
        <v>-4</v>
      </c>
      <c r="T2046" s="5" t="s">
        <v>942</v>
      </c>
    </row>
    <row r="2047" spans="1:20" x14ac:dyDescent="0.35">
      <c r="A2047" s="5">
        <v>8100277336</v>
      </c>
      <c r="B2047" s="5">
        <v>7171</v>
      </c>
      <c r="C2047" s="6">
        <v>45672</v>
      </c>
      <c r="D2047" s="5" t="s">
        <v>194</v>
      </c>
      <c r="E2047" s="5" t="s">
        <v>195</v>
      </c>
      <c r="F2047" s="5" t="s">
        <v>406</v>
      </c>
      <c r="G2047" s="5" t="s">
        <v>407</v>
      </c>
      <c r="H2047" s="5" t="s">
        <v>108</v>
      </c>
      <c r="I2047" s="5" t="s">
        <v>788</v>
      </c>
      <c r="J2047" s="5" t="s">
        <v>407</v>
      </c>
      <c r="K2047" s="5" t="s">
        <v>198</v>
      </c>
      <c r="L2047" s="6">
        <v>45678</v>
      </c>
      <c r="M2047" s="6">
        <v>45674</v>
      </c>
      <c r="N2047" s="6" t="s">
        <v>811</v>
      </c>
      <c r="O2047" s="5" t="str">
        <f ca="1">IF(P2047&lt;&gt;"EXPEDIÇÃO","Expedido",IF(NETWORKDAYS(C2047,TODAY())&gt;=5,"Risco Alto",IF(NETWORKDAYS(C2047,TODAY())&gt;=3,IF(NETWORKDAYS(C2047,TODAY())&lt;5,"Risco Médio",""),IF(NETWORKDAYS(C2047,TODAY())&lt;=2,"Risco Baixo",""))))</f>
        <v>Expedido</v>
      </c>
      <c r="P2047" s="5" t="s">
        <v>25</v>
      </c>
      <c r="S2047" s="7">
        <f>IF(ISBLANK(M2047),"Aguardando Previsão/Data",NETWORKDAYS(L2047,M2047)-1)</f>
        <v>-4</v>
      </c>
      <c r="T2047" s="5" t="s">
        <v>942</v>
      </c>
    </row>
    <row r="2048" spans="1:20" x14ac:dyDescent="0.35">
      <c r="A2048" s="5">
        <v>8100277337</v>
      </c>
      <c r="B2048" s="5">
        <v>7176</v>
      </c>
      <c r="C2048" s="6">
        <v>45672</v>
      </c>
      <c r="D2048" s="5" t="s">
        <v>194</v>
      </c>
      <c r="E2048" s="5" t="s">
        <v>195</v>
      </c>
      <c r="F2048" s="5" t="s">
        <v>406</v>
      </c>
      <c r="G2048" s="5" t="s">
        <v>407</v>
      </c>
      <c r="H2048" s="5" t="s">
        <v>108</v>
      </c>
      <c r="I2048" s="5" t="s">
        <v>1343</v>
      </c>
      <c r="J2048" s="5" t="s">
        <v>1344</v>
      </c>
      <c r="K2048" s="5" t="s">
        <v>198</v>
      </c>
      <c r="L2048" s="6">
        <v>45679</v>
      </c>
      <c r="M2048" s="6">
        <v>45678</v>
      </c>
      <c r="N2048" s="6" t="s">
        <v>811</v>
      </c>
      <c r="O2048" s="5" t="str">
        <f ca="1">IF(P2048&lt;&gt;"EXPEDIÇÃO","Expedido",IF(NETWORKDAYS(C2048,TODAY())&gt;=5,"Risco Alto",IF(NETWORKDAYS(C2048,TODAY())&gt;=3,IF(NETWORKDAYS(C2048,TODAY())&lt;5,"Risco Médio",""),IF(NETWORKDAYS(C2048,TODAY())&lt;=2,"Risco Baixo",""))))</f>
        <v>Expedido</v>
      </c>
      <c r="P2048" s="5" t="s">
        <v>25</v>
      </c>
      <c r="S2048" s="7">
        <f>IF(ISBLANK(M2048),"Aguardando Previsão/Data",NETWORKDAYS(L2048,M2048)-1)</f>
        <v>-3</v>
      </c>
      <c r="T2048" s="5" t="s">
        <v>942</v>
      </c>
    </row>
    <row r="2049" spans="1:20" x14ac:dyDescent="0.35">
      <c r="A2049" s="5">
        <v>8100277363</v>
      </c>
      <c r="B2049" s="5">
        <v>7170</v>
      </c>
      <c r="C2049" s="6">
        <v>45672</v>
      </c>
      <c r="D2049" s="5" t="s">
        <v>194</v>
      </c>
      <c r="E2049" s="5" t="s">
        <v>195</v>
      </c>
      <c r="F2049" s="5" t="s">
        <v>199</v>
      </c>
      <c r="G2049" s="5" t="s">
        <v>200</v>
      </c>
      <c r="H2049" s="5" t="s">
        <v>108</v>
      </c>
      <c r="I2049" s="5" t="s">
        <v>1345</v>
      </c>
      <c r="J2049" s="5" t="s">
        <v>734</v>
      </c>
      <c r="K2049" s="5" t="s">
        <v>198</v>
      </c>
      <c r="L2049" s="6">
        <v>45680</v>
      </c>
      <c r="M2049" s="6">
        <v>45677</v>
      </c>
      <c r="N2049" s="6" t="s">
        <v>811</v>
      </c>
      <c r="O2049" s="5" t="str">
        <f ca="1">IF(P2049&lt;&gt;"EXPEDIÇÃO","Expedido",IF(NETWORKDAYS(C2049,TODAY())&gt;=5,"Risco Alto",IF(NETWORKDAYS(C2049,TODAY())&gt;=3,IF(NETWORKDAYS(C2049,TODAY())&lt;5,"Risco Médio",""),IF(NETWORKDAYS(C2049,TODAY())&lt;=2,"Risco Baixo",""))))</f>
        <v>Expedido</v>
      </c>
      <c r="P2049" s="5" t="s">
        <v>25</v>
      </c>
      <c r="S2049" s="7">
        <f>IF(ISBLANK(M2049),"Aguardando Previsão/Data",NETWORKDAYS(L2049,M2049)-1)</f>
        <v>-5</v>
      </c>
      <c r="T2049" s="5" t="s">
        <v>942</v>
      </c>
    </row>
    <row r="2050" spans="1:20" x14ac:dyDescent="0.35">
      <c r="A2050" s="5">
        <v>8100277400</v>
      </c>
      <c r="B2050" s="5">
        <v>7172</v>
      </c>
      <c r="C2050" s="6">
        <v>45672</v>
      </c>
      <c r="D2050" s="5" t="s">
        <v>194</v>
      </c>
      <c r="E2050" s="5" t="s">
        <v>195</v>
      </c>
      <c r="F2050" s="5" t="s">
        <v>199</v>
      </c>
      <c r="G2050" s="5" t="s">
        <v>200</v>
      </c>
      <c r="H2050" s="5" t="s">
        <v>108</v>
      </c>
      <c r="I2050" s="5" t="s">
        <v>1349</v>
      </c>
      <c r="J2050" s="5" t="s">
        <v>1350</v>
      </c>
      <c r="K2050" s="5" t="s">
        <v>198</v>
      </c>
      <c r="L2050" s="6">
        <v>45681</v>
      </c>
      <c r="M2050" s="6">
        <v>45679</v>
      </c>
      <c r="N2050" s="6" t="s">
        <v>811</v>
      </c>
      <c r="O2050" s="5" t="str">
        <f ca="1">IF(P2050&lt;&gt;"EXPEDIÇÃO","Expedido",IF(NETWORKDAYS(C2050,TODAY())&gt;=5,"Risco Alto",IF(NETWORKDAYS(C2050,TODAY())&gt;=3,IF(NETWORKDAYS(C2050,TODAY())&lt;5,"Risco Médio",""),IF(NETWORKDAYS(C2050,TODAY())&lt;=2,"Risco Baixo",""))))</f>
        <v>Expedido</v>
      </c>
      <c r="P2050" s="5" t="s">
        <v>25</v>
      </c>
      <c r="Q2050" s="5" t="s">
        <v>1415</v>
      </c>
      <c r="R2050" s="5">
        <v>3097043</v>
      </c>
      <c r="S2050" s="7">
        <f>IF(ISBLANK(M2050),"Aguardando Previsão/Data",NETWORKDAYS(L2050,M2050)-1)</f>
        <v>-4</v>
      </c>
      <c r="T2050" s="5" t="s">
        <v>942</v>
      </c>
    </row>
    <row r="2051" spans="1:20" x14ac:dyDescent="0.35">
      <c r="A2051" s="5">
        <v>8100277415</v>
      </c>
      <c r="B2051" s="5">
        <v>7185</v>
      </c>
      <c r="C2051" s="6">
        <v>45672</v>
      </c>
      <c r="D2051" s="5" t="s">
        <v>194</v>
      </c>
      <c r="E2051" s="5" t="s">
        <v>195</v>
      </c>
      <c r="F2051" s="5" t="s">
        <v>147</v>
      </c>
      <c r="G2051" s="5" t="s">
        <v>148</v>
      </c>
      <c r="H2051" s="5" t="s">
        <v>108</v>
      </c>
      <c r="I2051" s="5" t="s">
        <v>128</v>
      </c>
      <c r="J2051" s="5" t="s">
        <v>290</v>
      </c>
      <c r="K2051" s="5" t="s">
        <v>198</v>
      </c>
      <c r="L2051" s="6">
        <v>45678</v>
      </c>
      <c r="M2051" s="6">
        <v>45677</v>
      </c>
      <c r="N2051" s="6" t="s">
        <v>811</v>
      </c>
      <c r="O2051" s="5" t="str">
        <f ca="1">IF(P2051&lt;&gt;"EXPEDIÇÃO","Expedido",IF(NETWORKDAYS(C2051,TODAY())&gt;=5,"Risco Alto",IF(NETWORKDAYS(C2051,TODAY())&gt;=3,IF(NETWORKDAYS(C2051,TODAY())&lt;5,"Risco Médio",""),IF(NETWORKDAYS(C2051,TODAY())&lt;=2,"Risco Baixo",""))))</f>
        <v>Expedido</v>
      </c>
      <c r="P2051" s="5" t="s">
        <v>25</v>
      </c>
      <c r="S2051" s="7">
        <f>IF(ISBLANK(M2051),"Aguardando Previsão/Data",NETWORKDAYS(L2051,M2051)-1)</f>
        <v>-3</v>
      </c>
      <c r="T2051" s="5" t="s">
        <v>942</v>
      </c>
    </row>
    <row r="2052" spans="1:20" x14ac:dyDescent="0.35">
      <c r="A2052" s="5">
        <v>8100277740</v>
      </c>
      <c r="B2052" s="5">
        <v>7168</v>
      </c>
      <c r="C2052" s="6">
        <v>45672</v>
      </c>
      <c r="D2052" s="5" t="s">
        <v>194</v>
      </c>
      <c r="E2052" s="5" t="s">
        <v>195</v>
      </c>
      <c r="F2052" s="5" t="s">
        <v>58</v>
      </c>
      <c r="G2052" s="5" t="s">
        <v>59</v>
      </c>
      <c r="H2052" s="5" t="s">
        <v>108</v>
      </c>
      <c r="I2052" s="5" t="s">
        <v>1358</v>
      </c>
      <c r="J2052" s="5" t="s">
        <v>205</v>
      </c>
      <c r="K2052" s="5" t="s">
        <v>198</v>
      </c>
      <c r="L2052" s="6">
        <v>45680</v>
      </c>
      <c r="M2052" s="6">
        <v>45672</v>
      </c>
      <c r="O2052" s="5" t="str">
        <f ca="1">IF(P2052&lt;&gt;"EXPEDIÇÃO","Expedido",IF(NETWORKDAYS(C2052,TODAY())&gt;=5,"Risco Alto",IF(NETWORKDAYS(C2052,TODAY())&gt;=3,IF(NETWORKDAYS(C2052,TODAY())&lt;5,"Risco Médio",""),IF(NETWORKDAYS(C2052,TODAY())&lt;=2,"Risco Baixo",""))))</f>
        <v>Expedido</v>
      </c>
      <c r="P2052" s="5" t="s">
        <v>629</v>
      </c>
      <c r="Q2052" s="5" t="s">
        <v>1414</v>
      </c>
      <c r="S2052" s="7">
        <f>IF(ISBLANK(M2052),"Aguardando Previsão/Data",NETWORKDAYS(L2052,M2052)-1)</f>
        <v>-8</v>
      </c>
      <c r="T2052" s="5" t="s">
        <v>942</v>
      </c>
    </row>
    <row r="2053" spans="1:20" x14ac:dyDescent="0.35">
      <c r="A2053" s="5">
        <v>8100277986</v>
      </c>
      <c r="B2053" s="5">
        <v>7189</v>
      </c>
      <c r="C2053" s="6">
        <v>45672</v>
      </c>
      <c r="D2053" s="5" t="s">
        <v>194</v>
      </c>
      <c r="E2053" s="5" t="s">
        <v>195</v>
      </c>
      <c r="F2053" s="5" t="s">
        <v>147</v>
      </c>
      <c r="G2053" s="5" t="s">
        <v>148</v>
      </c>
      <c r="H2053" s="5" t="s">
        <v>108</v>
      </c>
      <c r="I2053" s="5" t="s">
        <v>128</v>
      </c>
      <c r="J2053" s="5" t="s">
        <v>290</v>
      </c>
      <c r="K2053" s="5" t="s">
        <v>198</v>
      </c>
      <c r="L2053" s="6">
        <v>45678</v>
      </c>
      <c r="M2053" s="6">
        <v>45677</v>
      </c>
      <c r="N2053" s="6" t="s">
        <v>811</v>
      </c>
      <c r="O2053" s="5" t="str">
        <f ca="1">IF(P2053&lt;&gt;"EXPEDIÇÃO","Expedido",IF(NETWORKDAYS(C2053,TODAY())&gt;=5,"Risco Alto",IF(NETWORKDAYS(C2053,TODAY())&gt;=3,IF(NETWORKDAYS(C2053,TODAY())&lt;5,"Risco Médio",""),IF(NETWORKDAYS(C2053,TODAY())&lt;=2,"Risco Baixo",""))))</f>
        <v>Expedido</v>
      </c>
      <c r="P2053" s="5" t="s">
        <v>25</v>
      </c>
      <c r="S2053" s="7">
        <f>IF(ISBLANK(M2053),"Aguardando Previsão/Data",NETWORKDAYS(L2053,M2053)-1)</f>
        <v>-3</v>
      </c>
      <c r="T2053" s="5" t="s">
        <v>942</v>
      </c>
    </row>
    <row r="2054" spans="1:20" x14ac:dyDescent="0.35">
      <c r="A2054" s="5">
        <v>8100276726</v>
      </c>
      <c r="B2054" s="5">
        <v>14445</v>
      </c>
      <c r="C2054" s="6">
        <v>45672</v>
      </c>
      <c r="D2054" s="5" t="s">
        <v>211</v>
      </c>
      <c r="E2054" s="5" t="s">
        <v>212</v>
      </c>
      <c r="F2054" s="5" t="s">
        <v>167</v>
      </c>
      <c r="G2054" s="5" t="s">
        <v>168</v>
      </c>
      <c r="H2054" s="5" t="s">
        <v>108</v>
      </c>
      <c r="I2054" s="5" t="s">
        <v>888</v>
      </c>
      <c r="J2054" s="5" t="s">
        <v>889</v>
      </c>
      <c r="K2054" s="5" t="s">
        <v>170</v>
      </c>
      <c r="L2054" s="6">
        <v>45680</v>
      </c>
      <c r="M2054" s="6">
        <v>45680</v>
      </c>
      <c r="N2054" s="6" t="s">
        <v>811</v>
      </c>
      <c r="O2054" s="5" t="str">
        <f ca="1">IF(P2054&lt;&gt;"EXPEDIÇÃO","Expedido",IF(NETWORKDAYS(C2054,TODAY())&gt;=5,"Risco Alto",IF(NETWORKDAYS(C2054,TODAY())&gt;=3,IF(NETWORKDAYS(C2054,TODAY())&lt;5,"Risco Médio",""),IF(NETWORKDAYS(C2054,TODAY())&lt;=2,"Risco Baixo",""))))</f>
        <v>Expedido</v>
      </c>
      <c r="P2054" s="5" t="s">
        <v>25</v>
      </c>
      <c r="S2054" s="7">
        <f>IF(ISBLANK(M2054),"Aguardando Previsão/Data",NETWORKDAYS(L2054,M2054)-1)</f>
        <v>0</v>
      </c>
      <c r="T2054" s="5" t="s">
        <v>942</v>
      </c>
    </row>
    <row r="2055" spans="1:20" x14ac:dyDescent="0.35">
      <c r="A2055" s="5">
        <v>8100277972</v>
      </c>
      <c r="B2055" s="5">
        <v>14457</v>
      </c>
      <c r="C2055" s="6">
        <v>45672</v>
      </c>
      <c r="D2055" s="5" t="s">
        <v>211</v>
      </c>
      <c r="E2055" s="5" t="s">
        <v>212</v>
      </c>
      <c r="F2055" s="5" t="s">
        <v>167</v>
      </c>
      <c r="G2055" s="5" t="s">
        <v>168</v>
      </c>
      <c r="H2055" s="5" t="s">
        <v>108</v>
      </c>
      <c r="I2055" s="5" t="s">
        <v>729</v>
      </c>
      <c r="J2055" s="5" t="s">
        <v>305</v>
      </c>
      <c r="K2055" s="5" t="s">
        <v>170</v>
      </c>
      <c r="L2055" s="6">
        <v>45680</v>
      </c>
      <c r="M2055" s="6">
        <v>45681</v>
      </c>
      <c r="N2055" s="6" t="s">
        <v>811</v>
      </c>
      <c r="O2055" s="5" t="str">
        <f ca="1">IF(P2055&lt;&gt;"EXPEDIÇÃO","Expedido",IF(NETWORKDAYS(C2055,TODAY())&gt;=5,"Risco Alto",IF(NETWORKDAYS(C2055,TODAY())&gt;=3,IF(NETWORKDAYS(C2055,TODAY())&lt;5,"Risco Médio",""),IF(NETWORKDAYS(C2055,TODAY())&lt;=2,"Risco Baixo",""))))</f>
        <v>Expedido</v>
      </c>
      <c r="P2055" s="5" t="s">
        <v>25</v>
      </c>
      <c r="Q2055" s="5" t="s">
        <v>897</v>
      </c>
      <c r="S2055" s="7">
        <f>IF(ISBLANK(M2055),"Aguardando Previsão/Data",NETWORKDAYS(L2055,M2055)-1)</f>
        <v>1</v>
      </c>
      <c r="T2055" s="5" t="s">
        <v>942</v>
      </c>
    </row>
    <row r="2056" spans="1:20" x14ac:dyDescent="0.35">
      <c r="A2056" s="5">
        <v>8100277610</v>
      </c>
      <c r="B2056" s="5">
        <v>14444</v>
      </c>
      <c r="C2056" s="6">
        <v>45672</v>
      </c>
      <c r="D2056" s="5" t="s">
        <v>211</v>
      </c>
      <c r="E2056" s="5" t="s">
        <v>212</v>
      </c>
      <c r="F2056" s="5" t="s">
        <v>58</v>
      </c>
      <c r="G2056" s="5" t="s">
        <v>59</v>
      </c>
      <c r="H2056" s="5" t="s">
        <v>108</v>
      </c>
      <c r="I2056" s="5" t="s">
        <v>269</v>
      </c>
      <c r="J2056" s="5" t="s">
        <v>316</v>
      </c>
      <c r="K2056" s="5" t="s">
        <v>156</v>
      </c>
      <c r="L2056" s="6">
        <v>45684</v>
      </c>
      <c r="M2056" s="6">
        <v>45677</v>
      </c>
      <c r="N2056" s="6" t="s">
        <v>811</v>
      </c>
      <c r="O2056" s="5" t="str">
        <f ca="1">IF(P2056&lt;&gt;"EXPEDIÇÃO","Expedido",IF(NETWORKDAYS(C2056,TODAY())&gt;=5,"Risco Alto",IF(NETWORKDAYS(C2056,TODAY())&gt;=3,IF(NETWORKDAYS(C2056,TODAY())&lt;5,"Risco Médio",""),IF(NETWORKDAYS(C2056,TODAY())&lt;=2,"Risco Baixo",""))))</f>
        <v>Expedido</v>
      </c>
      <c r="P2056" s="5" t="s">
        <v>25</v>
      </c>
      <c r="S2056" s="7">
        <f>IF(ISBLANK(M2056),"Aguardando Previsão/Data",NETWORKDAYS(L2056,M2056)-1)</f>
        <v>-7</v>
      </c>
      <c r="T2056" s="5" t="s">
        <v>942</v>
      </c>
    </row>
    <row r="2057" spans="1:20" x14ac:dyDescent="0.35">
      <c r="A2057" s="5">
        <v>8100277971</v>
      </c>
      <c r="B2057" s="5">
        <v>14456</v>
      </c>
      <c r="C2057" s="6">
        <v>45672</v>
      </c>
      <c r="D2057" s="5" t="s">
        <v>211</v>
      </c>
      <c r="E2057" s="5" t="s">
        <v>212</v>
      </c>
      <c r="F2057" s="5" t="s">
        <v>66</v>
      </c>
      <c r="G2057" s="5" t="s">
        <v>67</v>
      </c>
      <c r="H2057" s="5" t="s">
        <v>108</v>
      </c>
      <c r="I2057" s="5" t="s">
        <v>154</v>
      </c>
      <c r="J2057" s="5" t="s">
        <v>155</v>
      </c>
      <c r="K2057" s="5" t="s">
        <v>156</v>
      </c>
      <c r="L2057" s="6">
        <v>45681</v>
      </c>
      <c r="M2057" s="6">
        <v>45678</v>
      </c>
      <c r="N2057" s="6" t="s">
        <v>811</v>
      </c>
      <c r="O2057" s="5" t="str">
        <f ca="1">IF(P2057&lt;&gt;"EXPEDIÇÃO","Expedido",IF(NETWORKDAYS(C2057,TODAY())&gt;=5,"Risco Alto",IF(NETWORKDAYS(C2057,TODAY())&gt;=3,IF(NETWORKDAYS(C2057,TODAY())&lt;5,"Risco Médio",""),IF(NETWORKDAYS(C2057,TODAY())&lt;=2,"Risco Baixo",""))))</f>
        <v>Expedido</v>
      </c>
      <c r="P2057" s="5" t="s">
        <v>25</v>
      </c>
      <c r="S2057" s="7">
        <f>IF(ISBLANK(M2057),"Aguardando Previsão/Data",NETWORKDAYS(L2057,M2057)-1)</f>
        <v>-5</v>
      </c>
      <c r="T2057" s="5" t="s">
        <v>942</v>
      </c>
    </row>
    <row r="2058" spans="1:20" x14ac:dyDescent="0.35">
      <c r="A2058" s="5">
        <v>8100277973</v>
      </c>
      <c r="B2058" s="5">
        <v>14458</v>
      </c>
      <c r="C2058" s="6">
        <v>45672</v>
      </c>
      <c r="D2058" s="5" t="s">
        <v>211</v>
      </c>
      <c r="E2058" s="5" t="s">
        <v>212</v>
      </c>
      <c r="F2058" s="5" t="s">
        <v>171</v>
      </c>
      <c r="G2058" s="5" t="s">
        <v>172</v>
      </c>
      <c r="H2058" s="5" t="s">
        <v>108</v>
      </c>
      <c r="I2058" s="5" t="s">
        <v>456</v>
      </c>
      <c r="J2058" s="5" t="s">
        <v>172</v>
      </c>
      <c r="K2058" s="5" t="s">
        <v>170</v>
      </c>
      <c r="L2058" s="6">
        <v>45684</v>
      </c>
      <c r="M2058" s="6">
        <v>45679</v>
      </c>
      <c r="N2058" s="6" t="s">
        <v>811</v>
      </c>
      <c r="O2058" s="5" t="str">
        <f ca="1">IF(P2058&lt;&gt;"EXPEDIÇÃO","Expedido",IF(NETWORKDAYS(C2058,TODAY())&gt;=5,"Risco Alto",IF(NETWORKDAYS(C2058,TODAY())&gt;=3,IF(NETWORKDAYS(C2058,TODAY())&lt;5,"Risco Médio",""),IF(NETWORKDAYS(C2058,TODAY())&lt;=2,"Risco Baixo",""))))</f>
        <v>Expedido</v>
      </c>
      <c r="P2058" s="5" t="s">
        <v>25</v>
      </c>
      <c r="S2058" s="7">
        <f>IF(ISBLANK(M2058),"Aguardando Previsão/Data",NETWORKDAYS(L2058,M2058)-1)</f>
        <v>-5</v>
      </c>
      <c r="T2058" s="5" t="s">
        <v>942</v>
      </c>
    </row>
    <row r="2059" spans="1:20" x14ac:dyDescent="0.35">
      <c r="A2059" s="5">
        <v>8100277026</v>
      </c>
      <c r="B2059" s="5">
        <v>12276</v>
      </c>
      <c r="C2059" s="6">
        <v>45672</v>
      </c>
      <c r="D2059" s="5" t="s">
        <v>158</v>
      </c>
      <c r="E2059" s="5" t="s">
        <v>159</v>
      </c>
      <c r="F2059" s="5" t="s">
        <v>176</v>
      </c>
      <c r="G2059" s="5" t="s">
        <v>177</v>
      </c>
      <c r="H2059" s="5" t="s">
        <v>108</v>
      </c>
      <c r="I2059" s="5" t="s">
        <v>929</v>
      </c>
      <c r="J2059" s="5" t="s">
        <v>455</v>
      </c>
      <c r="K2059" s="5" t="s">
        <v>175</v>
      </c>
      <c r="L2059" s="6">
        <v>45681</v>
      </c>
      <c r="M2059" s="6">
        <v>45678</v>
      </c>
      <c r="N2059" s="6" t="s">
        <v>811</v>
      </c>
      <c r="O2059" s="5" t="str">
        <f ca="1">IF(P2059&lt;&gt;"EXPEDIÇÃO","Expedido",IF(NETWORKDAYS(C2059,TODAY())&gt;=5,"Risco Alto",IF(NETWORKDAYS(C2059,TODAY())&gt;=3,IF(NETWORKDAYS(C2059,TODAY())&lt;5,"Risco Médio",""),IF(NETWORKDAYS(C2059,TODAY())&lt;=2,"Risco Baixo",""))))</f>
        <v>Expedido</v>
      </c>
      <c r="P2059" s="5" t="s">
        <v>25</v>
      </c>
      <c r="S2059" s="7">
        <f>IF(ISBLANK(M2059),"Aguardando Previsão/Data",NETWORKDAYS(L2059,M2059)-1)</f>
        <v>-5</v>
      </c>
      <c r="T2059" s="5" t="s">
        <v>942</v>
      </c>
    </row>
    <row r="2060" spans="1:20" x14ac:dyDescent="0.35">
      <c r="A2060" s="5">
        <v>8100277340</v>
      </c>
      <c r="B2060" s="5">
        <v>12278</v>
      </c>
      <c r="C2060" s="6">
        <v>45672</v>
      </c>
      <c r="D2060" s="5" t="s">
        <v>158</v>
      </c>
      <c r="E2060" s="5" t="s">
        <v>159</v>
      </c>
      <c r="F2060" s="5" t="s">
        <v>160</v>
      </c>
      <c r="G2060" s="5" t="s">
        <v>161</v>
      </c>
      <c r="H2060" s="5" t="s">
        <v>108</v>
      </c>
      <c r="I2060" s="5" t="s">
        <v>162</v>
      </c>
      <c r="J2060" s="5" t="s">
        <v>1050</v>
      </c>
      <c r="K2060" s="5" t="s">
        <v>175</v>
      </c>
      <c r="L2060" s="6">
        <v>45680</v>
      </c>
      <c r="M2060" s="6">
        <v>45677</v>
      </c>
      <c r="N2060" s="6" t="s">
        <v>811</v>
      </c>
      <c r="O2060" s="5" t="str">
        <f ca="1">IF(P2060&lt;&gt;"EXPEDIÇÃO","Expedido",IF(NETWORKDAYS(C2060,TODAY())&gt;=5,"Risco Alto",IF(NETWORKDAYS(C2060,TODAY())&gt;=3,IF(NETWORKDAYS(C2060,TODAY())&lt;5,"Risco Médio",""),IF(NETWORKDAYS(C2060,TODAY())&lt;=2,"Risco Baixo",""))))</f>
        <v>Expedido</v>
      </c>
      <c r="P2060" s="5" t="s">
        <v>25</v>
      </c>
      <c r="S2060" s="7">
        <f>IF(ISBLANK(M2060),"Aguardando Previsão/Data",NETWORKDAYS(L2060,M2060)-1)</f>
        <v>-5</v>
      </c>
      <c r="T2060" s="5" t="s">
        <v>942</v>
      </c>
    </row>
    <row r="2061" spans="1:20" x14ac:dyDescent="0.35">
      <c r="A2061" s="5">
        <v>8100277341</v>
      </c>
      <c r="B2061" s="5">
        <v>12277</v>
      </c>
      <c r="C2061" s="6">
        <v>45672</v>
      </c>
      <c r="D2061" s="5" t="s">
        <v>158</v>
      </c>
      <c r="E2061" s="5" t="s">
        <v>159</v>
      </c>
      <c r="F2061" s="5" t="s">
        <v>176</v>
      </c>
      <c r="G2061" s="5" t="s">
        <v>177</v>
      </c>
      <c r="H2061" s="5" t="s">
        <v>108</v>
      </c>
      <c r="I2061" s="5" t="s">
        <v>1272</v>
      </c>
      <c r="J2061" s="5" t="s">
        <v>455</v>
      </c>
      <c r="K2061" s="5" t="s">
        <v>175</v>
      </c>
      <c r="L2061" s="6">
        <v>45681</v>
      </c>
      <c r="M2061" s="6">
        <v>45678</v>
      </c>
      <c r="N2061" s="6" t="s">
        <v>811</v>
      </c>
      <c r="O2061" s="5" t="str">
        <f ca="1">IF(P2061&lt;&gt;"EXPEDIÇÃO","Expedido",IF(NETWORKDAYS(C2061,TODAY())&gt;=5,"Risco Alto",IF(NETWORKDAYS(C2061,TODAY())&gt;=3,IF(NETWORKDAYS(C2061,TODAY())&lt;5,"Risco Médio",""),IF(NETWORKDAYS(C2061,TODAY())&lt;=2,"Risco Baixo",""))))</f>
        <v>Expedido</v>
      </c>
      <c r="P2061" s="5" t="s">
        <v>25</v>
      </c>
      <c r="S2061" s="7">
        <f>IF(ISBLANK(M2061),"Aguardando Previsão/Data",NETWORKDAYS(L2061,M2061)-1)</f>
        <v>-5</v>
      </c>
      <c r="T2061" s="5" t="s">
        <v>942</v>
      </c>
    </row>
    <row r="2062" spans="1:20" x14ac:dyDescent="0.35">
      <c r="A2062" s="5">
        <v>8100277402</v>
      </c>
      <c r="B2062" s="5">
        <v>12279</v>
      </c>
      <c r="C2062" s="6">
        <v>45672</v>
      </c>
      <c r="D2062" s="5" t="s">
        <v>158</v>
      </c>
      <c r="E2062" s="5" t="s">
        <v>159</v>
      </c>
      <c r="F2062" s="5" t="s">
        <v>176</v>
      </c>
      <c r="G2062" s="5" t="s">
        <v>177</v>
      </c>
      <c r="H2062" s="5" t="s">
        <v>108</v>
      </c>
      <c r="I2062" s="5" t="s">
        <v>907</v>
      </c>
      <c r="J2062" s="5" t="s">
        <v>908</v>
      </c>
      <c r="K2062" s="5" t="s">
        <v>170</v>
      </c>
      <c r="L2062" s="6">
        <v>45679</v>
      </c>
      <c r="M2062" s="6">
        <v>45677</v>
      </c>
      <c r="N2062" s="6" t="s">
        <v>811</v>
      </c>
      <c r="O2062" s="5" t="str">
        <f ca="1">IF(P2062&lt;&gt;"EXPEDIÇÃO","Expedido",IF(NETWORKDAYS(C2062,TODAY())&gt;=5,"Risco Alto",IF(NETWORKDAYS(C2062,TODAY())&gt;=3,IF(NETWORKDAYS(C2062,TODAY())&lt;5,"Risco Médio",""),IF(NETWORKDAYS(C2062,TODAY())&lt;=2,"Risco Baixo",""))))</f>
        <v>Expedido</v>
      </c>
      <c r="P2062" s="5" t="s">
        <v>25</v>
      </c>
      <c r="S2062" s="7">
        <f>IF(ISBLANK(M2062),"Aguardando Previsão/Data",NETWORKDAYS(L2062,M2062)-1)</f>
        <v>-4</v>
      </c>
      <c r="T2062" s="5" t="s">
        <v>942</v>
      </c>
    </row>
    <row r="2063" spans="1:20" x14ac:dyDescent="0.35">
      <c r="A2063" s="5">
        <v>8100277407</v>
      </c>
      <c r="B2063" s="5">
        <v>12280</v>
      </c>
      <c r="C2063" s="6">
        <v>45672</v>
      </c>
      <c r="D2063" s="5" t="s">
        <v>158</v>
      </c>
      <c r="E2063" s="5" t="s">
        <v>159</v>
      </c>
      <c r="F2063" s="5" t="s">
        <v>176</v>
      </c>
      <c r="G2063" s="5" t="s">
        <v>177</v>
      </c>
      <c r="H2063" s="5" t="s">
        <v>108</v>
      </c>
      <c r="I2063" s="5" t="s">
        <v>907</v>
      </c>
      <c r="J2063" s="5" t="s">
        <v>908</v>
      </c>
      <c r="K2063" s="5" t="s">
        <v>170</v>
      </c>
      <c r="L2063" s="6">
        <v>45679</v>
      </c>
      <c r="M2063" s="6">
        <v>45677</v>
      </c>
      <c r="N2063" s="6" t="s">
        <v>811</v>
      </c>
      <c r="O2063" s="5" t="str">
        <f ca="1">IF(P2063&lt;&gt;"EXPEDIÇÃO","Expedido",IF(NETWORKDAYS(C2063,TODAY())&gt;=5,"Risco Alto",IF(NETWORKDAYS(C2063,TODAY())&gt;=3,IF(NETWORKDAYS(C2063,TODAY())&lt;5,"Risco Médio",""),IF(NETWORKDAYS(C2063,TODAY())&lt;=2,"Risco Baixo",""))))</f>
        <v>Expedido</v>
      </c>
      <c r="P2063" s="5" t="s">
        <v>25</v>
      </c>
      <c r="S2063" s="7">
        <f>IF(ISBLANK(M2063),"Aguardando Previsão/Data",NETWORKDAYS(L2063,M2063)-1)</f>
        <v>-4</v>
      </c>
      <c r="T2063" s="5" t="s">
        <v>942</v>
      </c>
    </row>
    <row r="2064" spans="1:20" x14ac:dyDescent="0.35">
      <c r="A2064" s="5">
        <v>8100277473</v>
      </c>
      <c r="B2064" s="5">
        <v>12281</v>
      </c>
      <c r="C2064" s="6">
        <v>45672</v>
      </c>
      <c r="D2064" s="5" t="s">
        <v>158</v>
      </c>
      <c r="E2064" s="5" t="s">
        <v>159</v>
      </c>
      <c r="F2064" s="5" t="s">
        <v>176</v>
      </c>
      <c r="G2064" s="5" t="s">
        <v>177</v>
      </c>
      <c r="H2064" s="5" t="s">
        <v>108</v>
      </c>
      <c r="I2064" s="5" t="s">
        <v>907</v>
      </c>
      <c r="J2064" s="5" t="s">
        <v>908</v>
      </c>
      <c r="K2064" s="5" t="s">
        <v>170</v>
      </c>
      <c r="L2064" s="6">
        <v>45679</v>
      </c>
      <c r="M2064" s="6">
        <v>45677</v>
      </c>
      <c r="N2064" s="6" t="s">
        <v>811</v>
      </c>
      <c r="O2064" s="5" t="str">
        <f ca="1">IF(P2064&lt;&gt;"EXPEDIÇÃO","Expedido",IF(NETWORKDAYS(C2064,TODAY())&gt;=5,"Risco Alto",IF(NETWORKDAYS(C2064,TODAY())&gt;=3,IF(NETWORKDAYS(C2064,TODAY())&lt;5,"Risco Médio",""),IF(NETWORKDAYS(C2064,TODAY())&lt;=2,"Risco Baixo",""))))</f>
        <v>Expedido</v>
      </c>
      <c r="P2064" s="5" t="s">
        <v>25</v>
      </c>
      <c r="S2064" s="7">
        <f>IF(ISBLANK(M2064),"Aguardando Previsão/Data",NETWORKDAYS(L2064,M2064)-1)</f>
        <v>-4</v>
      </c>
      <c r="T2064" s="5" t="s">
        <v>942</v>
      </c>
    </row>
    <row r="2065" spans="1:20" x14ac:dyDescent="0.35">
      <c r="A2065" s="5">
        <v>8100276543</v>
      </c>
      <c r="B2065" s="5">
        <v>17449</v>
      </c>
      <c r="C2065" s="6">
        <v>45673</v>
      </c>
      <c r="D2065" s="5" t="s">
        <v>51</v>
      </c>
      <c r="E2065" s="5" t="s">
        <v>52</v>
      </c>
      <c r="F2065" s="5" t="s">
        <v>406</v>
      </c>
      <c r="G2065" s="5" t="s">
        <v>407</v>
      </c>
      <c r="H2065" s="5" t="s">
        <v>21</v>
      </c>
      <c r="I2065" s="5" t="s">
        <v>751</v>
      </c>
      <c r="J2065" s="5" t="s">
        <v>265</v>
      </c>
      <c r="K2065" s="5" t="s">
        <v>80</v>
      </c>
      <c r="L2065" s="6">
        <v>45680</v>
      </c>
      <c r="M2065" s="6">
        <v>45677</v>
      </c>
      <c r="N2065" s="5" t="s">
        <v>811</v>
      </c>
      <c r="O2065" s="5" t="str">
        <f ca="1">IF(P2065&lt;&gt;"EXPEDIÇÃO","Expedido",IF(NETWORKDAYS(C2065,TODAY())&gt;=5,"Risco Alto",IF(NETWORKDAYS(C2065,TODAY())&gt;=3,IF(NETWORKDAYS(C2065,TODAY())&lt;5,"Risco Médio",""),IF(NETWORKDAYS(C2065,TODAY())&lt;=2,"Risco Baixo",""))))</f>
        <v>Expedido</v>
      </c>
      <c r="P2065" s="5" t="s">
        <v>25</v>
      </c>
      <c r="S2065" s="7">
        <f>IF(ISBLANK(M2065),"Aguardando Previsão/Data",NETWORKDAYS(L2065,M2065)-1)</f>
        <v>-5</v>
      </c>
      <c r="T2065" s="5" t="s">
        <v>942</v>
      </c>
    </row>
    <row r="2066" spans="1:20" x14ac:dyDescent="0.35">
      <c r="A2066" s="5">
        <v>8100278361</v>
      </c>
      <c r="B2066" s="5">
        <v>17454</v>
      </c>
      <c r="C2066" s="6">
        <v>45673</v>
      </c>
      <c r="D2066" s="5" t="s">
        <v>51</v>
      </c>
      <c r="E2066" s="5" t="s">
        <v>52</v>
      </c>
      <c r="F2066" s="5" t="s">
        <v>66</v>
      </c>
      <c r="G2066" s="5" t="s">
        <v>67</v>
      </c>
      <c r="H2066" s="5" t="s">
        <v>21</v>
      </c>
      <c r="I2066" s="5" t="s">
        <v>517</v>
      </c>
      <c r="J2066" s="5" t="s">
        <v>1393</v>
      </c>
      <c r="K2066" s="5" t="s">
        <v>57</v>
      </c>
      <c r="L2066" s="6">
        <v>45681</v>
      </c>
      <c r="M2066" s="6">
        <v>45678</v>
      </c>
      <c r="N2066" s="5" t="s">
        <v>811</v>
      </c>
      <c r="O2066" s="5" t="str">
        <f ca="1">IF(P2066&lt;&gt;"EXPEDIÇÃO","Expedido",IF(NETWORKDAYS(C2066,TODAY())&gt;=5,"Risco Alto",IF(NETWORKDAYS(C2066,TODAY())&gt;=3,IF(NETWORKDAYS(C2066,TODAY())&lt;5,"Risco Médio",""),IF(NETWORKDAYS(C2066,TODAY())&lt;=2,"Risco Baixo",""))))</f>
        <v>Expedido</v>
      </c>
      <c r="P2066" s="5" t="s">
        <v>25</v>
      </c>
      <c r="S2066" s="7">
        <f>IF(ISBLANK(M2066),"Aguardando Previsão/Data",NETWORKDAYS(L2066,M2066)-1)</f>
        <v>-5</v>
      </c>
      <c r="T2066" s="5" t="s">
        <v>942</v>
      </c>
    </row>
    <row r="2067" spans="1:20" x14ac:dyDescent="0.35">
      <c r="A2067" s="5">
        <v>8100278362</v>
      </c>
      <c r="B2067" s="5">
        <v>17450</v>
      </c>
      <c r="C2067" s="6">
        <v>45673</v>
      </c>
      <c r="D2067" s="5" t="s">
        <v>51</v>
      </c>
      <c r="E2067" s="5" t="s">
        <v>52</v>
      </c>
      <c r="F2067" s="5" t="s">
        <v>66</v>
      </c>
      <c r="G2067" s="5" t="s">
        <v>67</v>
      </c>
      <c r="H2067" s="5" t="s">
        <v>21</v>
      </c>
      <c r="I2067" s="5" t="s">
        <v>517</v>
      </c>
      <c r="J2067" s="5" t="s">
        <v>651</v>
      </c>
      <c r="K2067" s="5" t="s">
        <v>57</v>
      </c>
      <c r="L2067" s="6">
        <v>45681</v>
      </c>
      <c r="M2067" s="6">
        <v>45678</v>
      </c>
      <c r="N2067" s="5" t="s">
        <v>811</v>
      </c>
      <c r="O2067" s="5" t="str">
        <f ca="1">IF(P2067&lt;&gt;"EXPEDIÇÃO","Expedido",IF(NETWORKDAYS(C2067,TODAY())&gt;=5,"Risco Alto",IF(NETWORKDAYS(C2067,TODAY())&gt;=3,IF(NETWORKDAYS(C2067,TODAY())&lt;5,"Risco Médio",""),IF(NETWORKDAYS(C2067,TODAY())&lt;=2,"Risco Baixo",""))))</f>
        <v>Expedido</v>
      </c>
      <c r="P2067" s="5" t="s">
        <v>25</v>
      </c>
      <c r="S2067" s="7">
        <f>IF(ISBLANK(M2067),"Aguardando Previsão/Data",NETWORKDAYS(L2067,M2067)-1)</f>
        <v>-5</v>
      </c>
      <c r="T2067" s="5" t="s">
        <v>942</v>
      </c>
    </row>
    <row r="2068" spans="1:20" x14ac:dyDescent="0.35">
      <c r="A2068" s="5">
        <v>8100278363</v>
      </c>
      <c r="B2068" s="5">
        <v>17456</v>
      </c>
      <c r="C2068" s="6">
        <v>45673</v>
      </c>
      <c r="D2068" s="5" t="s">
        <v>51</v>
      </c>
      <c r="E2068" s="5" t="s">
        <v>52</v>
      </c>
      <c r="F2068" s="5" t="s">
        <v>58</v>
      </c>
      <c r="G2068" s="5" t="s">
        <v>59</v>
      </c>
      <c r="H2068" s="5" t="s">
        <v>21</v>
      </c>
      <c r="I2068" s="5" t="s">
        <v>497</v>
      </c>
      <c r="J2068" s="5" t="s">
        <v>498</v>
      </c>
      <c r="K2068" s="5" t="s">
        <v>57</v>
      </c>
      <c r="L2068" s="6">
        <v>45681</v>
      </c>
      <c r="M2068" s="6">
        <v>45677</v>
      </c>
      <c r="N2068" s="5" t="s">
        <v>811</v>
      </c>
      <c r="O2068" s="5" t="str">
        <f ca="1">IF(P2068&lt;&gt;"EXPEDIÇÃO","Expedido",IF(NETWORKDAYS(C2068,TODAY())&gt;=5,"Risco Alto",IF(NETWORKDAYS(C2068,TODAY())&gt;=3,IF(NETWORKDAYS(C2068,TODAY())&lt;5,"Risco Médio",""),IF(NETWORKDAYS(C2068,TODAY())&lt;=2,"Risco Baixo",""))))</f>
        <v>Expedido</v>
      </c>
      <c r="P2068" s="5" t="s">
        <v>25</v>
      </c>
      <c r="S2068" s="7">
        <f>IF(ISBLANK(M2068),"Aguardando Previsão/Data",NETWORKDAYS(L2068,M2068)-1)</f>
        <v>-6</v>
      </c>
      <c r="T2068" s="5" t="s">
        <v>942</v>
      </c>
    </row>
    <row r="2069" spans="1:20" x14ac:dyDescent="0.35">
      <c r="A2069" s="5">
        <v>8100278364</v>
      </c>
      <c r="B2069" s="5">
        <v>17451</v>
      </c>
      <c r="C2069" s="6">
        <v>45673</v>
      </c>
      <c r="D2069" s="5" t="s">
        <v>51</v>
      </c>
      <c r="E2069" s="5" t="s">
        <v>52</v>
      </c>
      <c r="F2069" s="5" t="s">
        <v>66</v>
      </c>
      <c r="G2069" s="5" t="s">
        <v>67</v>
      </c>
      <c r="H2069" s="5" t="s">
        <v>21</v>
      </c>
      <c r="I2069" s="5" t="s">
        <v>517</v>
      </c>
      <c r="J2069" s="5" t="s">
        <v>651</v>
      </c>
      <c r="K2069" s="5" t="s">
        <v>57</v>
      </c>
      <c r="L2069" s="6">
        <v>45681</v>
      </c>
      <c r="M2069" s="6">
        <v>45678</v>
      </c>
      <c r="N2069" s="5" t="s">
        <v>811</v>
      </c>
      <c r="O2069" s="5" t="str">
        <f ca="1">IF(P2069&lt;&gt;"EXPEDIÇÃO","Expedido",IF(NETWORKDAYS(C2069,TODAY())&gt;=5,"Risco Alto",IF(NETWORKDAYS(C2069,TODAY())&gt;=3,IF(NETWORKDAYS(C2069,TODAY())&lt;5,"Risco Médio",""),IF(NETWORKDAYS(C2069,TODAY())&lt;=2,"Risco Baixo",""))))</f>
        <v>Expedido</v>
      </c>
      <c r="P2069" s="5" t="s">
        <v>25</v>
      </c>
      <c r="S2069" s="7">
        <f>IF(ISBLANK(M2069),"Aguardando Previsão/Data",NETWORKDAYS(L2069,M2069)-1)</f>
        <v>-5</v>
      </c>
      <c r="T2069" s="5" t="s">
        <v>942</v>
      </c>
    </row>
    <row r="2070" spans="1:20" x14ac:dyDescent="0.35">
      <c r="A2070" s="5">
        <v>8100278365</v>
      </c>
      <c r="B2070" s="5">
        <v>17452</v>
      </c>
      <c r="C2070" s="6">
        <v>45673</v>
      </c>
      <c r="D2070" s="5" t="s">
        <v>51</v>
      </c>
      <c r="E2070" s="5" t="s">
        <v>52</v>
      </c>
      <c r="F2070" s="5" t="s">
        <v>66</v>
      </c>
      <c r="G2070" s="5" t="s">
        <v>67</v>
      </c>
      <c r="H2070" s="5" t="s">
        <v>21</v>
      </c>
      <c r="I2070" s="5" t="s">
        <v>517</v>
      </c>
      <c r="J2070" s="5" t="s">
        <v>651</v>
      </c>
      <c r="K2070" s="5" t="s">
        <v>57</v>
      </c>
      <c r="L2070" s="6">
        <v>45681</v>
      </c>
      <c r="M2070" s="6">
        <v>45678</v>
      </c>
      <c r="N2070" s="5" t="s">
        <v>811</v>
      </c>
      <c r="O2070" s="5" t="str">
        <f ca="1">IF(P2070&lt;&gt;"EXPEDIÇÃO","Expedido",IF(NETWORKDAYS(C2070,TODAY())&gt;=5,"Risco Alto",IF(NETWORKDAYS(C2070,TODAY())&gt;=3,IF(NETWORKDAYS(C2070,TODAY())&lt;5,"Risco Médio",""),IF(NETWORKDAYS(C2070,TODAY())&lt;=2,"Risco Baixo",""))))</f>
        <v>Expedido</v>
      </c>
      <c r="P2070" s="5" t="s">
        <v>25</v>
      </c>
      <c r="S2070" s="7">
        <f>IF(ISBLANK(M2070),"Aguardando Previsão/Data",NETWORKDAYS(L2070,M2070)-1)</f>
        <v>-5</v>
      </c>
      <c r="T2070" s="5" t="s">
        <v>942</v>
      </c>
    </row>
    <row r="2071" spans="1:20" x14ac:dyDescent="0.35">
      <c r="A2071" s="5">
        <v>8100278366</v>
      </c>
      <c r="B2071" s="5">
        <v>17453</v>
      </c>
      <c r="C2071" s="6">
        <v>45673</v>
      </c>
      <c r="D2071" s="5" t="s">
        <v>51</v>
      </c>
      <c r="E2071" s="5" t="s">
        <v>52</v>
      </c>
      <c r="F2071" s="5" t="s">
        <v>79</v>
      </c>
      <c r="G2071" s="5" t="s">
        <v>80</v>
      </c>
      <c r="H2071" s="5" t="s">
        <v>21</v>
      </c>
      <c r="I2071" s="5" t="s">
        <v>925</v>
      </c>
      <c r="J2071" s="5" t="s">
        <v>81</v>
      </c>
      <c r="K2071" s="5" t="s">
        <v>80</v>
      </c>
      <c r="L2071" s="6">
        <v>45681</v>
      </c>
      <c r="M2071" s="6">
        <v>45680</v>
      </c>
      <c r="N2071" s="5" t="s">
        <v>811</v>
      </c>
      <c r="O2071" s="5" t="str">
        <f ca="1">IF(P2071&lt;&gt;"EXPEDIÇÃO","Expedido",IF(NETWORKDAYS(C2071,TODAY())&gt;=5,"Risco Alto",IF(NETWORKDAYS(C2071,TODAY())&gt;=3,IF(NETWORKDAYS(C2071,TODAY())&lt;5,"Risco Médio",""),IF(NETWORKDAYS(C2071,TODAY())&lt;=2,"Risco Baixo",""))))</f>
        <v>Expedido</v>
      </c>
      <c r="P2071" s="5" t="s">
        <v>25</v>
      </c>
      <c r="S2071" s="7">
        <f>IF(ISBLANK(M2071),"Aguardando Previsão/Data",NETWORKDAYS(L2071,M2071)-1)</f>
        <v>-3</v>
      </c>
      <c r="T2071" s="5" t="s">
        <v>942</v>
      </c>
    </row>
    <row r="2072" spans="1:20" x14ac:dyDescent="0.35">
      <c r="A2072" s="5">
        <v>8100278367</v>
      </c>
      <c r="B2072" s="5">
        <v>17457</v>
      </c>
      <c r="C2072" s="6">
        <v>45673</v>
      </c>
      <c r="D2072" s="5" t="s">
        <v>51</v>
      </c>
      <c r="E2072" s="5" t="s">
        <v>52</v>
      </c>
      <c r="F2072" s="5" t="s">
        <v>329</v>
      </c>
      <c r="G2072" s="5" t="s">
        <v>330</v>
      </c>
      <c r="H2072" s="5" t="s">
        <v>21</v>
      </c>
      <c r="I2072" s="5" t="s">
        <v>1394</v>
      </c>
      <c r="J2072" s="5" t="s">
        <v>550</v>
      </c>
      <c r="K2072" s="5" t="s">
        <v>57</v>
      </c>
      <c r="L2072" s="6">
        <v>45679</v>
      </c>
      <c r="M2072" s="6">
        <v>45678</v>
      </c>
      <c r="N2072" s="5" t="s">
        <v>811</v>
      </c>
      <c r="O2072" s="5" t="str">
        <f ca="1">IF(P2072&lt;&gt;"EXPEDIÇÃO","Expedido",IF(NETWORKDAYS(C2072,TODAY())&gt;=5,"Risco Alto",IF(NETWORKDAYS(C2072,TODAY())&gt;=3,IF(NETWORKDAYS(C2072,TODAY())&lt;5,"Risco Médio",""),IF(NETWORKDAYS(C2072,TODAY())&lt;=2,"Risco Baixo",""))))</f>
        <v>Expedido</v>
      </c>
      <c r="P2072" s="5" t="s">
        <v>25</v>
      </c>
      <c r="S2072" s="7">
        <f>IF(ISBLANK(M2072),"Aguardando Previsão/Data",NETWORKDAYS(L2072,M2072)-1)</f>
        <v>-3</v>
      </c>
      <c r="T2072" s="5" t="s">
        <v>942</v>
      </c>
    </row>
    <row r="2073" spans="1:20" x14ac:dyDescent="0.35">
      <c r="A2073" s="5">
        <v>8100278436</v>
      </c>
      <c r="B2073" s="5">
        <v>17455</v>
      </c>
      <c r="C2073" s="6">
        <v>45673</v>
      </c>
      <c r="D2073" s="5" t="s">
        <v>51</v>
      </c>
      <c r="E2073" s="5" t="s">
        <v>52</v>
      </c>
      <c r="F2073" s="5" t="s">
        <v>329</v>
      </c>
      <c r="G2073" s="5" t="s">
        <v>330</v>
      </c>
      <c r="H2073" s="5" t="s">
        <v>21</v>
      </c>
      <c r="I2073" s="5" t="s">
        <v>82</v>
      </c>
      <c r="J2073" s="5" t="s">
        <v>83</v>
      </c>
      <c r="K2073" s="5" t="s">
        <v>57</v>
      </c>
      <c r="L2073" s="6">
        <v>45679</v>
      </c>
      <c r="M2073" s="6">
        <v>45678</v>
      </c>
      <c r="N2073" s="5" t="s">
        <v>811</v>
      </c>
      <c r="O2073" s="5" t="str">
        <f ca="1">IF(P2073&lt;&gt;"EXPEDIÇÃO","Expedido",IF(NETWORKDAYS(C2073,TODAY())&gt;=5,"Risco Alto",IF(NETWORKDAYS(C2073,TODAY())&gt;=3,IF(NETWORKDAYS(C2073,TODAY())&lt;5,"Risco Médio",""),IF(NETWORKDAYS(C2073,TODAY())&lt;=2,"Risco Baixo",""))))</f>
        <v>Expedido</v>
      </c>
      <c r="P2073" s="5" t="s">
        <v>25</v>
      </c>
      <c r="S2073" s="7">
        <f>IF(ISBLANK(M2073),"Aguardando Previsão/Data",NETWORKDAYS(L2073,M2073)-1)</f>
        <v>-3</v>
      </c>
      <c r="T2073" s="5" t="s">
        <v>942</v>
      </c>
    </row>
    <row r="2074" spans="1:20" x14ac:dyDescent="0.35">
      <c r="A2074" s="5">
        <v>8100278437</v>
      </c>
      <c r="B2074" s="5">
        <v>17459</v>
      </c>
      <c r="C2074" s="6">
        <v>45673</v>
      </c>
      <c r="D2074" s="5" t="s">
        <v>51</v>
      </c>
      <c r="E2074" s="5" t="s">
        <v>52</v>
      </c>
      <c r="F2074" s="5" t="s">
        <v>329</v>
      </c>
      <c r="G2074" s="5" t="s">
        <v>330</v>
      </c>
      <c r="H2074" s="5" t="s">
        <v>21</v>
      </c>
      <c r="I2074" s="5" t="s">
        <v>82</v>
      </c>
      <c r="J2074" s="5" t="s">
        <v>351</v>
      </c>
      <c r="K2074" s="5" t="s">
        <v>57</v>
      </c>
      <c r="L2074" s="6">
        <v>45679</v>
      </c>
      <c r="M2074" s="6">
        <v>45678</v>
      </c>
      <c r="N2074" s="5" t="s">
        <v>811</v>
      </c>
      <c r="O2074" s="5" t="str">
        <f ca="1">IF(P2074&lt;&gt;"EXPEDIÇÃO","Expedido",IF(NETWORKDAYS(C2074,TODAY())&gt;=5,"Risco Alto",IF(NETWORKDAYS(C2074,TODAY())&gt;=3,IF(NETWORKDAYS(C2074,TODAY())&lt;5,"Risco Médio",""),IF(NETWORKDAYS(C2074,TODAY())&lt;=2,"Risco Baixo",""))))</f>
        <v>Expedido</v>
      </c>
      <c r="P2074" s="5" t="s">
        <v>25</v>
      </c>
      <c r="S2074" s="7">
        <f>IF(ISBLANK(M2074),"Aguardando Previsão/Data",NETWORKDAYS(L2074,M2074)-1)</f>
        <v>-3</v>
      </c>
      <c r="T2074" s="5" t="s">
        <v>942</v>
      </c>
    </row>
    <row r="2075" spans="1:20" x14ac:dyDescent="0.35">
      <c r="A2075" s="5">
        <v>8100278438</v>
      </c>
      <c r="B2075" s="5">
        <v>17458</v>
      </c>
      <c r="C2075" s="6">
        <v>45673</v>
      </c>
      <c r="D2075" s="5" t="s">
        <v>51</v>
      </c>
      <c r="E2075" s="5" t="s">
        <v>52</v>
      </c>
      <c r="F2075" s="5" t="s">
        <v>329</v>
      </c>
      <c r="G2075" s="5" t="s">
        <v>330</v>
      </c>
      <c r="H2075" s="5" t="s">
        <v>21</v>
      </c>
      <c r="I2075" s="5" t="s">
        <v>82</v>
      </c>
      <c r="J2075" s="5" t="s">
        <v>436</v>
      </c>
      <c r="K2075" s="5" t="s">
        <v>57</v>
      </c>
      <c r="L2075" s="6">
        <v>45679</v>
      </c>
      <c r="M2075" s="6">
        <v>45677</v>
      </c>
      <c r="N2075" s="5" t="s">
        <v>811</v>
      </c>
      <c r="O2075" s="5" t="str">
        <f ca="1">IF(P2075&lt;&gt;"EXPEDIÇÃO","Expedido",IF(NETWORKDAYS(C2075,TODAY())&gt;=5,"Risco Alto",IF(NETWORKDAYS(C2075,TODAY())&gt;=3,IF(NETWORKDAYS(C2075,TODAY())&lt;5,"Risco Médio",""),IF(NETWORKDAYS(C2075,TODAY())&lt;=2,"Risco Baixo",""))))</f>
        <v>Expedido</v>
      </c>
      <c r="P2075" s="5" t="s">
        <v>25</v>
      </c>
      <c r="S2075" s="7">
        <f>IF(ISBLANK(M2075),"Aguardando Previsão/Data",NETWORKDAYS(L2075,M2075)-1)</f>
        <v>-4</v>
      </c>
      <c r="T2075" s="5" t="s">
        <v>942</v>
      </c>
    </row>
    <row r="2076" spans="1:20" x14ac:dyDescent="0.35">
      <c r="A2076" s="5">
        <v>8100278749</v>
      </c>
      <c r="B2076" s="5">
        <v>17480</v>
      </c>
      <c r="C2076" s="6">
        <v>45673</v>
      </c>
      <c r="D2076" s="5" t="s">
        <v>51</v>
      </c>
      <c r="E2076" s="5" t="s">
        <v>52</v>
      </c>
      <c r="F2076" s="5" t="s">
        <v>329</v>
      </c>
      <c r="G2076" s="5" t="s">
        <v>330</v>
      </c>
      <c r="H2076" s="5" t="s">
        <v>21</v>
      </c>
      <c r="I2076" s="5" t="s">
        <v>261</v>
      </c>
      <c r="J2076" s="5" t="s">
        <v>262</v>
      </c>
      <c r="K2076" s="5" t="s">
        <v>57</v>
      </c>
      <c r="L2076" s="6">
        <v>45678</v>
      </c>
      <c r="M2076" s="6">
        <v>45678</v>
      </c>
      <c r="N2076" s="5" t="s">
        <v>811</v>
      </c>
      <c r="O2076" s="5" t="str">
        <f ca="1">IF(P2076&lt;&gt;"EXPEDIÇÃO","Expedido",IF(NETWORKDAYS(C2076,TODAY())&gt;=5,"Risco Alto",IF(NETWORKDAYS(C2076,TODAY())&gt;=3,IF(NETWORKDAYS(C2076,TODAY())&lt;5,"Risco Médio",""),IF(NETWORKDAYS(C2076,TODAY())&lt;=2,"Risco Baixo",""))))</f>
        <v>Expedido</v>
      </c>
      <c r="P2076" s="5" t="s">
        <v>25</v>
      </c>
      <c r="S2076" s="7">
        <f>IF(ISBLANK(M2076),"Aguardando Previsão/Data",NETWORKDAYS(L2076,M2076)-1)</f>
        <v>0</v>
      </c>
      <c r="T2076" s="5" t="s">
        <v>942</v>
      </c>
    </row>
    <row r="2077" spans="1:20" x14ac:dyDescent="0.35">
      <c r="A2077" s="5">
        <v>8100278750</v>
      </c>
      <c r="B2077" s="5">
        <v>17460</v>
      </c>
      <c r="C2077" s="6">
        <v>45673</v>
      </c>
      <c r="D2077" s="5" t="s">
        <v>51</v>
      </c>
      <c r="E2077" s="5" t="s">
        <v>52</v>
      </c>
      <c r="F2077" s="5" t="s">
        <v>329</v>
      </c>
      <c r="G2077" s="5" t="s">
        <v>330</v>
      </c>
      <c r="H2077" s="5" t="s">
        <v>21</v>
      </c>
      <c r="I2077" s="5" t="s">
        <v>261</v>
      </c>
      <c r="J2077" s="5" t="s">
        <v>262</v>
      </c>
      <c r="K2077" s="5" t="s">
        <v>57</v>
      </c>
      <c r="L2077" s="6">
        <v>45678</v>
      </c>
      <c r="M2077" s="6">
        <v>45678</v>
      </c>
      <c r="N2077" s="5" t="s">
        <v>811</v>
      </c>
      <c r="O2077" s="5" t="str">
        <f ca="1">IF(P2077&lt;&gt;"EXPEDIÇÃO","Expedido",IF(NETWORKDAYS(C2077,TODAY())&gt;=5,"Risco Alto",IF(NETWORKDAYS(C2077,TODAY())&gt;=3,IF(NETWORKDAYS(C2077,TODAY())&lt;5,"Risco Médio",""),IF(NETWORKDAYS(C2077,TODAY())&lt;=2,"Risco Baixo",""))))</f>
        <v>Expedido</v>
      </c>
      <c r="P2077" s="5" t="s">
        <v>25</v>
      </c>
      <c r="S2077" s="7">
        <f>IF(ISBLANK(M2077),"Aguardando Previsão/Data",NETWORKDAYS(L2077,M2077)-1)</f>
        <v>0</v>
      </c>
      <c r="T2077" s="5" t="s">
        <v>942</v>
      </c>
    </row>
    <row r="2078" spans="1:20" x14ac:dyDescent="0.35">
      <c r="A2078" s="5">
        <v>8100278751</v>
      </c>
      <c r="B2078" s="5">
        <v>17461</v>
      </c>
      <c r="C2078" s="6">
        <v>45673</v>
      </c>
      <c r="D2078" s="5" t="s">
        <v>51</v>
      </c>
      <c r="E2078" s="5" t="s">
        <v>52</v>
      </c>
      <c r="F2078" s="5" t="s">
        <v>329</v>
      </c>
      <c r="G2078" s="5" t="s">
        <v>330</v>
      </c>
      <c r="H2078" s="5" t="s">
        <v>21</v>
      </c>
      <c r="I2078" s="5" t="s">
        <v>261</v>
      </c>
      <c r="J2078" s="5" t="s">
        <v>271</v>
      </c>
      <c r="K2078" s="5" t="s">
        <v>57</v>
      </c>
      <c r="L2078" s="6">
        <v>45679</v>
      </c>
      <c r="M2078" s="6">
        <v>45677</v>
      </c>
      <c r="N2078" s="5" t="s">
        <v>811</v>
      </c>
      <c r="O2078" s="5" t="str">
        <f ca="1">IF(P2078&lt;&gt;"EXPEDIÇÃO","Expedido",IF(NETWORKDAYS(C2078,TODAY())&gt;=5,"Risco Alto",IF(NETWORKDAYS(C2078,TODAY())&gt;=3,IF(NETWORKDAYS(C2078,TODAY())&lt;5,"Risco Médio",""),IF(NETWORKDAYS(C2078,TODAY())&lt;=2,"Risco Baixo",""))))</f>
        <v>Expedido</v>
      </c>
      <c r="P2078" s="5" t="s">
        <v>25</v>
      </c>
      <c r="S2078" s="7">
        <f>IF(ISBLANK(M2078),"Aguardando Previsão/Data",NETWORKDAYS(L2078,M2078)-1)</f>
        <v>-4</v>
      </c>
      <c r="T2078" s="5" t="s">
        <v>942</v>
      </c>
    </row>
    <row r="2079" spans="1:20" x14ac:dyDescent="0.35">
      <c r="A2079" s="5">
        <v>8100278753</v>
      </c>
      <c r="B2079" s="5">
        <v>17462</v>
      </c>
      <c r="C2079" s="6">
        <v>45673</v>
      </c>
      <c r="D2079" s="5" t="s">
        <v>51</v>
      </c>
      <c r="E2079" s="5" t="s">
        <v>52</v>
      </c>
      <c r="F2079" s="5" t="s">
        <v>329</v>
      </c>
      <c r="G2079" s="5" t="s">
        <v>330</v>
      </c>
      <c r="H2079" s="5" t="s">
        <v>21</v>
      </c>
      <c r="I2079" s="5" t="s">
        <v>261</v>
      </c>
      <c r="J2079" s="5" t="s">
        <v>1398</v>
      </c>
      <c r="K2079" s="5" t="s">
        <v>57</v>
      </c>
      <c r="L2079" s="6">
        <v>45680</v>
      </c>
      <c r="M2079" s="6">
        <v>45679</v>
      </c>
      <c r="N2079" s="5" t="s">
        <v>811</v>
      </c>
      <c r="O2079" s="5" t="str">
        <f ca="1">IF(P2079&lt;&gt;"EXPEDIÇÃO","Expedido",IF(NETWORKDAYS(C2079,TODAY())&gt;=5,"Risco Alto",IF(NETWORKDAYS(C2079,TODAY())&gt;=3,IF(NETWORKDAYS(C2079,TODAY())&lt;5,"Risco Médio",""),IF(NETWORKDAYS(C2079,TODAY())&lt;=2,"Risco Baixo",""))))</f>
        <v>Expedido</v>
      </c>
      <c r="P2079" s="5" t="s">
        <v>25</v>
      </c>
      <c r="S2079" s="7">
        <f>IF(ISBLANK(M2079),"Aguardando Previsão/Data",NETWORKDAYS(L2079,M2079)-1)</f>
        <v>-3</v>
      </c>
      <c r="T2079" s="5" t="s">
        <v>942</v>
      </c>
    </row>
    <row r="2080" spans="1:20" x14ac:dyDescent="0.35">
      <c r="A2080" s="5">
        <v>8100278755</v>
      </c>
      <c r="B2080" s="5">
        <v>17463</v>
      </c>
      <c r="C2080" s="6">
        <v>45673</v>
      </c>
      <c r="D2080" s="5" t="s">
        <v>51</v>
      </c>
      <c r="E2080" s="5" t="s">
        <v>52</v>
      </c>
      <c r="F2080" s="5" t="s">
        <v>329</v>
      </c>
      <c r="G2080" s="5" t="s">
        <v>330</v>
      </c>
      <c r="H2080" s="5" t="s">
        <v>21</v>
      </c>
      <c r="I2080" s="5" t="s">
        <v>261</v>
      </c>
      <c r="J2080" s="5" t="s">
        <v>442</v>
      </c>
      <c r="K2080" s="5" t="s">
        <v>57</v>
      </c>
      <c r="L2080" s="6">
        <v>45680</v>
      </c>
      <c r="M2080" s="6">
        <v>45677</v>
      </c>
      <c r="N2080" s="5" t="s">
        <v>811</v>
      </c>
      <c r="O2080" s="5" t="str">
        <f ca="1">IF(P2080&lt;&gt;"EXPEDIÇÃO","Expedido",IF(NETWORKDAYS(C2080,TODAY())&gt;=5,"Risco Alto",IF(NETWORKDAYS(C2080,TODAY())&gt;=3,IF(NETWORKDAYS(C2080,TODAY())&lt;5,"Risco Médio",""),IF(NETWORKDAYS(C2080,TODAY())&lt;=2,"Risco Baixo",""))))</f>
        <v>Expedido</v>
      </c>
      <c r="P2080" s="5" t="s">
        <v>25</v>
      </c>
      <c r="S2080" s="7">
        <f>IF(ISBLANK(M2080),"Aguardando Previsão/Data",NETWORKDAYS(L2080,M2080)-1)</f>
        <v>-5</v>
      </c>
      <c r="T2080" s="5" t="s">
        <v>942</v>
      </c>
    </row>
    <row r="2081" spans="1:20" x14ac:dyDescent="0.35">
      <c r="A2081" s="5">
        <v>8100278756</v>
      </c>
      <c r="B2081" s="5">
        <v>17464</v>
      </c>
      <c r="C2081" s="6">
        <v>45673</v>
      </c>
      <c r="D2081" s="5" t="s">
        <v>51</v>
      </c>
      <c r="E2081" s="5" t="s">
        <v>52</v>
      </c>
      <c r="F2081" s="5" t="s">
        <v>329</v>
      </c>
      <c r="G2081" s="5" t="s">
        <v>330</v>
      </c>
      <c r="H2081" s="5" t="s">
        <v>21</v>
      </c>
      <c r="I2081" s="5" t="s">
        <v>261</v>
      </c>
      <c r="J2081" s="5" t="s">
        <v>550</v>
      </c>
      <c r="K2081" s="5" t="s">
        <v>57</v>
      </c>
      <c r="L2081" s="6">
        <v>45679</v>
      </c>
      <c r="M2081" s="6">
        <v>45677</v>
      </c>
      <c r="N2081" s="5" t="s">
        <v>811</v>
      </c>
      <c r="O2081" s="5" t="str">
        <f ca="1">IF(P2081&lt;&gt;"EXPEDIÇÃO","Expedido",IF(NETWORKDAYS(C2081,TODAY())&gt;=5,"Risco Alto",IF(NETWORKDAYS(C2081,TODAY())&gt;=3,IF(NETWORKDAYS(C2081,TODAY())&lt;5,"Risco Médio",""),IF(NETWORKDAYS(C2081,TODAY())&lt;=2,"Risco Baixo",""))))</f>
        <v>Expedido</v>
      </c>
      <c r="P2081" s="5" t="s">
        <v>25</v>
      </c>
      <c r="S2081" s="7">
        <f>IF(ISBLANK(M2081),"Aguardando Previsão/Data",NETWORKDAYS(L2081,M2081)-1)</f>
        <v>-4</v>
      </c>
      <c r="T2081" s="5" t="s">
        <v>942</v>
      </c>
    </row>
    <row r="2082" spans="1:20" x14ac:dyDescent="0.35">
      <c r="A2082" s="5">
        <v>8100278757</v>
      </c>
      <c r="B2082" s="5">
        <v>17465</v>
      </c>
      <c r="C2082" s="6">
        <v>45673</v>
      </c>
      <c r="D2082" s="5" t="s">
        <v>51</v>
      </c>
      <c r="E2082" s="5" t="s">
        <v>52</v>
      </c>
      <c r="F2082" s="5" t="s">
        <v>66</v>
      </c>
      <c r="G2082" s="5" t="s">
        <v>67</v>
      </c>
      <c r="H2082" s="5" t="s">
        <v>21</v>
      </c>
      <c r="I2082" s="5" t="s">
        <v>261</v>
      </c>
      <c r="J2082" s="5" t="s">
        <v>262</v>
      </c>
      <c r="K2082" s="5" t="s">
        <v>57</v>
      </c>
      <c r="L2082" s="6">
        <v>45678</v>
      </c>
      <c r="M2082" s="6">
        <v>45678</v>
      </c>
      <c r="N2082" s="5" t="s">
        <v>811</v>
      </c>
      <c r="O2082" s="5" t="str">
        <f ca="1">IF(P2082&lt;&gt;"EXPEDIÇÃO","Expedido",IF(NETWORKDAYS(C2082,TODAY())&gt;=5,"Risco Alto",IF(NETWORKDAYS(C2082,TODAY())&gt;=3,IF(NETWORKDAYS(C2082,TODAY())&lt;5,"Risco Médio",""),IF(NETWORKDAYS(C2082,TODAY())&lt;=2,"Risco Baixo",""))))</f>
        <v>Expedido</v>
      </c>
      <c r="P2082" s="5" t="s">
        <v>25</v>
      </c>
      <c r="S2082" s="7">
        <f>IF(ISBLANK(M2082),"Aguardando Previsão/Data",NETWORKDAYS(L2082,M2082)-1)</f>
        <v>0</v>
      </c>
      <c r="T2082" s="5" t="s">
        <v>942</v>
      </c>
    </row>
    <row r="2083" spans="1:20" x14ac:dyDescent="0.35">
      <c r="A2083" s="5">
        <v>8100278758</v>
      </c>
      <c r="B2083" s="5">
        <v>17466</v>
      </c>
      <c r="C2083" s="6">
        <v>45673</v>
      </c>
      <c r="D2083" s="5" t="s">
        <v>51</v>
      </c>
      <c r="E2083" s="5" t="s">
        <v>52</v>
      </c>
      <c r="F2083" s="5" t="s">
        <v>66</v>
      </c>
      <c r="G2083" s="5" t="s">
        <v>67</v>
      </c>
      <c r="H2083" s="5" t="s">
        <v>21</v>
      </c>
      <c r="I2083" s="5" t="s">
        <v>261</v>
      </c>
      <c r="J2083" s="5" t="s">
        <v>877</v>
      </c>
      <c r="K2083" s="5" t="s">
        <v>57</v>
      </c>
      <c r="L2083" s="6">
        <v>45679</v>
      </c>
      <c r="M2083" s="6">
        <v>45678</v>
      </c>
      <c r="N2083" s="5" t="s">
        <v>811</v>
      </c>
      <c r="O2083" s="5" t="str">
        <f ca="1">IF(P2083&lt;&gt;"EXPEDIÇÃO","Expedido",IF(NETWORKDAYS(C2083,TODAY())&gt;=5,"Risco Alto",IF(NETWORKDAYS(C2083,TODAY())&gt;=3,IF(NETWORKDAYS(C2083,TODAY())&lt;5,"Risco Médio",""),IF(NETWORKDAYS(C2083,TODAY())&lt;=2,"Risco Baixo",""))))</f>
        <v>Expedido</v>
      </c>
      <c r="P2083" s="5" t="s">
        <v>25</v>
      </c>
      <c r="S2083" s="7">
        <f>IF(ISBLANK(M2083),"Aguardando Previsão/Data",NETWORKDAYS(L2083,M2083)-1)</f>
        <v>-3</v>
      </c>
      <c r="T2083" s="5" t="s">
        <v>942</v>
      </c>
    </row>
    <row r="2084" spans="1:20" x14ac:dyDescent="0.35">
      <c r="A2084" s="5">
        <v>8100278760</v>
      </c>
      <c r="B2084" s="5">
        <v>17467</v>
      </c>
      <c r="C2084" s="6">
        <v>45673</v>
      </c>
      <c r="D2084" s="5" t="s">
        <v>51</v>
      </c>
      <c r="E2084" s="5" t="s">
        <v>52</v>
      </c>
      <c r="F2084" s="5" t="s">
        <v>329</v>
      </c>
      <c r="G2084" s="5" t="s">
        <v>330</v>
      </c>
      <c r="H2084" s="5" t="s">
        <v>21</v>
      </c>
      <c r="I2084" s="5" t="s">
        <v>261</v>
      </c>
      <c r="J2084" s="5" t="s">
        <v>877</v>
      </c>
      <c r="K2084" s="5" t="s">
        <v>57</v>
      </c>
      <c r="L2084" s="6">
        <v>45679</v>
      </c>
      <c r="M2084" s="6">
        <v>45678</v>
      </c>
      <c r="N2084" s="5" t="s">
        <v>811</v>
      </c>
      <c r="O2084" s="5" t="str">
        <f ca="1">IF(P2084&lt;&gt;"EXPEDIÇÃO","Expedido",IF(NETWORKDAYS(C2084,TODAY())&gt;=5,"Risco Alto",IF(NETWORKDAYS(C2084,TODAY())&gt;=3,IF(NETWORKDAYS(C2084,TODAY())&lt;5,"Risco Médio",""),IF(NETWORKDAYS(C2084,TODAY())&lt;=2,"Risco Baixo",""))))</f>
        <v>Expedido</v>
      </c>
      <c r="P2084" s="5" t="s">
        <v>25</v>
      </c>
      <c r="S2084" s="7">
        <f>IF(ISBLANK(M2084),"Aguardando Previsão/Data",NETWORKDAYS(L2084,M2084)-1)</f>
        <v>-3</v>
      </c>
      <c r="T2084" s="5" t="s">
        <v>942</v>
      </c>
    </row>
    <row r="2085" spans="1:20" x14ac:dyDescent="0.35">
      <c r="A2085" s="5">
        <v>8100278761</v>
      </c>
      <c r="B2085" s="5">
        <v>17470</v>
      </c>
      <c r="C2085" s="6">
        <v>45673</v>
      </c>
      <c r="D2085" s="5" t="s">
        <v>51</v>
      </c>
      <c r="E2085" s="5" t="s">
        <v>52</v>
      </c>
      <c r="F2085" s="5" t="s">
        <v>329</v>
      </c>
      <c r="G2085" s="5" t="s">
        <v>330</v>
      </c>
      <c r="H2085" s="5" t="s">
        <v>21</v>
      </c>
      <c r="I2085" s="5" t="s">
        <v>261</v>
      </c>
      <c r="J2085" s="5" t="s">
        <v>877</v>
      </c>
      <c r="K2085" s="5" t="s">
        <v>57</v>
      </c>
      <c r="L2085" s="6">
        <v>45679</v>
      </c>
      <c r="M2085" s="6">
        <v>45679</v>
      </c>
      <c r="N2085" s="5" t="s">
        <v>811</v>
      </c>
      <c r="O2085" s="5" t="str">
        <f ca="1">IF(P2085&lt;&gt;"EXPEDIÇÃO","Expedido",IF(NETWORKDAYS(C2085,TODAY())&gt;=5,"Risco Alto",IF(NETWORKDAYS(C2085,TODAY())&gt;=3,IF(NETWORKDAYS(C2085,TODAY())&lt;5,"Risco Médio",""),IF(NETWORKDAYS(C2085,TODAY())&lt;=2,"Risco Baixo",""))))</f>
        <v>Expedido</v>
      </c>
      <c r="P2085" s="5" t="s">
        <v>25</v>
      </c>
      <c r="S2085" s="7">
        <f>IF(ISBLANK(M2085),"Aguardando Previsão/Data",NETWORKDAYS(L2085,M2085)-1)</f>
        <v>0</v>
      </c>
      <c r="T2085" s="5" t="s">
        <v>942</v>
      </c>
    </row>
    <row r="2086" spans="1:20" x14ac:dyDescent="0.35">
      <c r="A2086" s="5">
        <v>8100278762</v>
      </c>
      <c r="B2086" s="5">
        <v>17469</v>
      </c>
      <c r="C2086" s="6">
        <v>45673</v>
      </c>
      <c r="D2086" s="5" t="s">
        <v>51</v>
      </c>
      <c r="E2086" s="5" t="s">
        <v>52</v>
      </c>
      <c r="F2086" s="5" t="s">
        <v>329</v>
      </c>
      <c r="G2086" s="5" t="s">
        <v>330</v>
      </c>
      <c r="H2086" s="5" t="s">
        <v>21</v>
      </c>
      <c r="I2086" s="5" t="s">
        <v>261</v>
      </c>
      <c r="J2086" s="5" t="s">
        <v>75</v>
      </c>
      <c r="K2086" s="5" t="s">
        <v>57</v>
      </c>
      <c r="L2086" s="6">
        <v>45680</v>
      </c>
      <c r="M2086" s="6">
        <v>45677</v>
      </c>
      <c r="N2086" s="5" t="s">
        <v>811</v>
      </c>
      <c r="O2086" s="5" t="str">
        <f ca="1">IF(P2086&lt;&gt;"EXPEDIÇÃO","Expedido",IF(NETWORKDAYS(C2086,TODAY())&gt;=5,"Risco Alto",IF(NETWORKDAYS(C2086,TODAY())&gt;=3,IF(NETWORKDAYS(C2086,TODAY())&lt;5,"Risco Médio",""),IF(NETWORKDAYS(C2086,TODAY())&lt;=2,"Risco Baixo",""))))</f>
        <v>Expedido</v>
      </c>
      <c r="P2086" s="5" t="s">
        <v>25</v>
      </c>
      <c r="S2086" s="7">
        <f>IF(ISBLANK(M2086),"Aguardando Previsão/Data",NETWORKDAYS(L2086,M2086)-1)</f>
        <v>-5</v>
      </c>
      <c r="T2086" s="5" t="s">
        <v>942</v>
      </c>
    </row>
    <row r="2087" spans="1:20" x14ac:dyDescent="0.35">
      <c r="A2087" s="5">
        <v>8100278763</v>
      </c>
      <c r="B2087" s="5">
        <v>17468</v>
      </c>
      <c r="C2087" s="6">
        <v>45673</v>
      </c>
      <c r="D2087" s="5" t="s">
        <v>51</v>
      </c>
      <c r="E2087" s="5" t="s">
        <v>52</v>
      </c>
      <c r="F2087" s="5" t="s">
        <v>58</v>
      </c>
      <c r="G2087" s="5" t="s">
        <v>59</v>
      </c>
      <c r="H2087" s="5" t="s">
        <v>21</v>
      </c>
      <c r="I2087" s="5" t="s">
        <v>22</v>
      </c>
      <c r="J2087" s="5" t="s">
        <v>65</v>
      </c>
      <c r="K2087" s="5" t="s">
        <v>57</v>
      </c>
      <c r="L2087" s="6">
        <v>45678</v>
      </c>
      <c r="M2087" s="6">
        <v>45675</v>
      </c>
      <c r="N2087" s="5" t="s">
        <v>811</v>
      </c>
      <c r="O2087" s="5" t="str">
        <f ca="1">IF(P2087&lt;&gt;"EXPEDIÇÃO","Expedido",IF(NETWORKDAYS(C2087,TODAY())&gt;=5,"Risco Alto",IF(NETWORKDAYS(C2087,TODAY())&gt;=3,IF(NETWORKDAYS(C2087,TODAY())&lt;5,"Risco Médio",""),IF(NETWORKDAYS(C2087,TODAY())&lt;=2,"Risco Baixo",""))))</f>
        <v>Expedido</v>
      </c>
      <c r="P2087" s="5" t="s">
        <v>25</v>
      </c>
      <c r="Q2087" s="5" t="s">
        <v>900</v>
      </c>
      <c r="S2087" s="7">
        <f>IF(ISBLANK(M2087),"Aguardando Previsão/Data",NETWORKDAYS(L2087,M2087)-1)</f>
        <v>-3</v>
      </c>
      <c r="T2087" s="5" t="s">
        <v>942</v>
      </c>
    </row>
    <row r="2088" spans="1:20" x14ac:dyDescent="0.35">
      <c r="A2088" s="5">
        <v>8100278767</v>
      </c>
      <c r="B2088" s="5">
        <v>17474</v>
      </c>
      <c r="C2088" s="6">
        <v>45673</v>
      </c>
      <c r="D2088" s="5" t="s">
        <v>51</v>
      </c>
      <c r="E2088" s="5" t="s">
        <v>52</v>
      </c>
      <c r="F2088" s="5" t="s">
        <v>66</v>
      </c>
      <c r="G2088" s="5" t="s">
        <v>67</v>
      </c>
      <c r="H2088" s="5" t="s">
        <v>21</v>
      </c>
      <c r="I2088" s="5" t="s">
        <v>261</v>
      </c>
      <c r="J2088" s="5" t="s">
        <v>550</v>
      </c>
      <c r="K2088" s="5" t="s">
        <v>57</v>
      </c>
      <c r="L2088" s="6">
        <v>45679</v>
      </c>
      <c r="M2088" s="6">
        <v>45677</v>
      </c>
      <c r="N2088" s="5" t="s">
        <v>811</v>
      </c>
      <c r="O2088" s="5" t="str">
        <f ca="1">IF(P2088&lt;&gt;"EXPEDIÇÃO","Expedido",IF(NETWORKDAYS(C2088,TODAY())&gt;=5,"Risco Alto",IF(NETWORKDAYS(C2088,TODAY())&gt;=3,IF(NETWORKDAYS(C2088,TODAY())&lt;5,"Risco Médio",""),IF(NETWORKDAYS(C2088,TODAY())&lt;=2,"Risco Baixo",""))))</f>
        <v>Expedido</v>
      </c>
      <c r="P2088" s="5" t="s">
        <v>25</v>
      </c>
      <c r="S2088" s="7">
        <f>IF(ISBLANK(M2088),"Aguardando Previsão/Data",NETWORKDAYS(L2088,M2088)-1)</f>
        <v>-4</v>
      </c>
      <c r="T2088" s="5" t="s">
        <v>942</v>
      </c>
    </row>
    <row r="2089" spans="1:20" x14ac:dyDescent="0.35">
      <c r="A2089" s="5">
        <v>8100278768</v>
      </c>
      <c r="B2089" s="5">
        <v>17475</v>
      </c>
      <c r="C2089" s="6">
        <v>45673</v>
      </c>
      <c r="D2089" s="5" t="s">
        <v>51</v>
      </c>
      <c r="E2089" s="5" t="s">
        <v>52</v>
      </c>
      <c r="F2089" s="5" t="s">
        <v>66</v>
      </c>
      <c r="G2089" s="5" t="s">
        <v>67</v>
      </c>
      <c r="H2089" s="5" t="s">
        <v>21</v>
      </c>
      <c r="I2089" s="5" t="s">
        <v>261</v>
      </c>
      <c r="J2089" s="5" t="s">
        <v>550</v>
      </c>
      <c r="K2089" s="5" t="s">
        <v>57</v>
      </c>
      <c r="L2089" s="6">
        <v>45679</v>
      </c>
      <c r="M2089" s="6">
        <v>45677</v>
      </c>
      <c r="N2089" s="5" t="s">
        <v>811</v>
      </c>
      <c r="O2089" s="5" t="str">
        <f ca="1">IF(P2089&lt;&gt;"EXPEDIÇÃO","Expedido",IF(NETWORKDAYS(C2089,TODAY())&gt;=5,"Risco Alto",IF(NETWORKDAYS(C2089,TODAY())&gt;=3,IF(NETWORKDAYS(C2089,TODAY())&lt;5,"Risco Médio",""),IF(NETWORKDAYS(C2089,TODAY())&lt;=2,"Risco Baixo",""))))</f>
        <v>Expedido</v>
      </c>
      <c r="P2089" s="5" t="s">
        <v>25</v>
      </c>
      <c r="S2089" s="7">
        <f>IF(ISBLANK(M2089),"Aguardando Previsão/Data",NETWORKDAYS(L2089,M2089)-1)</f>
        <v>-4</v>
      </c>
      <c r="T2089" s="5" t="s">
        <v>942</v>
      </c>
    </row>
    <row r="2090" spans="1:20" x14ac:dyDescent="0.35">
      <c r="A2090" s="5">
        <v>8100278769</v>
      </c>
      <c r="B2090" s="5">
        <v>17478</v>
      </c>
      <c r="C2090" s="6">
        <v>45673</v>
      </c>
      <c r="D2090" s="5" t="s">
        <v>51</v>
      </c>
      <c r="E2090" s="5" t="s">
        <v>52</v>
      </c>
      <c r="F2090" s="5" t="s">
        <v>66</v>
      </c>
      <c r="G2090" s="5" t="s">
        <v>67</v>
      </c>
      <c r="H2090" s="5" t="s">
        <v>21</v>
      </c>
      <c r="I2090" s="5" t="s">
        <v>261</v>
      </c>
      <c r="J2090" s="5" t="s">
        <v>550</v>
      </c>
      <c r="K2090" s="5" t="s">
        <v>57</v>
      </c>
      <c r="L2090" s="6">
        <v>45679</v>
      </c>
      <c r="M2090" s="6">
        <v>45677</v>
      </c>
      <c r="N2090" s="5" t="s">
        <v>811</v>
      </c>
      <c r="O2090" s="5" t="str">
        <f ca="1">IF(P2090&lt;&gt;"EXPEDIÇÃO","Expedido",IF(NETWORKDAYS(C2090,TODAY())&gt;=5,"Risco Alto",IF(NETWORKDAYS(C2090,TODAY())&gt;=3,IF(NETWORKDAYS(C2090,TODAY())&lt;5,"Risco Médio",""),IF(NETWORKDAYS(C2090,TODAY())&lt;=2,"Risco Baixo",""))))</f>
        <v>Expedido</v>
      </c>
      <c r="P2090" s="5" t="s">
        <v>25</v>
      </c>
      <c r="S2090" s="7">
        <f>IF(ISBLANK(M2090),"Aguardando Previsão/Data",NETWORKDAYS(L2090,M2090)-1)</f>
        <v>-4</v>
      </c>
      <c r="T2090" s="5" t="s">
        <v>942</v>
      </c>
    </row>
    <row r="2091" spans="1:20" x14ac:dyDescent="0.35">
      <c r="A2091" s="5">
        <v>8100278770</v>
      </c>
      <c r="B2091" s="5">
        <v>17479</v>
      </c>
      <c r="C2091" s="6">
        <v>45673</v>
      </c>
      <c r="D2091" s="5" t="s">
        <v>51</v>
      </c>
      <c r="E2091" s="5" t="s">
        <v>52</v>
      </c>
      <c r="F2091" s="5" t="s">
        <v>66</v>
      </c>
      <c r="G2091" s="5" t="s">
        <v>67</v>
      </c>
      <c r="H2091" s="5" t="s">
        <v>21</v>
      </c>
      <c r="I2091" s="5" t="s">
        <v>261</v>
      </c>
      <c r="J2091" s="5" t="s">
        <v>550</v>
      </c>
      <c r="K2091" s="5" t="s">
        <v>57</v>
      </c>
      <c r="L2091" s="6">
        <v>45679</v>
      </c>
      <c r="M2091" s="6">
        <v>45677</v>
      </c>
      <c r="N2091" s="5" t="s">
        <v>811</v>
      </c>
      <c r="O2091" s="5" t="str">
        <f ca="1">IF(P2091&lt;&gt;"EXPEDIÇÃO","Expedido",IF(NETWORKDAYS(C2091,TODAY())&gt;=5,"Risco Alto",IF(NETWORKDAYS(C2091,TODAY())&gt;=3,IF(NETWORKDAYS(C2091,TODAY())&lt;5,"Risco Médio",""),IF(NETWORKDAYS(C2091,TODAY())&lt;=2,"Risco Baixo",""))))</f>
        <v>Expedido</v>
      </c>
      <c r="P2091" s="5" t="s">
        <v>25</v>
      </c>
      <c r="S2091" s="7">
        <f>IF(ISBLANK(M2091),"Aguardando Previsão/Data",NETWORKDAYS(L2091,M2091)-1)</f>
        <v>-4</v>
      </c>
      <c r="T2091" s="5" t="s">
        <v>942</v>
      </c>
    </row>
    <row r="2092" spans="1:20" x14ac:dyDescent="0.35">
      <c r="A2092" s="5">
        <v>8100278771</v>
      </c>
      <c r="B2092" s="5">
        <v>17477</v>
      </c>
      <c r="C2092" s="6">
        <v>45673</v>
      </c>
      <c r="D2092" s="5" t="s">
        <v>51</v>
      </c>
      <c r="E2092" s="5" t="s">
        <v>52</v>
      </c>
      <c r="F2092" s="5" t="s">
        <v>66</v>
      </c>
      <c r="G2092" s="5" t="s">
        <v>67</v>
      </c>
      <c r="H2092" s="5" t="s">
        <v>21</v>
      </c>
      <c r="I2092" s="5" t="s">
        <v>261</v>
      </c>
      <c r="J2092" s="5" t="s">
        <v>72</v>
      </c>
      <c r="K2092" s="5" t="s">
        <v>57</v>
      </c>
      <c r="L2092" s="6">
        <v>45679</v>
      </c>
      <c r="M2092" s="6">
        <v>45679</v>
      </c>
      <c r="N2092" s="5" t="s">
        <v>811</v>
      </c>
      <c r="O2092" s="5" t="str">
        <f ca="1">IF(P2092&lt;&gt;"EXPEDIÇÃO","Expedido",IF(NETWORKDAYS(C2092,TODAY())&gt;=5,"Risco Alto",IF(NETWORKDAYS(C2092,TODAY())&gt;=3,IF(NETWORKDAYS(C2092,TODAY())&lt;5,"Risco Médio",""),IF(NETWORKDAYS(C2092,TODAY())&lt;=2,"Risco Baixo",""))))</f>
        <v>Expedido</v>
      </c>
      <c r="P2092" s="5" t="s">
        <v>25</v>
      </c>
      <c r="S2092" s="7">
        <f>IF(ISBLANK(M2092),"Aguardando Previsão/Data",NETWORKDAYS(L2092,M2092)-1)</f>
        <v>0</v>
      </c>
      <c r="T2092" s="5" t="s">
        <v>942</v>
      </c>
    </row>
    <row r="2093" spans="1:20" x14ac:dyDescent="0.35">
      <c r="A2093" s="5">
        <v>8100278772</v>
      </c>
      <c r="B2093" s="5">
        <v>17472</v>
      </c>
      <c r="C2093" s="6">
        <v>45673</v>
      </c>
      <c r="D2093" s="5" t="s">
        <v>51</v>
      </c>
      <c r="E2093" s="5" t="s">
        <v>52</v>
      </c>
      <c r="F2093" s="5" t="s">
        <v>66</v>
      </c>
      <c r="G2093" s="5" t="s">
        <v>67</v>
      </c>
      <c r="H2093" s="5" t="s">
        <v>21</v>
      </c>
      <c r="I2093" s="5" t="s">
        <v>869</v>
      </c>
      <c r="J2093" s="5" t="s">
        <v>870</v>
      </c>
      <c r="K2093" s="5" t="s">
        <v>57</v>
      </c>
      <c r="L2093" s="6">
        <v>45679</v>
      </c>
      <c r="M2093" s="6">
        <v>45677</v>
      </c>
      <c r="N2093" s="5" t="s">
        <v>811</v>
      </c>
      <c r="O2093" s="5" t="str">
        <f ca="1">IF(P2093&lt;&gt;"EXPEDIÇÃO","Expedido",IF(NETWORKDAYS(C2093,TODAY())&gt;=5,"Risco Alto",IF(NETWORKDAYS(C2093,TODAY())&gt;=3,IF(NETWORKDAYS(C2093,TODAY())&lt;5,"Risco Médio",""),IF(NETWORKDAYS(C2093,TODAY())&lt;=2,"Risco Baixo",""))))</f>
        <v>Expedido</v>
      </c>
      <c r="P2093" s="5" t="s">
        <v>25</v>
      </c>
      <c r="S2093" s="7">
        <f>IF(ISBLANK(M2093),"Aguardando Previsão/Data",NETWORKDAYS(L2093,M2093)-1)</f>
        <v>-4</v>
      </c>
      <c r="T2093" s="5" t="s">
        <v>942</v>
      </c>
    </row>
    <row r="2094" spans="1:20" x14ac:dyDescent="0.35">
      <c r="A2094" s="5">
        <v>8100278773</v>
      </c>
      <c r="B2094" s="5">
        <v>17473</v>
      </c>
      <c r="C2094" s="6">
        <v>45673</v>
      </c>
      <c r="D2094" s="5" t="s">
        <v>51</v>
      </c>
      <c r="E2094" s="5" t="s">
        <v>52</v>
      </c>
      <c r="F2094" s="5" t="s">
        <v>66</v>
      </c>
      <c r="G2094" s="5" t="s">
        <v>67</v>
      </c>
      <c r="H2094" s="5" t="s">
        <v>21</v>
      </c>
      <c r="I2094" s="5" t="s">
        <v>869</v>
      </c>
      <c r="J2094" s="5" t="s">
        <v>870</v>
      </c>
      <c r="K2094" s="5" t="s">
        <v>57</v>
      </c>
      <c r="L2094" s="6">
        <v>45679</v>
      </c>
      <c r="M2094" s="6">
        <v>45677</v>
      </c>
      <c r="N2094" s="5" t="s">
        <v>811</v>
      </c>
      <c r="O2094" s="5" t="str">
        <f ca="1">IF(P2094&lt;&gt;"EXPEDIÇÃO","Expedido",IF(NETWORKDAYS(C2094,TODAY())&gt;=5,"Risco Alto",IF(NETWORKDAYS(C2094,TODAY())&gt;=3,IF(NETWORKDAYS(C2094,TODAY())&lt;5,"Risco Médio",""),IF(NETWORKDAYS(C2094,TODAY())&lt;=2,"Risco Baixo",""))))</f>
        <v>Expedido</v>
      </c>
      <c r="P2094" s="5" t="s">
        <v>25</v>
      </c>
      <c r="S2094" s="7">
        <f>IF(ISBLANK(M2094),"Aguardando Previsão/Data",NETWORKDAYS(L2094,M2094)-1)</f>
        <v>-4</v>
      </c>
      <c r="T2094" s="5" t="s">
        <v>942</v>
      </c>
    </row>
    <row r="2095" spans="1:20" x14ac:dyDescent="0.35">
      <c r="A2095" s="5">
        <v>8100278827</v>
      </c>
      <c r="B2095" s="5">
        <v>17476</v>
      </c>
      <c r="C2095" s="6">
        <v>45673</v>
      </c>
      <c r="D2095" s="5" t="s">
        <v>51</v>
      </c>
      <c r="E2095" s="5" t="s">
        <v>52</v>
      </c>
      <c r="F2095" s="5" t="s">
        <v>329</v>
      </c>
      <c r="G2095" s="5" t="s">
        <v>330</v>
      </c>
      <c r="H2095" s="5" t="s">
        <v>21</v>
      </c>
      <c r="I2095" s="5" t="s">
        <v>261</v>
      </c>
      <c r="J2095" s="5" t="s">
        <v>75</v>
      </c>
      <c r="K2095" s="5" t="s">
        <v>57</v>
      </c>
      <c r="L2095" s="6">
        <v>45680</v>
      </c>
      <c r="M2095" s="6">
        <v>45677</v>
      </c>
      <c r="N2095" s="5" t="s">
        <v>811</v>
      </c>
      <c r="O2095" s="5" t="str">
        <f ca="1">IF(P2095&lt;&gt;"EXPEDIÇÃO","Expedido",IF(NETWORKDAYS(C2095,TODAY())&gt;=5,"Risco Alto",IF(NETWORKDAYS(C2095,TODAY())&gt;=3,IF(NETWORKDAYS(C2095,TODAY())&lt;5,"Risco Médio",""),IF(NETWORKDAYS(C2095,TODAY())&lt;=2,"Risco Baixo",""))))</f>
        <v>Expedido</v>
      </c>
      <c r="P2095" s="5" t="s">
        <v>25</v>
      </c>
      <c r="S2095" s="7">
        <f>IF(ISBLANK(M2095),"Aguardando Previsão/Data",NETWORKDAYS(L2095,M2095)-1)</f>
        <v>-5</v>
      </c>
      <c r="T2095" s="5" t="s">
        <v>942</v>
      </c>
    </row>
    <row r="2096" spans="1:20" x14ac:dyDescent="0.35">
      <c r="A2096" s="5">
        <v>8100278828</v>
      </c>
      <c r="B2096" s="5">
        <v>17471</v>
      </c>
      <c r="C2096" s="6">
        <v>45673</v>
      </c>
      <c r="D2096" s="5" t="s">
        <v>51</v>
      </c>
      <c r="E2096" s="5" t="s">
        <v>52</v>
      </c>
      <c r="F2096" s="5" t="s">
        <v>58</v>
      </c>
      <c r="G2096" s="5" t="s">
        <v>59</v>
      </c>
      <c r="H2096" s="5" t="s">
        <v>21</v>
      </c>
      <c r="I2096" s="5" t="s">
        <v>555</v>
      </c>
      <c r="J2096" s="5" t="s">
        <v>556</v>
      </c>
      <c r="K2096" s="5" t="s">
        <v>57</v>
      </c>
      <c r="L2096" s="6">
        <v>45681</v>
      </c>
      <c r="M2096" s="6">
        <v>45678</v>
      </c>
      <c r="N2096" s="5" t="s">
        <v>811</v>
      </c>
      <c r="O2096" s="5" t="str">
        <f ca="1">IF(P2096&lt;&gt;"EXPEDIÇÃO","Expedido",IF(NETWORKDAYS(C2096,TODAY())&gt;=5,"Risco Alto",IF(NETWORKDAYS(C2096,TODAY())&gt;=3,IF(NETWORKDAYS(C2096,TODAY())&lt;5,"Risco Médio",""),IF(NETWORKDAYS(C2096,TODAY())&lt;=2,"Risco Baixo",""))))</f>
        <v>Expedido</v>
      </c>
      <c r="P2096" s="5" t="s">
        <v>25</v>
      </c>
      <c r="S2096" s="7">
        <f>IF(ISBLANK(M2096),"Aguardando Previsão/Data",NETWORKDAYS(L2096,M2096)-1)</f>
        <v>-5</v>
      </c>
      <c r="T2096" s="5" t="s">
        <v>942</v>
      </c>
    </row>
    <row r="2097" spans="1:20" x14ac:dyDescent="0.35">
      <c r="A2097" s="5">
        <v>8100272768</v>
      </c>
      <c r="B2097" s="5">
        <v>21358</v>
      </c>
      <c r="C2097" s="6">
        <v>45673</v>
      </c>
      <c r="D2097" s="5" t="s">
        <v>17</v>
      </c>
      <c r="E2097" s="5" t="s">
        <v>18</v>
      </c>
      <c r="F2097" s="5" t="s">
        <v>39</v>
      </c>
      <c r="G2097" s="5" t="s">
        <v>40</v>
      </c>
      <c r="H2097" s="5" t="s">
        <v>21</v>
      </c>
      <c r="I2097" s="5" t="s">
        <v>1367</v>
      </c>
      <c r="J2097" s="5" t="s">
        <v>843</v>
      </c>
      <c r="K2097" s="5" t="s">
        <v>24</v>
      </c>
      <c r="L2097" s="6">
        <v>45685</v>
      </c>
      <c r="M2097" s="6">
        <v>45684</v>
      </c>
      <c r="N2097" s="5" t="s">
        <v>811</v>
      </c>
      <c r="O2097" s="5" t="str">
        <f ca="1">IF(P2097&lt;&gt;"EXPEDIÇÃO","Expedido",IF(NETWORKDAYS(C2097,TODAY())&gt;=5,"Risco Alto",IF(NETWORKDAYS(C2097,TODAY())&gt;=3,IF(NETWORKDAYS(C2097,TODAY())&lt;5,"Risco Médio",""),IF(NETWORKDAYS(C2097,TODAY())&lt;=2,"Risco Baixo",""))))</f>
        <v>Expedido</v>
      </c>
      <c r="P2097" s="5" t="s">
        <v>25</v>
      </c>
      <c r="S2097" s="7">
        <f>IF(ISBLANK(M2097),"Aguardando Previsão/Data",NETWORKDAYS(L2097,M2097)-1)</f>
        <v>-3</v>
      </c>
      <c r="T2097" s="5" t="s">
        <v>942</v>
      </c>
    </row>
    <row r="2098" spans="1:20" x14ac:dyDescent="0.35">
      <c r="A2098" s="5">
        <v>8100275513</v>
      </c>
      <c r="B2098" s="5">
        <v>21347</v>
      </c>
      <c r="C2098" s="6">
        <v>45673</v>
      </c>
      <c r="D2098" s="5" t="s">
        <v>17</v>
      </c>
      <c r="E2098" s="5" t="s">
        <v>18</v>
      </c>
      <c r="F2098" s="5" t="s">
        <v>32</v>
      </c>
      <c r="G2098" s="5" t="s">
        <v>33</v>
      </c>
      <c r="H2098" s="5" t="s">
        <v>21</v>
      </c>
      <c r="I2098" s="5" t="s">
        <v>1368</v>
      </c>
      <c r="J2098" s="5" t="s">
        <v>375</v>
      </c>
      <c r="K2098" s="5" t="s">
        <v>24</v>
      </c>
      <c r="L2098" s="6">
        <v>45685</v>
      </c>
      <c r="M2098" s="6">
        <v>45686</v>
      </c>
      <c r="N2098" s="5" t="s">
        <v>812</v>
      </c>
      <c r="O2098" s="5" t="str">
        <f ca="1">IF(P2098&lt;&gt;"EXPEDIÇÃO","Expedido",IF(NETWORKDAYS(C2098,TODAY())&gt;=5,"Risco Alto",IF(NETWORKDAYS(C2098,TODAY())&gt;=3,IF(NETWORKDAYS(C2098,TODAY())&lt;5,"Risco Médio",""),IF(NETWORKDAYS(C2098,TODAY())&lt;=2,"Risco Baixo",""))))</f>
        <v>Expedido</v>
      </c>
      <c r="P2098" s="5" t="s">
        <v>25</v>
      </c>
      <c r="Q2098" s="5" t="s">
        <v>937</v>
      </c>
      <c r="S2098" s="7">
        <f>IF(ISBLANK(M2098),"Aguardando Previsão/Data",NETWORKDAYS(L2098,M2098)-1)</f>
        <v>1</v>
      </c>
      <c r="T2098" s="5" t="s">
        <v>942</v>
      </c>
    </row>
    <row r="2099" spans="1:20" x14ac:dyDescent="0.35">
      <c r="A2099" s="5">
        <v>8100276198</v>
      </c>
      <c r="B2099" s="5">
        <v>21362</v>
      </c>
      <c r="C2099" s="6">
        <v>45673</v>
      </c>
      <c r="D2099" s="5" t="s">
        <v>17</v>
      </c>
      <c r="E2099" s="5" t="s">
        <v>18</v>
      </c>
      <c r="F2099" s="5" t="s">
        <v>27</v>
      </c>
      <c r="G2099" s="5" t="s">
        <v>28</v>
      </c>
      <c r="H2099" s="5" t="s">
        <v>21</v>
      </c>
      <c r="I2099" s="5" t="s">
        <v>593</v>
      </c>
      <c r="J2099" s="5" t="s">
        <v>28</v>
      </c>
      <c r="K2099" s="5" t="s">
        <v>24</v>
      </c>
      <c r="L2099" s="6">
        <v>45680</v>
      </c>
      <c r="M2099" s="6">
        <v>45680</v>
      </c>
      <c r="N2099" s="5" t="s">
        <v>811</v>
      </c>
      <c r="O2099" s="5" t="str">
        <f ca="1">IF(P2099&lt;&gt;"EXPEDIÇÃO","Expedido",IF(NETWORKDAYS(C2099,TODAY())&gt;=5,"Risco Alto",IF(NETWORKDAYS(C2099,TODAY())&gt;=3,IF(NETWORKDAYS(C2099,TODAY())&lt;5,"Risco Médio",""),IF(NETWORKDAYS(C2099,TODAY())&lt;=2,"Risco Baixo",""))))</f>
        <v>Expedido</v>
      </c>
      <c r="P2099" s="5" t="s">
        <v>25</v>
      </c>
      <c r="Q2099" s="5" t="s">
        <v>897</v>
      </c>
      <c r="S2099" s="7">
        <f>IF(ISBLANK(M2099),"Aguardando Previsão/Data",NETWORKDAYS(L2099,M2099)-1)</f>
        <v>0</v>
      </c>
      <c r="T2099" s="5" t="s">
        <v>942</v>
      </c>
    </row>
    <row r="2100" spans="1:20" x14ac:dyDescent="0.35">
      <c r="A2100" s="5">
        <v>8100276199</v>
      </c>
      <c r="B2100" s="5">
        <v>21363</v>
      </c>
      <c r="C2100" s="6">
        <v>45673</v>
      </c>
      <c r="D2100" s="5" t="s">
        <v>17</v>
      </c>
      <c r="E2100" s="5" t="s">
        <v>18</v>
      </c>
      <c r="F2100" s="5" t="s">
        <v>32</v>
      </c>
      <c r="G2100" s="5" t="s">
        <v>33</v>
      </c>
      <c r="H2100" s="5" t="s">
        <v>21</v>
      </c>
      <c r="I2100" s="5" t="s">
        <v>1062</v>
      </c>
      <c r="J2100" s="5" t="s">
        <v>38</v>
      </c>
      <c r="K2100" s="5" t="s">
        <v>24</v>
      </c>
      <c r="L2100" s="6">
        <v>45681</v>
      </c>
      <c r="M2100" s="6">
        <v>45680</v>
      </c>
      <c r="N2100" s="5" t="s">
        <v>811</v>
      </c>
      <c r="O2100" s="5" t="str">
        <f ca="1">IF(P2100&lt;&gt;"EXPEDIÇÃO","Expedido",IF(NETWORKDAYS(C2100,TODAY())&gt;=5,"Risco Alto",IF(NETWORKDAYS(C2100,TODAY())&gt;=3,IF(NETWORKDAYS(C2100,TODAY())&lt;5,"Risco Médio",""),IF(NETWORKDAYS(C2100,TODAY())&lt;=2,"Risco Baixo",""))))</f>
        <v>Expedido</v>
      </c>
      <c r="P2100" s="5" t="s">
        <v>25</v>
      </c>
      <c r="S2100" s="7">
        <f>IF(ISBLANK(M2100),"Aguardando Previsão/Data",NETWORKDAYS(L2100,M2100)-1)</f>
        <v>-3</v>
      </c>
      <c r="T2100" s="5" t="s">
        <v>942</v>
      </c>
    </row>
    <row r="2101" spans="1:20" x14ac:dyDescent="0.35">
      <c r="A2101" s="5">
        <v>8100276230</v>
      </c>
      <c r="B2101" s="5">
        <v>21364</v>
      </c>
      <c r="C2101" s="6">
        <v>45673</v>
      </c>
      <c r="D2101" s="5" t="s">
        <v>17</v>
      </c>
      <c r="E2101" s="5" t="s">
        <v>18</v>
      </c>
      <c r="F2101" s="5" t="s">
        <v>32</v>
      </c>
      <c r="G2101" s="5" t="s">
        <v>33</v>
      </c>
      <c r="H2101" s="5" t="s">
        <v>21</v>
      </c>
      <c r="I2101" s="5" t="s">
        <v>1062</v>
      </c>
      <c r="J2101" s="5" t="s">
        <v>38</v>
      </c>
      <c r="K2101" s="5" t="s">
        <v>24</v>
      </c>
      <c r="L2101" s="6">
        <v>45681</v>
      </c>
      <c r="M2101" s="6">
        <v>45680</v>
      </c>
      <c r="N2101" s="5" t="s">
        <v>811</v>
      </c>
      <c r="O2101" s="5" t="str">
        <f ca="1">IF(P2101&lt;&gt;"EXPEDIÇÃO","Expedido",IF(NETWORKDAYS(C2101,TODAY())&gt;=5,"Risco Alto",IF(NETWORKDAYS(C2101,TODAY())&gt;=3,IF(NETWORKDAYS(C2101,TODAY())&lt;5,"Risco Médio",""),IF(NETWORKDAYS(C2101,TODAY())&lt;=2,"Risco Baixo",""))))</f>
        <v>Expedido</v>
      </c>
      <c r="P2101" s="5" t="s">
        <v>25</v>
      </c>
      <c r="S2101" s="7">
        <f>IF(ISBLANK(M2101),"Aguardando Previsão/Data",NETWORKDAYS(L2101,M2101)-1)</f>
        <v>-3</v>
      </c>
      <c r="T2101" s="5" t="s">
        <v>942</v>
      </c>
    </row>
    <row r="2102" spans="1:20" x14ac:dyDescent="0.35">
      <c r="A2102" s="5">
        <v>8100276233</v>
      </c>
      <c r="B2102" s="5">
        <v>21365</v>
      </c>
      <c r="C2102" s="6">
        <v>45673</v>
      </c>
      <c r="D2102" s="5" t="s">
        <v>17</v>
      </c>
      <c r="E2102" s="5" t="s">
        <v>18</v>
      </c>
      <c r="F2102" s="5" t="s">
        <v>32</v>
      </c>
      <c r="G2102" s="5" t="s">
        <v>33</v>
      </c>
      <c r="H2102" s="5" t="s">
        <v>21</v>
      </c>
      <c r="I2102" s="5" t="s">
        <v>1062</v>
      </c>
      <c r="J2102" s="5" t="s">
        <v>38</v>
      </c>
      <c r="K2102" s="5" t="s">
        <v>24</v>
      </c>
      <c r="L2102" s="6">
        <v>45681</v>
      </c>
      <c r="M2102" s="6">
        <v>45680</v>
      </c>
      <c r="N2102" s="5" t="s">
        <v>811</v>
      </c>
      <c r="O2102" s="5" t="str">
        <f ca="1">IF(P2102&lt;&gt;"EXPEDIÇÃO","Expedido",IF(NETWORKDAYS(C2102,TODAY())&gt;=5,"Risco Alto",IF(NETWORKDAYS(C2102,TODAY())&gt;=3,IF(NETWORKDAYS(C2102,TODAY())&lt;5,"Risco Médio",""),IF(NETWORKDAYS(C2102,TODAY())&lt;=2,"Risco Baixo",""))))</f>
        <v>Expedido</v>
      </c>
      <c r="P2102" s="5" t="s">
        <v>25</v>
      </c>
      <c r="S2102" s="7">
        <f>IF(ISBLANK(M2102),"Aguardando Previsão/Data",NETWORKDAYS(L2102,M2102)-1)</f>
        <v>-3</v>
      </c>
      <c r="T2102" s="5" t="s">
        <v>942</v>
      </c>
    </row>
    <row r="2103" spans="1:20" x14ac:dyDescent="0.35">
      <c r="A2103" s="5">
        <v>8100276237</v>
      </c>
      <c r="B2103" s="5">
        <v>21366</v>
      </c>
      <c r="C2103" s="6">
        <v>45673</v>
      </c>
      <c r="D2103" s="5" t="s">
        <v>17</v>
      </c>
      <c r="E2103" s="5" t="s">
        <v>18</v>
      </c>
      <c r="F2103" s="5" t="s">
        <v>32</v>
      </c>
      <c r="G2103" s="5" t="s">
        <v>33</v>
      </c>
      <c r="H2103" s="5" t="s">
        <v>21</v>
      </c>
      <c r="I2103" s="5" t="s">
        <v>1062</v>
      </c>
      <c r="J2103" s="5" t="s">
        <v>38</v>
      </c>
      <c r="K2103" s="5" t="s">
        <v>24</v>
      </c>
      <c r="L2103" s="6">
        <v>45681</v>
      </c>
      <c r="M2103" s="6">
        <v>45680</v>
      </c>
      <c r="N2103" s="5" t="s">
        <v>811</v>
      </c>
      <c r="O2103" s="5" t="str">
        <f ca="1">IF(P2103&lt;&gt;"EXPEDIÇÃO","Expedido",IF(NETWORKDAYS(C2103,TODAY())&gt;=5,"Risco Alto",IF(NETWORKDAYS(C2103,TODAY())&gt;=3,IF(NETWORKDAYS(C2103,TODAY())&lt;5,"Risco Médio",""),IF(NETWORKDAYS(C2103,TODAY())&lt;=2,"Risco Baixo",""))))</f>
        <v>Expedido</v>
      </c>
      <c r="P2103" s="5" t="s">
        <v>25</v>
      </c>
      <c r="S2103" s="7">
        <f>IF(ISBLANK(M2103),"Aguardando Previsão/Data",NETWORKDAYS(L2103,M2103)-1)</f>
        <v>-3</v>
      </c>
      <c r="T2103" s="5" t="s">
        <v>942</v>
      </c>
    </row>
    <row r="2104" spans="1:20" x14ac:dyDescent="0.35">
      <c r="A2104" s="5">
        <v>8100276532</v>
      </c>
      <c r="B2104" s="5">
        <v>21368</v>
      </c>
      <c r="C2104" s="6">
        <v>45673</v>
      </c>
      <c r="D2104" s="5" t="s">
        <v>17</v>
      </c>
      <c r="E2104" s="5" t="s">
        <v>18</v>
      </c>
      <c r="F2104" s="5" t="s">
        <v>84</v>
      </c>
      <c r="G2104" s="5" t="s">
        <v>85</v>
      </c>
      <c r="H2104" s="5" t="s">
        <v>21</v>
      </c>
      <c r="I2104" s="5" t="s">
        <v>862</v>
      </c>
      <c r="J2104" s="5" t="s">
        <v>372</v>
      </c>
      <c r="K2104" s="5" t="s">
        <v>24</v>
      </c>
      <c r="L2104" s="6">
        <v>45681</v>
      </c>
      <c r="M2104" s="6">
        <v>45679</v>
      </c>
      <c r="N2104" s="5" t="s">
        <v>811</v>
      </c>
      <c r="O2104" s="5" t="str">
        <f ca="1">IF(P2104&lt;&gt;"EXPEDIÇÃO","Expedido",IF(NETWORKDAYS(C2104,TODAY())&gt;=5,"Risco Alto",IF(NETWORKDAYS(C2104,TODAY())&gt;=3,IF(NETWORKDAYS(C2104,TODAY())&lt;5,"Risco Médio",""),IF(NETWORKDAYS(C2104,TODAY())&lt;=2,"Risco Baixo",""))))</f>
        <v>Expedido</v>
      </c>
      <c r="P2104" s="5" t="s">
        <v>25</v>
      </c>
      <c r="S2104" s="7">
        <f>IF(ISBLANK(M2104),"Aguardando Previsão/Data",NETWORKDAYS(L2104,M2104)-1)</f>
        <v>-4</v>
      </c>
      <c r="T2104" s="5" t="s">
        <v>942</v>
      </c>
    </row>
    <row r="2105" spans="1:20" x14ac:dyDescent="0.35">
      <c r="A2105" s="5">
        <v>8100276693</v>
      </c>
      <c r="B2105" s="5">
        <v>21400</v>
      </c>
      <c r="C2105" s="6">
        <v>45673</v>
      </c>
      <c r="D2105" s="5" t="s">
        <v>17</v>
      </c>
      <c r="E2105" s="5" t="s">
        <v>18</v>
      </c>
      <c r="F2105" s="5" t="s">
        <v>27</v>
      </c>
      <c r="G2105" s="5" t="s">
        <v>28</v>
      </c>
      <c r="H2105" s="5" t="s">
        <v>21</v>
      </c>
      <c r="I2105" s="5" t="s">
        <v>593</v>
      </c>
      <c r="J2105" s="5" t="s">
        <v>28</v>
      </c>
      <c r="K2105" s="5" t="s">
        <v>24</v>
      </c>
      <c r="L2105" s="6">
        <v>45680</v>
      </c>
      <c r="M2105" s="6">
        <v>45680</v>
      </c>
      <c r="N2105" s="5" t="s">
        <v>811</v>
      </c>
      <c r="O2105" s="5" t="str">
        <f ca="1">IF(P2105&lt;&gt;"EXPEDIÇÃO","Expedido",IF(NETWORKDAYS(C2105,TODAY())&gt;=5,"Risco Alto",IF(NETWORKDAYS(C2105,TODAY())&gt;=3,IF(NETWORKDAYS(C2105,TODAY())&lt;5,"Risco Médio",""),IF(NETWORKDAYS(C2105,TODAY())&lt;=2,"Risco Baixo",""))))</f>
        <v>Expedido</v>
      </c>
      <c r="P2105" s="5" t="s">
        <v>25</v>
      </c>
      <c r="Q2105" s="5" t="s">
        <v>897</v>
      </c>
      <c r="S2105" s="7">
        <f>IF(ISBLANK(M2105),"Aguardando Previsão/Data",NETWORKDAYS(L2105,M2105)-1)</f>
        <v>0</v>
      </c>
      <c r="T2105" s="5" t="s">
        <v>942</v>
      </c>
    </row>
    <row r="2106" spans="1:20" x14ac:dyDescent="0.35">
      <c r="A2106" s="5">
        <v>8100277372</v>
      </c>
      <c r="B2106" s="5">
        <v>21350</v>
      </c>
      <c r="C2106" s="6">
        <v>45673</v>
      </c>
      <c r="D2106" s="5" t="s">
        <v>17</v>
      </c>
      <c r="E2106" s="5" t="s">
        <v>18</v>
      </c>
      <c r="F2106" s="5" t="s">
        <v>39</v>
      </c>
      <c r="G2106" s="5" t="s">
        <v>40</v>
      </c>
      <c r="H2106" s="5" t="s">
        <v>21</v>
      </c>
      <c r="I2106" s="5" t="s">
        <v>842</v>
      </c>
      <c r="J2106" s="5" t="s">
        <v>843</v>
      </c>
      <c r="K2106" s="5" t="s">
        <v>24</v>
      </c>
      <c r="L2106" s="6">
        <v>45685</v>
      </c>
      <c r="M2106" s="6">
        <v>45684</v>
      </c>
      <c r="N2106" s="5" t="s">
        <v>811</v>
      </c>
      <c r="O2106" s="5" t="str">
        <f ca="1">IF(P2106&lt;&gt;"EXPEDIÇÃO","Expedido",IF(NETWORKDAYS(C2106,TODAY())&gt;=5,"Risco Alto",IF(NETWORKDAYS(C2106,TODAY())&gt;=3,IF(NETWORKDAYS(C2106,TODAY())&lt;5,"Risco Médio",""),IF(NETWORKDAYS(C2106,TODAY())&lt;=2,"Risco Baixo",""))))</f>
        <v>Expedido</v>
      </c>
      <c r="P2106" s="5" t="s">
        <v>25</v>
      </c>
      <c r="S2106" s="7">
        <f>IF(ISBLANK(M2106),"Aguardando Previsão/Data",NETWORKDAYS(L2106,M2106)-1)</f>
        <v>-3</v>
      </c>
      <c r="T2106" s="5" t="s">
        <v>942</v>
      </c>
    </row>
    <row r="2107" spans="1:20" x14ac:dyDescent="0.35">
      <c r="A2107" s="5">
        <v>8100277373</v>
      </c>
      <c r="B2107" s="5">
        <v>21351</v>
      </c>
      <c r="C2107" s="6">
        <v>45673</v>
      </c>
      <c r="D2107" s="5" t="s">
        <v>17</v>
      </c>
      <c r="E2107" s="5" t="s">
        <v>18</v>
      </c>
      <c r="F2107" s="5" t="s">
        <v>39</v>
      </c>
      <c r="G2107" s="5" t="s">
        <v>40</v>
      </c>
      <c r="H2107" s="5" t="s">
        <v>21</v>
      </c>
      <c r="I2107" s="5" t="s">
        <v>842</v>
      </c>
      <c r="J2107" s="5" t="s">
        <v>843</v>
      </c>
      <c r="K2107" s="5" t="s">
        <v>24</v>
      </c>
      <c r="L2107" s="6">
        <v>45685</v>
      </c>
      <c r="M2107" s="6">
        <v>45684</v>
      </c>
      <c r="N2107" s="5" t="s">
        <v>811</v>
      </c>
      <c r="O2107" s="5" t="str">
        <f ca="1">IF(P2107&lt;&gt;"EXPEDIÇÃO","Expedido",IF(NETWORKDAYS(C2107,TODAY())&gt;=5,"Risco Alto",IF(NETWORKDAYS(C2107,TODAY())&gt;=3,IF(NETWORKDAYS(C2107,TODAY())&lt;5,"Risco Médio",""),IF(NETWORKDAYS(C2107,TODAY())&lt;=2,"Risco Baixo",""))))</f>
        <v>Expedido</v>
      </c>
      <c r="P2107" s="5" t="s">
        <v>25</v>
      </c>
      <c r="S2107" s="7">
        <f>IF(ISBLANK(M2107),"Aguardando Previsão/Data",NETWORKDAYS(L2107,M2107)-1)</f>
        <v>-3</v>
      </c>
      <c r="T2107" s="5" t="s">
        <v>942</v>
      </c>
    </row>
    <row r="2108" spans="1:20" x14ac:dyDescent="0.35">
      <c r="A2108" s="5">
        <v>8100277374</v>
      </c>
      <c r="B2108" s="5">
        <v>21355</v>
      </c>
      <c r="C2108" s="6">
        <v>45673</v>
      </c>
      <c r="D2108" s="5" t="s">
        <v>17</v>
      </c>
      <c r="E2108" s="5" t="s">
        <v>18</v>
      </c>
      <c r="F2108" s="5" t="s">
        <v>84</v>
      </c>
      <c r="G2108" s="5" t="s">
        <v>85</v>
      </c>
      <c r="H2108" s="5" t="s">
        <v>21</v>
      </c>
      <c r="I2108" s="5" t="s">
        <v>432</v>
      </c>
      <c r="J2108" s="5" t="s">
        <v>259</v>
      </c>
      <c r="K2108" s="5" t="s">
        <v>24</v>
      </c>
      <c r="L2108" s="6">
        <v>45681</v>
      </c>
      <c r="M2108" s="6">
        <v>45680</v>
      </c>
      <c r="N2108" s="5" t="s">
        <v>811</v>
      </c>
      <c r="O2108" s="5" t="str">
        <f ca="1">IF(P2108&lt;&gt;"EXPEDIÇÃO","Expedido",IF(NETWORKDAYS(C2108,TODAY())&gt;=5,"Risco Alto",IF(NETWORKDAYS(C2108,TODAY())&gt;=3,IF(NETWORKDAYS(C2108,TODAY())&lt;5,"Risco Médio",""),IF(NETWORKDAYS(C2108,TODAY())&lt;=2,"Risco Baixo",""))))</f>
        <v>Expedido</v>
      </c>
      <c r="P2108" s="5" t="s">
        <v>25</v>
      </c>
      <c r="S2108" s="7">
        <f>IF(ISBLANK(M2108),"Aguardando Previsão/Data",NETWORKDAYS(L2108,M2108)-1)</f>
        <v>-3</v>
      </c>
      <c r="T2108" s="5" t="s">
        <v>942</v>
      </c>
    </row>
    <row r="2109" spans="1:20" x14ac:dyDescent="0.35">
      <c r="A2109" s="5">
        <v>8100277379</v>
      </c>
      <c r="B2109" s="5">
        <v>21391</v>
      </c>
      <c r="C2109" s="6">
        <v>45673</v>
      </c>
      <c r="D2109" s="5" t="s">
        <v>17</v>
      </c>
      <c r="E2109" s="5" t="s">
        <v>18</v>
      </c>
      <c r="F2109" s="5" t="s">
        <v>32</v>
      </c>
      <c r="G2109" s="5" t="s">
        <v>33</v>
      </c>
      <c r="H2109" s="5" t="s">
        <v>21</v>
      </c>
      <c r="I2109" s="5" t="s">
        <v>1369</v>
      </c>
      <c r="J2109" s="5" t="s">
        <v>783</v>
      </c>
      <c r="K2109" s="5" t="s">
        <v>24</v>
      </c>
      <c r="L2109" s="6">
        <v>45681</v>
      </c>
      <c r="M2109" s="6">
        <v>45681</v>
      </c>
      <c r="N2109" s="5" t="s">
        <v>811</v>
      </c>
      <c r="O2109" s="5" t="str">
        <f ca="1">IF(P2109&lt;&gt;"EXPEDIÇÃO","Expedido",IF(NETWORKDAYS(C2109,TODAY())&gt;=5,"Risco Alto",IF(NETWORKDAYS(C2109,TODAY())&gt;=3,IF(NETWORKDAYS(C2109,TODAY())&lt;5,"Risco Médio",""),IF(NETWORKDAYS(C2109,TODAY())&lt;=2,"Risco Baixo",""))))</f>
        <v>Expedido</v>
      </c>
      <c r="P2109" s="5" t="s">
        <v>25</v>
      </c>
      <c r="S2109" s="7">
        <f>IF(ISBLANK(M2109),"Aguardando Previsão/Data",NETWORKDAYS(L2109,M2109)-1)</f>
        <v>0</v>
      </c>
      <c r="T2109" s="5" t="s">
        <v>942</v>
      </c>
    </row>
    <row r="2110" spans="1:20" x14ac:dyDescent="0.35">
      <c r="A2110" s="5">
        <v>8100277387</v>
      </c>
      <c r="B2110" s="5">
        <v>21367</v>
      </c>
      <c r="C2110" s="6">
        <v>45673</v>
      </c>
      <c r="D2110" s="5" t="s">
        <v>17</v>
      </c>
      <c r="E2110" s="5" t="s">
        <v>18</v>
      </c>
      <c r="F2110" s="5" t="s">
        <v>19</v>
      </c>
      <c r="G2110" s="5" t="s">
        <v>20</v>
      </c>
      <c r="H2110" s="5" t="s">
        <v>21</v>
      </c>
      <c r="I2110" s="5" t="s">
        <v>1042</v>
      </c>
      <c r="J2110" s="5" t="s">
        <v>364</v>
      </c>
      <c r="K2110" s="5" t="s">
        <v>24</v>
      </c>
      <c r="L2110" s="6">
        <v>45680</v>
      </c>
      <c r="M2110" s="6">
        <v>45677</v>
      </c>
      <c r="N2110" s="5" t="s">
        <v>811</v>
      </c>
      <c r="O2110" s="5" t="str">
        <f ca="1">IF(P2110&lt;&gt;"EXPEDIÇÃO","Expedido",IF(NETWORKDAYS(C2110,TODAY())&gt;=5,"Risco Alto",IF(NETWORKDAYS(C2110,TODAY())&gt;=3,IF(NETWORKDAYS(C2110,TODAY())&lt;5,"Risco Médio",""),IF(NETWORKDAYS(C2110,TODAY())&lt;=2,"Risco Baixo",""))))</f>
        <v>Expedido</v>
      </c>
      <c r="P2110" s="5" t="s">
        <v>25</v>
      </c>
      <c r="S2110" s="7">
        <f>IF(ISBLANK(M2110),"Aguardando Previsão/Data",NETWORKDAYS(L2110,M2110)-1)</f>
        <v>-5</v>
      </c>
      <c r="T2110" s="5" t="s">
        <v>942</v>
      </c>
    </row>
    <row r="2111" spans="1:20" x14ac:dyDescent="0.35">
      <c r="A2111" s="5">
        <v>8100277548</v>
      </c>
      <c r="B2111" s="5">
        <v>21361</v>
      </c>
      <c r="C2111" s="6">
        <v>45673</v>
      </c>
      <c r="D2111" s="5" t="s">
        <v>17</v>
      </c>
      <c r="E2111" s="5" t="s">
        <v>18</v>
      </c>
      <c r="F2111" s="5" t="s">
        <v>27</v>
      </c>
      <c r="G2111" s="5" t="s">
        <v>28</v>
      </c>
      <c r="H2111" s="5" t="s">
        <v>21</v>
      </c>
      <c r="I2111" s="5" t="s">
        <v>1026</v>
      </c>
      <c r="J2111" s="5" t="s">
        <v>364</v>
      </c>
      <c r="K2111" s="5" t="s">
        <v>24</v>
      </c>
      <c r="L2111" s="6">
        <v>45680</v>
      </c>
      <c r="M2111" s="6">
        <v>45679</v>
      </c>
      <c r="N2111" s="5" t="s">
        <v>811</v>
      </c>
      <c r="O2111" s="5" t="str">
        <f ca="1">IF(P2111&lt;&gt;"EXPEDIÇÃO","Expedido",IF(NETWORKDAYS(C2111,TODAY())&gt;=5,"Risco Alto",IF(NETWORKDAYS(C2111,TODAY())&gt;=3,IF(NETWORKDAYS(C2111,TODAY())&lt;5,"Risco Médio",""),IF(NETWORKDAYS(C2111,TODAY())&lt;=2,"Risco Baixo",""))))</f>
        <v>Expedido</v>
      </c>
      <c r="P2111" s="5" t="s">
        <v>25</v>
      </c>
      <c r="S2111" s="7">
        <f>IF(ISBLANK(M2111),"Aguardando Previsão/Data",NETWORKDAYS(L2111,M2111)-1)</f>
        <v>-3</v>
      </c>
      <c r="T2111" s="5" t="s">
        <v>942</v>
      </c>
    </row>
    <row r="2112" spans="1:20" x14ac:dyDescent="0.35">
      <c r="A2112" s="5">
        <v>8100277834</v>
      </c>
      <c r="B2112" s="5">
        <v>21348</v>
      </c>
      <c r="C2112" s="6">
        <v>45673</v>
      </c>
      <c r="D2112" s="5" t="s">
        <v>17</v>
      </c>
      <c r="E2112" s="5" t="s">
        <v>18</v>
      </c>
      <c r="F2112" s="5" t="s">
        <v>19</v>
      </c>
      <c r="G2112" s="5" t="s">
        <v>20</v>
      </c>
      <c r="H2112" s="5" t="s">
        <v>21</v>
      </c>
      <c r="I2112" s="5" t="s">
        <v>973</v>
      </c>
      <c r="J2112" s="5" t="s">
        <v>47</v>
      </c>
      <c r="K2112" s="5" t="s">
        <v>24</v>
      </c>
      <c r="L2112" s="6">
        <v>45680</v>
      </c>
      <c r="M2112" s="6">
        <v>45678</v>
      </c>
      <c r="N2112" s="5" t="s">
        <v>811</v>
      </c>
      <c r="O2112" s="5" t="str">
        <f ca="1">IF(P2112&lt;&gt;"EXPEDIÇÃO","Expedido",IF(NETWORKDAYS(C2112,TODAY())&gt;=5,"Risco Alto",IF(NETWORKDAYS(C2112,TODAY())&gt;=3,IF(NETWORKDAYS(C2112,TODAY())&lt;5,"Risco Médio",""),IF(NETWORKDAYS(C2112,TODAY())&lt;=2,"Risco Baixo",""))))</f>
        <v>Expedido</v>
      </c>
      <c r="P2112" s="5" t="s">
        <v>25</v>
      </c>
      <c r="S2112" s="7">
        <f>IF(ISBLANK(M2112),"Aguardando Previsão/Data",NETWORKDAYS(L2112,M2112)-1)</f>
        <v>-4</v>
      </c>
      <c r="T2112" s="5" t="s">
        <v>942</v>
      </c>
    </row>
    <row r="2113" spans="1:20" x14ac:dyDescent="0.35">
      <c r="A2113" s="5">
        <v>8100277835</v>
      </c>
      <c r="B2113" s="5">
        <v>21360</v>
      </c>
      <c r="C2113" s="6">
        <v>45673</v>
      </c>
      <c r="D2113" s="5" t="s">
        <v>17</v>
      </c>
      <c r="E2113" s="5" t="s">
        <v>18</v>
      </c>
      <c r="F2113" s="5" t="s">
        <v>84</v>
      </c>
      <c r="G2113" s="5" t="s">
        <v>85</v>
      </c>
      <c r="H2113" s="5" t="s">
        <v>21</v>
      </c>
      <c r="I2113" s="5" t="s">
        <v>593</v>
      </c>
      <c r="J2113" s="5" t="s">
        <v>28</v>
      </c>
      <c r="K2113" s="5" t="s">
        <v>24</v>
      </c>
      <c r="L2113" s="6">
        <v>45680</v>
      </c>
      <c r="M2113" s="6">
        <v>45680</v>
      </c>
      <c r="N2113" s="5" t="s">
        <v>811</v>
      </c>
      <c r="O2113" s="5" t="str">
        <f ca="1">IF(P2113&lt;&gt;"EXPEDIÇÃO","Expedido",IF(NETWORKDAYS(C2113,TODAY())&gt;=5,"Risco Alto",IF(NETWORKDAYS(C2113,TODAY())&gt;=3,IF(NETWORKDAYS(C2113,TODAY())&lt;5,"Risco Médio",""),IF(NETWORKDAYS(C2113,TODAY())&lt;=2,"Risco Baixo",""))))</f>
        <v>Expedido</v>
      </c>
      <c r="P2113" s="5" t="s">
        <v>25</v>
      </c>
      <c r="Q2113" s="5" t="s">
        <v>897</v>
      </c>
      <c r="S2113" s="7">
        <f>IF(ISBLANK(M2113),"Aguardando Previsão/Data",NETWORKDAYS(L2113,M2113)-1)</f>
        <v>0</v>
      </c>
      <c r="T2113" s="5" t="s">
        <v>942</v>
      </c>
    </row>
    <row r="2114" spans="1:20" x14ac:dyDescent="0.35">
      <c r="A2114" s="5">
        <v>8100277836</v>
      </c>
      <c r="B2114" s="5">
        <v>21352</v>
      </c>
      <c r="C2114" s="6">
        <v>45673</v>
      </c>
      <c r="D2114" s="5" t="s">
        <v>17</v>
      </c>
      <c r="E2114" s="5" t="s">
        <v>18</v>
      </c>
      <c r="F2114" s="5" t="s">
        <v>19</v>
      </c>
      <c r="G2114" s="5" t="s">
        <v>20</v>
      </c>
      <c r="H2114" s="5" t="s">
        <v>21</v>
      </c>
      <c r="I2114" s="5" t="s">
        <v>1034</v>
      </c>
      <c r="J2114" s="5" t="s">
        <v>365</v>
      </c>
      <c r="K2114" s="5" t="s">
        <v>24</v>
      </c>
      <c r="L2114" s="6">
        <v>45680</v>
      </c>
      <c r="M2114" s="6">
        <v>45677</v>
      </c>
      <c r="N2114" s="5" t="s">
        <v>811</v>
      </c>
      <c r="O2114" s="5" t="str">
        <f ca="1">IF(P2114&lt;&gt;"EXPEDIÇÃO","Expedido",IF(NETWORKDAYS(C2114,TODAY())&gt;=5,"Risco Alto",IF(NETWORKDAYS(C2114,TODAY())&gt;=3,IF(NETWORKDAYS(C2114,TODAY())&lt;5,"Risco Médio",""),IF(NETWORKDAYS(C2114,TODAY())&lt;=2,"Risco Baixo",""))))</f>
        <v>Expedido</v>
      </c>
      <c r="P2114" s="5" t="s">
        <v>25</v>
      </c>
      <c r="S2114" s="7">
        <f>IF(ISBLANK(M2114),"Aguardando Previsão/Data",NETWORKDAYS(L2114,M2114)-1)</f>
        <v>-5</v>
      </c>
      <c r="T2114" s="5" t="s">
        <v>942</v>
      </c>
    </row>
    <row r="2115" spans="1:20" x14ac:dyDescent="0.35">
      <c r="A2115" s="5">
        <v>8100277837</v>
      </c>
      <c r="B2115" s="5">
        <v>21343</v>
      </c>
      <c r="C2115" s="6">
        <v>45673</v>
      </c>
      <c r="D2115" s="5" t="s">
        <v>17</v>
      </c>
      <c r="E2115" s="5" t="s">
        <v>18</v>
      </c>
      <c r="F2115" s="5" t="s">
        <v>44</v>
      </c>
      <c r="G2115" s="5" t="s">
        <v>45</v>
      </c>
      <c r="H2115" s="5" t="s">
        <v>21</v>
      </c>
      <c r="I2115" s="5" t="s">
        <v>1377</v>
      </c>
      <c r="J2115" s="5" t="s">
        <v>372</v>
      </c>
      <c r="K2115" s="5" t="s">
        <v>24</v>
      </c>
      <c r="L2115" s="6">
        <v>45681</v>
      </c>
      <c r="M2115" s="6">
        <v>45678</v>
      </c>
      <c r="N2115" s="5" t="s">
        <v>811</v>
      </c>
      <c r="O2115" s="5" t="str">
        <f ca="1">IF(P2115&lt;&gt;"EXPEDIÇÃO","Expedido",IF(NETWORKDAYS(C2115,TODAY())&gt;=5,"Risco Alto",IF(NETWORKDAYS(C2115,TODAY())&gt;=3,IF(NETWORKDAYS(C2115,TODAY())&lt;5,"Risco Médio",""),IF(NETWORKDAYS(C2115,TODAY())&lt;=2,"Risco Baixo",""))))</f>
        <v>Expedido</v>
      </c>
      <c r="P2115" s="5" t="s">
        <v>25</v>
      </c>
      <c r="S2115" s="7">
        <f>IF(ISBLANK(M2115),"Aguardando Previsão/Data",NETWORKDAYS(L2115,M2115)-1)</f>
        <v>-5</v>
      </c>
      <c r="T2115" s="5" t="s">
        <v>942</v>
      </c>
    </row>
    <row r="2116" spans="1:20" x14ac:dyDescent="0.35">
      <c r="A2116" s="5">
        <v>8100277838</v>
      </c>
      <c r="B2116" s="5">
        <v>21345</v>
      </c>
      <c r="C2116" s="6">
        <v>45673</v>
      </c>
      <c r="D2116" s="5" t="s">
        <v>17</v>
      </c>
      <c r="E2116" s="5" t="s">
        <v>18</v>
      </c>
      <c r="F2116" s="5" t="s">
        <v>44</v>
      </c>
      <c r="G2116" s="5" t="s">
        <v>45</v>
      </c>
      <c r="H2116" s="5" t="s">
        <v>21</v>
      </c>
      <c r="I2116" s="5" t="s">
        <v>1378</v>
      </c>
      <c r="J2116" s="5" t="s">
        <v>372</v>
      </c>
      <c r="K2116" s="5" t="s">
        <v>24</v>
      </c>
      <c r="L2116" s="6">
        <v>45681</v>
      </c>
      <c r="M2116" s="6">
        <v>45680</v>
      </c>
      <c r="N2116" s="5" t="s">
        <v>811</v>
      </c>
      <c r="O2116" s="5" t="str">
        <f ca="1">IF(P2116&lt;&gt;"EXPEDIÇÃO","Expedido",IF(NETWORKDAYS(C2116,TODAY())&gt;=5,"Risco Alto",IF(NETWORKDAYS(C2116,TODAY())&gt;=3,IF(NETWORKDAYS(C2116,TODAY())&lt;5,"Risco Médio",""),IF(NETWORKDAYS(C2116,TODAY())&lt;=2,"Risco Baixo",""))))</f>
        <v>Expedido</v>
      </c>
      <c r="P2116" s="5" t="s">
        <v>25</v>
      </c>
      <c r="S2116" s="7">
        <f>IF(ISBLANK(M2116),"Aguardando Previsão/Data",NETWORKDAYS(L2116,M2116)-1)</f>
        <v>-3</v>
      </c>
      <c r="T2116" s="5" t="s">
        <v>942</v>
      </c>
    </row>
    <row r="2117" spans="1:20" x14ac:dyDescent="0.35">
      <c r="A2117" s="5">
        <v>8100277839</v>
      </c>
      <c r="B2117" s="5">
        <v>21342</v>
      </c>
      <c r="C2117" s="6">
        <v>45673</v>
      </c>
      <c r="D2117" s="5" t="s">
        <v>17</v>
      </c>
      <c r="E2117" s="5" t="s">
        <v>18</v>
      </c>
      <c r="F2117" s="5" t="s">
        <v>44</v>
      </c>
      <c r="G2117" s="5" t="s">
        <v>45</v>
      </c>
      <c r="H2117" s="5" t="s">
        <v>21</v>
      </c>
      <c r="I2117" s="5" t="s">
        <v>1379</v>
      </c>
      <c r="J2117" s="5" t="s">
        <v>47</v>
      </c>
      <c r="K2117" s="5" t="s">
        <v>24</v>
      </c>
      <c r="L2117" s="6">
        <v>45680</v>
      </c>
      <c r="M2117" s="6">
        <v>45680</v>
      </c>
      <c r="N2117" s="5" t="s">
        <v>811</v>
      </c>
      <c r="O2117" s="5" t="str">
        <f ca="1">IF(P2117&lt;&gt;"EXPEDIÇÃO","Expedido",IF(NETWORKDAYS(C2117,TODAY())&gt;=5,"Risco Alto",IF(NETWORKDAYS(C2117,TODAY())&gt;=3,IF(NETWORKDAYS(C2117,TODAY())&lt;5,"Risco Médio",""),IF(NETWORKDAYS(C2117,TODAY())&lt;=2,"Risco Baixo",""))))</f>
        <v>Expedido</v>
      </c>
      <c r="P2117" s="5" t="s">
        <v>25</v>
      </c>
      <c r="S2117" s="7">
        <f>IF(ISBLANK(M2117),"Aguardando Previsão/Data",NETWORKDAYS(L2117,M2117)-1)</f>
        <v>0</v>
      </c>
      <c r="T2117" s="5" t="s">
        <v>942</v>
      </c>
    </row>
    <row r="2118" spans="1:20" x14ac:dyDescent="0.35">
      <c r="A2118" s="5">
        <v>8100277840</v>
      </c>
      <c r="B2118" s="5">
        <v>21402</v>
      </c>
      <c r="C2118" s="6">
        <v>45673</v>
      </c>
      <c r="D2118" s="5" t="s">
        <v>17</v>
      </c>
      <c r="E2118" s="5" t="s">
        <v>18</v>
      </c>
      <c r="F2118" s="5" t="s">
        <v>44</v>
      </c>
      <c r="G2118" s="5" t="s">
        <v>45</v>
      </c>
      <c r="H2118" s="5" t="s">
        <v>21</v>
      </c>
      <c r="I2118" s="5" t="s">
        <v>1380</v>
      </c>
      <c r="J2118" s="5" t="s">
        <v>47</v>
      </c>
      <c r="K2118" s="5" t="s">
        <v>24</v>
      </c>
      <c r="L2118" s="6">
        <v>45680</v>
      </c>
      <c r="M2118" s="6">
        <v>45678</v>
      </c>
      <c r="N2118" s="5" t="s">
        <v>811</v>
      </c>
      <c r="O2118" s="5" t="str">
        <f ca="1">IF(P2118&lt;&gt;"EXPEDIÇÃO","Expedido",IF(NETWORKDAYS(C2118,TODAY())&gt;=5,"Risco Alto",IF(NETWORKDAYS(C2118,TODAY())&gt;=3,IF(NETWORKDAYS(C2118,TODAY())&lt;5,"Risco Médio",""),IF(NETWORKDAYS(C2118,TODAY())&lt;=2,"Risco Baixo",""))))</f>
        <v>Expedido</v>
      </c>
      <c r="P2118" s="5" t="s">
        <v>25</v>
      </c>
      <c r="S2118" s="7">
        <f>IF(ISBLANK(M2118),"Aguardando Previsão/Data",NETWORKDAYS(L2118,M2118)-1)</f>
        <v>-4</v>
      </c>
      <c r="T2118" s="5" t="s">
        <v>942</v>
      </c>
    </row>
    <row r="2119" spans="1:20" x14ac:dyDescent="0.35">
      <c r="A2119" s="5">
        <v>8100277841</v>
      </c>
      <c r="B2119" s="5">
        <v>21356</v>
      </c>
      <c r="C2119" s="6">
        <v>45673</v>
      </c>
      <c r="D2119" s="5" t="s">
        <v>17</v>
      </c>
      <c r="E2119" s="5" t="s">
        <v>18</v>
      </c>
      <c r="F2119" s="5" t="s">
        <v>84</v>
      </c>
      <c r="G2119" s="5" t="s">
        <v>85</v>
      </c>
      <c r="H2119" s="5" t="s">
        <v>21</v>
      </c>
      <c r="I2119" s="5" t="s">
        <v>593</v>
      </c>
      <c r="J2119" s="5" t="s">
        <v>28</v>
      </c>
      <c r="K2119" s="5" t="s">
        <v>24</v>
      </c>
      <c r="L2119" s="6">
        <v>45680</v>
      </c>
      <c r="M2119" s="6">
        <v>45680</v>
      </c>
      <c r="N2119" s="5" t="s">
        <v>811</v>
      </c>
      <c r="O2119" s="5" t="str">
        <f ca="1">IF(P2119&lt;&gt;"EXPEDIÇÃO","Expedido",IF(NETWORKDAYS(C2119,TODAY())&gt;=5,"Risco Alto",IF(NETWORKDAYS(C2119,TODAY())&gt;=3,IF(NETWORKDAYS(C2119,TODAY())&lt;5,"Risco Médio",""),IF(NETWORKDAYS(C2119,TODAY())&lt;=2,"Risco Baixo",""))))</f>
        <v>Expedido</v>
      </c>
      <c r="P2119" s="5" t="s">
        <v>25</v>
      </c>
      <c r="Q2119" s="5" t="s">
        <v>897</v>
      </c>
      <c r="S2119" s="7">
        <f>IF(ISBLANK(M2119),"Aguardando Previsão/Data",NETWORKDAYS(L2119,M2119)-1)</f>
        <v>0</v>
      </c>
      <c r="T2119" s="5" t="s">
        <v>942</v>
      </c>
    </row>
    <row r="2120" spans="1:20" x14ac:dyDescent="0.35">
      <c r="A2120" s="5">
        <v>8100277844</v>
      </c>
      <c r="B2120" s="5">
        <v>21393</v>
      </c>
      <c r="C2120" s="6">
        <v>45673</v>
      </c>
      <c r="D2120" s="5" t="s">
        <v>17</v>
      </c>
      <c r="E2120" s="5" t="s">
        <v>18</v>
      </c>
      <c r="F2120" s="5" t="s">
        <v>44</v>
      </c>
      <c r="G2120" s="5" t="s">
        <v>45</v>
      </c>
      <c r="H2120" s="5" t="s">
        <v>21</v>
      </c>
      <c r="I2120" s="5" t="s">
        <v>1381</v>
      </c>
      <c r="J2120" s="5" t="s">
        <v>256</v>
      </c>
      <c r="K2120" s="5" t="s">
        <v>24</v>
      </c>
      <c r="L2120" s="6">
        <v>45680</v>
      </c>
      <c r="M2120" s="6">
        <v>45679</v>
      </c>
      <c r="N2120" s="5" t="s">
        <v>811</v>
      </c>
      <c r="O2120" s="5" t="str">
        <f ca="1">IF(P2120&lt;&gt;"EXPEDIÇÃO","Expedido",IF(NETWORKDAYS(C2120,TODAY())&gt;=5,"Risco Alto",IF(NETWORKDAYS(C2120,TODAY())&gt;=3,IF(NETWORKDAYS(C2120,TODAY())&lt;5,"Risco Médio",""),IF(NETWORKDAYS(C2120,TODAY())&lt;=2,"Risco Baixo",""))))</f>
        <v>Expedido</v>
      </c>
      <c r="P2120" s="5" t="s">
        <v>25</v>
      </c>
      <c r="S2120" s="7">
        <f>IF(ISBLANK(M2120),"Aguardando Previsão/Data",NETWORKDAYS(L2120,M2120)-1)</f>
        <v>-3</v>
      </c>
      <c r="T2120" s="5" t="s">
        <v>942</v>
      </c>
    </row>
    <row r="2121" spans="1:20" x14ac:dyDescent="0.35">
      <c r="A2121" s="5">
        <v>8100277845</v>
      </c>
      <c r="B2121" s="5">
        <v>21349</v>
      </c>
      <c r="C2121" s="6">
        <v>45673</v>
      </c>
      <c r="D2121" s="5" t="s">
        <v>17</v>
      </c>
      <c r="E2121" s="5" t="s">
        <v>18</v>
      </c>
      <c r="F2121" s="5" t="s">
        <v>44</v>
      </c>
      <c r="G2121" s="5" t="s">
        <v>45</v>
      </c>
      <c r="H2121" s="5" t="s">
        <v>21</v>
      </c>
      <c r="I2121" s="5" t="s">
        <v>1005</v>
      </c>
      <c r="J2121" s="5" t="s">
        <v>256</v>
      </c>
      <c r="K2121" s="5" t="s">
        <v>24</v>
      </c>
      <c r="L2121" s="6">
        <v>45680</v>
      </c>
      <c r="M2121" s="6">
        <v>45677</v>
      </c>
      <c r="N2121" s="5" t="s">
        <v>811</v>
      </c>
      <c r="O2121" s="5" t="str">
        <f ca="1">IF(P2121&lt;&gt;"EXPEDIÇÃO","Expedido",IF(NETWORKDAYS(C2121,TODAY())&gt;=5,"Risco Alto",IF(NETWORKDAYS(C2121,TODAY())&gt;=3,IF(NETWORKDAYS(C2121,TODAY())&lt;5,"Risco Médio",""),IF(NETWORKDAYS(C2121,TODAY())&lt;=2,"Risco Baixo",""))))</f>
        <v>Expedido</v>
      </c>
      <c r="P2121" s="5" t="s">
        <v>25</v>
      </c>
      <c r="S2121" s="7">
        <f>IF(ISBLANK(M2121),"Aguardando Previsão/Data",NETWORKDAYS(L2121,M2121)-1)</f>
        <v>-5</v>
      </c>
      <c r="T2121" s="5" t="s">
        <v>942</v>
      </c>
    </row>
    <row r="2122" spans="1:20" x14ac:dyDescent="0.35">
      <c r="A2122" s="5">
        <v>8100277846</v>
      </c>
      <c r="B2122" s="5">
        <v>21354</v>
      </c>
      <c r="C2122" s="6">
        <v>45673</v>
      </c>
      <c r="D2122" s="5" t="s">
        <v>17</v>
      </c>
      <c r="E2122" s="5" t="s">
        <v>18</v>
      </c>
      <c r="F2122" s="5" t="s">
        <v>32</v>
      </c>
      <c r="G2122" s="5" t="s">
        <v>33</v>
      </c>
      <c r="H2122" s="5" t="s">
        <v>21</v>
      </c>
      <c r="I2122" s="5" t="s">
        <v>1031</v>
      </c>
      <c r="J2122" s="5" t="s">
        <v>374</v>
      </c>
      <c r="K2122" s="5" t="s">
        <v>24</v>
      </c>
      <c r="L2122" s="6">
        <v>45685</v>
      </c>
      <c r="M2122" s="6">
        <v>45679</v>
      </c>
      <c r="N2122" s="5" t="s">
        <v>811</v>
      </c>
      <c r="O2122" s="5" t="str">
        <f ca="1">IF(P2122&lt;&gt;"EXPEDIÇÃO","Expedido",IF(NETWORKDAYS(C2122,TODAY())&gt;=5,"Risco Alto",IF(NETWORKDAYS(C2122,TODAY())&gt;=3,IF(NETWORKDAYS(C2122,TODAY())&lt;5,"Risco Médio",""),IF(NETWORKDAYS(C2122,TODAY())&lt;=2,"Risco Baixo",""))))</f>
        <v>Expedido</v>
      </c>
      <c r="P2122" s="5" t="s">
        <v>25</v>
      </c>
      <c r="S2122" s="7">
        <f>IF(ISBLANK(M2122),"Aguardando Previsão/Data",NETWORKDAYS(L2122,M2122)-1)</f>
        <v>-6</v>
      </c>
      <c r="T2122" s="5" t="s">
        <v>942</v>
      </c>
    </row>
    <row r="2123" spans="1:20" x14ac:dyDescent="0.35">
      <c r="A2123" s="5">
        <v>8100277847</v>
      </c>
      <c r="B2123" s="5">
        <v>21353</v>
      </c>
      <c r="C2123" s="6">
        <v>45673</v>
      </c>
      <c r="D2123" s="5" t="s">
        <v>17</v>
      </c>
      <c r="E2123" s="5" t="s">
        <v>18</v>
      </c>
      <c r="F2123" s="5" t="s">
        <v>32</v>
      </c>
      <c r="G2123" s="5" t="s">
        <v>33</v>
      </c>
      <c r="H2123" s="5" t="s">
        <v>21</v>
      </c>
      <c r="I2123" s="5" t="s">
        <v>1029</v>
      </c>
      <c r="J2123" s="5" t="s">
        <v>375</v>
      </c>
      <c r="K2123" s="5" t="s">
        <v>24</v>
      </c>
      <c r="L2123" s="6">
        <v>45685</v>
      </c>
      <c r="M2123" s="6">
        <v>45685</v>
      </c>
      <c r="N2123" s="5" t="s">
        <v>811</v>
      </c>
      <c r="O2123" s="5" t="str">
        <f ca="1">IF(P2123&lt;&gt;"EXPEDIÇÃO","Expedido",IF(NETWORKDAYS(C2123,TODAY())&gt;=5,"Risco Alto",IF(NETWORKDAYS(C2123,TODAY())&gt;=3,IF(NETWORKDAYS(C2123,TODAY())&lt;5,"Risco Médio",""),IF(NETWORKDAYS(C2123,TODAY())&lt;=2,"Risco Baixo",""))))</f>
        <v>Expedido</v>
      </c>
      <c r="P2123" s="5" t="s">
        <v>25</v>
      </c>
      <c r="Q2123" s="5" t="s">
        <v>898</v>
      </c>
      <c r="S2123" s="7">
        <f>IF(ISBLANK(M2123),"Aguardando Previsão/Data",NETWORKDAYS(L2123,M2123)-1)</f>
        <v>0</v>
      </c>
      <c r="T2123" s="5" t="s">
        <v>942</v>
      </c>
    </row>
    <row r="2124" spans="1:20" x14ac:dyDescent="0.35">
      <c r="A2124" s="5">
        <v>8100277848</v>
      </c>
      <c r="B2124" s="5">
        <v>21341</v>
      </c>
      <c r="C2124" s="6">
        <v>45673</v>
      </c>
      <c r="D2124" s="5" t="s">
        <v>17</v>
      </c>
      <c r="E2124" s="5" t="s">
        <v>18</v>
      </c>
      <c r="F2124" s="5" t="s">
        <v>32</v>
      </c>
      <c r="G2124" s="5" t="s">
        <v>33</v>
      </c>
      <c r="H2124" s="5" t="s">
        <v>21</v>
      </c>
      <c r="I2124" s="5" t="s">
        <v>1030</v>
      </c>
      <c r="J2124" s="5" t="s">
        <v>374</v>
      </c>
      <c r="K2124" s="5" t="s">
        <v>24</v>
      </c>
      <c r="L2124" s="6">
        <v>45685</v>
      </c>
      <c r="M2124" s="6">
        <v>45684</v>
      </c>
      <c r="N2124" s="5" t="s">
        <v>811</v>
      </c>
      <c r="O2124" s="5" t="str">
        <f ca="1">IF(P2124&lt;&gt;"EXPEDIÇÃO","Expedido",IF(NETWORKDAYS(C2124,TODAY())&gt;=5,"Risco Alto",IF(NETWORKDAYS(C2124,TODAY())&gt;=3,IF(NETWORKDAYS(C2124,TODAY())&lt;5,"Risco Médio",""),IF(NETWORKDAYS(C2124,TODAY())&lt;=2,"Risco Baixo",""))))</f>
        <v>Expedido</v>
      </c>
      <c r="P2124" s="5" t="s">
        <v>25</v>
      </c>
      <c r="S2124" s="7">
        <f>IF(ISBLANK(M2124),"Aguardando Previsão/Data",NETWORKDAYS(L2124,M2124)-1)</f>
        <v>-3</v>
      </c>
      <c r="T2124" s="5" t="s">
        <v>942</v>
      </c>
    </row>
    <row r="2125" spans="1:20" x14ac:dyDescent="0.35">
      <c r="A2125" s="5">
        <v>8100277849</v>
      </c>
      <c r="B2125" s="5">
        <v>21392</v>
      </c>
      <c r="C2125" s="6">
        <v>45673</v>
      </c>
      <c r="D2125" s="5" t="s">
        <v>17</v>
      </c>
      <c r="E2125" s="5" t="s">
        <v>18</v>
      </c>
      <c r="F2125" s="5" t="s">
        <v>19</v>
      </c>
      <c r="G2125" s="5" t="s">
        <v>20</v>
      </c>
      <c r="H2125" s="5" t="s">
        <v>21</v>
      </c>
      <c r="I2125" s="5" t="s">
        <v>29</v>
      </c>
      <c r="J2125" s="5" t="s">
        <v>30</v>
      </c>
      <c r="K2125" s="5" t="s">
        <v>24</v>
      </c>
      <c r="L2125" s="6">
        <v>45681</v>
      </c>
      <c r="M2125" s="6">
        <v>45678</v>
      </c>
      <c r="N2125" s="5" t="s">
        <v>811</v>
      </c>
      <c r="O2125" s="5" t="str">
        <f ca="1">IF(P2125&lt;&gt;"EXPEDIÇÃO","Expedido",IF(NETWORKDAYS(C2125,TODAY())&gt;=5,"Risco Alto",IF(NETWORKDAYS(C2125,TODAY())&gt;=3,IF(NETWORKDAYS(C2125,TODAY())&lt;5,"Risco Médio",""),IF(NETWORKDAYS(C2125,TODAY())&lt;=2,"Risco Baixo",""))))</f>
        <v>Expedido</v>
      </c>
      <c r="P2125" s="5" t="s">
        <v>25</v>
      </c>
      <c r="S2125" s="7">
        <f>IF(ISBLANK(M2125),"Aguardando Previsão/Data",NETWORKDAYS(L2125,M2125)-1)</f>
        <v>-5</v>
      </c>
      <c r="T2125" s="5" t="s">
        <v>942</v>
      </c>
    </row>
    <row r="2126" spans="1:20" x14ac:dyDescent="0.35">
      <c r="A2126" s="5">
        <v>8100277850</v>
      </c>
      <c r="B2126" s="5">
        <v>21340</v>
      </c>
      <c r="C2126" s="6">
        <v>45673</v>
      </c>
      <c r="D2126" s="5" t="s">
        <v>17</v>
      </c>
      <c r="E2126" s="5" t="s">
        <v>18</v>
      </c>
      <c r="F2126" s="5" t="s">
        <v>19</v>
      </c>
      <c r="G2126" s="5" t="s">
        <v>20</v>
      </c>
      <c r="H2126" s="5" t="s">
        <v>21</v>
      </c>
      <c r="I2126" s="5" t="s">
        <v>1080</v>
      </c>
      <c r="J2126" s="5" t="s">
        <v>38</v>
      </c>
      <c r="K2126" s="5" t="s">
        <v>24</v>
      </c>
      <c r="L2126" s="6">
        <v>45681</v>
      </c>
      <c r="M2126" s="6">
        <v>45680</v>
      </c>
      <c r="N2126" s="5" t="s">
        <v>811</v>
      </c>
      <c r="O2126" s="5" t="str">
        <f ca="1">IF(P2126&lt;&gt;"EXPEDIÇÃO","Expedido",IF(NETWORKDAYS(C2126,TODAY())&gt;=5,"Risco Alto",IF(NETWORKDAYS(C2126,TODAY())&gt;=3,IF(NETWORKDAYS(C2126,TODAY())&lt;5,"Risco Médio",""),IF(NETWORKDAYS(C2126,TODAY())&lt;=2,"Risco Baixo",""))))</f>
        <v>Expedido</v>
      </c>
      <c r="P2126" s="5" t="s">
        <v>25</v>
      </c>
      <c r="S2126" s="7">
        <f>IF(ISBLANK(M2126),"Aguardando Previsão/Data",NETWORKDAYS(L2126,M2126)-1)</f>
        <v>-3</v>
      </c>
      <c r="T2126" s="5" t="s">
        <v>942</v>
      </c>
    </row>
    <row r="2127" spans="1:20" x14ac:dyDescent="0.35">
      <c r="A2127" s="5">
        <v>8100277851</v>
      </c>
      <c r="B2127" s="5">
        <v>21390</v>
      </c>
      <c r="C2127" s="6">
        <v>45673</v>
      </c>
      <c r="D2127" s="5" t="s">
        <v>17</v>
      </c>
      <c r="E2127" s="5" t="s">
        <v>18</v>
      </c>
      <c r="F2127" s="5" t="s">
        <v>19</v>
      </c>
      <c r="G2127" s="5" t="s">
        <v>20</v>
      </c>
      <c r="H2127" s="5" t="s">
        <v>21</v>
      </c>
      <c r="I2127" s="5" t="s">
        <v>1382</v>
      </c>
      <c r="J2127" s="5" t="s">
        <v>365</v>
      </c>
      <c r="K2127" s="5" t="s">
        <v>24</v>
      </c>
      <c r="L2127" s="6">
        <v>45680</v>
      </c>
      <c r="M2127" s="6">
        <v>45677</v>
      </c>
      <c r="N2127" s="5" t="s">
        <v>811</v>
      </c>
      <c r="O2127" s="5" t="str">
        <f ca="1">IF(P2127&lt;&gt;"EXPEDIÇÃO","Expedido",IF(NETWORKDAYS(C2127,TODAY())&gt;=5,"Risco Alto",IF(NETWORKDAYS(C2127,TODAY())&gt;=3,IF(NETWORKDAYS(C2127,TODAY())&lt;5,"Risco Médio",""),IF(NETWORKDAYS(C2127,TODAY())&lt;=2,"Risco Baixo",""))))</f>
        <v>Expedido</v>
      </c>
      <c r="P2127" s="5" t="s">
        <v>25</v>
      </c>
      <c r="S2127" s="7">
        <f>IF(ISBLANK(M2127),"Aguardando Previsão/Data",NETWORKDAYS(L2127,M2127)-1)</f>
        <v>-5</v>
      </c>
      <c r="T2127" s="5" t="s">
        <v>942</v>
      </c>
    </row>
    <row r="2128" spans="1:20" x14ac:dyDescent="0.35">
      <c r="A2128" s="5">
        <v>8100277852</v>
      </c>
      <c r="B2128" s="5">
        <v>21359</v>
      </c>
      <c r="C2128" s="6">
        <v>45673</v>
      </c>
      <c r="D2128" s="5" t="s">
        <v>17</v>
      </c>
      <c r="E2128" s="5" t="s">
        <v>18</v>
      </c>
      <c r="F2128" s="5" t="s">
        <v>19</v>
      </c>
      <c r="G2128" s="5" t="s">
        <v>20</v>
      </c>
      <c r="H2128" s="5" t="s">
        <v>21</v>
      </c>
      <c r="I2128" s="5" t="s">
        <v>965</v>
      </c>
      <c r="J2128" s="5" t="s">
        <v>38</v>
      </c>
      <c r="K2128" s="5" t="s">
        <v>24</v>
      </c>
      <c r="L2128" s="6">
        <v>45681</v>
      </c>
      <c r="M2128" s="6">
        <v>45679</v>
      </c>
      <c r="N2128" s="5" t="s">
        <v>811</v>
      </c>
      <c r="O2128" s="5" t="str">
        <f ca="1">IF(P2128&lt;&gt;"EXPEDIÇÃO","Expedido",IF(NETWORKDAYS(C2128,TODAY())&gt;=5,"Risco Alto",IF(NETWORKDAYS(C2128,TODAY())&gt;=3,IF(NETWORKDAYS(C2128,TODAY())&lt;5,"Risco Médio",""),IF(NETWORKDAYS(C2128,TODAY())&lt;=2,"Risco Baixo",""))))</f>
        <v>Expedido</v>
      </c>
      <c r="P2128" s="5" t="s">
        <v>25</v>
      </c>
      <c r="S2128" s="7">
        <f>IF(ISBLANK(M2128),"Aguardando Previsão/Data",NETWORKDAYS(L2128,M2128)-1)</f>
        <v>-4</v>
      </c>
      <c r="T2128" s="5" t="s">
        <v>942</v>
      </c>
    </row>
    <row r="2129" spans="1:20" x14ac:dyDescent="0.35">
      <c r="A2129" s="5">
        <v>8100277853</v>
      </c>
      <c r="B2129" s="5">
        <v>21346</v>
      </c>
      <c r="C2129" s="6">
        <v>45673</v>
      </c>
      <c r="D2129" s="5" t="s">
        <v>17</v>
      </c>
      <c r="E2129" s="5" t="s">
        <v>18</v>
      </c>
      <c r="F2129" s="5" t="s">
        <v>32</v>
      </c>
      <c r="G2129" s="5" t="s">
        <v>33</v>
      </c>
      <c r="H2129" s="5" t="s">
        <v>21</v>
      </c>
      <c r="I2129" s="5" t="s">
        <v>980</v>
      </c>
      <c r="J2129" s="5" t="s">
        <v>604</v>
      </c>
      <c r="K2129" s="5" t="s">
        <v>24</v>
      </c>
      <c r="L2129" s="6">
        <v>45681</v>
      </c>
      <c r="M2129" s="6">
        <v>45681</v>
      </c>
      <c r="N2129" s="5" t="s">
        <v>811</v>
      </c>
      <c r="O2129" s="5" t="str">
        <f ca="1">IF(P2129&lt;&gt;"EXPEDIÇÃO","Expedido",IF(NETWORKDAYS(C2129,TODAY())&gt;=5,"Risco Alto",IF(NETWORKDAYS(C2129,TODAY())&gt;=3,IF(NETWORKDAYS(C2129,TODAY())&lt;5,"Risco Médio",""),IF(NETWORKDAYS(C2129,TODAY())&lt;=2,"Risco Baixo",""))))</f>
        <v>Expedido</v>
      </c>
      <c r="P2129" s="5" t="s">
        <v>25</v>
      </c>
      <c r="S2129" s="7">
        <f>IF(ISBLANK(M2129),"Aguardando Previsão/Data",NETWORKDAYS(L2129,M2129)-1)</f>
        <v>0</v>
      </c>
      <c r="T2129" s="5" t="s">
        <v>942</v>
      </c>
    </row>
    <row r="2130" spans="1:20" x14ac:dyDescent="0.35">
      <c r="A2130" s="5">
        <v>8100277854</v>
      </c>
      <c r="B2130" s="5">
        <v>21344</v>
      </c>
      <c r="C2130" s="6">
        <v>45673</v>
      </c>
      <c r="D2130" s="5" t="s">
        <v>17</v>
      </c>
      <c r="E2130" s="5" t="s">
        <v>18</v>
      </c>
      <c r="F2130" s="5" t="s">
        <v>27</v>
      </c>
      <c r="G2130" s="5" t="s">
        <v>28</v>
      </c>
      <c r="H2130" s="5" t="s">
        <v>21</v>
      </c>
      <c r="I2130" s="5" t="s">
        <v>1383</v>
      </c>
      <c r="J2130" s="5" t="s">
        <v>49</v>
      </c>
      <c r="K2130" s="5" t="s">
        <v>24</v>
      </c>
      <c r="L2130" s="6">
        <v>45681</v>
      </c>
      <c r="M2130" s="6">
        <v>45677</v>
      </c>
      <c r="N2130" s="5" t="s">
        <v>811</v>
      </c>
      <c r="O2130" s="5" t="str">
        <f ca="1">IF(P2130&lt;&gt;"EXPEDIÇÃO","Expedido",IF(NETWORKDAYS(C2130,TODAY())&gt;=5,"Risco Alto",IF(NETWORKDAYS(C2130,TODAY())&gt;=3,IF(NETWORKDAYS(C2130,TODAY())&lt;5,"Risco Médio",""),IF(NETWORKDAYS(C2130,TODAY())&lt;=2,"Risco Baixo",""))))</f>
        <v>Expedido</v>
      </c>
      <c r="P2130" s="5" t="s">
        <v>25</v>
      </c>
      <c r="S2130" s="7">
        <f>IF(ISBLANK(M2130),"Aguardando Previsão/Data",NETWORKDAYS(L2130,M2130)-1)</f>
        <v>-6</v>
      </c>
      <c r="T2130" s="5" t="s">
        <v>942</v>
      </c>
    </row>
    <row r="2131" spans="1:20" x14ac:dyDescent="0.35">
      <c r="A2131" s="5">
        <v>8100278296</v>
      </c>
      <c r="B2131" s="5">
        <v>21404</v>
      </c>
      <c r="C2131" s="6">
        <v>45673</v>
      </c>
      <c r="D2131" s="5" t="s">
        <v>17</v>
      </c>
      <c r="E2131" s="5" t="s">
        <v>18</v>
      </c>
      <c r="F2131" s="5" t="s">
        <v>44</v>
      </c>
      <c r="G2131" s="5" t="s">
        <v>45</v>
      </c>
      <c r="H2131" s="5" t="s">
        <v>21</v>
      </c>
      <c r="I2131" s="5" t="s">
        <v>1387</v>
      </c>
      <c r="J2131" s="5" t="s">
        <v>47</v>
      </c>
      <c r="K2131" s="5" t="s">
        <v>24</v>
      </c>
      <c r="L2131" s="6">
        <v>45680</v>
      </c>
      <c r="M2131" s="6">
        <v>45677</v>
      </c>
      <c r="N2131" s="5" t="s">
        <v>811</v>
      </c>
      <c r="O2131" s="5" t="str">
        <f ca="1">IF(P2131&lt;&gt;"EXPEDIÇÃO","Expedido",IF(NETWORKDAYS(C2131,TODAY())&gt;=5,"Risco Alto",IF(NETWORKDAYS(C2131,TODAY())&gt;=3,IF(NETWORKDAYS(C2131,TODAY())&lt;5,"Risco Médio",""),IF(NETWORKDAYS(C2131,TODAY())&lt;=2,"Risco Baixo",""))))</f>
        <v>Expedido</v>
      </c>
      <c r="P2131" s="5" t="s">
        <v>25</v>
      </c>
      <c r="S2131" s="7">
        <f>IF(ISBLANK(M2131),"Aguardando Previsão/Data",NETWORKDAYS(L2131,M2131)-1)</f>
        <v>-5</v>
      </c>
      <c r="T2131" s="5" t="s">
        <v>942</v>
      </c>
    </row>
    <row r="2132" spans="1:20" x14ac:dyDescent="0.35">
      <c r="A2132" s="5">
        <v>8100278297</v>
      </c>
      <c r="B2132" s="5">
        <v>21384</v>
      </c>
      <c r="C2132" s="6">
        <v>45673</v>
      </c>
      <c r="D2132" s="5" t="s">
        <v>17</v>
      </c>
      <c r="E2132" s="5" t="s">
        <v>18</v>
      </c>
      <c r="F2132" s="5" t="s">
        <v>84</v>
      </c>
      <c r="G2132" s="5" t="s">
        <v>85</v>
      </c>
      <c r="H2132" s="5" t="s">
        <v>21</v>
      </c>
      <c r="I2132" s="5" t="s">
        <v>1388</v>
      </c>
      <c r="J2132" s="5" t="s">
        <v>600</v>
      </c>
      <c r="K2132" s="5" t="s">
        <v>24</v>
      </c>
      <c r="L2132" s="6">
        <v>45681</v>
      </c>
      <c r="M2132" s="6">
        <v>45675</v>
      </c>
      <c r="N2132" s="5" t="s">
        <v>811</v>
      </c>
      <c r="O2132" s="5" t="str">
        <f ca="1">IF(P2132&lt;&gt;"EXPEDIÇÃO","Expedido",IF(NETWORKDAYS(C2132,TODAY())&gt;=5,"Risco Alto",IF(NETWORKDAYS(C2132,TODAY())&gt;=3,IF(NETWORKDAYS(C2132,TODAY())&lt;5,"Risco Médio",""),IF(NETWORKDAYS(C2132,TODAY())&lt;=2,"Risco Baixo",""))))</f>
        <v>Expedido</v>
      </c>
      <c r="P2132" s="5" t="s">
        <v>25</v>
      </c>
      <c r="S2132" s="7">
        <f>IF(ISBLANK(M2132),"Aguardando Previsão/Data",NETWORKDAYS(L2132,M2132)-1)</f>
        <v>-6</v>
      </c>
      <c r="T2132" s="5" t="s">
        <v>942</v>
      </c>
    </row>
    <row r="2133" spans="1:20" x14ac:dyDescent="0.35">
      <c r="A2133" s="5">
        <v>8100278298</v>
      </c>
      <c r="B2133" s="5">
        <v>21380</v>
      </c>
      <c r="C2133" s="6">
        <v>45673</v>
      </c>
      <c r="D2133" s="5" t="s">
        <v>17</v>
      </c>
      <c r="E2133" s="5" t="s">
        <v>18</v>
      </c>
      <c r="F2133" s="5" t="s">
        <v>32</v>
      </c>
      <c r="G2133" s="5" t="s">
        <v>33</v>
      </c>
      <c r="H2133" s="5" t="s">
        <v>21</v>
      </c>
      <c r="I2133" s="5" t="s">
        <v>916</v>
      </c>
      <c r="J2133" s="5" t="s">
        <v>368</v>
      </c>
      <c r="K2133" s="5" t="s">
        <v>24</v>
      </c>
      <c r="L2133" s="6">
        <v>45681</v>
      </c>
      <c r="M2133" s="6">
        <v>45678</v>
      </c>
      <c r="N2133" s="5" t="s">
        <v>811</v>
      </c>
      <c r="O2133" s="5" t="str">
        <f ca="1">IF(P2133&lt;&gt;"EXPEDIÇÃO","Expedido",IF(NETWORKDAYS(C2133,TODAY())&gt;=5,"Risco Alto",IF(NETWORKDAYS(C2133,TODAY())&gt;=3,IF(NETWORKDAYS(C2133,TODAY())&lt;5,"Risco Médio",""),IF(NETWORKDAYS(C2133,TODAY())&lt;=2,"Risco Baixo",""))))</f>
        <v>Expedido</v>
      </c>
      <c r="P2133" s="5" t="s">
        <v>25</v>
      </c>
      <c r="S2133" s="7">
        <f>IF(ISBLANK(M2133),"Aguardando Previsão/Data",NETWORKDAYS(L2133,M2133)-1)</f>
        <v>-5</v>
      </c>
      <c r="T2133" s="5" t="s">
        <v>942</v>
      </c>
    </row>
    <row r="2134" spans="1:20" x14ac:dyDescent="0.35">
      <c r="A2134" s="5">
        <v>8100278299</v>
      </c>
      <c r="B2134" s="5">
        <v>21379</v>
      </c>
      <c r="C2134" s="6">
        <v>45673</v>
      </c>
      <c r="D2134" s="5" t="s">
        <v>17</v>
      </c>
      <c r="E2134" s="5" t="s">
        <v>18</v>
      </c>
      <c r="F2134" s="5" t="s">
        <v>44</v>
      </c>
      <c r="G2134" s="5" t="s">
        <v>45</v>
      </c>
      <c r="H2134" s="5" t="s">
        <v>21</v>
      </c>
      <c r="I2134" s="5" t="s">
        <v>257</v>
      </c>
      <c r="J2134" s="5" t="s">
        <v>45</v>
      </c>
      <c r="K2134" s="5" t="s">
        <v>24</v>
      </c>
      <c r="L2134" s="6">
        <v>45680</v>
      </c>
      <c r="M2134" s="6">
        <v>45675</v>
      </c>
      <c r="N2134" s="5" t="s">
        <v>811</v>
      </c>
      <c r="O2134" s="5" t="str">
        <f ca="1">IF(P2134&lt;&gt;"EXPEDIÇÃO","Expedido",IF(NETWORKDAYS(C2134,TODAY())&gt;=5,"Risco Alto",IF(NETWORKDAYS(C2134,TODAY())&gt;=3,IF(NETWORKDAYS(C2134,TODAY())&lt;5,"Risco Médio",""),IF(NETWORKDAYS(C2134,TODAY())&lt;=2,"Risco Baixo",""))))</f>
        <v>Expedido</v>
      </c>
      <c r="P2134" s="5" t="s">
        <v>25</v>
      </c>
      <c r="S2134" s="7">
        <f>IF(ISBLANK(M2134),"Aguardando Previsão/Data",NETWORKDAYS(L2134,M2134)-1)</f>
        <v>-5</v>
      </c>
      <c r="T2134" s="5" t="s">
        <v>942</v>
      </c>
    </row>
    <row r="2135" spans="1:20" x14ac:dyDescent="0.35">
      <c r="A2135" s="5">
        <v>8100278300</v>
      </c>
      <c r="B2135" s="5">
        <v>21387</v>
      </c>
      <c r="C2135" s="6">
        <v>45673</v>
      </c>
      <c r="D2135" s="5" t="s">
        <v>17</v>
      </c>
      <c r="E2135" s="5" t="s">
        <v>18</v>
      </c>
      <c r="F2135" s="5" t="s">
        <v>39</v>
      </c>
      <c r="G2135" s="5" t="s">
        <v>40</v>
      </c>
      <c r="H2135" s="5" t="s">
        <v>21</v>
      </c>
      <c r="I2135" s="5" t="s">
        <v>1002</v>
      </c>
      <c r="J2135" s="5" t="s">
        <v>466</v>
      </c>
      <c r="K2135" s="5" t="s">
        <v>24</v>
      </c>
      <c r="L2135" s="6">
        <v>45685</v>
      </c>
      <c r="M2135" s="6">
        <v>45684</v>
      </c>
      <c r="N2135" s="5" t="s">
        <v>811</v>
      </c>
      <c r="O2135" s="5" t="str">
        <f ca="1">IF(P2135&lt;&gt;"EXPEDIÇÃO","Expedido",IF(NETWORKDAYS(C2135,TODAY())&gt;=5,"Risco Alto",IF(NETWORKDAYS(C2135,TODAY())&gt;=3,IF(NETWORKDAYS(C2135,TODAY())&lt;5,"Risco Médio",""),IF(NETWORKDAYS(C2135,TODAY())&lt;=2,"Risco Baixo",""))))</f>
        <v>Expedido</v>
      </c>
      <c r="P2135" s="5" t="s">
        <v>25</v>
      </c>
      <c r="S2135" s="7">
        <f>IF(ISBLANK(M2135),"Aguardando Previsão/Data",NETWORKDAYS(L2135,M2135)-1)</f>
        <v>-3</v>
      </c>
      <c r="T2135" s="5" t="s">
        <v>942</v>
      </c>
    </row>
    <row r="2136" spans="1:20" x14ac:dyDescent="0.35">
      <c r="A2136" s="5">
        <v>8100278301</v>
      </c>
      <c r="B2136" s="5">
        <v>21388</v>
      </c>
      <c r="C2136" s="6">
        <v>45673</v>
      </c>
      <c r="D2136" s="5" t="s">
        <v>17</v>
      </c>
      <c r="E2136" s="5" t="s">
        <v>18</v>
      </c>
      <c r="F2136" s="5" t="s">
        <v>44</v>
      </c>
      <c r="G2136" s="5" t="s">
        <v>45</v>
      </c>
      <c r="H2136" s="5" t="s">
        <v>21</v>
      </c>
      <c r="I2136" s="5" t="s">
        <v>798</v>
      </c>
      <c r="J2136" s="5" t="s">
        <v>598</v>
      </c>
      <c r="K2136" s="5" t="s">
        <v>24</v>
      </c>
      <c r="L2136" s="6">
        <v>45684</v>
      </c>
      <c r="M2136" s="6">
        <v>45679</v>
      </c>
      <c r="N2136" s="5" t="s">
        <v>811</v>
      </c>
      <c r="O2136" s="5" t="str">
        <f ca="1">IF(P2136&lt;&gt;"EXPEDIÇÃO","Expedido",IF(NETWORKDAYS(C2136,TODAY())&gt;=5,"Risco Alto",IF(NETWORKDAYS(C2136,TODAY())&gt;=3,IF(NETWORKDAYS(C2136,TODAY())&lt;5,"Risco Médio",""),IF(NETWORKDAYS(C2136,TODAY())&lt;=2,"Risco Baixo",""))))</f>
        <v>Expedido</v>
      </c>
      <c r="P2136" s="5" t="s">
        <v>25</v>
      </c>
      <c r="S2136" s="7">
        <f>IF(ISBLANK(M2136),"Aguardando Previsão/Data",NETWORKDAYS(L2136,M2136)-1)</f>
        <v>-5</v>
      </c>
      <c r="T2136" s="5" t="s">
        <v>942</v>
      </c>
    </row>
    <row r="2137" spans="1:20" x14ac:dyDescent="0.35">
      <c r="A2137" s="5">
        <v>8100278303</v>
      </c>
      <c r="B2137" s="5">
        <v>21381</v>
      </c>
      <c r="C2137" s="6">
        <v>45673</v>
      </c>
      <c r="D2137" s="5" t="s">
        <v>17</v>
      </c>
      <c r="E2137" s="5" t="s">
        <v>18</v>
      </c>
      <c r="F2137" s="5" t="s">
        <v>32</v>
      </c>
      <c r="G2137" s="5" t="s">
        <v>33</v>
      </c>
      <c r="H2137" s="5" t="s">
        <v>21</v>
      </c>
      <c r="I2137" s="5" t="s">
        <v>916</v>
      </c>
      <c r="J2137" s="5" t="s">
        <v>368</v>
      </c>
      <c r="K2137" s="5" t="s">
        <v>24</v>
      </c>
      <c r="L2137" s="6">
        <v>45681</v>
      </c>
      <c r="M2137" s="6">
        <v>45682</v>
      </c>
      <c r="N2137" s="5" t="s">
        <v>811</v>
      </c>
      <c r="O2137" s="5" t="str">
        <f ca="1">IF(P2137&lt;&gt;"EXPEDIÇÃO","Expedido",IF(NETWORKDAYS(C2137,TODAY())&gt;=5,"Risco Alto",IF(NETWORKDAYS(C2137,TODAY())&gt;=3,IF(NETWORKDAYS(C2137,TODAY())&lt;5,"Risco Médio",""),IF(NETWORKDAYS(C2137,TODAY())&lt;=2,"Risco Baixo",""))))</f>
        <v>Expedido</v>
      </c>
      <c r="P2137" s="5" t="s">
        <v>25</v>
      </c>
      <c r="S2137" s="7">
        <f>IF(ISBLANK(M2137),"Aguardando Previsão/Data",NETWORKDAYS(L2137,M2137)-1)</f>
        <v>0</v>
      </c>
      <c r="T2137" s="5" t="s">
        <v>942</v>
      </c>
    </row>
    <row r="2138" spans="1:20" x14ac:dyDescent="0.35">
      <c r="A2138" s="5">
        <v>8100278305</v>
      </c>
      <c r="B2138" s="5">
        <v>21382</v>
      </c>
      <c r="C2138" s="6">
        <v>45673</v>
      </c>
      <c r="D2138" s="5" t="s">
        <v>17</v>
      </c>
      <c r="E2138" s="5" t="s">
        <v>18</v>
      </c>
      <c r="F2138" s="5" t="s">
        <v>32</v>
      </c>
      <c r="G2138" s="5" t="s">
        <v>33</v>
      </c>
      <c r="H2138" s="5" t="s">
        <v>21</v>
      </c>
      <c r="I2138" s="5" t="s">
        <v>916</v>
      </c>
      <c r="J2138" s="5" t="s">
        <v>368</v>
      </c>
      <c r="K2138" s="5" t="s">
        <v>24</v>
      </c>
      <c r="L2138" s="6">
        <v>45681</v>
      </c>
      <c r="M2138" s="6">
        <v>45678</v>
      </c>
      <c r="N2138" s="5" t="s">
        <v>811</v>
      </c>
      <c r="O2138" s="5" t="str">
        <f ca="1">IF(P2138&lt;&gt;"EXPEDIÇÃO","Expedido",IF(NETWORKDAYS(C2138,TODAY())&gt;=5,"Risco Alto",IF(NETWORKDAYS(C2138,TODAY())&gt;=3,IF(NETWORKDAYS(C2138,TODAY())&lt;5,"Risco Médio",""),IF(NETWORKDAYS(C2138,TODAY())&lt;=2,"Risco Baixo",""))))</f>
        <v>Expedido</v>
      </c>
      <c r="P2138" s="5" t="s">
        <v>25</v>
      </c>
      <c r="S2138" s="7">
        <f>IF(ISBLANK(M2138),"Aguardando Previsão/Data",NETWORKDAYS(L2138,M2138)-1)</f>
        <v>-5</v>
      </c>
      <c r="T2138" s="5" t="s">
        <v>942</v>
      </c>
    </row>
    <row r="2139" spans="1:20" x14ac:dyDescent="0.35">
      <c r="A2139" s="5">
        <v>8100278352</v>
      </c>
      <c r="B2139" s="5">
        <v>21389</v>
      </c>
      <c r="C2139" s="6">
        <v>45673</v>
      </c>
      <c r="D2139" s="5" t="s">
        <v>17</v>
      </c>
      <c r="E2139" s="5" t="s">
        <v>18</v>
      </c>
      <c r="F2139" s="5" t="s">
        <v>44</v>
      </c>
      <c r="G2139" s="5" t="s">
        <v>45</v>
      </c>
      <c r="H2139" s="5" t="s">
        <v>21</v>
      </c>
      <c r="I2139" s="5" t="s">
        <v>798</v>
      </c>
      <c r="J2139" s="5" t="s">
        <v>598</v>
      </c>
      <c r="K2139" s="5" t="s">
        <v>24</v>
      </c>
      <c r="L2139" s="6">
        <v>45684</v>
      </c>
      <c r="M2139" s="6">
        <v>45679</v>
      </c>
      <c r="N2139" s="5" t="s">
        <v>811</v>
      </c>
      <c r="O2139" s="5" t="str">
        <f ca="1">IF(P2139&lt;&gt;"EXPEDIÇÃO","Expedido",IF(NETWORKDAYS(C2139,TODAY())&gt;=5,"Risco Alto",IF(NETWORKDAYS(C2139,TODAY())&gt;=3,IF(NETWORKDAYS(C2139,TODAY())&lt;5,"Risco Médio",""),IF(NETWORKDAYS(C2139,TODAY())&lt;=2,"Risco Baixo",""))))</f>
        <v>Expedido</v>
      </c>
      <c r="P2139" s="5" t="s">
        <v>25</v>
      </c>
      <c r="S2139" s="7">
        <f>IF(ISBLANK(M2139),"Aguardando Previsão/Data",NETWORKDAYS(L2139,M2139)-1)</f>
        <v>-5</v>
      </c>
      <c r="T2139" s="5" t="s">
        <v>942</v>
      </c>
    </row>
    <row r="2140" spans="1:20" x14ac:dyDescent="0.35">
      <c r="A2140" s="5">
        <v>8100278430</v>
      </c>
      <c r="B2140" s="5">
        <v>21385</v>
      </c>
      <c r="C2140" s="6">
        <v>45673</v>
      </c>
      <c r="D2140" s="5" t="s">
        <v>17</v>
      </c>
      <c r="E2140" s="5" t="s">
        <v>18</v>
      </c>
      <c r="F2140" s="5" t="s">
        <v>84</v>
      </c>
      <c r="G2140" s="5" t="s">
        <v>85</v>
      </c>
      <c r="H2140" s="5" t="s">
        <v>21</v>
      </c>
      <c r="I2140" s="5" t="s">
        <v>1388</v>
      </c>
      <c r="J2140" s="5" t="s">
        <v>600</v>
      </c>
      <c r="K2140" s="5" t="s">
        <v>24</v>
      </c>
      <c r="L2140" s="6">
        <v>45681</v>
      </c>
      <c r="M2140" s="6">
        <v>45675</v>
      </c>
      <c r="N2140" s="5" t="s">
        <v>811</v>
      </c>
      <c r="O2140" s="5" t="str">
        <f ca="1">IF(P2140&lt;&gt;"EXPEDIÇÃO","Expedido",IF(NETWORKDAYS(C2140,TODAY())&gt;=5,"Risco Alto",IF(NETWORKDAYS(C2140,TODAY())&gt;=3,IF(NETWORKDAYS(C2140,TODAY())&lt;5,"Risco Médio",""),IF(NETWORKDAYS(C2140,TODAY())&lt;=2,"Risco Baixo",""))))</f>
        <v>Expedido</v>
      </c>
      <c r="P2140" s="5" t="s">
        <v>25</v>
      </c>
      <c r="S2140" s="7">
        <f>IF(ISBLANK(M2140),"Aguardando Previsão/Data",NETWORKDAYS(L2140,M2140)-1)</f>
        <v>-6</v>
      </c>
      <c r="T2140" s="5" t="s">
        <v>942</v>
      </c>
    </row>
    <row r="2141" spans="1:20" x14ac:dyDescent="0.35">
      <c r="A2141" s="5">
        <v>8100278431</v>
      </c>
      <c r="B2141" s="5">
        <v>21386</v>
      </c>
      <c r="C2141" s="6">
        <v>45673</v>
      </c>
      <c r="D2141" s="5" t="s">
        <v>17</v>
      </c>
      <c r="E2141" s="5" t="s">
        <v>18</v>
      </c>
      <c r="F2141" s="5" t="s">
        <v>27</v>
      </c>
      <c r="G2141" s="5" t="s">
        <v>28</v>
      </c>
      <c r="H2141" s="5" t="s">
        <v>21</v>
      </c>
      <c r="I2141" s="5" t="s">
        <v>1395</v>
      </c>
      <c r="J2141" s="5" t="s">
        <v>373</v>
      </c>
      <c r="K2141" s="5" t="s">
        <v>24</v>
      </c>
      <c r="L2141" s="6">
        <v>45681</v>
      </c>
      <c r="M2141" s="6">
        <v>45680</v>
      </c>
      <c r="N2141" s="5" t="s">
        <v>811</v>
      </c>
      <c r="O2141" s="5" t="str">
        <f ca="1">IF(P2141&lt;&gt;"EXPEDIÇÃO","Expedido",IF(NETWORKDAYS(C2141,TODAY())&gt;=5,"Risco Alto",IF(NETWORKDAYS(C2141,TODAY())&gt;=3,IF(NETWORKDAYS(C2141,TODAY())&lt;5,"Risco Médio",""),IF(NETWORKDAYS(C2141,TODAY())&lt;=2,"Risco Baixo",""))))</f>
        <v>Expedido</v>
      </c>
      <c r="P2141" s="5" t="s">
        <v>25</v>
      </c>
      <c r="S2141" s="7">
        <f>IF(ISBLANK(M2141),"Aguardando Previsão/Data",NETWORKDAYS(L2141,M2141)-1)</f>
        <v>-3</v>
      </c>
      <c r="T2141" s="5" t="s">
        <v>942</v>
      </c>
    </row>
    <row r="2142" spans="1:20" x14ac:dyDescent="0.35">
      <c r="A2142" s="5">
        <v>8100278434</v>
      </c>
      <c r="B2142" s="5">
        <v>21405</v>
      </c>
      <c r="C2142" s="6">
        <v>45673</v>
      </c>
      <c r="D2142" s="5" t="s">
        <v>17</v>
      </c>
      <c r="E2142" s="5" t="s">
        <v>18</v>
      </c>
      <c r="F2142" s="5" t="s">
        <v>27</v>
      </c>
      <c r="G2142" s="5" t="s">
        <v>28</v>
      </c>
      <c r="H2142" s="5" t="s">
        <v>21</v>
      </c>
      <c r="I2142" s="5" t="s">
        <v>493</v>
      </c>
      <c r="J2142" s="5" t="s">
        <v>28</v>
      </c>
      <c r="K2142" s="5" t="s">
        <v>24</v>
      </c>
      <c r="L2142" s="6">
        <v>45680</v>
      </c>
      <c r="M2142" s="6">
        <v>45680</v>
      </c>
      <c r="N2142" s="5" t="s">
        <v>811</v>
      </c>
      <c r="O2142" s="5" t="str">
        <f ca="1">IF(P2142&lt;&gt;"EXPEDIÇÃO","Expedido",IF(NETWORKDAYS(C2142,TODAY())&gt;=5,"Risco Alto",IF(NETWORKDAYS(C2142,TODAY())&gt;=3,IF(NETWORKDAYS(C2142,TODAY())&lt;5,"Risco Médio",""),IF(NETWORKDAYS(C2142,TODAY())&lt;=2,"Risco Baixo",""))))</f>
        <v>Expedido</v>
      </c>
      <c r="P2142" s="5" t="s">
        <v>25</v>
      </c>
      <c r="Q2142" s="5" t="s">
        <v>897</v>
      </c>
      <c r="S2142" s="7">
        <f>IF(ISBLANK(M2142),"Aguardando Previsão/Data",NETWORKDAYS(L2142,M2142)-1)</f>
        <v>0</v>
      </c>
      <c r="T2142" s="5" t="s">
        <v>942</v>
      </c>
    </row>
    <row r="2143" spans="1:20" x14ac:dyDescent="0.35">
      <c r="A2143" s="5">
        <v>8100278549</v>
      </c>
      <c r="B2143" s="5">
        <v>21401</v>
      </c>
      <c r="C2143" s="6">
        <v>45673</v>
      </c>
      <c r="D2143" s="5" t="s">
        <v>17</v>
      </c>
      <c r="E2143" s="5" t="s">
        <v>18</v>
      </c>
      <c r="F2143" s="5" t="s">
        <v>84</v>
      </c>
      <c r="G2143" s="5" t="s">
        <v>85</v>
      </c>
      <c r="H2143" s="5" t="s">
        <v>21</v>
      </c>
      <c r="I2143" s="5" t="s">
        <v>766</v>
      </c>
      <c r="J2143" s="5" t="s">
        <v>43</v>
      </c>
      <c r="K2143" s="5" t="s">
        <v>24</v>
      </c>
      <c r="L2143" s="6">
        <v>45680</v>
      </c>
      <c r="M2143" s="6">
        <v>45677</v>
      </c>
      <c r="N2143" s="5" t="s">
        <v>811</v>
      </c>
      <c r="O2143" s="5" t="str">
        <f ca="1">IF(P2143&lt;&gt;"EXPEDIÇÃO","Expedido",IF(NETWORKDAYS(C2143,TODAY())&gt;=5,"Risco Alto",IF(NETWORKDAYS(C2143,TODAY())&gt;=3,IF(NETWORKDAYS(C2143,TODAY())&lt;5,"Risco Médio",""),IF(NETWORKDAYS(C2143,TODAY())&lt;=2,"Risco Baixo",""))))</f>
        <v>Expedido</v>
      </c>
      <c r="P2143" s="5" t="s">
        <v>25</v>
      </c>
      <c r="S2143" s="7">
        <f>IF(ISBLANK(M2143),"Aguardando Previsão/Data",NETWORKDAYS(L2143,M2143)-1)</f>
        <v>-5</v>
      </c>
      <c r="T2143" s="5" t="s">
        <v>942</v>
      </c>
    </row>
    <row r="2144" spans="1:20" x14ac:dyDescent="0.35">
      <c r="A2144" s="5">
        <v>8100278551</v>
      </c>
      <c r="B2144" s="5">
        <v>21403</v>
      </c>
      <c r="C2144" s="6">
        <v>45673</v>
      </c>
      <c r="D2144" s="5" t="s">
        <v>17</v>
      </c>
      <c r="E2144" s="5" t="s">
        <v>18</v>
      </c>
      <c r="F2144" s="5" t="s">
        <v>84</v>
      </c>
      <c r="G2144" s="5" t="s">
        <v>85</v>
      </c>
      <c r="H2144" s="5" t="s">
        <v>21</v>
      </c>
      <c r="I2144" s="5" t="s">
        <v>879</v>
      </c>
      <c r="J2144" s="5" t="s">
        <v>31</v>
      </c>
      <c r="K2144" s="5" t="s">
        <v>24</v>
      </c>
      <c r="L2144" s="6">
        <v>45681</v>
      </c>
      <c r="M2144" s="6">
        <v>45679</v>
      </c>
      <c r="N2144" s="5" t="s">
        <v>811</v>
      </c>
      <c r="O2144" s="5" t="str">
        <f ca="1">IF(P2144&lt;&gt;"EXPEDIÇÃO","Expedido",IF(NETWORKDAYS(C2144,TODAY())&gt;=5,"Risco Alto",IF(NETWORKDAYS(C2144,TODAY())&gt;=3,IF(NETWORKDAYS(C2144,TODAY())&lt;5,"Risco Médio",""),IF(NETWORKDAYS(C2144,TODAY())&lt;=2,"Risco Baixo",""))))</f>
        <v>Expedido</v>
      </c>
      <c r="P2144" s="5" t="s">
        <v>25</v>
      </c>
      <c r="S2144" s="7">
        <f>IF(ISBLANK(M2144),"Aguardando Previsão/Data",NETWORKDAYS(L2144,M2144)-1)</f>
        <v>-4</v>
      </c>
      <c r="T2144" s="5" t="s">
        <v>942</v>
      </c>
    </row>
    <row r="2145" spans="1:20" x14ac:dyDescent="0.35">
      <c r="A2145" s="5">
        <v>8100277658</v>
      </c>
      <c r="B2145" s="5">
        <v>13296</v>
      </c>
      <c r="C2145" s="6">
        <v>45673</v>
      </c>
      <c r="D2145" s="5" t="s">
        <v>91</v>
      </c>
      <c r="E2145" s="5" t="s">
        <v>92</v>
      </c>
      <c r="F2145" s="5" t="s">
        <v>196</v>
      </c>
      <c r="G2145" s="5" t="s">
        <v>197</v>
      </c>
      <c r="H2145" s="5" t="s">
        <v>21</v>
      </c>
      <c r="I2145" s="5" t="s">
        <v>1371</v>
      </c>
      <c r="J2145" s="5" t="s">
        <v>1372</v>
      </c>
      <c r="K2145" s="5" t="s">
        <v>101</v>
      </c>
      <c r="L2145" s="6">
        <v>45685</v>
      </c>
      <c r="M2145" s="6">
        <v>45679</v>
      </c>
      <c r="N2145" s="5" t="s">
        <v>811</v>
      </c>
      <c r="O2145" s="5" t="str">
        <f ca="1">IF(P2145&lt;&gt;"EXPEDIÇÃO","Expedido",IF(NETWORKDAYS(C2145,TODAY())&gt;=5,"Risco Alto",IF(NETWORKDAYS(C2145,TODAY())&gt;=3,IF(NETWORKDAYS(C2145,TODAY())&lt;5,"Risco Médio",""),IF(NETWORKDAYS(C2145,TODAY())&lt;=2,"Risco Baixo",""))))</f>
        <v>Expedido</v>
      </c>
      <c r="P2145" s="5" t="s">
        <v>25</v>
      </c>
      <c r="S2145" s="7">
        <f>IF(ISBLANK(M2145),"Aguardando Previsão/Data",NETWORKDAYS(L2145,M2145)-1)</f>
        <v>-6</v>
      </c>
      <c r="T2145" s="5" t="s">
        <v>942</v>
      </c>
    </row>
    <row r="2146" spans="1:20" x14ac:dyDescent="0.35">
      <c r="A2146" s="5">
        <v>8100277664</v>
      </c>
      <c r="B2146" s="5">
        <v>13303</v>
      </c>
      <c r="C2146" s="6">
        <v>45673</v>
      </c>
      <c r="D2146" s="5" t="s">
        <v>91</v>
      </c>
      <c r="E2146" s="5" t="s">
        <v>92</v>
      </c>
      <c r="F2146" s="5" t="s">
        <v>19</v>
      </c>
      <c r="G2146" s="5" t="s">
        <v>20</v>
      </c>
      <c r="H2146" s="5" t="s">
        <v>21</v>
      </c>
      <c r="I2146" s="5" t="s">
        <v>203</v>
      </c>
      <c r="J2146" s="5" t="s">
        <v>578</v>
      </c>
      <c r="K2146" s="5" t="s">
        <v>274</v>
      </c>
      <c r="L2146" s="6">
        <v>45684</v>
      </c>
      <c r="M2146" s="6">
        <v>45677</v>
      </c>
      <c r="N2146" s="5" t="s">
        <v>811</v>
      </c>
      <c r="O2146" s="5" t="str">
        <f ca="1">IF(P2146&lt;&gt;"EXPEDIÇÃO","Expedido",IF(NETWORKDAYS(C2146,TODAY())&gt;=5,"Risco Alto",IF(NETWORKDAYS(C2146,TODAY())&gt;=3,IF(NETWORKDAYS(C2146,TODAY())&lt;5,"Risco Médio",""),IF(NETWORKDAYS(C2146,TODAY())&lt;=2,"Risco Baixo",""))))</f>
        <v>Expedido</v>
      </c>
      <c r="P2146" s="5" t="s">
        <v>25</v>
      </c>
      <c r="S2146" s="7">
        <f>IF(ISBLANK(M2146),"Aguardando Previsão/Data",NETWORKDAYS(L2146,M2146)-1)</f>
        <v>-7</v>
      </c>
      <c r="T2146" s="5" t="s">
        <v>942</v>
      </c>
    </row>
    <row r="2147" spans="1:20" x14ac:dyDescent="0.35">
      <c r="A2147" s="5">
        <v>8100277670</v>
      </c>
      <c r="B2147" s="5">
        <v>13290</v>
      </c>
      <c r="C2147" s="6">
        <v>45673</v>
      </c>
      <c r="D2147" s="5" t="s">
        <v>91</v>
      </c>
      <c r="E2147" s="5" t="s">
        <v>92</v>
      </c>
      <c r="F2147" s="5" t="s">
        <v>19</v>
      </c>
      <c r="G2147" s="5" t="s">
        <v>20</v>
      </c>
      <c r="H2147" s="5" t="s">
        <v>21</v>
      </c>
      <c r="I2147" s="5" t="s">
        <v>806</v>
      </c>
      <c r="J2147" s="5" t="s">
        <v>273</v>
      </c>
      <c r="K2147" s="5" t="s">
        <v>274</v>
      </c>
      <c r="L2147" s="6">
        <v>45684</v>
      </c>
      <c r="M2147" s="6">
        <v>45681</v>
      </c>
      <c r="N2147" s="5" t="s">
        <v>811</v>
      </c>
      <c r="O2147" s="5" t="str">
        <f ca="1">IF(P2147&lt;&gt;"EXPEDIÇÃO","Expedido",IF(NETWORKDAYS(C2147,TODAY())&gt;=5,"Risco Alto",IF(NETWORKDAYS(C2147,TODAY())&gt;=3,IF(NETWORKDAYS(C2147,TODAY())&lt;5,"Risco Médio",""),IF(NETWORKDAYS(C2147,TODAY())&lt;=2,"Risco Baixo",""))))</f>
        <v>Expedido</v>
      </c>
      <c r="P2147" s="5" t="s">
        <v>25</v>
      </c>
      <c r="S2147" s="7">
        <f>IF(ISBLANK(M2147),"Aguardando Previsão/Data",NETWORKDAYS(L2147,M2147)-1)</f>
        <v>-3</v>
      </c>
      <c r="T2147" s="5" t="s">
        <v>942</v>
      </c>
    </row>
    <row r="2148" spans="1:20" x14ac:dyDescent="0.35">
      <c r="A2148" s="5">
        <v>8100277671</v>
      </c>
      <c r="B2148" s="5">
        <v>13289</v>
      </c>
      <c r="C2148" s="6">
        <v>45673</v>
      </c>
      <c r="D2148" s="5" t="s">
        <v>91</v>
      </c>
      <c r="E2148" s="5" t="s">
        <v>92</v>
      </c>
      <c r="F2148" s="5" t="s">
        <v>96</v>
      </c>
      <c r="G2148" s="5" t="s">
        <v>97</v>
      </c>
      <c r="H2148" s="5" t="s">
        <v>21</v>
      </c>
      <c r="I2148" s="5" t="s">
        <v>712</v>
      </c>
      <c r="J2148" s="5" t="s">
        <v>424</v>
      </c>
      <c r="K2148" s="5" t="s">
        <v>95</v>
      </c>
      <c r="L2148" s="6">
        <v>45680</v>
      </c>
      <c r="M2148" s="6">
        <v>45675</v>
      </c>
      <c r="N2148" s="5" t="s">
        <v>811</v>
      </c>
      <c r="O2148" s="5" t="str">
        <f ca="1">IF(P2148&lt;&gt;"EXPEDIÇÃO","Expedido",IF(NETWORKDAYS(C2148,TODAY())&gt;=5,"Risco Alto",IF(NETWORKDAYS(C2148,TODAY())&gt;=3,IF(NETWORKDAYS(C2148,TODAY())&lt;5,"Risco Médio",""),IF(NETWORKDAYS(C2148,TODAY())&lt;=2,"Risco Baixo",""))))</f>
        <v>Expedido</v>
      </c>
      <c r="P2148" s="5" t="s">
        <v>25</v>
      </c>
      <c r="S2148" s="7">
        <f>IF(ISBLANK(M2148),"Aguardando Previsão/Data",NETWORKDAYS(L2148,M2148)-1)</f>
        <v>-5</v>
      </c>
      <c r="T2148" s="5" t="s">
        <v>942</v>
      </c>
    </row>
    <row r="2149" spans="1:20" x14ac:dyDescent="0.35">
      <c r="A2149" s="5">
        <v>8100277689</v>
      </c>
      <c r="B2149" s="5">
        <v>13304</v>
      </c>
      <c r="C2149" s="6">
        <v>45673</v>
      </c>
      <c r="D2149" s="5" t="s">
        <v>91</v>
      </c>
      <c r="E2149" s="5" t="s">
        <v>92</v>
      </c>
      <c r="F2149" s="5" t="s">
        <v>19</v>
      </c>
      <c r="G2149" s="5" t="s">
        <v>20</v>
      </c>
      <c r="H2149" s="5" t="s">
        <v>21</v>
      </c>
      <c r="I2149" s="5" t="s">
        <v>203</v>
      </c>
      <c r="J2149" s="5" t="s">
        <v>578</v>
      </c>
      <c r="K2149" s="5" t="s">
        <v>274</v>
      </c>
      <c r="L2149" s="6">
        <v>45684</v>
      </c>
      <c r="M2149" s="6">
        <v>45677</v>
      </c>
      <c r="N2149" s="5" t="s">
        <v>811</v>
      </c>
      <c r="O2149" s="5" t="str">
        <f ca="1">IF(P2149&lt;&gt;"EXPEDIÇÃO","Expedido",IF(NETWORKDAYS(C2149,TODAY())&gt;=5,"Risco Alto",IF(NETWORKDAYS(C2149,TODAY())&gt;=3,IF(NETWORKDAYS(C2149,TODAY())&lt;5,"Risco Médio",""),IF(NETWORKDAYS(C2149,TODAY())&lt;=2,"Risco Baixo",""))))</f>
        <v>Expedido</v>
      </c>
      <c r="P2149" s="5" t="s">
        <v>25</v>
      </c>
      <c r="S2149" s="7">
        <f>IF(ISBLANK(M2149),"Aguardando Previsão/Data",NETWORKDAYS(L2149,M2149)-1)</f>
        <v>-7</v>
      </c>
      <c r="T2149" s="5" t="s">
        <v>942</v>
      </c>
    </row>
    <row r="2150" spans="1:20" x14ac:dyDescent="0.35">
      <c r="A2150" s="5">
        <v>8100277690</v>
      </c>
      <c r="B2150" s="5">
        <v>13299</v>
      </c>
      <c r="C2150" s="6">
        <v>45673</v>
      </c>
      <c r="D2150" s="5" t="s">
        <v>91</v>
      </c>
      <c r="E2150" s="5" t="s">
        <v>92</v>
      </c>
      <c r="F2150" s="5" t="s">
        <v>19</v>
      </c>
      <c r="G2150" s="5" t="s">
        <v>20</v>
      </c>
      <c r="H2150" s="5" t="s">
        <v>21</v>
      </c>
      <c r="I2150" s="5" t="s">
        <v>203</v>
      </c>
      <c r="J2150" s="5" t="s">
        <v>578</v>
      </c>
      <c r="K2150" s="5" t="s">
        <v>274</v>
      </c>
      <c r="L2150" s="6">
        <v>45684</v>
      </c>
      <c r="M2150" s="6">
        <v>45678</v>
      </c>
      <c r="N2150" s="5" t="s">
        <v>811</v>
      </c>
      <c r="O2150" s="5" t="str">
        <f ca="1">IF(P2150&lt;&gt;"EXPEDIÇÃO","Expedido",IF(NETWORKDAYS(C2150,TODAY())&gt;=5,"Risco Alto",IF(NETWORKDAYS(C2150,TODAY())&gt;=3,IF(NETWORKDAYS(C2150,TODAY())&lt;5,"Risco Médio",""),IF(NETWORKDAYS(C2150,TODAY())&lt;=2,"Risco Baixo",""))))</f>
        <v>Expedido</v>
      </c>
      <c r="P2150" s="5" t="s">
        <v>25</v>
      </c>
      <c r="S2150" s="7">
        <f>IF(ISBLANK(M2150),"Aguardando Previsão/Data",NETWORKDAYS(L2150,M2150)-1)</f>
        <v>-6</v>
      </c>
      <c r="T2150" s="5" t="s">
        <v>942</v>
      </c>
    </row>
    <row r="2151" spans="1:20" x14ac:dyDescent="0.35">
      <c r="A2151" s="5">
        <v>8100277693</v>
      </c>
      <c r="B2151" s="5">
        <v>13293</v>
      </c>
      <c r="C2151" s="6">
        <v>45673</v>
      </c>
      <c r="D2151" s="5" t="s">
        <v>91</v>
      </c>
      <c r="E2151" s="5" t="s">
        <v>92</v>
      </c>
      <c r="F2151" s="5" t="s">
        <v>19</v>
      </c>
      <c r="G2151" s="5" t="s">
        <v>20</v>
      </c>
      <c r="H2151" s="5" t="s">
        <v>21</v>
      </c>
      <c r="I2151" s="5" t="s">
        <v>577</v>
      </c>
      <c r="J2151" s="5" t="s">
        <v>578</v>
      </c>
      <c r="K2151" s="5" t="s">
        <v>274</v>
      </c>
      <c r="L2151" s="6">
        <v>45684</v>
      </c>
      <c r="M2151" s="6">
        <v>45681</v>
      </c>
      <c r="N2151" s="5" t="s">
        <v>811</v>
      </c>
      <c r="O2151" s="5" t="str">
        <f ca="1">IF(P2151&lt;&gt;"EXPEDIÇÃO","Expedido",IF(NETWORKDAYS(C2151,TODAY())&gt;=5,"Risco Alto",IF(NETWORKDAYS(C2151,TODAY())&gt;=3,IF(NETWORKDAYS(C2151,TODAY())&lt;5,"Risco Médio",""),IF(NETWORKDAYS(C2151,TODAY())&lt;=2,"Risco Baixo",""))))</f>
        <v>Expedido</v>
      </c>
      <c r="P2151" s="5" t="s">
        <v>25</v>
      </c>
      <c r="S2151" s="7">
        <f>IF(ISBLANK(M2151),"Aguardando Previsão/Data",NETWORKDAYS(L2151,M2151)-1)</f>
        <v>-3</v>
      </c>
      <c r="T2151" s="5" t="s">
        <v>942</v>
      </c>
    </row>
    <row r="2152" spans="1:20" x14ac:dyDescent="0.35">
      <c r="A2152" s="5">
        <v>8100277702</v>
      </c>
      <c r="B2152" s="5">
        <v>13301</v>
      </c>
      <c r="C2152" s="6">
        <v>45673</v>
      </c>
      <c r="D2152" s="5" t="s">
        <v>91</v>
      </c>
      <c r="E2152" s="5" t="s">
        <v>92</v>
      </c>
      <c r="F2152" s="5" t="s">
        <v>19</v>
      </c>
      <c r="G2152" s="5" t="s">
        <v>20</v>
      </c>
      <c r="H2152" s="5" t="s">
        <v>21</v>
      </c>
      <c r="I2152" s="5" t="s">
        <v>659</v>
      </c>
      <c r="J2152" s="5" t="s">
        <v>426</v>
      </c>
      <c r="K2152" s="5" t="s">
        <v>95</v>
      </c>
      <c r="L2152" s="6">
        <v>45680</v>
      </c>
      <c r="M2152" s="6">
        <v>45678</v>
      </c>
      <c r="N2152" s="5" t="s">
        <v>811</v>
      </c>
      <c r="O2152" s="5" t="str">
        <f ca="1">IF(P2152&lt;&gt;"EXPEDIÇÃO","Expedido",IF(NETWORKDAYS(C2152,TODAY())&gt;=5,"Risco Alto",IF(NETWORKDAYS(C2152,TODAY())&gt;=3,IF(NETWORKDAYS(C2152,TODAY())&lt;5,"Risco Médio",""),IF(NETWORKDAYS(C2152,TODAY())&lt;=2,"Risco Baixo",""))))</f>
        <v>Expedido</v>
      </c>
      <c r="P2152" s="5" t="s">
        <v>25</v>
      </c>
      <c r="S2152" s="7">
        <f>IF(ISBLANK(M2152),"Aguardando Previsão/Data",NETWORKDAYS(L2152,M2152)-1)</f>
        <v>-4</v>
      </c>
      <c r="T2152" s="5" t="s">
        <v>942</v>
      </c>
    </row>
    <row r="2153" spans="1:20" x14ac:dyDescent="0.35">
      <c r="A2153" s="5">
        <v>8100277713</v>
      </c>
      <c r="B2153" s="5">
        <v>13291</v>
      </c>
      <c r="C2153" s="6">
        <v>45673</v>
      </c>
      <c r="D2153" s="5" t="s">
        <v>91</v>
      </c>
      <c r="E2153" s="5" t="s">
        <v>92</v>
      </c>
      <c r="F2153" s="5" t="s">
        <v>96</v>
      </c>
      <c r="G2153" s="5" t="s">
        <v>97</v>
      </c>
      <c r="H2153" s="5" t="s">
        <v>21</v>
      </c>
      <c r="I2153" s="5" t="s">
        <v>703</v>
      </c>
      <c r="J2153" s="5" t="s">
        <v>632</v>
      </c>
      <c r="K2153" s="5" t="s">
        <v>101</v>
      </c>
      <c r="L2153" s="6">
        <v>45685</v>
      </c>
      <c r="M2153" s="6">
        <v>45684</v>
      </c>
      <c r="N2153" s="5" t="s">
        <v>811</v>
      </c>
      <c r="O2153" s="5" t="str">
        <f ca="1">IF(P2153&lt;&gt;"EXPEDIÇÃO","Expedido",IF(NETWORKDAYS(C2153,TODAY())&gt;=5,"Risco Alto",IF(NETWORKDAYS(C2153,TODAY())&gt;=3,IF(NETWORKDAYS(C2153,TODAY())&lt;5,"Risco Médio",""),IF(NETWORKDAYS(C2153,TODAY())&lt;=2,"Risco Baixo",""))))</f>
        <v>Expedido</v>
      </c>
      <c r="P2153" s="5" t="s">
        <v>25</v>
      </c>
      <c r="S2153" s="7">
        <f>IF(ISBLANK(M2153),"Aguardando Previsão/Data",NETWORKDAYS(L2153,M2153)-1)</f>
        <v>-3</v>
      </c>
      <c r="T2153" s="5" t="s">
        <v>942</v>
      </c>
    </row>
    <row r="2154" spans="1:20" x14ac:dyDescent="0.35">
      <c r="A2154" s="5">
        <v>8100277715</v>
      </c>
      <c r="B2154" s="5">
        <v>13298</v>
      </c>
      <c r="C2154" s="6">
        <v>45673</v>
      </c>
      <c r="D2154" s="5" t="s">
        <v>91</v>
      </c>
      <c r="E2154" s="5" t="s">
        <v>92</v>
      </c>
      <c r="F2154" s="5" t="s">
        <v>103</v>
      </c>
      <c r="G2154" s="5" t="s">
        <v>104</v>
      </c>
      <c r="H2154" s="5" t="s">
        <v>21</v>
      </c>
      <c r="I2154" s="5" t="s">
        <v>1373</v>
      </c>
      <c r="J2154" s="5" t="s">
        <v>273</v>
      </c>
      <c r="K2154" s="5" t="s">
        <v>274</v>
      </c>
      <c r="L2154" s="6">
        <v>45684</v>
      </c>
      <c r="M2154" s="6">
        <v>45680</v>
      </c>
      <c r="N2154" s="5" t="s">
        <v>811</v>
      </c>
      <c r="O2154" s="5" t="str">
        <f ca="1">IF(P2154&lt;&gt;"EXPEDIÇÃO","Expedido",IF(NETWORKDAYS(C2154,TODAY())&gt;=5,"Risco Alto",IF(NETWORKDAYS(C2154,TODAY())&gt;=3,IF(NETWORKDAYS(C2154,TODAY())&lt;5,"Risco Médio",""),IF(NETWORKDAYS(C2154,TODAY())&lt;=2,"Risco Baixo",""))))</f>
        <v>Expedido</v>
      </c>
      <c r="P2154" s="5" t="s">
        <v>25</v>
      </c>
      <c r="S2154" s="7">
        <f>IF(ISBLANK(M2154),"Aguardando Previsão/Data",NETWORKDAYS(L2154,M2154)-1)</f>
        <v>-4</v>
      </c>
      <c r="T2154" s="5" t="s">
        <v>942</v>
      </c>
    </row>
    <row r="2155" spans="1:20" x14ac:dyDescent="0.35">
      <c r="A2155" s="5">
        <v>8100277720</v>
      </c>
      <c r="B2155" s="5">
        <v>13295</v>
      </c>
      <c r="C2155" s="6">
        <v>45673</v>
      </c>
      <c r="D2155" s="5" t="s">
        <v>91</v>
      </c>
      <c r="E2155" s="5" t="s">
        <v>92</v>
      </c>
      <c r="F2155" s="5" t="s">
        <v>19</v>
      </c>
      <c r="G2155" s="5" t="s">
        <v>20</v>
      </c>
      <c r="H2155" s="5" t="s">
        <v>21</v>
      </c>
      <c r="I2155" s="5" t="s">
        <v>659</v>
      </c>
      <c r="J2155" s="5" t="s">
        <v>426</v>
      </c>
      <c r="K2155" s="5" t="s">
        <v>95</v>
      </c>
      <c r="L2155" s="6">
        <v>45680</v>
      </c>
      <c r="M2155" s="6">
        <v>45680</v>
      </c>
      <c r="N2155" s="5" t="s">
        <v>811</v>
      </c>
      <c r="O2155" s="5" t="str">
        <f ca="1">IF(P2155&lt;&gt;"EXPEDIÇÃO","Expedido",IF(NETWORKDAYS(C2155,TODAY())&gt;=5,"Risco Alto",IF(NETWORKDAYS(C2155,TODAY())&gt;=3,IF(NETWORKDAYS(C2155,TODAY())&lt;5,"Risco Médio",""),IF(NETWORKDAYS(C2155,TODAY())&lt;=2,"Risco Baixo",""))))</f>
        <v>Expedido</v>
      </c>
      <c r="P2155" s="5" t="s">
        <v>25</v>
      </c>
      <c r="Q2155" s="5" t="s">
        <v>897</v>
      </c>
      <c r="S2155" s="7">
        <f>IF(ISBLANK(M2155),"Aguardando Previsão/Data",NETWORKDAYS(L2155,M2155)-1)</f>
        <v>0</v>
      </c>
      <c r="T2155" s="5" t="s">
        <v>942</v>
      </c>
    </row>
    <row r="2156" spans="1:20" x14ac:dyDescent="0.35">
      <c r="A2156" s="5">
        <v>8100277721</v>
      </c>
      <c r="B2156" s="5">
        <v>13302</v>
      </c>
      <c r="C2156" s="6">
        <v>45673</v>
      </c>
      <c r="D2156" s="5" t="s">
        <v>91</v>
      </c>
      <c r="E2156" s="5" t="s">
        <v>92</v>
      </c>
      <c r="F2156" s="5" t="s">
        <v>19</v>
      </c>
      <c r="G2156" s="5" t="s">
        <v>20</v>
      </c>
      <c r="H2156" s="5" t="s">
        <v>21</v>
      </c>
      <c r="I2156" s="5" t="s">
        <v>659</v>
      </c>
      <c r="J2156" s="5" t="s">
        <v>426</v>
      </c>
      <c r="K2156" s="5" t="s">
        <v>95</v>
      </c>
      <c r="L2156" s="6">
        <v>45680</v>
      </c>
      <c r="M2156" s="6">
        <v>45678</v>
      </c>
      <c r="N2156" s="5" t="s">
        <v>811</v>
      </c>
      <c r="O2156" s="5" t="str">
        <f ca="1">IF(P2156&lt;&gt;"EXPEDIÇÃO","Expedido",IF(NETWORKDAYS(C2156,TODAY())&gt;=5,"Risco Alto",IF(NETWORKDAYS(C2156,TODAY())&gt;=3,IF(NETWORKDAYS(C2156,TODAY())&lt;5,"Risco Médio",""),IF(NETWORKDAYS(C2156,TODAY())&lt;=2,"Risco Baixo",""))))</f>
        <v>Expedido</v>
      </c>
      <c r="P2156" s="5" t="s">
        <v>25</v>
      </c>
      <c r="S2156" s="7">
        <f>IF(ISBLANK(M2156),"Aguardando Previsão/Data",NETWORKDAYS(L2156,M2156)-1)</f>
        <v>-4</v>
      </c>
      <c r="T2156" s="5" t="s">
        <v>942</v>
      </c>
    </row>
    <row r="2157" spans="1:20" x14ac:dyDescent="0.35">
      <c r="A2157" s="5">
        <v>8100277724</v>
      </c>
      <c r="B2157" s="5">
        <v>13292</v>
      </c>
      <c r="C2157" s="6">
        <v>45673</v>
      </c>
      <c r="D2157" s="5" t="s">
        <v>91</v>
      </c>
      <c r="E2157" s="5" t="s">
        <v>92</v>
      </c>
      <c r="F2157" s="5" t="s">
        <v>96</v>
      </c>
      <c r="G2157" s="5" t="s">
        <v>97</v>
      </c>
      <c r="H2157" s="5" t="s">
        <v>21</v>
      </c>
      <c r="I2157" s="5" t="s">
        <v>703</v>
      </c>
      <c r="J2157" s="5" t="s">
        <v>632</v>
      </c>
      <c r="K2157" s="5" t="s">
        <v>101</v>
      </c>
      <c r="L2157" s="6">
        <v>45685</v>
      </c>
      <c r="M2157" s="6">
        <v>45684</v>
      </c>
      <c r="N2157" s="5" t="s">
        <v>811</v>
      </c>
      <c r="O2157" s="5" t="str">
        <f ca="1">IF(P2157&lt;&gt;"EXPEDIÇÃO","Expedido",IF(NETWORKDAYS(C2157,TODAY())&gt;=5,"Risco Alto",IF(NETWORKDAYS(C2157,TODAY())&gt;=3,IF(NETWORKDAYS(C2157,TODAY())&lt;5,"Risco Médio",""),IF(NETWORKDAYS(C2157,TODAY())&lt;=2,"Risco Baixo",""))))</f>
        <v>Expedido</v>
      </c>
      <c r="P2157" s="5" t="s">
        <v>25</v>
      </c>
      <c r="S2157" s="7">
        <f>IF(ISBLANK(M2157),"Aguardando Previsão/Data",NETWORKDAYS(L2157,M2157)-1)</f>
        <v>-3</v>
      </c>
      <c r="T2157" s="5" t="s">
        <v>942</v>
      </c>
    </row>
    <row r="2158" spans="1:20" x14ac:dyDescent="0.35">
      <c r="A2158" s="5">
        <v>8100278032</v>
      </c>
      <c r="B2158" s="5">
        <v>13305</v>
      </c>
      <c r="C2158" s="6">
        <v>45673</v>
      </c>
      <c r="D2158" s="5" t="s">
        <v>91</v>
      </c>
      <c r="E2158" s="5" t="s">
        <v>92</v>
      </c>
      <c r="F2158" s="5" t="s">
        <v>96</v>
      </c>
      <c r="G2158" s="5" t="s">
        <v>97</v>
      </c>
      <c r="H2158" s="5" t="s">
        <v>21</v>
      </c>
      <c r="I2158" s="5" t="s">
        <v>1386</v>
      </c>
      <c r="J2158" s="5" t="s">
        <v>99</v>
      </c>
      <c r="K2158" s="5" t="s">
        <v>95</v>
      </c>
      <c r="L2158" s="6">
        <v>45679</v>
      </c>
      <c r="M2158" s="6">
        <v>45677</v>
      </c>
      <c r="N2158" s="5" t="s">
        <v>811</v>
      </c>
      <c r="O2158" s="5" t="str">
        <f ca="1">IF(P2158&lt;&gt;"EXPEDIÇÃO","Expedido",IF(NETWORKDAYS(C2158,TODAY())&gt;=5,"Risco Alto",IF(NETWORKDAYS(C2158,TODAY())&gt;=3,IF(NETWORKDAYS(C2158,TODAY())&lt;5,"Risco Médio",""),IF(NETWORKDAYS(C2158,TODAY())&lt;=2,"Risco Baixo",""))))</f>
        <v>Expedido</v>
      </c>
      <c r="P2158" s="5" t="s">
        <v>25</v>
      </c>
      <c r="S2158" s="7">
        <f>IF(ISBLANK(M2158),"Aguardando Previsão/Data",NETWORKDAYS(L2158,M2158)-1)</f>
        <v>-4</v>
      </c>
      <c r="T2158" s="5" t="s">
        <v>942</v>
      </c>
    </row>
    <row r="2159" spans="1:20" x14ac:dyDescent="0.35">
      <c r="A2159" s="5">
        <v>8100278033</v>
      </c>
      <c r="B2159" s="5">
        <v>13294</v>
      </c>
      <c r="C2159" s="6">
        <v>45673</v>
      </c>
      <c r="D2159" s="5" t="s">
        <v>91</v>
      </c>
      <c r="E2159" s="5" t="s">
        <v>92</v>
      </c>
      <c r="F2159" s="5" t="s">
        <v>96</v>
      </c>
      <c r="G2159" s="5" t="s">
        <v>97</v>
      </c>
      <c r="H2159" s="5" t="s">
        <v>21</v>
      </c>
      <c r="I2159" s="5" t="s">
        <v>750</v>
      </c>
      <c r="J2159" s="5" t="s">
        <v>426</v>
      </c>
      <c r="K2159" s="5" t="s">
        <v>95</v>
      </c>
      <c r="L2159" s="6">
        <v>45680</v>
      </c>
      <c r="M2159" s="6">
        <v>45675</v>
      </c>
      <c r="N2159" s="5" t="s">
        <v>811</v>
      </c>
      <c r="O2159" s="5" t="str">
        <f ca="1">IF(P2159&lt;&gt;"EXPEDIÇÃO","Expedido",IF(NETWORKDAYS(C2159,TODAY())&gt;=5,"Risco Alto",IF(NETWORKDAYS(C2159,TODAY())&gt;=3,IF(NETWORKDAYS(C2159,TODAY())&lt;5,"Risco Médio",""),IF(NETWORKDAYS(C2159,TODAY())&lt;=2,"Risco Baixo",""))))</f>
        <v>Expedido</v>
      </c>
      <c r="P2159" s="5" t="s">
        <v>25</v>
      </c>
      <c r="S2159" s="7">
        <f>IF(ISBLANK(M2159),"Aguardando Previsão/Data",NETWORKDAYS(L2159,M2159)-1)</f>
        <v>-5</v>
      </c>
      <c r="T2159" s="5" t="s">
        <v>942</v>
      </c>
    </row>
    <row r="2160" spans="1:20" x14ac:dyDescent="0.35">
      <c r="A2160" s="5">
        <v>8100278066</v>
      </c>
      <c r="B2160" s="5">
        <v>13297</v>
      </c>
      <c r="C2160" s="6">
        <v>45673</v>
      </c>
      <c r="D2160" s="5" t="s">
        <v>91</v>
      </c>
      <c r="E2160" s="5" t="s">
        <v>92</v>
      </c>
      <c r="F2160" s="5" t="s">
        <v>103</v>
      </c>
      <c r="G2160" s="5" t="s">
        <v>104</v>
      </c>
      <c r="H2160" s="5" t="s">
        <v>21</v>
      </c>
      <c r="I2160" s="5" t="s">
        <v>994</v>
      </c>
      <c r="J2160" s="5" t="s">
        <v>995</v>
      </c>
      <c r="K2160" s="5" t="s">
        <v>423</v>
      </c>
      <c r="L2160" s="6">
        <v>45684</v>
      </c>
      <c r="M2160" s="6">
        <v>45677</v>
      </c>
      <c r="N2160" s="5" t="s">
        <v>811</v>
      </c>
      <c r="O2160" s="5" t="str">
        <f ca="1">IF(P2160&lt;&gt;"EXPEDIÇÃO","Expedido",IF(NETWORKDAYS(C2160,TODAY())&gt;=5,"Risco Alto",IF(NETWORKDAYS(C2160,TODAY())&gt;=3,IF(NETWORKDAYS(C2160,TODAY())&lt;5,"Risco Médio",""),IF(NETWORKDAYS(C2160,TODAY())&lt;=2,"Risco Baixo",""))))</f>
        <v>Expedido</v>
      </c>
      <c r="P2160" s="5" t="s">
        <v>25</v>
      </c>
      <c r="S2160" s="7">
        <f>IF(ISBLANK(M2160),"Aguardando Previsão/Data",NETWORKDAYS(L2160,M2160)-1)</f>
        <v>-7</v>
      </c>
      <c r="T2160" s="5" t="s">
        <v>942</v>
      </c>
    </row>
    <row r="2161" spans="1:20" x14ac:dyDescent="0.35">
      <c r="A2161" s="5">
        <v>8100278067</v>
      </c>
      <c r="B2161" s="5">
        <v>13300</v>
      </c>
      <c r="C2161" s="6">
        <v>45673</v>
      </c>
      <c r="D2161" s="5" t="s">
        <v>91</v>
      </c>
      <c r="E2161" s="5" t="s">
        <v>92</v>
      </c>
      <c r="F2161" s="5" t="s">
        <v>96</v>
      </c>
      <c r="G2161" s="5" t="s">
        <v>97</v>
      </c>
      <c r="H2161" s="5" t="s">
        <v>21</v>
      </c>
      <c r="I2161" s="5" t="s">
        <v>750</v>
      </c>
      <c r="J2161" s="5" t="s">
        <v>636</v>
      </c>
      <c r="K2161" s="5" t="s">
        <v>95</v>
      </c>
      <c r="L2161" s="6">
        <v>45680</v>
      </c>
      <c r="M2161" s="6">
        <v>45675</v>
      </c>
      <c r="N2161" s="5" t="s">
        <v>811</v>
      </c>
      <c r="O2161" s="5" t="str">
        <f ca="1">IF(P2161&lt;&gt;"EXPEDIÇÃO","Expedido",IF(NETWORKDAYS(C2161,TODAY())&gt;=5,"Risco Alto",IF(NETWORKDAYS(C2161,TODAY())&gt;=3,IF(NETWORKDAYS(C2161,TODAY())&lt;5,"Risco Médio",""),IF(NETWORKDAYS(C2161,TODAY())&lt;=2,"Risco Baixo",""))))</f>
        <v>Expedido</v>
      </c>
      <c r="P2161" s="5" t="s">
        <v>25</v>
      </c>
      <c r="S2161" s="7">
        <f>IF(ISBLANK(M2161),"Aguardando Previsão/Data",NETWORKDAYS(L2161,M2161)-1)</f>
        <v>-5</v>
      </c>
      <c r="T2161" s="5" t="s">
        <v>942</v>
      </c>
    </row>
    <row r="2162" spans="1:20" x14ac:dyDescent="0.35">
      <c r="A2162" s="5">
        <v>8100278323</v>
      </c>
      <c r="B2162" s="5">
        <v>13312</v>
      </c>
      <c r="C2162" s="6">
        <v>45673</v>
      </c>
      <c r="D2162" s="5" t="s">
        <v>91</v>
      </c>
      <c r="E2162" s="5" t="s">
        <v>92</v>
      </c>
      <c r="F2162" s="5" t="s">
        <v>96</v>
      </c>
      <c r="G2162" s="5" t="s">
        <v>97</v>
      </c>
      <c r="H2162" s="5" t="s">
        <v>21</v>
      </c>
      <c r="I2162" s="5" t="s">
        <v>1386</v>
      </c>
      <c r="J2162" s="5" t="s">
        <v>99</v>
      </c>
      <c r="K2162" s="5" t="s">
        <v>95</v>
      </c>
      <c r="L2162" s="6">
        <v>45679</v>
      </c>
      <c r="M2162" s="6">
        <v>45677</v>
      </c>
      <c r="N2162" s="5" t="s">
        <v>811</v>
      </c>
      <c r="O2162" s="5" t="str">
        <f ca="1">IF(P2162&lt;&gt;"EXPEDIÇÃO","Expedido",IF(NETWORKDAYS(C2162,TODAY())&gt;=5,"Risco Alto",IF(NETWORKDAYS(C2162,TODAY())&gt;=3,IF(NETWORKDAYS(C2162,TODAY())&lt;5,"Risco Médio",""),IF(NETWORKDAYS(C2162,TODAY())&lt;=2,"Risco Baixo",""))))</f>
        <v>Expedido</v>
      </c>
      <c r="P2162" s="5" t="s">
        <v>25</v>
      </c>
      <c r="S2162" s="7">
        <f>IF(ISBLANK(M2162),"Aguardando Previsão/Data",NETWORKDAYS(L2162,M2162)-1)</f>
        <v>-4</v>
      </c>
      <c r="T2162" s="5" t="s">
        <v>942</v>
      </c>
    </row>
    <row r="2163" spans="1:20" x14ac:dyDescent="0.35">
      <c r="A2163" s="5">
        <v>8100278324</v>
      </c>
      <c r="B2163" s="5">
        <v>13310</v>
      </c>
      <c r="C2163" s="6">
        <v>45673</v>
      </c>
      <c r="D2163" s="5" t="s">
        <v>91</v>
      </c>
      <c r="E2163" s="5" t="s">
        <v>92</v>
      </c>
      <c r="F2163" s="5" t="s">
        <v>103</v>
      </c>
      <c r="G2163" s="5" t="s">
        <v>104</v>
      </c>
      <c r="H2163" s="5" t="s">
        <v>21</v>
      </c>
      <c r="I2163" s="5" t="s">
        <v>1373</v>
      </c>
      <c r="J2163" s="5" t="s">
        <v>273</v>
      </c>
      <c r="K2163" s="5" t="s">
        <v>274</v>
      </c>
      <c r="L2163" s="6">
        <v>45684</v>
      </c>
      <c r="M2163" s="6">
        <v>45680</v>
      </c>
      <c r="N2163" s="5" t="s">
        <v>811</v>
      </c>
      <c r="O2163" s="5" t="str">
        <f ca="1">IF(P2163&lt;&gt;"EXPEDIÇÃO","Expedido",IF(NETWORKDAYS(C2163,TODAY())&gt;=5,"Risco Alto",IF(NETWORKDAYS(C2163,TODAY())&gt;=3,IF(NETWORKDAYS(C2163,TODAY())&lt;5,"Risco Médio",""),IF(NETWORKDAYS(C2163,TODAY())&lt;=2,"Risco Baixo",""))))</f>
        <v>Expedido</v>
      </c>
      <c r="P2163" s="5" t="s">
        <v>25</v>
      </c>
      <c r="S2163" s="7">
        <f>IF(ISBLANK(M2163),"Aguardando Previsão/Data",NETWORKDAYS(L2163,M2163)-1)</f>
        <v>-4</v>
      </c>
      <c r="T2163" s="5" t="s">
        <v>942</v>
      </c>
    </row>
    <row r="2164" spans="1:20" x14ac:dyDescent="0.35">
      <c r="A2164" s="5">
        <v>8100278325</v>
      </c>
      <c r="B2164" s="5">
        <v>13307</v>
      </c>
      <c r="C2164" s="6">
        <v>45673</v>
      </c>
      <c r="D2164" s="5" t="s">
        <v>91</v>
      </c>
      <c r="E2164" s="5" t="s">
        <v>92</v>
      </c>
      <c r="F2164" s="5" t="s">
        <v>103</v>
      </c>
      <c r="G2164" s="5" t="s">
        <v>104</v>
      </c>
      <c r="H2164" s="5" t="s">
        <v>21</v>
      </c>
      <c r="I2164" s="5" t="s">
        <v>1390</v>
      </c>
      <c r="J2164" s="5" t="s">
        <v>639</v>
      </c>
      <c r="K2164" s="5" t="s">
        <v>274</v>
      </c>
      <c r="L2164" s="6">
        <v>45685</v>
      </c>
      <c r="M2164" s="6">
        <v>45684</v>
      </c>
      <c r="N2164" s="5" t="s">
        <v>811</v>
      </c>
      <c r="O2164" s="5" t="str">
        <f ca="1">IF(P2164&lt;&gt;"EXPEDIÇÃO","Expedido",IF(NETWORKDAYS(C2164,TODAY())&gt;=5,"Risco Alto",IF(NETWORKDAYS(C2164,TODAY())&gt;=3,IF(NETWORKDAYS(C2164,TODAY())&lt;5,"Risco Médio",""),IF(NETWORKDAYS(C2164,TODAY())&lt;=2,"Risco Baixo",""))))</f>
        <v>Expedido</v>
      </c>
      <c r="P2164" s="5" t="s">
        <v>25</v>
      </c>
      <c r="S2164" s="7">
        <f>IF(ISBLANK(M2164),"Aguardando Previsão/Data",NETWORKDAYS(L2164,M2164)-1)</f>
        <v>-3</v>
      </c>
      <c r="T2164" s="5" t="s">
        <v>942</v>
      </c>
    </row>
    <row r="2165" spans="1:20" x14ac:dyDescent="0.35">
      <c r="A2165" s="5">
        <v>8100278326</v>
      </c>
      <c r="B2165" s="5">
        <v>13309</v>
      </c>
      <c r="C2165" s="6">
        <v>45673</v>
      </c>
      <c r="D2165" s="5" t="s">
        <v>91</v>
      </c>
      <c r="E2165" s="5" t="s">
        <v>92</v>
      </c>
      <c r="F2165" s="5" t="s">
        <v>96</v>
      </c>
      <c r="G2165" s="5" t="s">
        <v>97</v>
      </c>
      <c r="H2165" s="5" t="s">
        <v>21</v>
      </c>
      <c r="I2165" s="5" t="s">
        <v>1391</v>
      </c>
      <c r="J2165" s="5" t="s">
        <v>1392</v>
      </c>
      <c r="K2165" s="5" t="s">
        <v>101</v>
      </c>
      <c r="L2165" s="6">
        <v>45684</v>
      </c>
      <c r="M2165" s="6">
        <v>45678</v>
      </c>
      <c r="N2165" s="5" t="s">
        <v>811</v>
      </c>
      <c r="O2165" s="5" t="str">
        <f ca="1">IF(P2165&lt;&gt;"EXPEDIÇÃO","Expedido",IF(NETWORKDAYS(C2165,TODAY())&gt;=5,"Risco Alto",IF(NETWORKDAYS(C2165,TODAY())&gt;=3,IF(NETWORKDAYS(C2165,TODAY())&lt;5,"Risco Médio",""),IF(NETWORKDAYS(C2165,TODAY())&lt;=2,"Risco Baixo",""))))</f>
        <v>Expedido</v>
      </c>
      <c r="P2165" s="5" t="s">
        <v>25</v>
      </c>
      <c r="S2165" s="7">
        <f>IF(ISBLANK(M2165),"Aguardando Previsão/Data",NETWORKDAYS(L2165,M2165)-1)</f>
        <v>-6</v>
      </c>
      <c r="T2165" s="5" t="s">
        <v>942</v>
      </c>
    </row>
    <row r="2166" spans="1:20" x14ac:dyDescent="0.35">
      <c r="A2166" s="5">
        <v>8100278327</v>
      </c>
      <c r="B2166" s="5">
        <v>13306</v>
      </c>
      <c r="C2166" s="6">
        <v>45673</v>
      </c>
      <c r="D2166" s="5" t="s">
        <v>91</v>
      </c>
      <c r="E2166" s="5" t="s">
        <v>92</v>
      </c>
      <c r="F2166" s="5" t="s">
        <v>66</v>
      </c>
      <c r="G2166" s="5" t="s">
        <v>67</v>
      </c>
      <c r="H2166" s="5" t="s">
        <v>21</v>
      </c>
      <c r="I2166" s="5" t="s">
        <v>935</v>
      </c>
      <c r="J2166" s="5" t="s">
        <v>389</v>
      </c>
      <c r="K2166" s="5" t="s">
        <v>95</v>
      </c>
      <c r="L2166" s="6">
        <v>45686</v>
      </c>
      <c r="M2166" s="6">
        <v>45685</v>
      </c>
      <c r="N2166" s="5" t="s">
        <v>811</v>
      </c>
      <c r="O2166" s="5" t="str">
        <f ca="1">IF(P2166&lt;&gt;"EXPEDIÇÃO","Expedido",IF(NETWORKDAYS(C2166,TODAY())&gt;=5,"Risco Alto",IF(NETWORKDAYS(C2166,TODAY())&gt;=3,IF(NETWORKDAYS(C2166,TODAY())&lt;5,"Risco Médio",""),IF(NETWORKDAYS(C2166,TODAY())&lt;=2,"Risco Baixo",""))))</f>
        <v>Expedido</v>
      </c>
      <c r="P2166" s="5" t="s">
        <v>25</v>
      </c>
      <c r="S2166" s="7">
        <f>IF(ISBLANK(M2166),"Aguardando Previsão/Data",NETWORKDAYS(L2166,M2166)-1)</f>
        <v>-3</v>
      </c>
      <c r="T2166" s="5" t="s">
        <v>942</v>
      </c>
    </row>
    <row r="2167" spans="1:20" x14ac:dyDescent="0.35">
      <c r="A2167" s="5">
        <v>8100278538</v>
      </c>
      <c r="B2167" s="5">
        <v>13313</v>
      </c>
      <c r="C2167" s="6">
        <v>45673</v>
      </c>
      <c r="D2167" s="5" t="s">
        <v>91</v>
      </c>
      <c r="E2167" s="5" t="s">
        <v>92</v>
      </c>
      <c r="F2167" s="5" t="s">
        <v>58</v>
      </c>
      <c r="G2167" s="5" t="s">
        <v>59</v>
      </c>
      <c r="H2167" s="5" t="s">
        <v>21</v>
      </c>
      <c r="I2167" s="5" t="s">
        <v>559</v>
      </c>
      <c r="J2167" s="5" t="s">
        <v>560</v>
      </c>
      <c r="K2167" s="5" t="s">
        <v>95</v>
      </c>
      <c r="L2167" s="6">
        <v>45686</v>
      </c>
      <c r="M2167" s="6">
        <v>45679</v>
      </c>
      <c r="N2167" s="5" t="s">
        <v>811</v>
      </c>
      <c r="O2167" s="5" t="str">
        <f ca="1">IF(P2167&lt;&gt;"EXPEDIÇÃO","Expedido",IF(NETWORKDAYS(C2167,TODAY())&gt;=5,"Risco Alto",IF(NETWORKDAYS(C2167,TODAY())&gt;=3,IF(NETWORKDAYS(C2167,TODAY())&lt;5,"Risco Médio",""),IF(NETWORKDAYS(C2167,TODAY())&lt;=2,"Risco Baixo",""))))</f>
        <v>Expedido</v>
      </c>
      <c r="P2167" s="5" t="s">
        <v>25</v>
      </c>
      <c r="S2167" s="7">
        <f>IF(ISBLANK(M2167),"Aguardando Previsão/Data",NETWORKDAYS(L2167,M2167)-1)</f>
        <v>-7</v>
      </c>
      <c r="T2167" s="5" t="s">
        <v>942</v>
      </c>
    </row>
    <row r="2168" spans="1:20" x14ac:dyDescent="0.35">
      <c r="A2168" s="5">
        <v>8100278539</v>
      </c>
      <c r="B2168" s="5">
        <v>13311</v>
      </c>
      <c r="C2168" s="6">
        <v>45673</v>
      </c>
      <c r="D2168" s="5" t="s">
        <v>91</v>
      </c>
      <c r="E2168" s="5" t="s">
        <v>92</v>
      </c>
      <c r="F2168" s="5" t="s">
        <v>58</v>
      </c>
      <c r="G2168" s="5" t="s">
        <v>59</v>
      </c>
      <c r="H2168" s="5" t="s">
        <v>21</v>
      </c>
      <c r="I2168" s="5" t="s">
        <v>917</v>
      </c>
      <c r="J2168" s="5" t="s">
        <v>471</v>
      </c>
      <c r="K2168" s="5" t="s">
        <v>95</v>
      </c>
      <c r="L2168" s="6">
        <v>45686</v>
      </c>
      <c r="M2168" s="6">
        <v>45677</v>
      </c>
      <c r="N2168" s="5" t="s">
        <v>811</v>
      </c>
      <c r="O2168" s="5" t="str">
        <f ca="1">IF(P2168&lt;&gt;"EXPEDIÇÃO","Expedido",IF(NETWORKDAYS(C2168,TODAY())&gt;=5,"Risco Alto",IF(NETWORKDAYS(C2168,TODAY())&gt;=3,IF(NETWORKDAYS(C2168,TODAY())&lt;5,"Risco Médio",""),IF(NETWORKDAYS(C2168,TODAY())&lt;=2,"Risco Baixo",""))))</f>
        <v>Expedido</v>
      </c>
      <c r="P2168" s="5" t="s">
        <v>25</v>
      </c>
      <c r="S2168" s="7">
        <f>IF(ISBLANK(M2168),"Aguardando Previsão/Data",NETWORKDAYS(L2168,M2168)-1)</f>
        <v>-9</v>
      </c>
      <c r="T2168" s="5" t="s">
        <v>942</v>
      </c>
    </row>
    <row r="2169" spans="1:20" x14ac:dyDescent="0.35">
      <c r="A2169" s="5">
        <v>8100278540</v>
      </c>
      <c r="B2169" s="5">
        <v>13308</v>
      </c>
      <c r="C2169" s="6">
        <v>45673</v>
      </c>
      <c r="D2169" s="5" t="s">
        <v>91</v>
      </c>
      <c r="E2169" s="5" t="s">
        <v>92</v>
      </c>
      <c r="F2169" s="5" t="s">
        <v>96</v>
      </c>
      <c r="G2169" s="5" t="s">
        <v>97</v>
      </c>
      <c r="H2169" s="5" t="s">
        <v>21</v>
      </c>
      <c r="I2169" s="5" t="s">
        <v>799</v>
      </c>
      <c r="J2169" s="5" t="s">
        <v>800</v>
      </c>
      <c r="K2169" s="5" t="s">
        <v>101</v>
      </c>
      <c r="L2169" s="6">
        <v>45684</v>
      </c>
      <c r="M2169" s="6">
        <v>45677</v>
      </c>
      <c r="N2169" s="5" t="s">
        <v>811</v>
      </c>
      <c r="O2169" s="5" t="str">
        <f ca="1">IF(P2169&lt;&gt;"EXPEDIÇÃO","Expedido",IF(NETWORKDAYS(C2169,TODAY())&gt;=5,"Risco Alto",IF(NETWORKDAYS(C2169,TODAY())&gt;=3,IF(NETWORKDAYS(C2169,TODAY())&lt;5,"Risco Médio",""),IF(NETWORKDAYS(C2169,TODAY())&lt;=2,"Risco Baixo",""))))</f>
        <v>Expedido</v>
      </c>
      <c r="P2169" s="5" t="s">
        <v>25</v>
      </c>
      <c r="S2169" s="7">
        <f>IF(ISBLANK(M2169),"Aguardando Previsão/Data",NETWORKDAYS(L2169,M2169)-1)</f>
        <v>-7</v>
      </c>
      <c r="T2169" s="5" t="s">
        <v>942</v>
      </c>
    </row>
    <row r="2170" spans="1:20" x14ac:dyDescent="0.35">
      <c r="A2170" s="5">
        <v>8100278541</v>
      </c>
      <c r="B2170" s="5">
        <v>13314</v>
      </c>
      <c r="C2170" s="6">
        <v>45673</v>
      </c>
      <c r="D2170" s="5" t="s">
        <v>91</v>
      </c>
      <c r="E2170" s="5" t="s">
        <v>92</v>
      </c>
      <c r="F2170" s="5" t="s">
        <v>66</v>
      </c>
      <c r="G2170" s="5" t="s">
        <v>67</v>
      </c>
      <c r="H2170" s="5" t="s">
        <v>21</v>
      </c>
      <c r="I2170" s="5" t="s">
        <v>935</v>
      </c>
      <c r="J2170" s="5" t="s">
        <v>389</v>
      </c>
      <c r="K2170" s="5" t="s">
        <v>95</v>
      </c>
      <c r="L2170" s="6">
        <v>45686</v>
      </c>
      <c r="M2170" s="6">
        <v>45685</v>
      </c>
      <c r="N2170" s="5" t="s">
        <v>811</v>
      </c>
      <c r="O2170" s="5" t="str">
        <f ca="1">IF(P2170&lt;&gt;"EXPEDIÇÃO","Expedido",IF(NETWORKDAYS(C2170,TODAY())&gt;=5,"Risco Alto",IF(NETWORKDAYS(C2170,TODAY())&gt;=3,IF(NETWORKDAYS(C2170,TODAY())&lt;5,"Risco Médio",""),IF(NETWORKDAYS(C2170,TODAY())&lt;=2,"Risco Baixo",""))))</f>
        <v>Expedido</v>
      </c>
      <c r="P2170" s="5" t="s">
        <v>25</v>
      </c>
      <c r="S2170" s="7">
        <f>IF(ISBLANK(M2170),"Aguardando Previsão/Data",NETWORKDAYS(L2170,M2170)-1)</f>
        <v>-3</v>
      </c>
      <c r="T2170" s="5" t="s">
        <v>942</v>
      </c>
    </row>
    <row r="2171" spans="1:20" x14ac:dyDescent="0.35">
      <c r="A2171" s="5">
        <v>8100278542</v>
      </c>
      <c r="B2171" s="5">
        <v>13315</v>
      </c>
      <c r="C2171" s="6">
        <v>45673</v>
      </c>
      <c r="D2171" s="5" t="s">
        <v>91</v>
      </c>
      <c r="E2171" s="5" t="s">
        <v>92</v>
      </c>
      <c r="F2171" s="5" t="s">
        <v>66</v>
      </c>
      <c r="G2171" s="5" t="s">
        <v>67</v>
      </c>
      <c r="H2171" s="5" t="s">
        <v>21</v>
      </c>
      <c r="I2171" s="5" t="s">
        <v>935</v>
      </c>
      <c r="J2171" s="5" t="s">
        <v>389</v>
      </c>
      <c r="K2171" s="5" t="s">
        <v>95</v>
      </c>
      <c r="L2171" s="6">
        <v>45686</v>
      </c>
      <c r="M2171" s="6">
        <v>45685</v>
      </c>
      <c r="N2171" s="5" t="s">
        <v>811</v>
      </c>
      <c r="O2171" s="5" t="str">
        <f ca="1">IF(P2171&lt;&gt;"EXPEDIÇÃO","Expedido",IF(NETWORKDAYS(C2171,TODAY())&gt;=5,"Risco Alto",IF(NETWORKDAYS(C2171,TODAY())&gt;=3,IF(NETWORKDAYS(C2171,TODAY())&lt;5,"Risco Médio",""),IF(NETWORKDAYS(C2171,TODAY())&lt;=2,"Risco Baixo",""))))</f>
        <v>Expedido</v>
      </c>
      <c r="P2171" s="5" t="s">
        <v>25</v>
      </c>
      <c r="S2171" s="7">
        <f>IF(ISBLANK(M2171),"Aguardando Previsão/Data",NETWORKDAYS(L2171,M2171)-1)</f>
        <v>-3</v>
      </c>
      <c r="T2171" s="5" t="s">
        <v>942</v>
      </c>
    </row>
    <row r="2172" spans="1:20" x14ac:dyDescent="0.35">
      <c r="A2172" s="5">
        <v>8100278543</v>
      </c>
      <c r="B2172" s="5">
        <v>13316</v>
      </c>
      <c r="C2172" s="6">
        <v>45673</v>
      </c>
      <c r="D2172" s="5" t="s">
        <v>91</v>
      </c>
      <c r="E2172" s="5" t="s">
        <v>92</v>
      </c>
      <c r="F2172" s="5" t="s">
        <v>66</v>
      </c>
      <c r="G2172" s="5" t="s">
        <v>67</v>
      </c>
      <c r="H2172" s="5" t="s">
        <v>21</v>
      </c>
      <c r="I2172" s="5" t="s">
        <v>935</v>
      </c>
      <c r="J2172" s="5" t="s">
        <v>389</v>
      </c>
      <c r="K2172" s="5" t="s">
        <v>95</v>
      </c>
      <c r="L2172" s="6">
        <v>45686</v>
      </c>
      <c r="M2172" s="6">
        <v>45685</v>
      </c>
      <c r="N2172" s="5" t="s">
        <v>811</v>
      </c>
      <c r="O2172" s="5" t="str">
        <f ca="1">IF(P2172&lt;&gt;"EXPEDIÇÃO","Expedido",IF(NETWORKDAYS(C2172,TODAY())&gt;=5,"Risco Alto",IF(NETWORKDAYS(C2172,TODAY())&gt;=3,IF(NETWORKDAYS(C2172,TODAY())&lt;5,"Risco Médio",""),IF(NETWORKDAYS(C2172,TODAY())&lt;=2,"Risco Baixo",""))))</f>
        <v>Expedido</v>
      </c>
      <c r="P2172" s="5" t="s">
        <v>25</v>
      </c>
      <c r="S2172" s="7">
        <f>IF(ISBLANK(M2172),"Aguardando Previsão/Data",NETWORKDAYS(L2172,M2172)-1)</f>
        <v>-3</v>
      </c>
      <c r="T2172" s="5" t="s">
        <v>942</v>
      </c>
    </row>
    <row r="2173" spans="1:20" x14ac:dyDescent="0.35">
      <c r="A2173" s="5">
        <v>8100276862</v>
      </c>
      <c r="B2173" s="5">
        <v>21395</v>
      </c>
      <c r="C2173" s="6">
        <v>45673</v>
      </c>
      <c r="D2173" s="5" t="s">
        <v>836</v>
      </c>
      <c r="E2173" s="5" t="s">
        <v>837</v>
      </c>
      <c r="F2173" s="5" t="s">
        <v>84</v>
      </c>
      <c r="G2173" s="5" t="s">
        <v>85</v>
      </c>
      <c r="H2173" s="5" t="s">
        <v>21</v>
      </c>
      <c r="I2173" s="5" t="s">
        <v>773</v>
      </c>
      <c r="J2173" s="5" t="s">
        <v>260</v>
      </c>
      <c r="K2173" s="5" t="s">
        <v>24</v>
      </c>
      <c r="L2173" s="6">
        <v>45681</v>
      </c>
      <c r="M2173" s="6">
        <v>45685</v>
      </c>
      <c r="N2173" s="5" t="s">
        <v>811</v>
      </c>
      <c r="O2173" s="5" t="str">
        <f ca="1">IF(P2173&lt;&gt;"EXPEDIÇÃO","Expedido",IF(NETWORKDAYS(C2173,TODAY())&gt;=5,"Risco Alto",IF(NETWORKDAYS(C2173,TODAY())&gt;=3,IF(NETWORKDAYS(C2173,TODAY())&lt;5,"Risco Médio",""),IF(NETWORKDAYS(C2173,TODAY())&lt;=2,"Risco Baixo",""))))</f>
        <v>Expedido</v>
      </c>
      <c r="P2173" s="5" t="s">
        <v>25</v>
      </c>
      <c r="Q2173" s="5" t="s">
        <v>897</v>
      </c>
      <c r="R2173" s="5">
        <v>1691337</v>
      </c>
      <c r="S2173" s="7">
        <f>IF(ISBLANK(M2173),"Aguardando Previsão/Data",NETWORKDAYS(L2173,M2173)-1)</f>
        <v>2</v>
      </c>
      <c r="T2173" s="5" t="s">
        <v>942</v>
      </c>
    </row>
    <row r="2174" spans="1:20" x14ac:dyDescent="0.35">
      <c r="A2174" s="5">
        <v>8100276871</v>
      </c>
      <c r="B2174" s="5">
        <v>21396</v>
      </c>
      <c r="C2174" s="6">
        <v>45673</v>
      </c>
      <c r="D2174" s="5" t="s">
        <v>836</v>
      </c>
      <c r="E2174" s="5" t="s">
        <v>837</v>
      </c>
      <c r="F2174" s="5" t="s">
        <v>39</v>
      </c>
      <c r="G2174" s="5" t="s">
        <v>40</v>
      </c>
      <c r="H2174" s="5" t="s">
        <v>21</v>
      </c>
      <c r="I2174" s="5" t="s">
        <v>1096</v>
      </c>
      <c r="J2174" s="5" t="s">
        <v>41</v>
      </c>
      <c r="K2174" s="5" t="s">
        <v>24</v>
      </c>
      <c r="L2174" s="6">
        <v>45679</v>
      </c>
      <c r="M2174" s="6">
        <v>45678</v>
      </c>
      <c r="N2174" s="5" t="s">
        <v>811</v>
      </c>
      <c r="O2174" s="5" t="str">
        <f ca="1">IF(P2174&lt;&gt;"EXPEDIÇÃO","Expedido",IF(NETWORKDAYS(C2174,TODAY())&gt;=5,"Risco Alto",IF(NETWORKDAYS(C2174,TODAY())&gt;=3,IF(NETWORKDAYS(C2174,TODAY())&lt;5,"Risco Médio",""),IF(NETWORKDAYS(C2174,TODAY())&lt;=2,"Risco Baixo",""))))</f>
        <v>Expedido</v>
      </c>
      <c r="P2174" s="5" t="s">
        <v>25</v>
      </c>
      <c r="S2174" s="7">
        <f>IF(ISBLANK(M2174),"Aguardando Previsão/Data",NETWORKDAYS(L2174,M2174)-1)</f>
        <v>-3</v>
      </c>
      <c r="T2174" s="5" t="s">
        <v>942</v>
      </c>
    </row>
    <row r="2175" spans="1:20" x14ac:dyDescent="0.35">
      <c r="A2175" s="5">
        <v>8100277085</v>
      </c>
      <c r="B2175" s="5">
        <v>21397</v>
      </c>
      <c r="C2175" s="6">
        <v>45673</v>
      </c>
      <c r="D2175" s="5" t="s">
        <v>836</v>
      </c>
      <c r="E2175" s="5" t="s">
        <v>837</v>
      </c>
      <c r="F2175" s="5" t="s">
        <v>39</v>
      </c>
      <c r="G2175" s="5" t="s">
        <v>40</v>
      </c>
      <c r="H2175" s="5" t="s">
        <v>21</v>
      </c>
      <c r="I2175" s="5" t="s">
        <v>918</v>
      </c>
      <c r="J2175" s="5" t="s">
        <v>495</v>
      </c>
      <c r="K2175" s="5" t="s">
        <v>24</v>
      </c>
      <c r="L2175" s="6">
        <v>45684</v>
      </c>
      <c r="M2175" s="6">
        <v>45684</v>
      </c>
      <c r="N2175" s="5" t="s">
        <v>811</v>
      </c>
      <c r="O2175" s="5" t="str">
        <f ca="1">IF(P2175&lt;&gt;"EXPEDIÇÃO","Expedido",IF(NETWORKDAYS(C2175,TODAY())&gt;=5,"Risco Alto",IF(NETWORKDAYS(C2175,TODAY())&gt;=3,IF(NETWORKDAYS(C2175,TODAY())&lt;5,"Risco Médio",""),IF(NETWORKDAYS(C2175,TODAY())&lt;=2,"Risco Baixo",""))))</f>
        <v>Expedido</v>
      </c>
      <c r="P2175" s="5" t="s">
        <v>25</v>
      </c>
      <c r="Q2175" s="5" t="s">
        <v>897</v>
      </c>
      <c r="R2175" s="5">
        <v>1694778</v>
      </c>
      <c r="S2175" s="7">
        <f>IF(ISBLANK(M2175),"Aguardando Previsão/Data",NETWORKDAYS(L2175,M2175)-1)</f>
        <v>0</v>
      </c>
      <c r="T2175" s="5" t="s">
        <v>942</v>
      </c>
    </row>
    <row r="2176" spans="1:20" x14ac:dyDescent="0.35">
      <c r="A2176" s="5">
        <v>8100277088</v>
      </c>
      <c r="B2176" s="5">
        <v>21398</v>
      </c>
      <c r="C2176" s="6">
        <v>45673</v>
      </c>
      <c r="D2176" s="5" t="s">
        <v>836</v>
      </c>
      <c r="E2176" s="5" t="s">
        <v>837</v>
      </c>
      <c r="F2176" s="5" t="s">
        <v>39</v>
      </c>
      <c r="G2176" s="5" t="s">
        <v>40</v>
      </c>
      <c r="H2176" s="5" t="s">
        <v>21</v>
      </c>
      <c r="I2176" s="5" t="s">
        <v>794</v>
      </c>
      <c r="J2176" s="5" t="s">
        <v>495</v>
      </c>
      <c r="K2176" s="5" t="s">
        <v>24</v>
      </c>
      <c r="L2176" s="6">
        <v>45684</v>
      </c>
      <c r="M2176" s="6">
        <v>45688</v>
      </c>
      <c r="N2176" s="5" t="s">
        <v>812</v>
      </c>
      <c r="O2176" s="5" t="str">
        <f ca="1">IF(P2176&lt;&gt;"EXPEDIÇÃO","Expedido",IF(NETWORKDAYS(C2176,TODAY())&gt;=5,"Risco Alto",IF(NETWORKDAYS(C2176,TODAY())&gt;=3,IF(NETWORKDAYS(C2176,TODAY())&lt;5,"Risco Médio",""),IF(NETWORKDAYS(C2176,TODAY())&lt;=2,"Risco Baixo",""))))</f>
        <v>Risco Alto</v>
      </c>
      <c r="P2176" s="5" t="s">
        <v>726</v>
      </c>
      <c r="Q2176" s="5" t="s">
        <v>897</v>
      </c>
      <c r="R2176" s="5">
        <v>1694784</v>
      </c>
      <c r="S2176" s="7">
        <f>IF(ISBLANK(M2176),"Aguardando Previsão/Data",NETWORKDAYS(L2176,M2176)-1)</f>
        <v>4</v>
      </c>
    </row>
    <row r="2177" spans="1:20" x14ac:dyDescent="0.35">
      <c r="A2177" s="5">
        <v>8100277468</v>
      </c>
      <c r="B2177" s="5">
        <v>21377</v>
      </c>
      <c r="C2177" s="6">
        <v>45673</v>
      </c>
      <c r="D2177" s="5" t="s">
        <v>836</v>
      </c>
      <c r="E2177" s="5" t="s">
        <v>837</v>
      </c>
      <c r="F2177" s="5" t="s">
        <v>39</v>
      </c>
      <c r="G2177" s="5" t="s">
        <v>40</v>
      </c>
      <c r="H2177" s="5" t="s">
        <v>21</v>
      </c>
      <c r="I2177" s="5" t="s">
        <v>842</v>
      </c>
      <c r="J2177" s="5" t="s">
        <v>848</v>
      </c>
      <c r="K2177" s="5" t="s">
        <v>24</v>
      </c>
      <c r="L2177" s="6">
        <v>45684</v>
      </c>
      <c r="M2177" s="6">
        <v>45679</v>
      </c>
      <c r="N2177" s="5" t="s">
        <v>811</v>
      </c>
      <c r="O2177" s="5" t="str">
        <f ca="1">IF(P2177&lt;&gt;"EXPEDIÇÃO","Expedido",IF(NETWORKDAYS(C2177,TODAY())&gt;=5,"Risco Alto",IF(NETWORKDAYS(C2177,TODAY())&gt;=3,IF(NETWORKDAYS(C2177,TODAY())&lt;5,"Risco Médio",""),IF(NETWORKDAYS(C2177,TODAY())&lt;=2,"Risco Baixo",""))))</f>
        <v>Expedido</v>
      </c>
      <c r="P2177" s="5" t="s">
        <v>25</v>
      </c>
      <c r="S2177" s="7">
        <f>IF(ISBLANK(M2177),"Aguardando Previsão/Data",NETWORKDAYS(L2177,M2177)-1)</f>
        <v>-5</v>
      </c>
      <c r="T2177" s="5" t="s">
        <v>942</v>
      </c>
    </row>
    <row r="2178" spans="1:20" x14ac:dyDescent="0.35">
      <c r="A2178" s="5">
        <v>8100277469</v>
      </c>
      <c r="B2178" s="5">
        <v>21376</v>
      </c>
      <c r="C2178" s="6">
        <v>45673</v>
      </c>
      <c r="D2178" s="5" t="s">
        <v>836</v>
      </c>
      <c r="E2178" s="5" t="s">
        <v>837</v>
      </c>
      <c r="F2178" s="5" t="s">
        <v>39</v>
      </c>
      <c r="G2178" s="5" t="s">
        <v>40</v>
      </c>
      <c r="H2178" s="5" t="s">
        <v>21</v>
      </c>
      <c r="I2178" s="5" t="s">
        <v>849</v>
      </c>
      <c r="J2178" s="5" t="s">
        <v>603</v>
      </c>
      <c r="K2178" s="5" t="s">
        <v>24</v>
      </c>
      <c r="L2178" s="6">
        <v>45681</v>
      </c>
      <c r="M2178" s="6">
        <v>45678</v>
      </c>
      <c r="N2178" s="5" t="s">
        <v>811</v>
      </c>
      <c r="O2178" s="5" t="str">
        <f ca="1">IF(P2178&lt;&gt;"EXPEDIÇÃO","Expedido",IF(NETWORKDAYS(C2178,TODAY())&gt;=5,"Risco Alto",IF(NETWORKDAYS(C2178,TODAY())&gt;=3,IF(NETWORKDAYS(C2178,TODAY())&lt;5,"Risco Médio",""),IF(NETWORKDAYS(C2178,TODAY())&lt;=2,"Risco Baixo",""))))</f>
        <v>Expedido</v>
      </c>
      <c r="P2178" s="5" t="s">
        <v>25</v>
      </c>
      <c r="S2178" s="7">
        <f>IF(ISBLANK(M2178),"Aguardando Previsão/Data",NETWORKDAYS(L2178,M2178)-1)</f>
        <v>-5</v>
      </c>
      <c r="T2178" s="5" t="s">
        <v>942</v>
      </c>
    </row>
    <row r="2179" spans="1:20" x14ac:dyDescent="0.35">
      <c r="A2179" s="5">
        <v>8100277470</v>
      </c>
      <c r="B2179" s="5">
        <v>21378</v>
      </c>
      <c r="C2179" s="6">
        <v>45673</v>
      </c>
      <c r="D2179" s="5" t="s">
        <v>836</v>
      </c>
      <c r="E2179" s="5" t="s">
        <v>837</v>
      </c>
      <c r="F2179" s="5" t="s">
        <v>39</v>
      </c>
      <c r="G2179" s="5" t="s">
        <v>40</v>
      </c>
      <c r="H2179" s="5" t="s">
        <v>21</v>
      </c>
      <c r="I2179" s="5" t="s">
        <v>1370</v>
      </c>
      <c r="J2179" s="5" t="s">
        <v>601</v>
      </c>
      <c r="K2179" s="5" t="s">
        <v>24</v>
      </c>
      <c r="L2179" s="6">
        <v>45684</v>
      </c>
      <c r="M2179" s="6">
        <v>45687</v>
      </c>
      <c r="N2179" s="5" t="s">
        <v>812</v>
      </c>
      <c r="O2179" s="5" t="str">
        <f ca="1">IF(P2179&lt;&gt;"EXPEDIÇÃO","Expedido",IF(NETWORKDAYS(C2179,TODAY())&gt;=5,"Risco Alto",IF(NETWORKDAYS(C2179,TODAY())&gt;=3,IF(NETWORKDAYS(C2179,TODAY())&lt;5,"Risco Médio",""),IF(NETWORKDAYS(C2179,TODAY())&lt;=2,"Risco Baixo",""))))</f>
        <v>Expedido</v>
      </c>
      <c r="P2179" s="5" t="s">
        <v>617</v>
      </c>
      <c r="Q2179" s="5" t="s">
        <v>937</v>
      </c>
      <c r="S2179" s="7">
        <f>IF(ISBLANK(M2179),"Aguardando Previsão/Data",NETWORKDAYS(L2179,M2179)-1)</f>
        <v>3</v>
      </c>
    </row>
    <row r="2180" spans="1:20" x14ac:dyDescent="0.35">
      <c r="A2180" s="5">
        <v>8100278011</v>
      </c>
      <c r="B2180" s="5">
        <v>21375</v>
      </c>
      <c r="C2180" s="6">
        <v>45673</v>
      </c>
      <c r="D2180" s="5" t="s">
        <v>836</v>
      </c>
      <c r="E2180" s="5" t="s">
        <v>837</v>
      </c>
      <c r="F2180" s="5" t="s">
        <v>19</v>
      </c>
      <c r="G2180" s="5" t="s">
        <v>20</v>
      </c>
      <c r="H2180" s="5" t="s">
        <v>21</v>
      </c>
      <c r="I2180" s="5" t="s">
        <v>492</v>
      </c>
      <c r="J2180" s="5" t="s">
        <v>466</v>
      </c>
      <c r="K2180" s="5" t="s">
        <v>24</v>
      </c>
      <c r="L2180" s="6">
        <v>45681</v>
      </c>
      <c r="M2180" s="6">
        <v>45685</v>
      </c>
      <c r="N2180" s="5" t="s">
        <v>811</v>
      </c>
      <c r="O2180" s="5" t="str">
        <f ca="1">IF(P2180&lt;&gt;"EXPEDIÇÃO","Expedido",IF(NETWORKDAYS(C2180,TODAY())&gt;=5,"Risco Alto",IF(NETWORKDAYS(C2180,TODAY())&gt;=3,IF(NETWORKDAYS(C2180,TODAY())&lt;5,"Risco Médio",""),IF(NETWORKDAYS(C2180,TODAY())&lt;=2,"Risco Baixo",""))))</f>
        <v>Expedido</v>
      </c>
      <c r="P2180" s="5" t="s">
        <v>25</v>
      </c>
      <c r="Q2180" s="5" t="s">
        <v>897</v>
      </c>
      <c r="R2180" s="5">
        <v>1691334</v>
      </c>
      <c r="S2180" s="7">
        <f>IF(ISBLANK(M2180),"Aguardando Previsão/Data",NETWORKDAYS(L2180,M2180)-1)</f>
        <v>2</v>
      </c>
      <c r="T2180" s="5" t="s">
        <v>942</v>
      </c>
    </row>
    <row r="2181" spans="1:20" x14ac:dyDescent="0.35">
      <c r="A2181" s="5">
        <v>8100278012</v>
      </c>
      <c r="B2181" s="5">
        <v>21369</v>
      </c>
      <c r="C2181" s="6">
        <v>45673</v>
      </c>
      <c r="D2181" s="5" t="s">
        <v>836</v>
      </c>
      <c r="E2181" s="5" t="s">
        <v>837</v>
      </c>
      <c r="F2181" s="5" t="s">
        <v>19</v>
      </c>
      <c r="G2181" s="5" t="s">
        <v>20</v>
      </c>
      <c r="H2181" s="5" t="s">
        <v>21</v>
      </c>
      <c r="I2181" s="5" t="s">
        <v>975</v>
      </c>
      <c r="J2181" s="5" t="s">
        <v>603</v>
      </c>
      <c r="K2181" s="5" t="s">
        <v>24</v>
      </c>
      <c r="L2181" s="6">
        <v>45681</v>
      </c>
      <c r="M2181" s="6">
        <v>45677</v>
      </c>
      <c r="N2181" s="5" t="s">
        <v>811</v>
      </c>
      <c r="O2181" s="5" t="str">
        <f ca="1">IF(P2181&lt;&gt;"EXPEDIÇÃO","Expedido",IF(NETWORKDAYS(C2181,TODAY())&gt;=5,"Risco Alto",IF(NETWORKDAYS(C2181,TODAY())&gt;=3,IF(NETWORKDAYS(C2181,TODAY())&lt;5,"Risco Médio",""),IF(NETWORKDAYS(C2181,TODAY())&lt;=2,"Risco Baixo",""))))</f>
        <v>Expedido</v>
      </c>
      <c r="P2181" s="5" t="s">
        <v>25</v>
      </c>
      <c r="S2181" s="7">
        <f>IF(ISBLANK(M2181),"Aguardando Previsão/Data",NETWORKDAYS(L2181,M2181)-1)</f>
        <v>-6</v>
      </c>
      <c r="T2181" s="5" t="s">
        <v>942</v>
      </c>
    </row>
    <row r="2182" spans="1:20" x14ac:dyDescent="0.35">
      <c r="A2182" s="5">
        <v>8100278013</v>
      </c>
      <c r="B2182" s="5">
        <v>21370</v>
      </c>
      <c r="C2182" s="6">
        <v>45673</v>
      </c>
      <c r="D2182" s="5" t="s">
        <v>836</v>
      </c>
      <c r="E2182" s="5" t="s">
        <v>837</v>
      </c>
      <c r="F2182" s="5" t="s">
        <v>84</v>
      </c>
      <c r="G2182" s="5" t="s">
        <v>85</v>
      </c>
      <c r="H2182" s="5" t="s">
        <v>21</v>
      </c>
      <c r="I2182" s="5" t="s">
        <v>876</v>
      </c>
      <c r="J2182" s="5" t="s">
        <v>522</v>
      </c>
      <c r="K2182" s="5" t="s">
        <v>24</v>
      </c>
      <c r="L2182" s="6">
        <v>45681</v>
      </c>
      <c r="M2182" s="6">
        <v>45688</v>
      </c>
      <c r="N2182" s="5" t="s">
        <v>811</v>
      </c>
      <c r="O2182" s="5" t="str">
        <f ca="1">IF(P2182&lt;&gt;"EXPEDIÇÃO","Expedido",IF(NETWORKDAYS(C2182,TODAY())&gt;=5,"Risco Alto",IF(NETWORKDAYS(C2182,TODAY())&gt;=3,IF(NETWORKDAYS(C2182,TODAY())&lt;5,"Risco Médio",""),IF(NETWORKDAYS(C2182,TODAY())&lt;=2,"Risco Baixo",""))))</f>
        <v>Risco Alto</v>
      </c>
      <c r="P2182" s="5" t="s">
        <v>726</v>
      </c>
      <c r="Q2182" s="5" t="s">
        <v>897</v>
      </c>
      <c r="R2182" s="5">
        <v>1691327</v>
      </c>
      <c r="S2182" s="7">
        <f>IF(ISBLANK(M2182),"Aguardando Previsão/Data",NETWORKDAYS(L2182,M2182)-1)</f>
        <v>5</v>
      </c>
    </row>
    <row r="2183" spans="1:20" x14ac:dyDescent="0.35">
      <c r="A2183" s="5">
        <v>8100278014</v>
      </c>
      <c r="B2183" s="5">
        <v>21374</v>
      </c>
      <c r="C2183" s="6">
        <v>45673</v>
      </c>
      <c r="D2183" s="5" t="s">
        <v>836</v>
      </c>
      <c r="E2183" s="5" t="s">
        <v>837</v>
      </c>
      <c r="F2183" s="5" t="s">
        <v>39</v>
      </c>
      <c r="G2183" s="5" t="s">
        <v>40</v>
      </c>
      <c r="H2183" s="5" t="s">
        <v>21</v>
      </c>
      <c r="I2183" s="5" t="s">
        <v>842</v>
      </c>
      <c r="J2183" s="5" t="s">
        <v>848</v>
      </c>
      <c r="K2183" s="5" t="s">
        <v>24</v>
      </c>
      <c r="L2183" s="6">
        <v>45684</v>
      </c>
      <c r="M2183" s="6">
        <v>45679</v>
      </c>
      <c r="N2183" s="5" t="s">
        <v>811</v>
      </c>
      <c r="O2183" s="5" t="str">
        <f ca="1">IF(P2183&lt;&gt;"EXPEDIÇÃO","Expedido",IF(NETWORKDAYS(C2183,TODAY())&gt;=5,"Risco Alto",IF(NETWORKDAYS(C2183,TODAY())&gt;=3,IF(NETWORKDAYS(C2183,TODAY())&lt;5,"Risco Médio",""),IF(NETWORKDAYS(C2183,TODAY())&lt;=2,"Risco Baixo",""))))</f>
        <v>Expedido</v>
      </c>
      <c r="P2183" s="5" t="s">
        <v>25</v>
      </c>
      <c r="S2183" s="7">
        <f>IF(ISBLANK(M2183),"Aguardando Previsão/Data",NETWORKDAYS(L2183,M2183)-1)</f>
        <v>-5</v>
      </c>
      <c r="T2183" s="5" t="s">
        <v>942</v>
      </c>
    </row>
    <row r="2184" spans="1:20" x14ac:dyDescent="0.35">
      <c r="A2184" s="5">
        <v>8100278015</v>
      </c>
      <c r="B2184" s="5">
        <v>21372</v>
      </c>
      <c r="C2184" s="6">
        <v>45673</v>
      </c>
      <c r="D2184" s="5" t="s">
        <v>836</v>
      </c>
      <c r="E2184" s="5" t="s">
        <v>837</v>
      </c>
      <c r="F2184" s="5" t="s">
        <v>39</v>
      </c>
      <c r="G2184" s="5" t="s">
        <v>40</v>
      </c>
      <c r="H2184" s="5" t="s">
        <v>21</v>
      </c>
      <c r="I2184" s="5" t="s">
        <v>842</v>
      </c>
      <c r="J2184" s="5" t="s">
        <v>843</v>
      </c>
      <c r="K2184" s="5" t="s">
        <v>24</v>
      </c>
      <c r="L2184" s="6">
        <v>45684</v>
      </c>
      <c r="M2184" s="6">
        <v>45679</v>
      </c>
      <c r="N2184" s="5" t="s">
        <v>811</v>
      </c>
      <c r="O2184" s="5" t="str">
        <f ca="1">IF(P2184&lt;&gt;"EXPEDIÇÃO","Expedido",IF(NETWORKDAYS(C2184,TODAY())&gt;=5,"Risco Alto",IF(NETWORKDAYS(C2184,TODAY())&gt;=3,IF(NETWORKDAYS(C2184,TODAY())&lt;5,"Risco Médio",""),IF(NETWORKDAYS(C2184,TODAY())&lt;=2,"Risco Baixo",""))))</f>
        <v>Expedido</v>
      </c>
      <c r="P2184" s="5" t="s">
        <v>25</v>
      </c>
      <c r="S2184" s="7">
        <f>IF(ISBLANK(M2184),"Aguardando Previsão/Data",NETWORKDAYS(L2184,M2184)-1)</f>
        <v>-5</v>
      </c>
      <c r="T2184" s="5" t="s">
        <v>942</v>
      </c>
    </row>
    <row r="2185" spans="1:20" x14ac:dyDescent="0.35">
      <c r="A2185" s="5">
        <v>8100278016</v>
      </c>
      <c r="B2185" s="5">
        <v>21371</v>
      </c>
      <c r="C2185" s="6">
        <v>45673</v>
      </c>
      <c r="D2185" s="5" t="s">
        <v>836</v>
      </c>
      <c r="E2185" s="5" t="s">
        <v>837</v>
      </c>
      <c r="F2185" s="5" t="s">
        <v>39</v>
      </c>
      <c r="G2185" s="5" t="s">
        <v>40</v>
      </c>
      <c r="H2185" s="5" t="s">
        <v>21</v>
      </c>
      <c r="I2185" s="5" t="s">
        <v>918</v>
      </c>
      <c r="J2185" s="5" t="s">
        <v>495</v>
      </c>
      <c r="K2185" s="5" t="s">
        <v>24</v>
      </c>
      <c r="L2185" s="6">
        <v>45684</v>
      </c>
      <c r="M2185" s="6">
        <v>45684</v>
      </c>
      <c r="N2185" s="5" t="s">
        <v>811</v>
      </c>
      <c r="O2185" s="5" t="str">
        <f ca="1">IF(P2185&lt;&gt;"EXPEDIÇÃO","Expedido",IF(NETWORKDAYS(C2185,TODAY())&gt;=5,"Risco Alto",IF(NETWORKDAYS(C2185,TODAY())&gt;=3,IF(NETWORKDAYS(C2185,TODAY())&lt;5,"Risco Médio",""),IF(NETWORKDAYS(C2185,TODAY())&lt;=2,"Risco Baixo",""))))</f>
        <v>Expedido</v>
      </c>
      <c r="P2185" s="5" t="s">
        <v>25</v>
      </c>
      <c r="Q2185" s="5" t="s">
        <v>897</v>
      </c>
      <c r="R2185" s="5">
        <v>1694778</v>
      </c>
      <c r="S2185" s="7">
        <f>IF(ISBLANK(M2185),"Aguardando Previsão/Data",NETWORKDAYS(L2185,M2185)-1)</f>
        <v>0</v>
      </c>
      <c r="T2185" s="5" t="s">
        <v>942</v>
      </c>
    </row>
    <row r="2186" spans="1:20" x14ac:dyDescent="0.35">
      <c r="A2186" s="5">
        <v>8100278017</v>
      </c>
      <c r="B2186" s="5">
        <v>21373</v>
      </c>
      <c r="C2186" s="6">
        <v>45673</v>
      </c>
      <c r="D2186" s="5" t="s">
        <v>836</v>
      </c>
      <c r="E2186" s="5" t="s">
        <v>837</v>
      </c>
      <c r="F2186" s="5" t="s">
        <v>39</v>
      </c>
      <c r="G2186" s="5" t="s">
        <v>40</v>
      </c>
      <c r="H2186" s="5" t="s">
        <v>21</v>
      </c>
      <c r="I2186" s="5" t="s">
        <v>918</v>
      </c>
      <c r="J2186" s="5" t="s">
        <v>608</v>
      </c>
      <c r="K2186" s="5" t="s">
        <v>24</v>
      </c>
      <c r="L2186" s="6">
        <v>45681</v>
      </c>
      <c r="M2186" s="6">
        <v>45687</v>
      </c>
      <c r="N2186" s="5" t="s">
        <v>811</v>
      </c>
      <c r="O2186" s="5" t="str">
        <f ca="1">IF(P2186&lt;&gt;"EXPEDIÇÃO","Expedido",IF(NETWORKDAYS(C2186,TODAY())&gt;=5,"Risco Alto",IF(NETWORKDAYS(C2186,TODAY())&gt;=3,IF(NETWORKDAYS(C2186,TODAY())&lt;5,"Risco Médio",""),IF(NETWORKDAYS(C2186,TODAY())&lt;=2,"Risco Baixo",""))))</f>
        <v>Expedido</v>
      </c>
      <c r="P2186" s="5" t="s">
        <v>617</v>
      </c>
      <c r="Q2186" s="5" t="s">
        <v>897</v>
      </c>
      <c r="R2186" s="5">
        <v>1691331</v>
      </c>
      <c r="S2186" s="7">
        <f>IF(ISBLANK(M2186),"Aguardando Previsão/Data",NETWORKDAYS(L2186,M2186)-1)</f>
        <v>4</v>
      </c>
    </row>
    <row r="2187" spans="1:20" x14ac:dyDescent="0.35">
      <c r="A2187" s="5">
        <v>8100278369</v>
      </c>
      <c r="B2187" s="5">
        <v>21399</v>
      </c>
      <c r="C2187" s="6">
        <v>45673</v>
      </c>
      <c r="D2187" s="5" t="s">
        <v>836</v>
      </c>
      <c r="E2187" s="5" t="s">
        <v>837</v>
      </c>
      <c r="F2187" s="5" t="s">
        <v>84</v>
      </c>
      <c r="G2187" s="5" t="s">
        <v>85</v>
      </c>
      <c r="H2187" s="5" t="s">
        <v>21</v>
      </c>
      <c r="I2187" s="5" t="s">
        <v>930</v>
      </c>
      <c r="J2187" s="5" t="s">
        <v>41</v>
      </c>
      <c r="K2187" s="5" t="s">
        <v>24</v>
      </c>
      <c r="L2187" s="6">
        <v>45679</v>
      </c>
      <c r="M2187" s="6">
        <v>45678</v>
      </c>
      <c r="N2187" s="5" t="s">
        <v>811</v>
      </c>
      <c r="O2187" s="5" t="str">
        <f ca="1">IF(P2187&lt;&gt;"EXPEDIÇÃO","Expedido",IF(NETWORKDAYS(C2187,TODAY())&gt;=5,"Risco Alto",IF(NETWORKDAYS(C2187,TODAY())&gt;=3,IF(NETWORKDAYS(C2187,TODAY())&lt;5,"Risco Médio",""),IF(NETWORKDAYS(C2187,TODAY())&lt;=2,"Risco Baixo",""))))</f>
        <v>Expedido</v>
      </c>
      <c r="P2187" s="5" t="s">
        <v>25</v>
      </c>
      <c r="S2187" s="7">
        <f>IF(ISBLANK(M2187),"Aguardando Previsão/Data",NETWORKDAYS(L2187,M2187)-1)</f>
        <v>-3</v>
      </c>
      <c r="T2187" s="5" t="s">
        <v>942</v>
      </c>
    </row>
    <row r="2188" spans="1:20" x14ac:dyDescent="0.35">
      <c r="A2188" s="5">
        <v>8100278338</v>
      </c>
      <c r="B2188" s="5">
        <v>10832</v>
      </c>
      <c r="C2188" s="6">
        <v>45673</v>
      </c>
      <c r="D2188" s="5" t="s">
        <v>239</v>
      </c>
      <c r="E2188" s="5" t="s">
        <v>240</v>
      </c>
      <c r="F2188" s="5" t="s">
        <v>176</v>
      </c>
      <c r="G2188" s="5" t="s">
        <v>177</v>
      </c>
      <c r="H2188" s="5" t="s">
        <v>218</v>
      </c>
      <c r="I2188" s="5" t="s">
        <v>1144</v>
      </c>
      <c r="J2188" s="5" t="s">
        <v>797</v>
      </c>
      <c r="K2188" s="5" t="s">
        <v>241</v>
      </c>
      <c r="L2188" s="6">
        <v>45680</v>
      </c>
      <c r="M2188" s="6">
        <v>45679</v>
      </c>
      <c r="N2188" s="5" t="s">
        <v>811</v>
      </c>
      <c r="O2188" s="5" t="str">
        <f ca="1">IF(P2188&lt;&gt;"EXPEDIÇÃO","Expedido",IF(NETWORKDAYS(C2188,TODAY())&gt;=5,"Risco Alto",IF(NETWORKDAYS(C2188,TODAY())&gt;=3,IF(NETWORKDAYS(C2188,TODAY())&lt;5,"Risco Médio",""),IF(NETWORKDAYS(C2188,TODAY())&lt;=2,"Risco Baixo",""))))</f>
        <v>Expedido</v>
      </c>
      <c r="P2188" s="5" t="s">
        <v>25</v>
      </c>
      <c r="Q2188" s="5" t="s">
        <v>793</v>
      </c>
      <c r="S2188" s="7">
        <f>IF(ISBLANK(M2188),"Aguardando Previsão/Data",NETWORKDAYS(L2188,M2188)-1)</f>
        <v>-3</v>
      </c>
      <c r="T2188" s="5" t="s">
        <v>942</v>
      </c>
    </row>
    <row r="2189" spans="1:20" x14ac:dyDescent="0.35">
      <c r="A2189" s="5">
        <v>8100278339</v>
      </c>
      <c r="B2189" s="5">
        <v>10828</v>
      </c>
      <c r="C2189" s="6">
        <v>45673</v>
      </c>
      <c r="D2189" s="5" t="s">
        <v>239</v>
      </c>
      <c r="E2189" s="5" t="s">
        <v>240</v>
      </c>
      <c r="F2189" s="5" t="s">
        <v>160</v>
      </c>
      <c r="G2189" s="5" t="s">
        <v>161</v>
      </c>
      <c r="H2189" s="5" t="s">
        <v>218</v>
      </c>
      <c r="I2189" s="5" t="s">
        <v>326</v>
      </c>
      <c r="J2189" s="5" t="s">
        <v>244</v>
      </c>
      <c r="K2189" s="5" t="s">
        <v>241</v>
      </c>
      <c r="L2189" s="6">
        <v>45679</v>
      </c>
      <c r="M2189" s="6">
        <v>45680</v>
      </c>
      <c r="N2189" s="5" t="s">
        <v>811</v>
      </c>
      <c r="O2189" s="5" t="str">
        <f ca="1">IF(P2189&lt;&gt;"EXPEDIÇÃO","Expedido",IF(NETWORKDAYS(C2189,TODAY())&gt;=5,"Risco Alto",IF(NETWORKDAYS(C2189,TODAY())&gt;=3,IF(NETWORKDAYS(C2189,TODAY())&lt;5,"Risco Médio",""),IF(NETWORKDAYS(C2189,TODAY())&lt;=2,"Risco Baixo",""))))</f>
        <v>Expedido</v>
      </c>
      <c r="P2189" s="5" t="s">
        <v>25</v>
      </c>
      <c r="Q2189" s="5" t="s">
        <v>897</v>
      </c>
      <c r="S2189" s="7">
        <f>IF(ISBLANK(M2189),"Aguardando Previsão/Data",NETWORKDAYS(L2189,M2189)-1)</f>
        <v>1</v>
      </c>
      <c r="T2189" s="5" t="s">
        <v>942</v>
      </c>
    </row>
    <row r="2190" spans="1:20" x14ac:dyDescent="0.35">
      <c r="A2190" s="5">
        <v>8100278340</v>
      </c>
      <c r="B2190" s="5">
        <v>10835</v>
      </c>
      <c r="C2190" s="6">
        <v>45673</v>
      </c>
      <c r="D2190" s="5" t="s">
        <v>239</v>
      </c>
      <c r="E2190" s="5" t="s">
        <v>240</v>
      </c>
      <c r="F2190" s="5" t="s">
        <v>242</v>
      </c>
      <c r="G2190" s="5" t="s">
        <v>243</v>
      </c>
      <c r="H2190" s="5" t="s">
        <v>218</v>
      </c>
      <c r="I2190" s="5" t="s">
        <v>352</v>
      </c>
      <c r="J2190" s="5" t="s">
        <v>353</v>
      </c>
      <c r="K2190" s="5" t="s">
        <v>241</v>
      </c>
      <c r="L2190" s="6">
        <v>45679</v>
      </c>
      <c r="M2190" s="6">
        <v>45679</v>
      </c>
      <c r="N2190" s="5" t="s">
        <v>811</v>
      </c>
      <c r="O2190" s="5" t="str">
        <f ca="1">IF(P2190&lt;&gt;"EXPEDIÇÃO","Expedido",IF(NETWORKDAYS(C2190,TODAY())&gt;=5,"Risco Alto",IF(NETWORKDAYS(C2190,TODAY())&gt;=3,IF(NETWORKDAYS(C2190,TODAY())&lt;5,"Risco Médio",""),IF(NETWORKDAYS(C2190,TODAY())&lt;=2,"Risco Baixo",""))))</f>
        <v>Expedido</v>
      </c>
      <c r="P2190" s="5" t="s">
        <v>25</v>
      </c>
      <c r="Q2190" s="5" t="s">
        <v>793</v>
      </c>
      <c r="S2190" s="7">
        <f>IF(ISBLANK(M2190),"Aguardando Previsão/Data",NETWORKDAYS(L2190,M2190)-1)</f>
        <v>0</v>
      </c>
      <c r="T2190" s="5" t="s">
        <v>942</v>
      </c>
    </row>
    <row r="2191" spans="1:20" x14ac:dyDescent="0.35">
      <c r="A2191" s="5">
        <v>8100278342</v>
      </c>
      <c r="B2191" s="5">
        <v>10837</v>
      </c>
      <c r="C2191" s="6">
        <v>45673</v>
      </c>
      <c r="D2191" s="5" t="s">
        <v>239</v>
      </c>
      <c r="E2191" s="5" t="s">
        <v>240</v>
      </c>
      <c r="F2191" s="5" t="s">
        <v>160</v>
      </c>
      <c r="G2191" s="5" t="s">
        <v>161</v>
      </c>
      <c r="H2191" s="5" t="s">
        <v>218</v>
      </c>
      <c r="I2191" s="5" t="s">
        <v>687</v>
      </c>
      <c r="J2191" s="5" t="s">
        <v>688</v>
      </c>
      <c r="K2191" s="5" t="s">
        <v>241</v>
      </c>
      <c r="L2191" s="6">
        <v>45679</v>
      </c>
      <c r="M2191" s="6">
        <v>45678</v>
      </c>
      <c r="N2191" s="5" t="s">
        <v>811</v>
      </c>
      <c r="O2191" s="5" t="str">
        <f ca="1">IF(P2191&lt;&gt;"EXPEDIÇÃO","Expedido",IF(NETWORKDAYS(C2191,TODAY())&gt;=5,"Risco Alto",IF(NETWORKDAYS(C2191,TODAY())&gt;=3,IF(NETWORKDAYS(C2191,TODAY())&lt;5,"Risco Médio",""),IF(NETWORKDAYS(C2191,TODAY())&lt;=2,"Risco Baixo",""))))</f>
        <v>Expedido</v>
      </c>
      <c r="P2191" s="5" t="s">
        <v>25</v>
      </c>
      <c r="Q2191" s="5" t="s">
        <v>793</v>
      </c>
      <c r="S2191" s="7">
        <f>IF(ISBLANK(M2191),"Aguardando Previsão/Data",NETWORKDAYS(L2191,M2191)-1)</f>
        <v>-3</v>
      </c>
      <c r="T2191" s="5" t="s">
        <v>942</v>
      </c>
    </row>
    <row r="2192" spans="1:20" x14ac:dyDescent="0.35">
      <c r="A2192" s="5">
        <v>8100278368</v>
      </c>
      <c r="B2192" s="5">
        <v>10840</v>
      </c>
      <c r="C2192" s="6">
        <v>45673</v>
      </c>
      <c r="D2192" s="5" t="s">
        <v>239</v>
      </c>
      <c r="E2192" s="5" t="s">
        <v>240</v>
      </c>
      <c r="F2192" s="5" t="s">
        <v>160</v>
      </c>
      <c r="G2192" s="5" t="s">
        <v>161</v>
      </c>
      <c r="H2192" s="5" t="s">
        <v>218</v>
      </c>
      <c r="I2192" s="5" t="s">
        <v>1100</v>
      </c>
      <c r="J2192" s="5" t="s">
        <v>161</v>
      </c>
      <c r="K2192" s="5" t="s">
        <v>241</v>
      </c>
      <c r="L2192" s="6">
        <v>45679</v>
      </c>
      <c r="M2192" s="6">
        <v>45678</v>
      </c>
      <c r="N2192" s="5" t="s">
        <v>811</v>
      </c>
      <c r="O2192" s="5" t="str">
        <f ca="1">IF(P2192&lt;&gt;"EXPEDIÇÃO","Expedido",IF(NETWORKDAYS(C2192,TODAY())&gt;=5,"Risco Alto",IF(NETWORKDAYS(C2192,TODAY())&gt;=3,IF(NETWORKDAYS(C2192,TODAY())&lt;5,"Risco Médio",""),IF(NETWORKDAYS(C2192,TODAY())&lt;=2,"Risco Baixo",""))))</f>
        <v>Expedido</v>
      </c>
      <c r="P2192" s="5" t="s">
        <v>25</v>
      </c>
      <c r="Q2192" s="5" t="s">
        <v>793</v>
      </c>
      <c r="S2192" s="7">
        <f>IF(ISBLANK(M2192),"Aguardando Previsão/Data",NETWORKDAYS(L2192,M2192)-1)</f>
        <v>-3</v>
      </c>
      <c r="T2192" s="5" t="s">
        <v>942</v>
      </c>
    </row>
    <row r="2193" spans="1:20" x14ac:dyDescent="0.35">
      <c r="A2193" s="5">
        <v>8100278459</v>
      </c>
      <c r="B2193" s="5">
        <v>10827</v>
      </c>
      <c r="C2193" s="6">
        <v>45673</v>
      </c>
      <c r="D2193" s="5" t="s">
        <v>239</v>
      </c>
      <c r="E2193" s="5" t="s">
        <v>240</v>
      </c>
      <c r="F2193" s="5" t="s">
        <v>242</v>
      </c>
      <c r="G2193" s="5" t="s">
        <v>243</v>
      </c>
      <c r="H2193" s="5" t="s">
        <v>218</v>
      </c>
      <c r="I2193" s="5" t="s">
        <v>546</v>
      </c>
      <c r="J2193" s="5" t="s">
        <v>355</v>
      </c>
      <c r="K2193" s="5" t="s">
        <v>241</v>
      </c>
      <c r="L2193" s="6">
        <v>45679</v>
      </c>
      <c r="M2193" s="6">
        <v>45673</v>
      </c>
      <c r="N2193" s="5" t="s">
        <v>811</v>
      </c>
      <c r="O2193" s="5" t="str">
        <f ca="1">IF(P2193&lt;&gt;"EXPEDIÇÃO","Expedido",IF(NETWORKDAYS(C2193,TODAY())&gt;=5,"Risco Alto",IF(NETWORKDAYS(C2193,TODAY())&gt;=3,IF(NETWORKDAYS(C2193,TODAY())&lt;5,"Risco Médio",""),IF(NETWORKDAYS(C2193,TODAY())&lt;=2,"Risco Baixo",""))))</f>
        <v>Expedido</v>
      </c>
      <c r="P2193" s="5" t="s">
        <v>25</v>
      </c>
      <c r="S2193" s="7">
        <f>IF(ISBLANK(M2193),"Aguardando Previsão/Data",NETWORKDAYS(L2193,M2193)-1)</f>
        <v>-6</v>
      </c>
      <c r="T2193" s="5" t="s">
        <v>942</v>
      </c>
    </row>
    <row r="2194" spans="1:20" x14ac:dyDescent="0.35">
      <c r="A2194" s="5">
        <v>8100278460</v>
      </c>
      <c r="B2194" s="5">
        <v>10836</v>
      </c>
      <c r="C2194" s="6">
        <v>45673</v>
      </c>
      <c r="D2194" s="5" t="s">
        <v>239</v>
      </c>
      <c r="E2194" s="5" t="s">
        <v>240</v>
      </c>
      <c r="F2194" s="5" t="s">
        <v>242</v>
      </c>
      <c r="G2194" s="5" t="s">
        <v>243</v>
      </c>
      <c r="H2194" s="5" t="s">
        <v>218</v>
      </c>
      <c r="I2194" s="5" t="s">
        <v>352</v>
      </c>
      <c r="J2194" s="5" t="s">
        <v>353</v>
      </c>
      <c r="K2194" s="5" t="s">
        <v>241</v>
      </c>
      <c r="L2194" s="6">
        <v>45679</v>
      </c>
      <c r="M2194" s="6">
        <v>45679</v>
      </c>
      <c r="N2194" s="5" t="s">
        <v>811</v>
      </c>
      <c r="O2194" s="5" t="str">
        <f ca="1">IF(P2194&lt;&gt;"EXPEDIÇÃO","Expedido",IF(NETWORKDAYS(C2194,TODAY())&gt;=5,"Risco Alto",IF(NETWORKDAYS(C2194,TODAY())&gt;=3,IF(NETWORKDAYS(C2194,TODAY())&lt;5,"Risco Médio",""),IF(NETWORKDAYS(C2194,TODAY())&lt;=2,"Risco Baixo",""))))</f>
        <v>Expedido</v>
      </c>
      <c r="P2194" s="5" t="s">
        <v>25</v>
      </c>
      <c r="Q2194" s="5" t="s">
        <v>793</v>
      </c>
      <c r="S2194" s="7">
        <f>IF(ISBLANK(M2194),"Aguardando Previsão/Data",NETWORKDAYS(L2194,M2194)-1)</f>
        <v>0</v>
      </c>
      <c r="T2194" s="5" t="s">
        <v>942</v>
      </c>
    </row>
    <row r="2195" spans="1:20" x14ac:dyDescent="0.35">
      <c r="A2195" s="5">
        <v>8100278461</v>
      </c>
      <c r="B2195" s="5">
        <v>10833</v>
      </c>
      <c r="C2195" s="6">
        <v>45673</v>
      </c>
      <c r="D2195" s="5" t="s">
        <v>239</v>
      </c>
      <c r="E2195" s="5" t="s">
        <v>240</v>
      </c>
      <c r="F2195" s="5" t="s">
        <v>176</v>
      </c>
      <c r="G2195" s="5" t="s">
        <v>177</v>
      </c>
      <c r="H2195" s="5" t="s">
        <v>218</v>
      </c>
      <c r="I2195" s="5" t="s">
        <v>247</v>
      </c>
      <c r="J2195" s="5" t="s">
        <v>248</v>
      </c>
      <c r="K2195" s="5" t="s">
        <v>241</v>
      </c>
      <c r="L2195" s="6">
        <v>45680</v>
      </c>
      <c r="M2195" s="6">
        <v>45680</v>
      </c>
      <c r="N2195" s="5" t="s">
        <v>811</v>
      </c>
      <c r="O2195" s="5" t="str">
        <f ca="1">IF(P2195&lt;&gt;"EXPEDIÇÃO","Expedido",IF(NETWORKDAYS(C2195,TODAY())&gt;=5,"Risco Alto",IF(NETWORKDAYS(C2195,TODAY())&gt;=3,IF(NETWORKDAYS(C2195,TODAY())&lt;5,"Risco Médio",""),IF(NETWORKDAYS(C2195,TODAY())&lt;=2,"Risco Baixo",""))))</f>
        <v>Expedido</v>
      </c>
      <c r="P2195" s="5" t="s">
        <v>25</v>
      </c>
      <c r="Q2195" s="5" t="s">
        <v>793</v>
      </c>
      <c r="S2195" s="7">
        <f>IF(ISBLANK(M2195),"Aguardando Previsão/Data",NETWORKDAYS(L2195,M2195)-1)</f>
        <v>0</v>
      </c>
      <c r="T2195" s="5" t="s">
        <v>942</v>
      </c>
    </row>
    <row r="2196" spans="1:20" x14ac:dyDescent="0.35">
      <c r="A2196" s="5">
        <v>8100278462</v>
      </c>
      <c r="B2196" s="5">
        <v>10839</v>
      </c>
      <c r="C2196" s="6">
        <v>45673</v>
      </c>
      <c r="D2196" s="5" t="s">
        <v>239</v>
      </c>
      <c r="E2196" s="5" t="s">
        <v>240</v>
      </c>
      <c r="F2196" s="5" t="s">
        <v>176</v>
      </c>
      <c r="G2196" s="5" t="s">
        <v>177</v>
      </c>
      <c r="H2196" s="5" t="s">
        <v>218</v>
      </c>
      <c r="I2196" s="5" t="s">
        <v>360</v>
      </c>
      <c r="J2196" s="5" t="s">
        <v>361</v>
      </c>
      <c r="K2196" s="5" t="s">
        <v>241</v>
      </c>
      <c r="L2196" s="6">
        <v>45679</v>
      </c>
      <c r="M2196" s="6">
        <v>45680</v>
      </c>
      <c r="N2196" s="5" t="s">
        <v>811</v>
      </c>
      <c r="O2196" s="5" t="str">
        <f ca="1">IF(P2196&lt;&gt;"EXPEDIÇÃO","Expedido",IF(NETWORKDAYS(C2196,TODAY())&gt;=5,"Risco Alto",IF(NETWORKDAYS(C2196,TODAY())&gt;=3,IF(NETWORKDAYS(C2196,TODAY())&lt;5,"Risco Médio",""),IF(NETWORKDAYS(C2196,TODAY())&lt;=2,"Risco Baixo",""))))</f>
        <v>Expedido</v>
      </c>
      <c r="P2196" s="5" t="s">
        <v>25</v>
      </c>
      <c r="Q2196" s="5" t="s">
        <v>897</v>
      </c>
      <c r="S2196" s="7">
        <f>IF(ISBLANK(M2196),"Aguardando Previsão/Data",NETWORKDAYS(L2196,M2196)-1)</f>
        <v>1</v>
      </c>
      <c r="T2196" s="5" t="s">
        <v>942</v>
      </c>
    </row>
    <row r="2197" spans="1:20" x14ac:dyDescent="0.35">
      <c r="A2197" s="5">
        <v>8100278464</v>
      </c>
      <c r="B2197" s="5">
        <v>10829</v>
      </c>
      <c r="C2197" s="6">
        <v>45673</v>
      </c>
      <c r="D2197" s="5" t="s">
        <v>239</v>
      </c>
      <c r="E2197" s="5" t="s">
        <v>240</v>
      </c>
      <c r="F2197" s="5" t="s">
        <v>160</v>
      </c>
      <c r="G2197" s="5" t="s">
        <v>161</v>
      </c>
      <c r="H2197" s="5" t="s">
        <v>218</v>
      </c>
      <c r="I2197" s="5" t="s">
        <v>354</v>
      </c>
      <c r="J2197" s="5" t="s">
        <v>355</v>
      </c>
      <c r="K2197" s="5" t="s">
        <v>241</v>
      </c>
      <c r="L2197" s="6">
        <v>45679</v>
      </c>
      <c r="M2197" s="6">
        <v>45679</v>
      </c>
      <c r="N2197" s="5" t="s">
        <v>811</v>
      </c>
      <c r="O2197" s="5" t="str">
        <f ca="1">IF(P2197&lt;&gt;"EXPEDIÇÃO","Expedido",IF(NETWORKDAYS(C2197,TODAY())&gt;=5,"Risco Alto",IF(NETWORKDAYS(C2197,TODAY())&gt;=3,IF(NETWORKDAYS(C2197,TODAY())&lt;5,"Risco Médio",""),IF(NETWORKDAYS(C2197,TODAY())&lt;=2,"Risco Baixo",""))))</f>
        <v>Expedido</v>
      </c>
      <c r="P2197" s="5" t="s">
        <v>25</v>
      </c>
      <c r="Q2197" s="5" t="s">
        <v>793</v>
      </c>
      <c r="S2197" s="7">
        <f>IF(ISBLANK(M2197),"Aguardando Previsão/Data",NETWORKDAYS(L2197,M2197)-1)</f>
        <v>0</v>
      </c>
      <c r="T2197" s="5" t="s">
        <v>942</v>
      </c>
    </row>
    <row r="2198" spans="1:20" x14ac:dyDescent="0.35">
      <c r="A2198" s="5">
        <v>8100278465</v>
      </c>
      <c r="B2198" s="5">
        <v>10830</v>
      </c>
      <c r="C2198" s="6">
        <v>45673</v>
      </c>
      <c r="D2198" s="5" t="s">
        <v>239</v>
      </c>
      <c r="E2198" s="5" t="s">
        <v>240</v>
      </c>
      <c r="F2198" s="5" t="s">
        <v>176</v>
      </c>
      <c r="G2198" s="5" t="s">
        <v>177</v>
      </c>
      <c r="H2198" s="5" t="s">
        <v>218</v>
      </c>
      <c r="I2198" s="5" t="s">
        <v>354</v>
      </c>
      <c r="J2198" s="5" t="s">
        <v>355</v>
      </c>
      <c r="K2198" s="5" t="s">
        <v>241</v>
      </c>
      <c r="L2198" s="6">
        <v>45679</v>
      </c>
      <c r="M2198" s="6">
        <v>45679</v>
      </c>
      <c r="N2198" s="5" t="s">
        <v>811</v>
      </c>
      <c r="O2198" s="5" t="str">
        <f ca="1">IF(P2198&lt;&gt;"EXPEDIÇÃO","Expedido",IF(NETWORKDAYS(C2198,TODAY())&gt;=5,"Risco Alto",IF(NETWORKDAYS(C2198,TODAY())&gt;=3,IF(NETWORKDAYS(C2198,TODAY())&lt;5,"Risco Médio",""),IF(NETWORKDAYS(C2198,TODAY())&lt;=2,"Risco Baixo",""))))</f>
        <v>Expedido</v>
      </c>
      <c r="P2198" s="5" t="s">
        <v>25</v>
      </c>
      <c r="Q2198" s="5" t="s">
        <v>793</v>
      </c>
      <c r="S2198" s="7">
        <f>IF(ISBLANK(M2198),"Aguardando Previsão/Data",NETWORKDAYS(L2198,M2198)-1)</f>
        <v>0</v>
      </c>
      <c r="T2198" s="5" t="s">
        <v>942</v>
      </c>
    </row>
    <row r="2199" spans="1:20" x14ac:dyDescent="0.35">
      <c r="A2199" s="5">
        <v>8100278466</v>
      </c>
      <c r="B2199" s="5">
        <v>10831</v>
      </c>
      <c r="C2199" s="6">
        <v>45673</v>
      </c>
      <c r="D2199" s="5" t="s">
        <v>239</v>
      </c>
      <c r="E2199" s="5" t="s">
        <v>240</v>
      </c>
      <c r="F2199" s="5" t="s">
        <v>242</v>
      </c>
      <c r="G2199" s="5" t="s">
        <v>243</v>
      </c>
      <c r="H2199" s="5" t="s">
        <v>218</v>
      </c>
      <c r="I2199" s="5" t="s">
        <v>354</v>
      </c>
      <c r="J2199" s="5" t="s">
        <v>355</v>
      </c>
      <c r="K2199" s="5" t="s">
        <v>241</v>
      </c>
      <c r="L2199" s="6">
        <v>45679</v>
      </c>
      <c r="M2199" s="6">
        <v>45679</v>
      </c>
      <c r="N2199" s="5" t="s">
        <v>811</v>
      </c>
      <c r="O2199" s="5" t="str">
        <f ca="1">IF(P2199&lt;&gt;"EXPEDIÇÃO","Expedido",IF(NETWORKDAYS(C2199,TODAY())&gt;=5,"Risco Alto",IF(NETWORKDAYS(C2199,TODAY())&gt;=3,IF(NETWORKDAYS(C2199,TODAY())&lt;5,"Risco Médio",""),IF(NETWORKDAYS(C2199,TODAY())&lt;=2,"Risco Baixo",""))))</f>
        <v>Expedido</v>
      </c>
      <c r="P2199" s="5" t="s">
        <v>25</v>
      </c>
      <c r="Q2199" s="5" t="s">
        <v>793</v>
      </c>
      <c r="S2199" s="7">
        <f>IF(ISBLANK(M2199),"Aguardando Previsão/Data",NETWORKDAYS(L2199,M2199)-1)</f>
        <v>0</v>
      </c>
      <c r="T2199" s="5" t="s">
        <v>942</v>
      </c>
    </row>
    <row r="2200" spans="1:20" x14ac:dyDescent="0.35">
      <c r="A2200" s="5">
        <v>8100278467</v>
      </c>
      <c r="B2200" s="5">
        <v>10834</v>
      </c>
      <c r="C2200" s="6">
        <v>45673</v>
      </c>
      <c r="D2200" s="5" t="s">
        <v>239</v>
      </c>
      <c r="E2200" s="5" t="s">
        <v>240</v>
      </c>
      <c r="F2200" s="5" t="s">
        <v>176</v>
      </c>
      <c r="G2200" s="5" t="s">
        <v>177</v>
      </c>
      <c r="H2200" s="5" t="s">
        <v>218</v>
      </c>
      <c r="I2200" s="5" t="s">
        <v>247</v>
      </c>
      <c r="J2200" s="5" t="s">
        <v>248</v>
      </c>
      <c r="K2200" s="5" t="s">
        <v>241</v>
      </c>
      <c r="L2200" s="6">
        <v>45680</v>
      </c>
      <c r="M2200" s="6">
        <v>45680</v>
      </c>
      <c r="N2200" s="5" t="s">
        <v>811</v>
      </c>
      <c r="O2200" s="5" t="str">
        <f ca="1">IF(P2200&lt;&gt;"EXPEDIÇÃO","Expedido",IF(NETWORKDAYS(C2200,TODAY())&gt;=5,"Risco Alto",IF(NETWORKDAYS(C2200,TODAY())&gt;=3,IF(NETWORKDAYS(C2200,TODAY())&lt;5,"Risco Médio",""),IF(NETWORKDAYS(C2200,TODAY())&lt;=2,"Risco Baixo",""))))</f>
        <v>Expedido</v>
      </c>
      <c r="P2200" s="5" t="s">
        <v>25</v>
      </c>
      <c r="Q2200" s="5" t="s">
        <v>793</v>
      </c>
      <c r="S2200" s="7">
        <f>IF(ISBLANK(M2200),"Aguardando Previsão/Data",NETWORKDAYS(L2200,M2200)-1)</f>
        <v>0</v>
      </c>
      <c r="T2200" s="5" t="s">
        <v>942</v>
      </c>
    </row>
    <row r="2201" spans="1:20" x14ac:dyDescent="0.35">
      <c r="A2201" s="5">
        <v>8100278468</v>
      </c>
      <c r="B2201" s="5">
        <v>10838</v>
      </c>
      <c r="C2201" s="6">
        <v>45673</v>
      </c>
      <c r="D2201" s="5" t="s">
        <v>239</v>
      </c>
      <c r="E2201" s="5" t="s">
        <v>240</v>
      </c>
      <c r="F2201" s="5" t="s">
        <v>160</v>
      </c>
      <c r="G2201" s="5" t="s">
        <v>161</v>
      </c>
      <c r="H2201" s="5" t="s">
        <v>218</v>
      </c>
      <c r="I2201" s="5" t="s">
        <v>414</v>
      </c>
      <c r="J2201" s="5" t="s">
        <v>718</v>
      </c>
      <c r="K2201" s="5" t="s">
        <v>241</v>
      </c>
      <c r="L2201" s="6">
        <v>45679</v>
      </c>
      <c r="M2201" s="6">
        <v>45679</v>
      </c>
      <c r="N2201" s="5" t="s">
        <v>811</v>
      </c>
      <c r="O2201" s="5" t="str">
        <f ca="1">IF(P2201&lt;&gt;"EXPEDIÇÃO","Expedido",IF(NETWORKDAYS(C2201,TODAY())&gt;=5,"Risco Alto",IF(NETWORKDAYS(C2201,TODAY())&gt;=3,IF(NETWORKDAYS(C2201,TODAY())&lt;5,"Risco Médio",""),IF(NETWORKDAYS(C2201,TODAY())&lt;=2,"Risco Baixo",""))))</f>
        <v>Expedido</v>
      </c>
      <c r="P2201" s="5" t="s">
        <v>25</v>
      </c>
      <c r="Q2201" s="5" t="s">
        <v>793</v>
      </c>
      <c r="S2201" s="7">
        <f>IF(ISBLANK(M2201),"Aguardando Previsão/Data",NETWORKDAYS(L2201,M2201)-1)</f>
        <v>0</v>
      </c>
      <c r="T2201" s="5" t="s">
        <v>942</v>
      </c>
    </row>
    <row r="2202" spans="1:20" x14ac:dyDescent="0.35">
      <c r="A2202" s="5">
        <v>8100278471</v>
      </c>
      <c r="B2202" s="5">
        <v>10841</v>
      </c>
      <c r="C2202" s="6">
        <v>45673</v>
      </c>
      <c r="D2202" s="5" t="s">
        <v>239</v>
      </c>
      <c r="E2202" s="5" t="s">
        <v>240</v>
      </c>
      <c r="F2202" s="5" t="s">
        <v>160</v>
      </c>
      <c r="G2202" s="5" t="s">
        <v>161</v>
      </c>
      <c r="H2202" s="5" t="s">
        <v>218</v>
      </c>
      <c r="I2202" s="5" t="s">
        <v>1100</v>
      </c>
      <c r="J2202" s="5" t="s">
        <v>161</v>
      </c>
      <c r="K2202" s="5" t="s">
        <v>241</v>
      </c>
      <c r="L2202" s="6">
        <v>45679</v>
      </c>
      <c r="M2202" s="6">
        <v>45678</v>
      </c>
      <c r="N2202" s="5" t="s">
        <v>811</v>
      </c>
      <c r="O2202" s="5" t="str">
        <f ca="1">IF(P2202&lt;&gt;"EXPEDIÇÃO","Expedido",IF(NETWORKDAYS(C2202,TODAY())&gt;=5,"Risco Alto",IF(NETWORKDAYS(C2202,TODAY())&gt;=3,IF(NETWORKDAYS(C2202,TODAY())&lt;5,"Risco Médio",""),IF(NETWORKDAYS(C2202,TODAY())&lt;=2,"Risco Baixo",""))))</f>
        <v>Expedido</v>
      </c>
      <c r="P2202" s="5" t="s">
        <v>25</v>
      </c>
      <c r="Q2202" s="5" t="s">
        <v>793</v>
      </c>
      <c r="S2202" s="7">
        <f>IF(ISBLANK(M2202),"Aguardando Previsão/Data",NETWORKDAYS(L2202,M2202)-1)</f>
        <v>-3</v>
      </c>
      <c r="T2202" s="5" t="s">
        <v>942</v>
      </c>
    </row>
    <row r="2203" spans="1:20" x14ac:dyDescent="0.35">
      <c r="A2203" s="5">
        <v>8100278536</v>
      </c>
      <c r="B2203" s="5">
        <v>10842</v>
      </c>
      <c r="C2203" s="6">
        <v>45673</v>
      </c>
      <c r="D2203" s="5" t="s">
        <v>239</v>
      </c>
      <c r="E2203" s="5" t="s">
        <v>240</v>
      </c>
      <c r="F2203" s="5" t="s">
        <v>242</v>
      </c>
      <c r="G2203" s="5" t="s">
        <v>243</v>
      </c>
      <c r="H2203" s="5" t="s">
        <v>218</v>
      </c>
      <c r="I2203" s="5" t="s">
        <v>182</v>
      </c>
      <c r="J2203" s="5" t="s">
        <v>668</v>
      </c>
      <c r="K2203" s="5" t="s">
        <v>241</v>
      </c>
      <c r="L2203" s="6">
        <v>45679</v>
      </c>
      <c r="M2203" s="6">
        <v>45679</v>
      </c>
      <c r="N2203" s="5" t="s">
        <v>811</v>
      </c>
      <c r="O2203" s="5" t="str">
        <f ca="1">IF(P2203&lt;&gt;"EXPEDIÇÃO","Expedido",IF(NETWORKDAYS(C2203,TODAY())&gt;=5,"Risco Alto",IF(NETWORKDAYS(C2203,TODAY())&gt;=3,IF(NETWORKDAYS(C2203,TODAY())&lt;5,"Risco Médio",""),IF(NETWORKDAYS(C2203,TODAY())&lt;=2,"Risco Baixo",""))))</f>
        <v>Expedido</v>
      </c>
      <c r="P2203" s="5" t="s">
        <v>25</v>
      </c>
      <c r="Q2203" s="5" t="s">
        <v>793</v>
      </c>
      <c r="S2203" s="7">
        <f>IF(ISBLANK(M2203),"Aguardando Previsão/Data",NETWORKDAYS(L2203,M2203)-1)</f>
        <v>0</v>
      </c>
      <c r="T2203" s="5" t="s">
        <v>942</v>
      </c>
    </row>
    <row r="2204" spans="1:20" x14ac:dyDescent="0.35">
      <c r="A2204" s="5">
        <v>8100278349</v>
      </c>
      <c r="B2204" s="5">
        <v>19345</v>
      </c>
      <c r="C2204" s="6">
        <v>45673</v>
      </c>
      <c r="D2204" s="5" t="s">
        <v>106</v>
      </c>
      <c r="E2204" s="5" t="s">
        <v>107</v>
      </c>
      <c r="F2204" s="5" t="s">
        <v>69</v>
      </c>
      <c r="G2204" s="5" t="s">
        <v>70</v>
      </c>
      <c r="H2204" s="5" t="s">
        <v>218</v>
      </c>
      <c r="I2204" s="5" t="s">
        <v>230</v>
      </c>
      <c r="J2204" s="5" t="s">
        <v>231</v>
      </c>
      <c r="K2204" s="5" t="s">
        <v>232</v>
      </c>
      <c r="L2204" s="6">
        <v>45691</v>
      </c>
      <c r="M2204" s="6">
        <v>45688</v>
      </c>
      <c r="N2204" s="5" t="s">
        <v>811</v>
      </c>
      <c r="O2204" s="5" t="str">
        <f ca="1">IF(P2204&lt;&gt;"EXPEDIÇÃO","Expedido",IF(NETWORKDAYS(C2204,TODAY())&gt;=5,"Risco Alto",IF(NETWORKDAYS(C2204,TODAY())&gt;=3,IF(NETWORKDAYS(C2204,TODAY())&lt;5,"Risco Médio",""),IF(NETWORKDAYS(C2204,TODAY())&lt;=2,"Risco Baixo",""))))</f>
        <v>Expedido</v>
      </c>
      <c r="P2204" s="5" t="s">
        <v>617</v>
      </c>
      <c r="S2204" s="7">
        <f>IF(ISBLANK(M2204),"Aguardando Previsão/Data",NETWORKDAYS(L2204,M2204)-1)</f>
        <v>-3</v>
      </c>
    </row>
    <row r="2205" spans="1:20" x14ac:dyDescent="0.35">
      <c r="A2205" s="5">
        <v>8100277997</v>
      </c>
      <c r="B2205" s="5">
        <v>19339</v>
      </c>
      <c r="C2205" s="6">
        <v>45673</v>
      </c>
      <c r="D2205" s="5" t="s">
        <v>106</v>
      </c>
      <c r="E2205" s="5" t="s">
        <v>107</v>
      </c>
      <c r="F2205" s="5" t="s">
        <v>58</v>
      </c>
      <c r="G2205" s="5" t="s">
        <v>59</v>
      </c>
      <c r="H2205" s="5" t="s">
        <v>108</v>
      </c>
      <c r="I2205" s="5" t="s">
        <v>1384</v>
      </c>
      <c r="J2205" s="5" t="s">
        <v>1385</v>
      </c>
      <c r="K2205" s="5" t="s">
        <v>110</v>
      </c>
      <c r="L2205" s="6">
        <v>45681</v>
      </c>
      <c r="M2205" s="6">
        <v>45678</v>
      </c>
      <c r="N2205" s="5" t="s">
        <v>811</v>
      </c>
      <c r="O2205" s="5" t="str">
        <f ca="1">IF(P2205&lt;&gt;"EXPEDIÇÃO","Expedido",IF(NETWORKDAYS(C2205,TODAY())&gt;=5,"Risco Alto",IF(NETWORKDAYS(C2205,TODAY())&gt;=3,IF(NETWORKDAYS(C2205,TODAY())&lt;5,"Risco Médio",""),IF(NETWORKDAYS(C2205,TODAY())&lt;=2,"Risco Baixo",""))))</f>
        <v>Expedido</v>
      </c>
      <c r="P2205" s="5" t="s">
        <v>25</v>
      </c>
      <c r="S2205" s="7">
        <f>IF(ISBLANK(M2205),"Aguardando Previsão/Data",NETWORKDAYS(L2205,M2205)-1)</f>
        <v>-5</v>
      </c>
      <c r="T2205" s="5" t="s">
        <v>942</v>
      </c>
    </row>
    <row r="2206" spans="1:20" x14ac:dyDescent="0.35">
      <c r="A2206" s="5">
        <v>8100278347</v>
      </c>
      <c r="B2206" s="5">
        <v>19344</v>
      </c>
      <c r="C2206" s="6">
        <v>45673</v>
      </c>
      <c r="D2206" s="5" t="s">
        <v>106</v>
      </c>
      <c r="E2206" s="5" t="s">
        <v>107</v>
      </c>
      <c r="F2206" s="5" t="s">
        <v>66</v>
      </c>
      <c r="G2206" s="5" t="s">
        <v>67</v>
      </c>
      <c r="H2206" s="5" t="s">
        <v>108</v>
      </c>
      <c r="I2206" s="5" t="s">
        <v>115</v>
      </c>
      <c r="J2206" s="5" t="s">
        <v>393</v>
      </c>
      <c r="K2206" s="5" t="s">
        <v>110</v>
      </c>
      <c r="L2206" s="6">
        <v>45681</v>
      </c>
      <c r="M2206" s="6">
        <v>45678</v>
      </c>
      <c r="N2206" s="5" t="s">
        <v>811</v>
      </c>
      <c r="O2206" s="5" t="str">
        <f ca="1">IF(P2206&lt;&gt;"EXPEDIÇÃO","Expedido",IF(NETWORKDAYS(C2206,TODAY())&gt;=5,"Risco Alto",IF(NETWORKDAYS(C2206,TODAY())&gt;=3,IF(NETWORKDAYS(C2206,TODAY())&lt;5,"Risco Médio",""),IF(NETWORKDAYS(C2206,TODAY())&lt;=2,"Risco Baixo",""))))</f>
        <v>Expedido</v>
      </c>
      <c r="P2206" s="5" t="s">
        <v>25</v>
      </c>
      <c r="S2206" s="7">
        <f>IF(ISBLANK(M2206),"Aguardando Previsão/Data",NETWORKDAYS(L2206,M2206)-1)</f>
        <v>-5</v>
      </c>
      <c r="T2206" s="5" t="s">
        <v>942</v>
      </c>
    </row>
    <row r="2207" spans="1:20" x14ac:dyDescent="0.35">
      <c r="A2207" s="5">
        <v>8100278348</v>
      </c>
      <c r="B2207" s="5">
        <v>19342</v>
      </c>
      <c r="C2207" s="6">
        <v>45673</v>
      </c>
      <c r="D2207" s="5" t="s">
        <v>106</v>
      </c>
      <c r="E2207" s="5" t="s">
        <v>107</v>
      </c>
      <c r="F2207" s="5" t="s">
        <v>53</v>
      </c>
      <c r="G2207" s="5" t="s">
        <v>54</v>
      </c>
      <c r="H2207" s="5" t="s">
        <v>108</v>
      </c>
      <c r="I2207" s="5" t="s">
        <v>447</v>
      </c>
      <c r="J2207" s="5" t="s">
        <v>448</v>
      </c>
      <c r="K2207" s="5" t="s">
        <v>110</v>
      </c>
      <c r="L2207" s="6">
        <v>45680</v>
      </c>
      <c r="M2207" s="6">
        <v>45678</v>
      </c>
      <c r="N2207" s="5" t="s">
        <v>811</v>
      </c>
      <c r="O2207" s="5" t="str">
        <f ca="1">IF(P2207&lt;&gt;"EXPEDIÇÃO","Expedido",IF(NETWORKDAYS(C2207,TODAY())&gt;=5,"Risco Alto",IF(NETWORKDAYS(C2207,TODAY())&gt;=3,IF(NETWORKDAYS(C2207,TODAY())&lt;5,"Risco Médio",""),IF(NETWORKDAYS(C2207,TODAY())&lt;=2,"Risco Baixo",""))))</f>
        <v>Expedido</v>
      </c>
      <c r="P2207" s="5" t="s">
        <v>25</v>
      </c>
      <c r="S2207" s="7">
        <f>IF(ISBLANK(M2207),"Aguardando Previsão/Data",NETWORKDAYS(L2207,M2207)-1)</f>
        <v>-4</v>
      </c>
      <c r="T2207" s="5" t="s">
        <v>942</v>
      </c>
    </row>
    <row r="2208" spans="1:20" x14ac:dyDescent="0.35">
      <c r="A2208" s="5">
        <v>8100278552</v>
      </c>
      <c r="B2208" s="5">
        <v>19351</v>
      </c>
      <c r="C2208" s="6">
        <v>45673</v>
      </c>
      <c r="D2208" s="5" t="s">
        <v>106</v>
      </c>
      <c r="E2208" s="5" t="s">
        <v>107</v>
      </c>
      <c r="F2208" s="5" t="s">
        <v>58</v>
      </c>
      <c r="G2208" s="5" t="s">
        <v>59</v>
      </c>
      <c r="H2208" s="5" t="s">
        <v>108</v>
      </c>
      <c r="I2208" s="5" t="s">
        <v>126</v>
      </c>
      <c r="J2208" s="5" t="s">
        <v>127</v>
      </c>
      <c r="K2208" s="5" t="s">
        <v>110</v>
      </c>
      <c r="L2208" s="6">
        <v>45679</v>
      </c>
      <c r="M2208" s="6">
        <v>45677</v>
      </c>
      <c r="N2208" s="5" t="s">
        <v>811</v>
      </c>
      <c r="O2208" s="5" t="str">
        <f ca="1">IF(P2208&lt;&gt;"EXPEDIÇÃO","Expedido",IF(NETWORKDAYS(C2208,TODAY())&gt;=5,"Risco Alto",IF(NETWORKDAYS(C2208,TODAY())&gt;=3,IF(NETWORKDAYS(C2208,TODAY())&lt;5,"Risco Médio",""),IF(NETWORKDAYS(C2208,TODAY())&lt;=2,"Risco Baixo",""))))</f>
        <v>Expedido</v>
      </c>
      <c r="P2208" s="5" t="s">
        <v>25</v>
      </c>
      <c r="S2208" s="7">
        <f>IF(ISBLANK(M2208),"Aguardando Previsão/Data",NETWORKDAYS(L2208,M2208)-1)</f>
        <v>-4</v>
      </c>
      <c r="T2208" s="5" t="s">
        <v>942</v>
      </c>
    </row>
    <row r="2209" spans="1:20" x14ac:dyDescent="0.35">
      <c r="A2209" s="5">
        <v>8100278553</v>
      </c>
      <c r="B2209" s="5">
        <v>19348</v>
      </c>
      <c r="C2209" s="6">
        <v>45673</v>
      </c>
      <c r="D2209" s="5" t="s">
        <v>106</v>
      </c>
      <c r="E2209" s="5" t="s">
        <v>107</v>
      </c>
      <c r="F2209" s="5" t="s">
        <v>53</v>
      </c>
      <c r="G2209" s="5" t="s">
        <v>54</v>
      </c>
      <c r="H2209" s="5" t="s">
        <v>108</v>
      </c>
      <c r="I2209" s="5" t="s">
        <v>113</v>
      </c>
      <c r="J2209" s="5" t="s">
        <v>114</v>
      </c>
      <c r="K2209" s="5" t="s">
        <v>110</v>
      </c>
      <c r="L2209" s="6">
        <v>45681</v>
      </c>
      <c r="M2209" s="6">
        <v>45678</v>
      </c>
      <c r="N2209" s="5" t="s">
        <v>811</v>
      </c>
      <c r="O2209" s="5" t="str">
        <f ca="1">IF(P2209&lt;&gt;"EXPEDIÇÃO","Expedido",IF(NETWORKDAYS(C2209,TODAY())&gt;=5,"Risco Alto",IF(NETWORKDAYS(C2209,TODAY())&gt;=3,IF(NETWORKDAYS(C2209,TODAY())&lt;5,"Risco Médio",""),IF(NETWORKDAYS(C2209,TODAY())&lt;=2,"Risco Baixo",""))))</f>
        <v>Expedido</v>
      </c>
      <c r="P2209" s="5" t="s">
        <v>25</v>
      </c>
      <c r="S2209" s="7">
        <f>IF(ISBLANK(M2209),"Aguardando Previsão/Data",NETWORKDAYS(L2209,M2209)-1)</f>
        <v>-5</v>
      </c>
      <c r="T2209" s="5" t="s">
        <v>942</v>
      </c>
    </row>
    <row r="2210" spans="1:20" x14ac:dyDescent="0.35">
      <c r="A2210" s="5">
        <v>8100278556</v>
      </c>
      <c r="B2210" s="5">
        <v>19349</v>
      </c>
      <c r="C2210" s="6">
        <v>45673</v>
      </c>
      <c r="D2210" s="5" t="s">
        <v>106</v>
      </c>
      <c r="E2210" s="5" t="s">
        <v>107</v>
      </c>
      <c r="F2210" s="5" t="s">
        <v>66</v>
      </c>
      <c r="G2210" s="5" t="s">
        <v>67</v>
      </c>
      <c r="H2210" s="5" t="s">
        <v>108</v>
      </c>
      <c r="I2210" s="5" t="s">
        <v>82</v>
      </c>
      <c r="J2210" s="5" t="s">
        <v>124</v>
      </c>
      <c r="K2210" s="5" t="s">
        <v>110</v>
      </c>
      <c r="L2210" s="6">
        <v>45681</v>
      </c>
      <c r="M2210" s="6">
        <v>45679</v>
      </c>
      <c r="N2210" s="5" t="s">
        <v>811</v>
      </c>
      <c r="O2210" s="5" t="str">
        <f ca="1">IF(P2210&lt;&gt;"EXPEDIÇÃO","Expedido",IF(NETWORKDAYS(C2210,TODAY())&gt;=5,"Risco Alto",IF(NETWORKDAYS(C2210,TODAY())&gt;=3,IF(NETWORKDAYS(C2210,TODAY())&lt;5,"Risco Médio",""),IF(NETWORKDAYS(C2210,TODAY())&lt;=2,"Risco Baixo",""))))</f>
        <v>Expedido</v>
      </c>
      <c r="P2210" s="5" t="s">
        <v>25</v>
      </c>
      <c r="S2210" s="7">
        <f>IF(ISBLANK(M2210),"Aguardando Previsão/Data",NETWORKDAYS(L2210,M2210)-1)</f>
        <v>-4</v>
      </c>
      <c r="T2210" s="5" t="s">
        <v>942</v>
      </c>
    </row>
    <row r="2211" spans="1:20" x14ac:dyDescent="0.35">
      <c r="A2211" s="5">
        <v>8100278557</v>
      </c>
      <c r="B2211" s="5">
        <v>19350</v>
      </c>
      <c r="C2211" s="6">
        <v>45673</v>
      </c>
      <c r="D2211" s="5" t="s">
        <v>106</v>
      </c>
      <c r="E2211" s="5" t="s">
        <v>107</v>
      </c>
      <c r="F2211" s="5" t="s">
        <v>66</v>
      </c>
      <c r="G2211" s="5" t="s">
        <v>67</v>
      </c>
      <c r="H2211" s="5" t="s">
        <v>108</v>
      </c>
      <c r="I2211" s="5" t="s">
        <v>82</v>
      </c>
      <c r="J2211" s="5" t="s">
        <v>507</v>
      </c>
      <c r="K2211" s="5" t="s">
        <v>110</v>
      </c>
      <c r="L2211" s="6">
        <v>45681</v>
      </c>
      <c r="M2211" s="6">
        <v>45678</v>
      </c>
      <c r="N2211" s="5" t="s">
        <v>811</v>
      </c>
      <c r="O2211" s="5" t="str">
        <f ca="1">IF(P2211&lt;&gt;"EXPEDIÇÃO","Expedido",IF(NETWORKDAYS(C2211,TODAY())&gt;=5,"Risco Alto",IF(NETWORKDAYS(C2211,TODAY())&gt;=3,IF(NETWORKDAYS(C2211,TODAY())&lt;5,"Risco Médio",""),IF(NETWORKDAYS(C2211,TODAY())&lt;=2,"Risco Baixo",""))))</f>
        <v>Expedido</v>
      </c>
      <c r="P2211" s="5" t="s">
        <v>25</v>
      </c>
      <c r="S2211" s="7">
        <f>IF(ISBLANK(M2211),"Aguardando Previsão/Data",NETWORKDAYS(L2211,M2211)-1)</f>
        <v>-5</v>
      </c>
      <c r="T2211" s="5" t="s">
        <v>942</v>
      </c>
    </row>
    <row r="2212" spans="1:20" x14ac:dyDescent="0.35">
      <c r="A2212" s="5">
        <v>8100278345</v>
      </c>
      <c r="B2212" s="5">
        <v>19340</v>
      </c>
      <c r="C2212" s="6">
        <v>45673</v>
      </c>
      <c r="D2212" s="5" t="s">
        <v>106</v>
      </c>
      <c r="E2212" s="5" t="s">
        <v>107</v>
      </c>
      <c r="F2212" s="5" t="s">
        <v>66</v>
      </c>
      <c r="G2212" s="5" t="s">
        <v>67</v>
      </c>
      <c r="H2212" s="5" t="s">
        <v>108</v>
      </c>
      <c r="I2212" s="5" t="s">
        <v>517</v>
      </c>
      <c r="J2212" s="5" t="s">
        <v>1049</v>
      </c>
      <c r="K2212" s="5" t="s">
        <v>156</v>
      </c>
      <c r="L2212" s="6">
        <v>45687</v>
      </c>
      <c r="M2212" s="6">
        <v>45684</v>
      </c>
      <c r="N2212" s="5" t="s">
        <v>811</v>
      </c>
      <c r="O2212" s="5" t="str">
        <f ca="1">IF(P2212&lt;&gt;"EXPEDIÇÃO","Expedido",IF(NETWORKDAYS(C2212,TODAY())&gt;=5,"Risco Alto",IF(NETWORKDAYS(C2212,TODAY())&gt;=3,IF(NETWORKDAYS(C2212,TODAY())&lt;5,"Risco Médio",""),IF(NETWORKDAYS(C2212,TODAY())&lt;=2,"Risco Baixo",""))))</f>
        <v>Expedido</v>
      </c>
      <c r="P2212" s="5" t="s">
        <v>25</v>
      </c>
      <c r="R2212" s="5" t="s">
        <v>1490</v>
      </c>
      <c r="S2212" s="7">
        <f>IF(ISBLANK(M2212),"Aguardando Previsão/Data",NETWORKDAYS(L2212,M2212)-1)</f>
        <v>-5</v>
      </c>
      <c r="T2212" s="5" t="s">
        <v>942</v>
      </c>
    </row>
    <row r="2213" spans="1:20" x14ac:dyDescent="0.35">
      <c r="A2213" s="5">
        <v>8100278346</v>
      </c>
      <c r="B2213" s="5">
        <v>19343</v>
      </c>
      <c r="C2213" s="6">
        <v>45673</v>
      </c>
      <c r="D2213" s="5" t="s">
        <v>106</v>
      </c>
      <c r="E2213" s="5" t="s">
        <v>107</v>
      </c>
      <c r="F2213" s="5" t="s">
        <v>111</v>
      </c>
      <c r="G2213" s="5" t="s">
        <v>112</v>
      </c>
      <c r="H2213" s="5" t="s">
        <v>108</v>
      </c>
      <c r="I2213" s="5" t="s">
        <v>115</v>
      </c>
      <c r="J2213" s="5" t="s">
        <v>143</v>
      </c>
      <c r="K2213" s="5" t="s">
        <v>110</v>
      </c>
      <c r="L2213" s="6">
        <v>45680</v>
      </c>
      <c r="M2213" s="6">
        <v>45681</v>
      </c>
      <c r="N2213" s="5" t="s">
        <v>811</v>
      </c>
      <c r="O2213" s="5" t="str">
        <f ca="1">IF(P2213&lt;&gt;"EXPEDIÇÃO","Expedido",IF(NETWORKDAYS(C2213,TODAY())&gt;=5,"Risco Alto",IF(NETWORKDAYS(C2213,TODAY())&gt;=3,IF(NETWORKDAYS(C2213,TODAY())&lt;5,"Risco Médio",""),IF(NETWORKDAYS(C2213,TODAY())&lt;=2,"Risco Baixo",""))))</f>
        <v>Expedido</v>
      </c>
      <c r="P2213" s="5" t="s">
        <v>25</v>
      </c>
      <c r="Q2213" s="5" t="s">
        <v>897</v>
      </c>
      <c r="S2213" s="7">
        <f>IF(ISBLANK(M2213),"Aguardando Previsão/Data",NETWORKDAYS(L2213,M2213)-1)</f>
        <v>1</v>
      </c>
      <c r="T2213" s="5" t="s">
        <v>942</v>
      </c>
    </row>
    <row r="2214" spans="1:20" x14ac:dyDescent="0.35">
      <c r="A2214" s="5">
        <v>8100278350</v>
      </c>
      <c r="B2214" s="5">
        <v>19341</v>
      </c>
      <c r="C2214" s="6">
        <v>45673</v>
      </c>
      <c r="D2214" s="5" t="s">
        <v>106</v>
      </c>
      <c r="E2214" s="5" t="s">
        <v>107</v>
      </c>
      <c r="F2214" s="5" t="s">
        <v>53</v>
      </c>
      <c r="G2214" s="5" t="s">
        <v>54</v>
      </c>
      <c r="H2214" s="5" t="s">
        <v>108</v>
      </c>
      <c r="I2214" s="5" t="s">
        <v>115</v>
      </c>
      <c r="J2214" s="5" t="s">
        <v>391</v>
      </c>
      <c r="K2214" s="5" t="s">
        <v>110</v>
      </c>
      <c r="L2214" s="6">
        <v>45681</v>
      </c>
      <c r="M2214" s="6">
        <v>45680</v>
      </c>
      <c r="N2214" s="5" t="s">
        <v>811</v>
      </c>
      <c r="O2214" s="5" t="str">
        <f ca="1">IF(P2214&lt;&gt;"EXPEDIÇÃO","Expedido",IF(NETWORKDAYS(C2214,TODAY())&gt;=5,"Risco Alto",IF(NETWORKDAYS(C2214,TODAY())&gt;=3,IF(NETWORKDAYS(C2214,TODAY())&lt;5,"Risco Médio",""),IF(NETWORKDAYS(C2214,TODAY())&lt;=2,"Risco Baixo",""))))</f>
        <v>Expedido</v>
      </c>
      <c r="P2214" s="5" t="s">
        <v>25</v>
      </c>
      <c r="S2214" s="7">
        <f>IF(ISBLANK(M2214),"Aguardando Previsão/Data",NETWORKDAYS(L2214,M2214)-1)</f>
        <v>-3</v>
      </c>
      <c r="T2214" s="5" t="s">
        <v>942</v>
      </c>
    </row>
    <row r="2215" spans="1:20" x14ac:dyDescent="0.35">
      <c r="A2215" s="5">
        <v>8100278554</v>
      </c>
      <c r="B2215" s="5">
        <v>19347</v>
      </c>
      <c r="C2215" s="6">
        <v>45673</v>
      </c>
      <c r="D2215" s="5" t="s">
        <v>106</v>
      </c>
      <c r="E2215" s="5" t="s">
        <v>107</v>
      </c>
      <c r="F2215" s="5" t="s">
        <v>66</v>
      </c>
      <c r="G2215" s="5" t="s">
        <v>67</v>
      </c>
      <c r="H2215" s="5" t="s">
        <v>108</v>
      </c>
      <c r="I2215" s="5" t="s">
        <v>315</v>
      </c>
      <c r="J2215" s="5" t="s">
        <v>316</v>
      </c>
      <c r="K2215" s="5" t="s">
        <v>156</v>
      </c>
      <c r="L2215" s="6">
        <v>45687</v>
      </c>
      <c r="M2215" s="6">
        <v>45681</v>
      </c>
      <c r="N2215" s="5" t="s">
        <v>811</v>
      </c>
      <c r="O2215" s="5" t="str">
        <f ca="1">IF(P2215&lt;&gt;"EXPEDIÇÃO","Expedido",IF(NETWORKDAYS(C2215,TODAY())&gt;=5,"Risco Alto",IF(NETWORKDAYS(C2215,TODAY())&gt;=3,IF(NETWORKDAYS(C2215,TODAY())&lt;5,"Risco Médio",""),IF(NETWORKDAYS(C2215,TODAY())&lt;=2,"Risco Baixo",""))))</f>
        <v>Expedido</v>
      </c>
      <c r="P2215" s="5" t="s">
        <v>25</v>
      </c>
      <c r="R2215" s="5" t="s">
        <v>1490</v>
      </c>
      <c r="S2215" s="7">
        <f>IF(ISBLANK(M2215),"Aguardando Previsão/Data",NETWORKDAYS(L2215,M2215)-1)</f>
        <v>-6</v>
      </c>
      <c r="T2215" s="5" t="s">
        <v>942</v>
      </c>
    </row>
    <row r="2216" spans="1:20" x14ac:dyDescent="0.35">
      <c r="A2216" s="5">
        <v>8100278555</v>
      </c>
      <c r="B2216" s="5">
        <v>19346</v>
      </c>
      <c r="C2216" s="6">
        <v>45673</v>
      </c>
      <c r="D2216" s="5" t="s">
        <v>106</v>
      </c>
      <c r="E2216" s="5" t="s">
        <v>107</v>
      </c>
      <c r="F2216" s="5" t="s">
        <v>66</v>
      </c>
      <c r="G2216" s="5" t="s">
        <v>67</v>
      </c>
      <c r="H2216" s="5" t="s">
        <v>108</v>
      </c>
      <c r="I2216" s="5" t="s">
        <v>1389</v>
      </c>
      <c r="J2216" s="5" t="s">
        <v>399</v>
      </c>
      <c r="K2216" s="5" t="s">
        <v>156</v>
      </c>
      <c r="L2216" s="6">
        <v>45686</v>
      </c>
      <c r="M2216" s="6">
        <v>45685</v>
      </c>
      <c r="N2216" s="5" t="s">
        <v>811</v>
      </c>
      <c r="O2216" s="5" t="str">
        <f ca="1">IF(P2216&lt;&gt;"EXPEDIÇÃO","Expedido",IF(NETWORKDAYS(C2216,TODAY())&gt;=5,"Risco Alto",IF(NETWORKDAYS(C2216,TODAY())&gt;=3,IF(NETWORKDAYS(C2216,TODAY())&lt;5,"Risco Médio",""),IF(NETWORKDAYS(C2216,TODAY())&lt;=2,"Risco Baixo",""))))</f>
        <v>Expedido</v>
      </c>
      <c r="P2216" s="5" t="s">
        <v>25</v>
      </c>
      <c r="R2216" s="5" t="s">
        <v>1490</v>
      </c>
      <c r="S2216" s="7">
        <f>IF(ISBLANK(M2216),"Aguardando Previsão/Data",NETWORKDAYS(L2216,M2216)-1)</f>
        <v>-3</v>
      </c>
      <c r="T2216" s="5" t="s">
        <v>942</v>
      </c>
    </row>
    <row r="2217" spans="1:20" x14ac:dyDescent="0.35">
      <c r="A2217" s="5">
        <v>8100277749</v>
      </c>
      <c r="B2217" s="5">
        <v>7204</v>
      </c>
      <c r="C2217" s="6">
        <v>45673</v>
      </c>
      <c r="D2217" s="5" t="s">
        <v>194</v>
      </c>
      <c r="E2217" s="5" t="s">
        <v>195</v>
      </c>
      <c r="F2217" s="5" t="s">
        <v>406</v>
      </c>
      <c r="G2217" s="5" t="s">
        <v>407</v>
      </c>
      <c r="H2217" s="5" t="s">
        <v>108</v>
      </c>
      <c r="I2217" s="5" t="s">
        <v>1376</v>
      </c>
      <c r="J2217" s="5" t="s">
        <v>735</v>
      </c>
      <c r="K2217" s="5" t="s">
        <v>198</v>
      </c>
      <c r="L2217" s="6">
        <v>45680</v>
      </c>
      <c r="M2217" s="6">
        <v>45681</v>
      </c>
      <c r="N2217" s="5" t="s">
        <v>812</v>
      </c>
      <c r="O2217" s="5" t="str">
        <f ca="1">IF(P2217&lt;&gt;"EXPEDIÇÃO","Expedido",IF(NETWORKDAYS(C2217,TODAY())&gt;=5,"Risco Alto",IF(NETWORKDAYS(C2217,TODAY())&gt;=3,IF(NETWORKDAYS(C2217,TODAY())&lt;5,"Risco Médio",""),IF(NETWORKDAYS(C2217,TODAY())&lt;=2,"Risco Baixo",""))))</f>
        <v>Expedido</v>
      </c>
      <c r="P2217" s="5" t="s">
        <v>25</v>
      </c>
      <c r="Q2217" s="5" t="s">
        <v>899</v>
      </c>
      <c r="S2217" s="7">
        <f>IF(ISBLANK(M2217),"Aguardando Previsão/Data",NETWORKDAYS(L2217,M2217)-1)</f>
        <v>1</v>
      </c>
      <c r="T2217" s="5" t="s">
        <v>942</v>
      </c>
    </row>
    <row r="2218" spans="1:20" x14ac:dyDescent="0.35">
      <c r="A2218" s="5">
        <v>8100278317</v>
      </c>
      <c r="B2218" s="5">
        <v>7206</v>
      </c>
      <c r="C2218" s="6">
        <v>45673</v>
      </c>
      <c r="D2218" s="5" t="s">
        <v>194</v>
      </c>
      <c r="E2218" s="5" t="s">
        <v>195</v>
      </c>
      <c r="F2218" s="5" t="s">
        <v>58</v>
      </c>
      <c r="G2218" s="5" t="s">
        <v>59</v>
      </c>
      <c r="H2218" s="5" t="s">
        <v>108</v>
      </c>
      <c r="I2218" s="5" t="s">
        <v>209</v>
      </c>
      <c r="J2218" s="5" t="s">
        <v>210</v>
      </c>
      <c r="K2218" s="5" t="s">
        <v>198</v>
      </c>
      <c r="L2218" s="6">
        <v>45680</v>
      </c>
      <c r="M2218" s="6">
        <v>45680</v>
      </c>
      <c r="N2218" s="5" t="s">
        <v>811</v>
      </c>
      <c r="O2218" s="5" t="str">
        <f ca="1">IF(P2218&lt;&gt;"EXPEDIÇÃO","Expedido",IF(NETWORKDAYS(C2218,TODAY())&gt;=5,"Risco Alto",IF(NETWORKDAYS(C2218,TODAY())&gt;=3,IF(NETWORKDAYS(C2218,TODAY())&lt;5,"Risco Médio",""),IF(NETWORKDAYS(C2218,TODAY())&lt;=2,"Risco Baixo",""))))</f>
        <v>Expedido</v>
      </c>
      <c r="P2218" s="5" t="s">
        <v>25</v>
      </c>
      <c r="Q2218" s="5" t="s">
        <v>899</v>
      </c>
      <c r="S2218" s="7">
        <f>IF(ISBLANK(M2218),"Aguardando Previsão/Data",NETWORKDAYS(L2218,M2218)-1)</f>
        <v>0</v>
      </c>
      <c r="T2218" s="5" t="s">
        <v>942</v>
      </c>
    </row>
    <row r="2219" spans="1:20" x14ac:dyDescent="0.35">
      <c r="A2219" s="5">
        <v>8100278489</v>
      </c>
      <c r="B2219" s="5">
        <v>7209</v>
      </c>
      <c r="C2219" s="6">
        <v>45673</v>
      </c>
      <c r="D2219" s="5" t="s">
        <v>194</v>
      </c>
      <c r="E2219" s="5" t="s">
        <v>195</v>
      </c>
      <c r="F2219" s="5" t="s">
        <v>58</v>
      </c>
      <c r="G2219" s="5" t="s">
        <v>59</v>
      </c>
      <c r="H2219" s="5" t="s">
        <v>108</v>
      </c>
      <c r="I2219" s="5" t="s">
        <v>209</v>
      </c>
      <c r="J2219" s="5" t="s">
        <v>210</v>
      </c>
      <c r="K2219" s="5" t="s">
        <v>198</v>
      </c>
      <c r="L2219" s="6">
        <v>45680</v>
      </c>
      <c r="M2219" s="6">
        <v>45680</v>
      </c>
      <c r="N2219" s="5" t="s">
        <v>811</v>
      </c>
      <c r="O2219" s="5" t="str">
        <f ca="1">IF(P2219&lt;&gt;"EXPEDIÇÃO","Expedido",IF(NETWORKDAYS(C2219,TODAY())&gt;=5,"Risco Alto",IF(NETWORKDAYS(C2219,TODAY())&gt;=3,IF(NETWORKDAYS(C2219,TODAY())&lt;5,"Risco Médio",""),IF(NETWORKDAYS(C2219,TODAY())&lt;=2,"Risco Baixo",""))))</f>
        <v>Expedido</v>
      </c>
      <c r="P2219" s="5" t="s">
        <v>25</v>
      </c>
      <c r="Q2219" s="5" t="s">
        <v>899</v>
      </c>
      <c r="S2219" s="7">
        <f>IF(ISBLANK(M2219),"Aguardando Previsão/Data",NETWORKDAYS(L2219,M2219)-1)</f>
        <v>0</v>
      </c>
      <c r="T2219" s="5" t="s">
        <v>942</v>
      </c>
    </row>
    <row r="2220" spans="1:20" x14ac:dyDescent="0.35">
      <c r="A2220" s="5">
        <v>8100278513</v>
      </c>
      <c r="B2220" s="5">
        <v>7210</v>
      </c>
      <c r="C2220" s="6">
        <v>45673</v>
      </c>
      <c r="D2220" s="5" t="s">
        <v>194</v>
      </c>
      <c r="E2220" s="5" t="s">
        <v>195</v>
      </c>
      <c r="F2220" s="5" t="s">
        <v>199</v>
      </c>
      <c r="G2220" s="5" t="s">
        <v>200</v>
      </c>
      <c r="H2220" s="5" t="s">
        <v>108</v>
      </c>
      <c r="I2220" s="5" t="s">
        <v>731</v>
      </c>
      <c r="J2220" s="5" t="s">
        <v>200</v>
      </c>
      <c r="K2220" s="5" t="s">
        <v>198</v>
      </c>
      <c r="L2220" s="6">
        <v>45680</v>
      </c>
      <c r="M2220" s="6">
        <v>45681</v>
      </c>
      <c r="N2220" s="5" t="s">
        <v>812</v>
      </c>
      <c r="O2220" s="5" t="str">
        <f ca="1">IF(P2220&lt;&gt;"EXPEDIÇÃO","Expedido",IF(NETWORKDAYS(C2220,TODAY())&gt;=5,"Risco Alto",IF(NETWORKDAYS(C2220,TODAY())&gt;=3,IF(NETWORKDAYS(C2220,TODAY())&lt;5,"Risco Médio",""),IF(NETWORKDAYS(C2220,TODAY())&lt;=2,"Risco Baixo",""))))</f>
        <v>Expedido</v>
      </c>
      <c r="P2220" s="5" t="s">
        <v>25</v>
      </c>
      <c r="Q2220" s="5" t="s">
        <v>1494</v>
      </c>
      <c r="S2220" s="7">
        <f>IF(ISBLANK(M2220),"Aguardando Previsão/Data",NETWORKDAYS(L2220,M2220)-1)</f>
        <v>1</v>
      </c>
      <c r="T2220" s="5" t="s">
        <v>942</v>
      </c>
    </row>
    <row r="2221" spans="1:20" x14ac:dyDescent="0.35">
      <c r="A2221" s="5">
        <v>8100277741</v>
      </c>
      <c r="B2221" s="5">
        <v>7201</v>
      </c>
      <c r="C2221" s="6">
        <v>45673</v>
      </c>
      <c r="D2221" s="5" t="s">
        <v>194</v>
      </c>
      <c r="E2221" s="5" t="s">
        <v>195</v>
      </c>
      <c r="F2221" s="5" t="s">
        <v>69</v>
      </c>
      <c r="G2221" s="5" t="s">
        <v>70</v>
      </c>
      <c r="H2221" s="5" t="s">
        <v>108</v>
      </c>
      <c r="I2221" s="5" t="s">
        <v>1017</v>
      </c>
      <c r="J2221" s="5" t="s">
        <v>336</v>
      </c>
      <c r="K2221" s="5" t="s">
        <v>198</v>
      </c>
      <c r="L2221" s="6">
        <v>45680</v>
      </c>
      <c r="M2221" s="6">
        <v>45678</v>
      </c>
      <c r="N2221" s="5" t="s">
        <v>811</v>
      </c>
      <c r="O2221" s="5" t="str">
        <f ca="1">IF(P2221&lt;&gt;"EXPEDIÇÃO","Expedido",IF(NETWORKDAYS(C2221,TODAY())&gt;=5,"Risco Alto",IF(NETWORKDAYS(C2221,TODAY())&gt;=3,IF(NETWORKDAYS(C2221,TODAY())&lt;5,"Risco Médio",""),IF(NETWORKDAYS(C2221,TODAY())&lt;=2,"Risco Baixo",""))))</f>
        <v>Expedido</v>
      </c>
      <c r="P2221" s="5" t="s">
        <v>25</v>
      </c>
      <c r="S2221" s="7">
        <f>IF(ISBLANK(M2221),"Aguardando Previsão/Data",NETWORKDAYS(L2221,M2221)-1)</f>
        <v>-4</v>
      </c>
      <c r="T2221" s="5" t="s">
        <v>942</v>
      </c>
    </row>
    <row r="2222" spans="1:20" x14ac:dyDescent="0.35">
      <c r="A2222" s="5">
        <v>8100277742</v>
      </c>
      <c r="B2222" s="5">
        <v>7200</v>
      </c>
      <c r="C2222" s="6">
        <v>45673</v>
      </c>
      <c r="D2222" s="5" t="s">
        <v>194</v>
      </c>
      <c r="E2222" s="5" t="s">
        <v>195</v>
      </c>
      <c r="F2222" s="5" t="s">
        <v>69</v>
      </c>
      <c r="G2222" s="5" t="s">
        <v>70</v>
      </c>
      <c r="H2222" s="5" t="s">
        <v>108</v>
      </c>
      <c r="I2222" s="5" t="s">
        <v>1018</v>
      </c>
      <c r="J2222" s="5" t="s">
        <v>336</v>
      </c>
      <c r="K2222" s="5" t="s">
        <v>198</v>
      </c>
      <c r="L2222" s="6">
        <v>45680</v>
      </c>
      <c r="M2222" s="6">
        <v>45678</v>
      </c>
      <c r="N2222" s="5" t="s">
        <v>811</v>
      </c>
      <c r="O2222" s="5" t="str">
        <f ca="1">IF(P2222&lt;&gt;"EXPEDIÇÃO","Expedido",IF(NETWORKDAYS(C2222,TODAY())&gt;=5,"Risco Alto",IF(NETWORKDAYS(C2222,TODAY())&gt;=3,IF(NETWORKDAYS(C2222,TODAY())&lt;5,"Risco Médio",""),IF(NETWORKDAYS(C2222,TODAY())&lt;=2,"Risco Baixo",""))))</f>
        <v>Expedido</v>
      </c>
      <c r="P2222" s="5" t="s">
        <v>25</v>
      </c>
      <c r="S2222" s="7">
        <f>IF(ISBLANK(M2222),"Aguardando Previsão/Data",NETWORKDAYS(L2222,M2222)-1)</f>
        <v>-4</v>
      </c>
      <c r="T2222" s="5" t="s">
        <v>942</v>
      </c>
    </row>
    <row r="2223" spans="1:20" x14ac:dyDescent="0.35">
      <c r="A2223" s="5">
        <v>8100277743</v>
      </c>
      <c r="B2223" s="5">
        <v>7202</v>
      </c>
      <c r="C2223" s="6">
        <v>45673</v>
      </c>
      <c r="D2223" s="5" t="s">
        <v>194</v>
      </c>
      <c r="E2223" s="5" t="s">
        <v>195</v>
      </c>
      <c r="F2223" s="5" t="s">
        <v>69</v>
      </c>
      <c r="G2223" s="5" t="s">
        <v>70</v>
      </c>
      <c r="H2223" s="5" t="s">
        <v>108</v>
      </c>
      <c r="I2223" s="5" t="s">
        <v>1017</v>
      </c>
      <c r="J2223" s="5" t="s">
        <v>984</v>
      </c>
      <c r="K2223" s="5" t="s">
        <v>198</v>
      </c>
      <c r="L2223" s="6">
        <v>45680</v>
      </c>
      <c r="M2223" s="6">
        <v>45678</v>
      </c>
      <c r="N2223" s="5" t="s">
        <v>811</v>
      </c>
      <c r="O2223" s="5" t="str">
        <f ca="1">IF(P2223&lt;&gt;"EXPEDIÇÃO","Expedido",IF(NETWORKDAYS(C2223,TODAY())&gt;=5,"Risco Alto",IF(NETWORKDAYS(C2223,TODAY())&gt;=3,IF(NETWORKDAYS(C2223,TODAY())&lt;5,"Risco Médio",""),IF(NETWORKDAYS(C2223,TODAY())&lt;=2,"Risco Baixo",""))))</f>
        <v>Expedido</v>
      </c>
      <c r="P2223" s="5" t="s">
        <v>25</v>
      </c>
      <c r="S2223" s="7">
        <f>IF(ISBLANK(M2223),"Aguardando Previsão/Data",NETWORKDAYS(L2223,M2223)-1)</f>
        <v>-4</v>
      </c>
      <c r="T2223" s="5" t="s">
        <v>942</v>
      </c>
    </row>
    <row r="2224" spans="1:20" x14ac:dyDescent="0.35">
      <c r="A2224" s="5">
        <v>8100277748</v>
      </c>
      <c r="B2224" s="5">
        <v>7203</v>
      </c>
      <c r="C2224" s="6">
        <v>45673</v>
      </c>
      <c r="D2224" s="5" t="s">
        <v>194</v>
      </c>
      <c r="E2224" s="5" t="s">
        <v>195</v>
      </c>
      <c r="F2224" s="5" t="s">
        <v>406</v>
      </c>
      <c r="G2224" s="5" t="s">
        <v>407</v>
      </c>
      <c r="H2224" s="5" t="s">
        <v>108</v>
      </c>
      <c r="I2224" s="5" t="s">
        <v>1374</v>
      </c>
      <c r="J2224" s="5" t="s">
        <v>1375</v>
      </c>
      <c r="K2224" s="5" t="s">
        <v>198</v>
      </c>
      <c r="L2224" s="6">
        <v>45680</v>
      </c>
      <c r="M2224" s="6">
        <v>45679</v>
      </c>
      <c r="N2224" s="5" t="s">
        <v>811</v>
      </c>
      <c r="O2224" s="5" t="str">
        <f ca="1">IF(P2224&lt;&gt;"EXPEDIÇÃO","Expedido",IF(NETWORKDAYS(C2224,TODAY())&gt;=5,"Risco Alto",IF(NETWORKDAYS(C2224,TODAY())&gt;=3,IF(NETWORKDAYS(C2224,TODAY())&lt;5,"Risco Médio",""),IF(NETWORKDAYS(C2224,TODAY())&lt;=2,"Risco Baixo",""))))</f>
        <v>Expedido</v>
      </c>
      <c r="P2224" s="5" t="s">
        <v>25</v>
      </c>
      <c r="S2224" s="7">
        <f>IF(ISBLANK(M2224),"Aguardando Previsão/Data",NETWORKDAYS(L2224,M2224)-1)</f>
        <v>-3</v>
      </c>
      <c r="T2224" s="5" t="s">
        <v>942</v>
      </c>
    </row>
    <row r="2225" spans="1:20" x14ac:dyDescent="0.35">
      <c r="A2225" s="5">
        <v>8100278010</v>
      </c>
      <c r="B2225" s="5">
        <v>7205</v>
      </c>
      <c r="C2225" s="6">
        <v>45673</v>
      </c>
      <c r="D2225" s="5" t="s">
        <v>194</v>
      </c>
      <c r="E2225" s="5" t="s">
        <v>195</v>
      </c>
      <c r="F2225" s="5" t="s">
        <v>19</v>
      </c>
      <c r="G2225" s="5" t="s">
        <v>20</v>
      </c>
      <c r="H2225" s="5" t="s">
        <v>108</v>
      </c>
      <c r="I2225" s="5" t="s">
        <v>612</v>
      </c>
      <c r="J2225" s="5" t="s">
        <v>205</v>
      </c>
      <c r="K2225" s="5" t="s">
        <v>198</v>
      </c>
      <c r="L2225" s="6">
        <v>45681</v>
      </c>
      <c r="M2225" s="6">
        <v>45680</v>
      </c>
      <c r="N2225" s="5" t="s">
        <v>811</v>
      </c>
      <c r="O2225" s="5" t="str">
        <f ca="1">IF(P2225&lt;&gt;"EXPEDIÇÃO","Expedido",IF(NETWORKDAYS(C2225,TODAY())&gt;=5,"Risco Alto",IF(NETWORKDAYS(C2225,TODAY())&gt;=3,IF(NETWORKDAYS(C2225,TODAY())&lt;5,"Risco Médio",""),IF(NETWORKDAYS(C2225,TODAY())&lt;=2,"Risco Baixo",""))))</f>
        <v>Expedido</v>
      </c>
      <c r="P2225" s="5" t="s">
        <v>25</v>
      </c>
      <c r="Q2225" s="5" t="s">
        <v>1415</v>
      </c>
      <c r="R2225" s="5">
        <v>3097043</v>
      </c>
      <c r="S2225" s="7">
        <f>IF(ISBLANK(M2225),"Aguardando Previsão/Data",NETWORKDAYS(L2225,M2225)-1)</f>
        <v>-3</v>
      </c>
      <c r="T2225" s="5" t="s">
        <v>942</v>
      </c>
    </row>
    <row r="2226" spans="1:20" x14ac:dyDescent="0.35">
      <c r="A2226" s="5">
        <v>8100278316</v>
      </c>
      <c r="B2226" s="5">
        <v>7208</v>
      </c>
      <c r="C2226" s="6">
        <v>45673</v>
      </c>
      <c r="D2226" s="5" t="s">
        <v>194</v>
      </c>
      <c r="E2226" s="5" t="s">
        <v>195</v>
      </c>
      <c r="F2226" s="5" t="s">
        <v>147</v>
      </c>
      <c r="G2226" s="5" t="s">
        <v>148</v>
      </c>
      <c r="H2226" s="5" t="s">
        <v>108</v>
      </c>
      <c r="I2226" s="5" t="s">
        <v>128</v>
      </c>
      <c r="J2226" s="5" t="s">
        <v>290</v>
      </c>
      <c r="K2226" s="5" t="s">
        <v>198</v>
      </c>
      <c r="L2226" s="6">
        <v>45679</v>
      </c>
      <c r="M2226" s="6">
        <v>45677</v>
      </c>
      <c r="N2226" s="5" t="s">
        <v>811</v>
      </c>
      <c r="O2226" s="5" t="str">
        <f ca="1">IF(P2226&lt;&gt;"EXPEDIÇÃO","Expedido",IF(NETWORKDAYS(C2226,TODAY())&gt;=5,"Risco Alto",IF(NETWORKDAYS(C2226,TODAY())&gt;=3,IF(NETWORKDAYS(C2226,TODAY())&lt;5,"Risco Médio",""),IF(NETWORKDAYS(C2226,TODAY())&lt;=2,"Risco Baixo",""))))</f>
        <v>Expedido</v>
      </c>
      <c r="P2226" s="5" t="s">
        <v>25</v>
      </c>
      <c r="S2226" s="7">
        <f>IF(ISBLANK(M2226),"Aguardando Previsão/Data",NETWORKDAYS(L2226,M2226)-1)</f>
        <v>-4</v>
      </c>
      <c r="T2226" s="5" t="s">
        <v>942</v>
      </c>
    </row>
    <row r="2227" spans="1:20" x14ac:dyDescent="0.35">
      <c r="A2227" s="5">
        <v>8100278318</v>
      </c>
      <c r="B2227" s="5">
        <v>7207</v>
      </c>
      <c r="C2227" s="6">
        <v>45673</v>
      </c>
      <c r="D2227" s="5" t="s">
        <v>194</v>
      </c>
      <c r="E2227" s="5" t="s">
        <v>195</v>
      </c>
      <c r="F2227" s="5" t="s">
        <v>69</v>
      </c>
      <c r="G2227" s="5" t="s">
        <v>70</v>
      </c>
      <c r="H2227" s="5" t="s">
        <v>108</v>
      </c>
      <c r="I2227" s="5" t="s">
        <v>509</v>
      </c>
      <c r="J2227" s="5" t="s">
        <v>291</v>
      </c>
      <c r="K2227" s="5" t="s">
        <v>198</v>
      </c>
      <c r="L2227" s="6">
        <v>45680</v>
      </c>
      <c r="M2227" s="6">
        <v>45677</v>
      </c>
      <c r="N2227" s="5" t="s">
        <v>811</v>
      </c>
      <c r="O2227" s="5" t="str">
        <f ca="1">IF(P2227&lt;&gt;"EXPEDIÇÃO","Expedido",IF(NETWORKDAYS(C2227,TODAY())&gt;=5,"Risco Alto",IF(NETWORKDAYS(C2227,TODAY())&gt;=3,IF(NETWORKDAYS(C2227,TODAY())&lt;5,"Risco Médio",""),IF(NETWORKDAYS(C2227,TODAY())&lt;=2,"Risco Baixo",""))))</f>
        <v>Expedido</v>
      </c>
      <c r="P2227" s="5" t="s">
        <v>25</v>
      </c>
      <c r="S2227" s="7">
        <f>IF(ISBLANK(M2227),"Aguardando Previsão/Data",NETWORKDAYS(L2227,M2227)-1)</f>
        <v>-5</v>
      </c>
      <c r="T2227" s="5" t="s">
        <v>942</v>
      </c>
    </row>
    <row r="2228" spans="1:20" x14ac:dyDescent="0.35">
      <c r="A2228" s="5">
        <v>8100278514</v>
      </c>
      <c r="B2228" s="5">
        <v>7211</v>
      </c>
      <c r="C2228" s="6">
        <v>45673</v>
      </c>
      <c r="D2228" s="5" t="s">
        <v>194</v>
      </c>
      <c r="E2228" s="5" t="s">
        <v>195</v>
      </c>
      <c r="F2228" s="5" t="s">
        <v>69</v>
      </c>
      <c r="G2228" s="5" t="s">
        <v>70</v>
      </c>
      <c r="H2228" s="5" t="s">
        <v>108</v>
      </c>
      <c r="I2228" s="5" t="s">
        <v>128</v>
      </c>
      <c r="J2228" s="5" t="s">
        <v>290</v>
      </c>
      <c r="K2228" s="5" t="s">
        <v>198</v>
      </c>
      <c r="L2228" s="6">
        <v>45679</v>
      </c>
      <c r="M2228" s="6">
        <v>45677</v>
      </c>
      <c r="N2228" s="5" t="s">
        <v>811</v>
      </c>
      <c r="O2228" s="5" t="str">
        <f ca="1">IF(P2228&lt;&gt;"EXPEDIÇÃO","Expedido",IF(NETWORKDAYS(C2228,TODAY())&gt;=5,"Risco Alto",IF(NETWORKDAYS(C2228,TODAY())&gt;=3,IF(NETWORKDAYS(C2228,TODAY())&lt;5,"Risco Médio",""),IF(NETWORKDAYS(C2228,TODAY())&lt;=2,"Risco Baixo",""))))</f>
        <v>Expedido</v>
      </c>
      <c r="P2228" s="5" t="s">
        <v>25</v>
      </c>
      <c r="S2228" s="7">
        <f>IF(ISBLANK(M2228),"Aguardando Previsão/Data",NETWORKDAYS(L2228,M2228)-1)</f>
        <v>-4</v>
      </c>
      <c r="T2228" s="5" t="s">
        <v>942</v>
      </c>
    </row>
    <row r="2229" spans="1:20" x14ac:dyDescent="0.35">
      <c r="A2229" s="5">
        <v>8100278628</v>
      </c>
      <c r="B2229" s="5">
        <v>7214</v>
      </c>
      <c r="C2229" s="6">
        <v>45673</v>
      </c>
      <c r="D2229" s="5" t="s">
        <v>194</v>
      </c>
      <c r="E2229" s="5" t="s">
        <v>195</v>
      </c>
      <c r="F2229" s="5" t="s">
        <v>406</v>
      </c>
      <c r="G2229" s="5" t="s">
        <v>407</v>
      </c>
      <c r="H2229" s="5" t="s">
        <v>108</v>
      </c>
      <c r="I2229" s="5" t="s">
        <v>1397</v>
      </c>
      <c r="J2229" s="5" t="s">
        <v>407</v>
      </c>
      <c r="K2229" s="5" t="s">
        <v>198</v>
      </c>
      <c r="L2229" s="6">
        <v>45679</v>
      </c>
      <c r="M2229" s="6">
        <v>45677</v>
      </c>
      <c r="N2229" s="5" t="s">
        <v>811</v>
      </c>
      <c r="O2229" s="5" t="str">
        <f ca="1">IF(P2229&lt;&gt;"EXPEDIÇÃO","Expedido",IF(NETWORKDAYS(C2229,TODAY())&gt;=5,"Risco Alto",IF(NETWORKDAYS(C2229,TODAY())&gt;=3,IF(NETWORKDAYS(C2229,TODAY())&lt;5,"Risco Médio",""),IF(NETWORKDAYS(C2229,TODAY())&lt;=2,"Risco Baixo",""))))</f>
        <v>Expedido</v>
      </c>
      <c r="P2229" s="5" t="s">
        <v>25</v>
      </c>
      <c r="S2229" s="7">
        <f>IF(ISBLANK(M2229),"Aguardando Previsão/Data",NETWORKDAYS(L2229,M2229)-1)</f>
        <v>-4</v>
      </c>
      <c r="T2229" s="5" t="s">
        <v>942</v>
      </c>
    </row>
    <row r="2230" spans="1:20" x14ac:dyDescent="0.35">
      <c r="A2230" s="5">
        <v>8100278631</v>
      </c>
      <c r="B2230" s="5">
        <v>7213</v>
      </c>
      <c r="C2230" s="6">
        <v>45673</v>
      </c>
      <c r="D2230" s="5" t="s">
        <v>194</v>
      </c>
      <c r="E2230" s="5" t="s">
        <v>195</v>
      </c>
      <c r="F2230" s="5" t="s">
        <v>406</v>
      </c>
      <c r="G2230" s="5" t="s">
        <v>407</v>
      </c>
      <c r="H2230" s="5" t="s">
        <v>108</v>
      </c>
      <c r="I2230" s="5" t="s">
        <v>788</v>
      </c>
      <c r="J2230" s="5" t="s">
        <v>407</v>
      </c>
      <c r="K2230" s="5" t="s">
        <v>198</v>
      </c>
      <c r="L2230" s="6">
        <v>45679</v>
      </c>
      <c r="M2230" s="6">
        <v>45679</v>
      </c>
      <c r="N2230" s="5" t="s">
        <v>811</v>
      </c>
      <c r="O2230" s="5" t="str">
        <f ca="1">IF(P2230&lt;&gt;"EXPEDIÇÃO","Expedido",IF(NETWORKDAYS(C2230,TODAY())&gt;=5,"Risco Alto",IF(NETWORKDAYS(C2230,TODAY())&gt;=3,IF(NETWORKDAYS(C2230,TODAY())&lt;5,"Risco Médio",""),IF(NETWORKDAYS(C2230,TODAY())&lt;=2,"Risco Baixo",""))))</f>
        <v>Expedido</v>
      </c>
      <c r="P2230" s="5" t="s">
        <v>25</v>
      </c>
      <c r="Q2230" s="5" t="s">
        <v>1051</v>
      </c>
      <c r="S2230" s="7">
        <f>IF(ISBLANK(M2230),"Aguardando Previsão/Data",NETWORKDAYS(L2230,M2230)-1)</f>
        <v>0</v>
      </c>
      <c r="T2230" s="5" t="s">
        <v>942</v>
      </c>
    </row>
    <row r="2231" spans="1:20" x14ac:dyDescent="0.35">
      <c r="A2231" s="5">
        <v>8100278632</v>
      </c>
      <c r="B2231" s="5">
        <v>7212</v>
      </c>
      <c r="C2231" s="6">
        <v>45673</v>
      </c>
      <c r="D2231" s="5" t="s">
        <v>194</v>
      </c>
      <c r="E2231" s="5" t="s">
        <v>195</v>
      </c>
      <c r="F2231" s="5" t="s">
        <v>406</v>
      </c>
      <c r="G2231" s="5" t="s">
        <v>407</v>
      </c>
      <c r="H2231" s="5" t="s">
        <v>108</v>
      </c>
      <c r="I2231" s="5" t="s">
        <v>633</v>
      </c>
      <c r="J2231" s="5" t="s">
        <v>407</v>
      </c>
      <c r="K2231" s="5" t="s">
        <v>198</v>
      </c>
      <c r="L2231" s="6">
        <v>45679</v>
      </c>
      <c r="M2231" s="6">
        <v>45678</v>
      </c>
      <c r="N2231" s="5" t="s">
        <v>811</v>
      </c>
      <c r="O2231" s="5" t="str">
        <f ca="1">IF(P2231&lt;&gt;"EXPEDIÇÃO","Expedido",IF(NETWORKDAYS(C2231,TODAY())&gt;=5,"Risco Alto",IF(NETWORKDAYS(C2231,TODAY())&gt;=3,IF(NETWORKDAYS(C2231,TODAY())&lt;5,"Risco Médio",""),IF(NETWORKDAYS(C2231,TODAY())&lt;=2,"Risco Baixo",""))))</f>
        <v>Expedido</v>
      </c>
      <c r="P2231" s="5" t="s">
        <v>25</v>
      </c>
      <c r="Q2231" s="5" t="s">
        <v>1051</v>
      </c>
      <c r="S2231" s="7">
        <f>IF(ISBLANK(M2231),"Aguardando Previsão/Data",NETWORKDAYS(L2231,M2231)-1)</f>
        <v>-3</v>
      </c>
      <c r="T2231" s="5" t="s">
        <v>942</v>
      </c>
    </row>
    <row r="2232" spans="1:20" x14ac:dyDescent="0.35">
      <c r="A2232" s="5">
        <v>8100278633</v>
      </c>
      <c r="B2232" s="5">
        <v>7215</v>
      </c>
      <c r="C2232" s="6">
        <v>45673</v>
      </c>
      <c r="D2232" s="5" t="s">
        <v>194</v>
      </c>
      <c r="E2232" s="5" t="s">
        <v>195</v>
      </c>
      <c r="F2232" s="5" t="s">
        <v>406</v>
      </c>
      <c r="G2232" s="5" t="s">
        <v>407</v>
      </c>
      <c r="H2232" s="5" t="s">
        <v>108</v>
      </c>
      <c r="I2232" s="5" t="s">
        <v>1397</v>
      </c>
      <c r="J2232" s="5" t="s">
        <v>407</v>
      </c>
      <c r="K2232" s="5" t="s">
        <v>198</v>
      </c>
      <c r="L2232" s="6">
        <v>45679</v>
      </c>
      <c r="M2232" s="6">
        <v>45677</v>
      </c>
      <c r="N2232" s="5" t="s">
        <v>811</v>
      </c>
      <c r="O2232" s="5" t="str">
        <f ca="1">IF(P2232&lt;&gt;"EXPEDIÇÃO","Expedido",IF(NETWORKDAYS(C2232,TODAY())&gt;=5,"Risco Alto",IF(NETWORKDAYS(C2232,TODAY())&gt;=3,IF(NETWORKDAYS(C2232,TODAY())&lt;5,"Risco Médio",""),IF(NETWORKDAYS(C2232,TODAY())&lt;=2,"Risco Baixo",""))))</f>
        <v>Expedido</v>
      </c>
      <c r="P2232" s="5" t="s">
        <v>25</v>
      </c>
      <c r="S2232" s="7">
        <f>IF(ISBLANK(M2232),"Aguardando Previsão/Data",NETWORKDAYS(L2232,M2232)-1)</f>
        <v>-4</v>
      </c>
      <c r="T2232" s="5" t="s">
        <v>942</v>
      </c>
    </row>
    <row r="2233" spans="1:20" x14ac:dyDescent="0.35">
      <c r="A2233" s="5">
        <v>8100278624</v>
      </c>
      <c r="B2233" s="5">
        <v>14471</v>
      </c>
      <c r="C2233" s="6">
        <v>45673</v>
      </c>
      <c r="D2233" s="5" t="s">
        <v>211</v>
      </c>
      <c r="E2233" s="5" t="s">
        <v>212</v>
      </c>
      <c r="F2233" s="5" t="s">
        <v>66</v>
      </c>
      <c r="G2233" s="5" t="s">
        <v>67</v>
      </c>
      <c r="H2233" s="5" t="s">
        <v>108</v>
      </c>
      <c r="I2233" s="5" t="s">
        <v>315</v>
      </c>
      <c r="J2233" s="5" t="s">
        <v>316</v>
      </c>
      <c r="K2233" s="5" t="s">
        <v>156</v>
      </c>
      <c r="L2233" s="6">
        <v>45685</v>
      </c>
      <c r="M2233" s="6">
        <v>45681</v>
      </c>
      <c r="N2233" s="5" t="s">
        <v>811</v>
      </c>
      <c r="O2233" s="5" t="str">
        <f ca="1">IF(P2233&lt;&gt;"EXPEDIÇÃO","Expedido",IF(NETWORKDAYS(C2233,TODAY())&gt;=5,"Risco Alto",IF(NETWORKDAYS(C2233,TODAY())&gt;=3,IF(NETWORKDAYS(C2233,TODAY())&lt;5,"Risco Médio",""),IF(NETWORKDAYS(C2233,TODAY())&lt;=2,"Risco Baixo",""))))</f>
        <v>Expedido</v>
      </c>
      <c r="P2233" s="5" t="s">
        <v>25</v>
      </c>
      <c r="S2233" s="7">
        <f>IF(ISBLANK(M2233),"Aguardando Previsão/Data",NETWORKDAYS(L2233,M2233)-1)</f>
        <v>-4</v>
      </c>
      <c r="T2233" s="5" t="s">
        <v>942</v>
      </c>
    </row>
    <row r="2234" spans="1:20" x14ac:dyDescent="0.35">
      <c r="A2234" s="5">
        <v>8100278625</v>
      </c>
      <c r="B2234" s="5">
        <v>14472</v>
      </c>
      <c r="C2234" s="6">
        <v>45673</v>
      </c>
      <c r="D2234" s="5" t="s">
        <v>211</v>
      </c>
      <c r="E2234" s="5" t="s">
        <v>212</v>
      </c>
      <c r="F2234" s="5" t="s">
        <v>66</v>
      </c>
      <c r="G2234" s="5" t="s">
        <v>67</v>
      </c>
      <c r="H2234" s="5" t="s">
        <v>108</v>
      </c>
      <c r="I2234" s="5" t="s">
        <v>315</v>
      </c>
      <c r="J2234" s="5" t="s">
        <v>316</v>
      </c>
      <c r="K2234" s="5" t="s">
        <v>156</v>
      </c>
      <c r="L2234" s="6">
        <v>45685</v>
      </c>
      <c r="M2234" s="6">
        <v>45681</v>
      </c>
      <c r="N2234" s="5" t="s">
        <v>811</v>
      </c>
      <c r="O2234" s="5" t="str">
        <f ca="1">IF(P2234&lt;&gt;"EXPEDIÇÃO","Expedido",IF(NETWORKDAYS(C2234,TODAY())&gt;=5,"Risco Alto",IF(NETWORKDAYS(C2234,TODAY())&gt;=3,IF(NETWORKDAYS(C2234,TODAY())&lt;5,"Risco Médio",""),IF(NETWORKDAYS(C2234,TODAY())&lt;=2,"Risco Baixo",""))))</f>
        <v>Expedido</v>
      </c>
      <c r="P2234" s="5" t="s">
        <v>25</v>
      </c>
      <c r="S2234" s="7">
        <f>IF(ISBLANK(M2234),"Aguardando Previsão/Data",NETWORKDAYS(L2234,M2234)-1)</f>
        <v>-4</v>
      </c>
      <c r="T2234" s="5" t="s">
        <v>942</v>
      </c>
    </row>
    <row r="2235" spans="1:20" x14ac:dyDescent="0.35">
      <c r="A2235" s="5">
        <v>8100278626</v>
      </c>
      <c r="B2235" s="5">
        <v>14470</v>
      </c>
      <c r="C2235" s="6">
        <v>45673</v>
      </c>
      <c r="D2235" s="5" t="s">
        <v>211</v>
      </c>
      <c r="E2235" s="5" t="s">
        <v>212</v>
      </c>
      <c r="F2235" s="5" t="s">
        <v>66</v>
      </c>
      <c r="G2235" s="5" t="s">
        <v>67</v>
      </c>
      <c r="H2235" s="5" t="s">
        <v>108</v>
      </c>
      <c r="I2235" s="5" t="s">
        <v>1389</v>
      </c>
      <c r="J2235" s="5" t="s">
        <v>399</v>
      </c>
      <c r="K2235" s="5" t="s">
        <v>156</v>
      </c>
      <c r="L2235" s="6">
        <v>45685</v>
      </c>
      <c r="M2235" s="6">
        <v>45685</v>
      </c>
      <c r="N2235" s="5" t="s">
        <v>811</v>
      </c>
      <c r="O2235" s="5" t="str">
        <f ca="1">IF(P2235&lt;&gt;"EXPEDIÇÃO","Expedido",IF(NETWORKDAYS(C2235,TODAY())&gt;=5,"Risco Alto",IF(NETWORKDAYS(C2235,TODAY())&gt;=3,IF(NETWORKDAYS(C2235,TODAY())&lt;5,"Risco Médio",""),IF(NETWORKDAYS(C2235,TODAY())&lt;=2,"Risco Baixo",""))))</f>
        <v>Expedido</v>
      </c>
      <c r="P2235" s="5" t="s">
        <v>25</v>
      </c>
      <c r="S2235" s="7">
        <f>IF(ISBLANK(M2235),"Aguardando Previsão/Data",NETWORKDAYS(L2235,M2235)-1)</f>
        <v>0</v>
      </c>
      <c r="T2235" s="5" t="s">
        <v>942</v>
      </c>
    </row>
    <row r="2236" spans="1:20" x14ac:dyDescent="0.35">
      <c r="A2236" s="5">
        <v>8100278320</v>
      </c>
      <c r="B2236" s="5">
        <v>14465</v>
      </c>
      <c r="C2236" s="6">
        <v>45673</v>
      </c>
      <c r="D2236" s="5" t="s">
        <v>211</v>
      </c>
      <c r="E2236" s="5" t="s">
        <v>212</v>
      </c>
      <c r="F2236" s="5" t="s">
        <v>66</v>
      </c>
      <c r="G2236" s="5" t="s">
        <v>67</v>
      </c>
      <c r="H2236" s="5" t="s">
        <v>108</v>
      </c>
      <c r="I2236" s="5" t="s">
        <v>1389</v>
      </c>
      <c r="J2236" s="5" t="s">
        <v>399</v>
      </c>
      <c r="K2236" s="5" t="s">
        <v>156</v>
      </c>
      <c r="L2236" s="6">
        <v>45685</v>
      </c>
      <c r="M2236" s="6">
        <v>45679</v>
      </c>
      <c r="N2236" s="5" t="s">
        <v>811</v>
      </c>
      <c r="O2236" s="5" t="str">
        <f ca="1">IF(P2236&lt;&gt;"EXPEDIÇÃO","Expedido",IF(NETWORKDAYS(C2236,TODAY())&gt;=5,"Risco Alto",IF(NETWORKDAYS(C2236,TODAY())&gt;=3,IF(NETWORKDAYS(C2236,TODAY())&lt;5,"Risco Médio",""),IF(NETWORKDAYS(C2236,TODAY())&lt;=2,"Risco Baixo",""))))</f>
        <v>Expedido</v>
      </c>
      <c r="P2236" s="5" t="s">
        <v>25</v>
      </c>
      <c r="S2236" s="7">
        <f>IF(ISBLANK(M2236),"Aguardando Previsão/Data",NETWORKDAYS(L2236,M2236)-1)</f>
        <v>-6</v>
      </c>
      <c r="T2236" s="5" t="s">
        <v>942</v>
      </c>
    </row>
    <row r="2237" spans="1:20" x14ac:dyDescent="0.35">
      <c r="A2237" s="5">
        <v>8100278321</v>
      </c>
      <c r="B2237" s="5">
        <v>14466</v>
      </c>
      <c r="C2237" s="6">
        <v>45673</v>
      </c>
      <c r="D2237" s="5" t="s">
        <v>211</v>
      </c>
      <c r="E2237" s="5" t="s">
        <v>212</v>
      </c>
      <c r="F2237" s="5" t="s">
        <v>66</v>
      </c>
      <c r="G2237" s="5" t="s">
        <v>67</v>
      </c>
      <c r="H2237" s="5" t="s">
        <v>108</v>
      </c>
      <c r="I2237" s="5" t="s">
        <v>1389</v>
      </c>
      <c r="J2237" s="5" t="s">
        <v>399</v>
      </c>
      <c r="K2237" s="5" t="s">
        <v>156</v>
      </c>
      <c r="L2237" s="6">
        <v>45685</v>
      </c>
      <c r="M2237" s="6">
        <v>45679</v>
      </c>
      <c r="N2237" s="5" t="s">
        <v>811</v>
      </c>
      <c r="O2237" s="5" t="str">
        <f ca="1">IF(P2237&lt;&gt;"EXPEDIÇÃO","Expedido",IF(NETWORKDAYS(C2237,TODAY())&gt;=5,"Risco Alto",IF(NETWORKDAYS(C2237,TODAY())&gt;=3,IF(NETWORKDAYS(C2237,TODAY())&lt;5,"Risco Médio",""),IF(NETWORKDAYS(C2237,TODAY())&lt;=2,"Risco Baixo",""))))</f>
        <v>Expedido</v>
      </c>
      <c r="P2237" s="5" t="s">
        <v>25</v>
      </c>
      <c r="S2237" s="7">
        <f>IF(ISBLANK(M2237),"Aguardando Previsão/Data",NETWORKDAYS(L2237,M2237)-1)</f>
        <v>-6</v>
      </c>
      <c r="T2237" s="5" t="s">
        <v>942</v>
      </c>
    </row>
    <row r="2238" spans="1:20" x14ac:dyDescent="0.35">
      <c r="A2238" s="5">
        <v>8100278322</v>
      </c>
      <c r="B2238" s="5">
        <v>14467</v>
      </c>
      <c r="C2238" s="6">
        <v>45673</v>
      </c>
      <c r="D2238" s="5" t="s">
        <v>211</v>
      </c>
      <c r="E2238" s="5" t="s">
        <v>212</v>
      </c>
      <c r="F2238" s="5" t="s">
        <v>66</v>
      </c>
      <c r="G2238" s="5" t="s">
        <v>67</v>
      </c>
      <c r="H2238" s="5" t="s">
        <v>108</v>
      </c>
      <c r="I2238" s="5" t="s">
        <v>1389</v>
      </c>
      <c r="J2238" s="5" t="s">
        <v>399</v>
      </c>
      <c r="K2238" s="5" t="s">
        <v>156</v>
      </c>
      <c r="L2238" s="6">
        <v>45685</v>
      </c>
      <c r="M2238" s="6">
        <v>45679</v>
      </c>
      <c r="N2238" s="5" t="s">
        <v>811</v>
      </c>
      <c r="O2238" s="5" t="str">
        <f ca="1">IF(P2238&lt;&gt;"EXPEDIÇÃO","Expedido",IF(NETWORKDAYS(C2238,TODAY())&gt;=5,"Risco Alto",IF(NETWORKDAYS(C2238,TODAY())&gt;=3,IF(NETWORKDAYS(C2238,TODAY())&lt;5,"Risco Médio",""),IF(NETWORKDAYS(C2238,TODAY())&lt;=2,"Risco Baixo",""))))</f>
        <v>Expedido</v>
      </c>
      <c r="P2238" s="5" t="s">
        <v>25</v>
      </c>
      <c r="S2238" s="7">
        <f>IF(ISBLANK(M2238),"Aguardando Previsão/Data",NETWORKDAYS(L2238,M2238)-1)</f>
        <v>-6</v>
      </c>
      <c r="T2238" s="5" t="s">
        <v>942</v>
      </c>
    </row>
    <row r="2239" spans="1:20" x14ac:dyDescent="0.35">
      <c r="A2239" s="5">
        <v>8100278371</v>
      </c>
      <c r="B2239" s="5">
        <v>12303</v>
      </c>
      <c r="C2239" s="6">
        <v>45673</v>
      </c>
      <c r="D2239" s="5" t="s">
        <v>158</v>
      </c>
      <c r="E2239" s="5" t="s">
        <v>159</v>
      </c>
      <c r="F2239" s="5" t="s">
        <v>84</v>
      </c>
      <c r="G2239" s="5" t="s">
        <v>85</v>
      </c>
      <c r="H2239" s="5" t="s">
        <v>108</v>
      </c>
      <c r="I2239" s="5" t="s">
        <v>766</v>
      </c>
      <c r="J2239" s="5" t="s">
        <v>181</v>
      </c>
      <c r="K2239" s="5" t="s">
        <v>80</v>
      </c>
      <c r="L2239" s="6">
        <v>45681</v>
      </c>
      <c r="M2239" s="6">
        <v>45679</v>
      </c>
      <c r="N2239" s="5" t="s">
        <v>811</v>
      </c>
      <c r="O2239" s="5" t="str">
        <f ca="1">IF(P2239&lt;&gt;"EXPEDIÇÃO","Expedido",IF(NETWORKDAYS(C2239,TODAY())&gt;=5,"Risco Alto",IF(NETWORKDAYS(C2239,TODAY())&gt;=3,IF(NETWORKDAYS(C2239,TODAY())&lt;5,"Risco Médio",""),IF(NETWORKDAYS(C2239,TODAY())&lt;=2,"Risco Baixo",""))))</f>
        <v>Expedido</v>
      </c>
      <c r="P2239" s="5" t="s">
        <v>25</v>
      </c>
      <c r="S2239" s="7">
        <f>IF(ISBLANK(M2239),"Aguardando Previsão/Data",NETWORKDAYS(L2239,M2239)-1)</f>
        <v>-4</v>
      </c>
      <c r="T2239" s="5" t="s">
        <v>942</v>
      </c>
    </row>
    <row r="2240" spans="1:20" x14ac:dyDescent="0.35">
      <c r="A2240" s="5">
        <v>8100278372</v>
      </c>
      <c r="B2240" s="5">
        <v>12290</v>
      </c>
      <c r="C2240" s="6">
        <v>45673</v>
      </c>
      <c r="D2240" s="5" t="s">
        <v>158</v>
      </c>
      <c r="E2240" s="5" t="s">
        <v>159</v>
      </c>
      <c r="F2240" s="5" t="s">
        <v>176</v>
      </c>
      <c r="G2240" s="5" t="s">
        <v>177</v>
      </c>
      <c r="H2240" s="5" t="s">
        <v>108</v>
      </c>
      <c r="I2240" s="5" t="s">
        <v>1215</v>
      </c>
      <c r="J2240" s="5" t="s">
        <v>1216</v>
      </c>
      <c r="K2240" s="5" t="s">
        <v>170</v>
      </c>
      <c r="L2240" s="6">
        <v>45680</v>
      </c>
      <c r="M2240" s="6">
        <v>45677</v>
      </c>
      <c r="N2240" s="5" t="s">
        <v>811</v>
      </c>
      <c r="O2240" s="5" t="str">
        <f ca="1">IF(P2240&lt;&gt;"EXPEDIÇÃO","Expedido",IF(NETWORKDAYS(C2240,TODAY())&gt;=5,"Risco Alto",IF(NETWORKDAYS(C2240,TODAY())&gt;=3,IF(NETWORKDAYS(C2240,TODAY())&lt;5,"Risco Médio",""),IF(NETWORKDAYS(C2240,TODAY())&lt;=2,"Risco Baixo",""))))</f>
        <v>Expedido</v>
      </c>
      <c r="P2240" s="5" t="s">
        <v>25</v>
      </c>
      <c r="S2240" s="7">
        <f>IF(ISBLANK(M2240),"Aguardando Previsão/Data",NETWORKDAYS(L2240,M2240)-1)</f>
        <v>-5</v>
      </c>
      <c r="T2240" s="5" t="s">
        <v>942</v>
      </c>
    </row>
    <row r="2241" spans="1:20" x14ac:dyDescent="0.35">
      <c r="A2241" s="5">
        <v>8100278374</v>
      </c>
      <c r="B2241" s="5">
        <v>12285</v>
      </c>
      <c r="C2241" s="6">
        <v>45673</v>
      </c>
      <c r="D2241" s="5" t="s">
        <v>158</v>
      </c>
      <c r="E2241" s="5" t="s">
        <v>159</v>
      </c>
      <c r="F2241" s="5" t="s">
        <v>79</v>
      </c>
      <c r="G2241" s="5" t="s">
        <v>80</v>
      </c>
      <c r="H2241" s="5" t="s">
        <v>108</v>
      </c>
      <c r="I2241" s="5" t="s">
        <v>162</v>
      </c>
      <c r="J2241" s="5" t="s">
        <v>163</v>
      </c>
      <c r="K2241" s="5" t="s">
        <v>80</v>
      </c>
      <c r="L2241" s="6">
        <v>45681</v>
      </c>
      <c r="M2241" s="6">
        <v>45678</v>
      </c>
      <c r="N2241" s="5" t="s">
        <v>811</v>
      </c>
      <c r="O2241" s="5" t="str">
        <f ca="1">IF(P2241&lt;&gt;"EXPEDIÇÃO","Expedido",IF(NETWORKDAYS(C2241,TODAY())&gt;=5,"Risco Alto",IF(NETWORKDAYS(C2241,TODAY())&gt;=3,IF(NETWORKDAYS(C2241,TODAY())&lt;5,"Risco Médio",""),IF(NETWORKDAYS(C2241,TODAY())&lt;=2,"Risco Baixo",""))))</f>
        <v>Expedido</v>
      </c>
      <c r="P2241" s="5" t="s">
        <v>25</v>
      </c>
      <c r="S2241" s="7">
        <f>IF(ISBLANK(M2241),"Aguardando Previsão/Data",NETWORKDAYS(L2241,M2241)-1)</f>
        <v>-5</v>
      </c>
      <c r="T2241" s="5" t="s">
        <v>942</v>
      </c>
    </row>
    <row r="2242" spans="1:20" x14ac:dyDescent="0.35">
      <c r="A2242" s="5">
        <v>8100278375</v>
      </c>
      <c r="B2242" s="5">
        <v>12282</v>
      </c>
      <c r="C2242" s="6">
        <v>45673</v>
      </c>
      <c r="D2242" s="5" t="s">
        <v>158</v>
      </c>
      <c r="E2242" s="5" t="s">
        <v>159</v>
      </c>
      <c r="F2242" s="5" t="s">
        <v>167</v>
      </c>
      <c r="G2242" s="5" t="s">
        <v>168</v>
      </c>
      <c r="H2242" s="5" t="s">
        <v>108</v>
      </c>
      <c r="I2242" s="5" t="s">
        <v>304</v>
      </c>
      <c r="J2242" s="5" t="s">
        <v>305</v>
      </c>
      <c r="K2242" s="5" t="s">
        <v>170</v>
      </c>
      <c r="L2242" s="6">
        <v>45679</v>
      </c>
      <c r="M2242" s="6">
        <v>45674</v>
      </c>
      <c r="N2242" s="5" t="s">
        <v>811</v>
      </c>
      <c r="O2242" s="5" t="str">
        <f ca="1">IF(P2242&lt;&gt;"EXPEDIÇÃO","Expedido",IF(NETWORKDAYS(C2242,TODAY())&gt;=5,"Risco Alto",IF(NETWORKDAYS(C2242,TODAY())&gt;=3,IF(NETWORKDAYS(C2242,TODAY())&lt;5,"Risco Médio",""),IF(NETWORKDAYS(C2242,TODAY())&lt;=2,"Risco Baixo",""))))</f>
        <v>Expedido</v>
      </c>
      <c r="P2242" s="5" t="s">
        <v>25</v>
      </c>
      <c r="S2242" s="7">
        <f>IF(ISBLANK(M2242),"Aguardando Previsão/Data",NETWORKDAYS(L2242,M2242)-1)</f>
        <v>-5</v>
      </c>
      <c r="T2242" s="5" t="s">
        <v>942</v>
      </c>
    </row>
    <row r="2243" spans="1:20" x14ac:dyDescent="0.35">
      <c r="A2243" s="5">
        <v>8100278376</v>
      </c>
      <c r="B2243" s="8">
        <v>12291</v>
      </c>
      <c r="C2243" s="6">
        <v>45673</v>
      </c>
      <c r="D2243" s="5" t="s">
        <v>158</v>
      </c>
      <c r="E2243" s="5" t="s">
        <v>159</v>
      </c>
      <c r="F2243" s="5" t="s">
        <v>176</v>
      </c>
      <c r="G2243" s="5" t="s">
        <v>177</v>
      </c>
      <c r="H2243" s="5" t="s">
        <v>108</v>
      </c>
      <c r="I2243" s="5" t="s">
        <v>1341</v>
      </c>
      <c r="J2243" s="5" t="s">
        <v>179</v>
      </c>
      <c r="K2243" s="5" t="s">
        <v>175</v>
      </c>
      <c r="L2243" s="6">
        <v>45681</v>
      </c>
      <c r="M2243" s="6">
        <v>45679</v>
      </c>
      <c r="N2243" s="5"/>
      <c r="O2243" s="5" t="str">
        <f ca="1">IF(P2243&lt;&gt;"EXPEDIÇÃO","Expedido",IF(NETWORKDAYS(C2243,TODAY())&gt;=5,"Risco Alto",IF(NETWORKDAYS(C2243,TODAY())&gt;=3,IF(NETWORKDAYS(C2243,TODAY())&lt;5,"Risco Médio",""),IF(NETWORKDAYS(C2243,TODAY())&lt;=2,"Risco Baixo",""))))</f>
        <v>Expedido</v>
      </c>
      <c r="P2243" s="5" t="s">
        <v>145</v>
      </c>
      <c r="Q2243" s="5" t="s">
        <v>363</v>
      </c>
      <c r="R2243" s="5" t="s">
        <v>1492</v>
      </c>
      <c r="S2243" s="7">
        <f>IF(ISBLANK(M2243),"Aguardando Previsão/Data",NETWORKDAYS(L2243,M2243)-1)</f>
        <v>-4</v>
      </c>
      <c r="T2243" s="5" t="s">
        <v>942</v>
      </c>
    </row>
    <row r="2244" spans="1:20" x14ac:dyDescent="0.35">
      <c r="A2244" s="5">
        <v>8100278377</v>
      </c>
      <c r="B2244" s="5">
        <v>12292</v>
      </c>
      <c r="C2244" s="6">
        <v>45673</v>
      </c>
      <c r="D2244" s="5" t="s">
        <v>158</v>
      </c>
      <c r="E2244" s="5" t="s">
        <v>159</v>
      </c>
      <c r="F2244" s="5" t="s">
        <v>176</v>
      </c>
      <c r="G2244" s="5" t="s">
        <v>177</v>
      </c>
      <c r="H2244" s="5" t="s">
        <v>108</v>
      </c>
      <c r="I2244" s="5" t="s">
        <v>191</v>
      </c>
      <c r="J2244" s="5" t="s">
        <v>192</v>
      </c>
      <c r="K2244" s="5" t="s">
        <v>175</v>
      </c>
      <c r="L2244" s="6">
        <v>45684</v>
      </c>
      <c r="M2244" s="6">
        <v>45678</v>
      </c>
      <c r="N2244" s="5" t="s">
        <v>811</v>
      </c>
      <c r="O2244" s="5" t="str">
        <f ca="1">IF(P2244&lt;&gt;"EXPEDIÇÃO","Expedido",IF(NETWORKDAYS(C2244,TODAY())&gt;=5,"Risco Alto",IF(NETWORKDAYS(C2244,TODAY())&gt;=3,IF(NETWORKDAYS(C2244,TODAY())&lt;5,"Risco Médio",""),IF(NETWORKDAYS(C2244,TODAY())&lt;=2,"Risco Baixo",""))))</f>
        <v>Expedido</v>
      </c>
      <c r="P2244" s="5" t="s">
        <v>25</v>
      </c>
      <c r="S2244" s="7">
        <f>IF(ISBLANK(M2244),"Aguardando Previsão/Data",NETWORKDAYS(L2244,M2244)-1)</f>
        <v>-6</v>
      </c>
      <c r="T2244" s="5" t="s">
        <v>942</v>
      </c>
    </row>
    <row r="2245" spans="1:20" x14ac:dyDescent="0.35">
      <c r="A2245" s="5">
        <v>8100278378</v>
      </c>
      <c r="B2245" s="5">
        <v>12293</v>
      </c>
      <c r="C2245" s="6">
        <v>45673</v>
      </c>
      <c r="D2245" s="5" t="s">
        <v>158</v>
      </c>
      <c r="E2245" s="5" t="s">
        <v>159</v>
      </c>
      <c r="F2245" s="5" t="s">
        <v>176</v>
      </c>
      <c r="G2245" s="5" t="s">
        <v>177</v>
      </c>
      <c r="H2245" s="5" t="s">
        <v>108</v>
      </c>
      <c r="I2245" s="5" t="s">
        <v>178</v>
      </c>
      <c r="J2245" s="5" t="s">
        <v>179</v>
      </c>
      <c r="K2245" s="5" t="s">
        <v>175</v>
      </c>
      <c r="L2245" s="6">
        <v>45681</v>
      </c>
      <c r="M2245" s="6">
        <v>45677</v>
      </c>
      <c r="N2245" s="5" t="s">
        <v>811</v>
      </c>
      <c r="O2245" s="5" t="str">
        <f ca="1">IF(P2245&lt;&gt;"EXPEDIÇÃO","Expedido",IF(NETWORKDAYS(C2245,TODAY())&gt;=5,"Risco Alto",IF(NETWORKDAYS(C2245,TODAY())&gt;=3,IF(NETWORKDAYS(C2245,TODAY())&lt;5,"Risco Médio",""),IF(NETWORKDAYS(C2245,TODAY())&lt;=2,"Risco Baixo",""))))</f>
        <v>Expedido</v>
      </c>
      <c r="P2245" s="5" t="s">
        <v>25</v>
      </c>
      <c r="S2245" s="7">
        <f>IF(ISBLANK(M2245),"Aguardando Previsão/Data",NETWORKDAYS(L2245,M2245)-1)</f>
        <v>-6</v>
      </c>
      <c r="T2245" s="5" t="s">
        <v>942</v>
      </c>
    </row>
    <row r="2246" spans="1:20" x14ac:dyDescent="0.35">
      <c r="A2246" s="5">
        <v>8100278379</v>
      </c>
      <c r="B2246" s="5">
        <v>12296</v>
      </c>
      <c r="C2246" s="6">
        <v>45673</v>
      </c>
      <c r="D2246" s="5" t="s">
        <v>158</v>
      </c>
      <c r="E2246" s="5" t="s">
        <v>159</v>
      </c>
      <c r="F2246" s="5" t="s">
        <v>160</v>
      </c>
      <c r="G2246" s="5" t="s">
        <v>161</v>
      </c>
      <c r="H2246" s="5" t="s">
        <v>108</v>
      </c>
      <c r="I2246" s="5" t="s">
        <v>347</v>
      </c>
      <c r="J2246" s="5" t="s">
        <v>310</v>
      </c>
      <c r="K2246" s="5" t="s">
        <v>175</v>
      </c>
      <c r="L2246" s="6">
        <v>45684</v>
      </c>
      <c r="M2246" s="6">
        <v>45679</v>
      </c>
      <c r="N2246" s="5" t="s">
        <v>811</v>
      </c>
      <c r="O2246" s="5" t="str">
        <f ca="1">IF(P2246&lt;&gt;"EXPEDIÇÃO","Expedido",IF(NETWORKDAYS(C2246,TODAY())&gt;=5,"Risco Alto",IF(NETWORKDAYS(C2246,TODAY())&gt;=3,IF(NETWORKDAYS(C2246,TODAY())&lt;5,"Risco Médio",""),IF(NETWORKDAYS(C2246,TODAY())&lt;=2,"Risco Baixo",""))))</f>
        <v>Expedido</v>
      </c>
      <c r="P2246" s="5" t="s">
        <v>25</v>
      </c>
      <c r="S2246" s="7">
        <f>IF(ISBLANK(M2246),"Aguardando Previsão/Data",NETWORKDAYS(L2246,M2246)-1)</f>
        <v>-5</v>
      </c>
      <c r="T2246" s="5" t="s">
        <v>942</v>
      </c>
    </row>
    <row r="2247" spans="1:20" x14ac:dyDescent="0.35">
      <c r="A2247" s="5">
        <v>8100278380</v>
      </c>
      <c r="B2247" s="5">
        <v>12297</v>
      </c>
      <c r="C2247" s="6">
        <v>45673</v>
      </c>
      <c r="D2247" s="5" t="s">
        <v>158</v>
      </c>
      <c r="E2247" s="5" t="s">
        <v>159</v>
      </c>
      <c r="F2247" s="5" t="s">
        <v>160</v>
      </c>
      <c r="G2247" s="5" t="s">
        <v>161</v>
      </c>
      <c r="H2247" s="5" t="s">
        <v>108</v>
      </c>
      <c r="I2247" s="5" t="s">
        <v>347</v>
      </c>
      <c r="J2247" s="5" t="s">
        <v>310</v>
      </c>
      <c r="K2247" s="5" t="s">
        <v>175</v>
      </c>
      <c r="L2247" s="6">
        <v>45684</v>
      </c>
      <c r="M2247" s="6">
        <v>45679</v>
      </c>
      <c r="N2247" s="5" t="s">
        <v>811</v>
      </c>
      <c r="O2247" s="5" t="str">
        <f ca="1">IF(P2247&lt;&gt;"EXPEDIÇÃO","Expedido",IF(NETWORKDAYS(C2247,TODAY())&gt;=5,"Risco Alto",IF(NETWORKDAYS(C2247,TODAY())&gt;=3,IF(NETWORKDAYS(C2247,TODAY())&lt;5,"Risco Médio",""),IF(NETWORKDAYS(C2247,TODAY())&lt;=2,"Risco Baixo",""))))</f>
        <v>Expedido</v>
      </c>
      <c r="P2247" s="5" t="s">
        <v>25</v>
      </c>
      <c r="S2247" s="7">
        <f>IF(ISBLANK(M2247),"Aguardando Previsão/Data",NETWORKDAYS(L2247,M2247)-1)</f>
        <v>-5</v>
      </c>
      <c r="T2247" s="5" t="s">
        <v>942</v>
      </c>
    </row>
    <row r="2248" spans="1:20" x14ac:dyDescent="0.35">
      <c r="A2248" s="5">
        <v>8100278381</v>
      </c>
      <c r="B2248" s="5">
        <v>12295</v>
      </c>
      <c r="C2248" s="6">
        <v>45673</v>
      </c>
      <c r="D2248" s="5" t="s">
        <v>158</v>
      </c>
      <c r="E2248" s="5" t="s">
        <v>159</v>
      </c>
      <c r="F2248" s="5" t="s">
        <v>176</v>
      </c>
      <c r="G2248" s="5" t="s">
        <v>177</v>
      </c>
      <c r="H2248" s="5" t="s">
        <v>108</v>
      </c>
      <c r="I2248" s="5" t="s">
        <v>654</v>
      </c>
      <c r="J2248" s="5" t="s">
        <v>627</v>
      </c>
      <c r="K2248" s="5" t="s">
        <v>175</v>
      </c>
      <c r="L2248" s="6">
        <v>45684</v>
      </c>
      <c r="M2248" s="6">
        <v>45678</v>
      </c>
      <c r="N2248" s="5" t="s">
        <v>811</v>
      </c>
      <c r="O2248" s="5" t="str">
        <f ca="1">IF(P2248&lt;&gt;"EXPEDIÇÃO","Expedido",IF(NETWORKDAYS(C2248,TODAY())&gt;=5,"Risco Alto",IF(NETWORKDAYS(C2248,TODAY())&gt;=3,IF(NETWORKDAYS(C2248,TODAY())&lt;5,"Risco Médio",""),IF(NETWORKDAYS(C2248,TODAY())&lt;=2,"Risco Baixo",""))))</f>
        <v>Expedido</v>
      </c>
      <c r="P2248" s="5" t="s">
        <v>25</v>
      </c>
      <c r="S2248" s="7">
        <f>IF(ISBLANK(M2248),"Aguardando Previsão/Data",NETWORKDAYS(L2248,M2248)-1)</f>
        <v>-6</v>
      </c>
      <c r="T2248" s="5" t="s">
        <v>942</v>
      </c>
    </row>
    <row r="2249" spans="1:20" x14ac:dyDescent="0.35">
      <c r="A2249" s="5">
        <v>8100278382</v>
      </c>
      <c r="B2249" s="5">
        <v>12294</v>
      </c>
      <c r="C2249" s="6">
        <v>45673</v>
      </c>
      <c r="D2249" s="5" t="s">
        <v>158</v>
      </c>
      <c r="E2249" s="5" t="s">
        <v>159</v>
      </c>
      <c r="F2249" s="5" t="s">
        <v>136</v>
      </c>
      <c r="G2249" s="5" t="s">
        <v>137</v>
      </c>
      <c r="H2249" s="5" t="s">
        <v>108</v>
      </c>
      <c r="I2249" s="5" t="s">
        <v>178</v>
      </c>
      <c r="J2249" s="5" t="s">
        <v>179</v>
      </c>
      <c r="K2249" s="5" t="s">
        <v>175</v>
      </c>
      <c r="L2249" s="6">
        <v>45681</v>
      </c>
      <c r="M2249" s="6">
        <v>45677</v>
      </c>
      <c r="N2249" s="5" t="s">
        <v>811</v>
      </c>
      <c r="O2249" s="5" t="str">
        <f ca="1">IF(P2249&lt;&gt;"EXPEDIÇÃO","Expedido",IF(NETWORKDAYS(C2249,TODAY())&gt;=5,"Risco Alto",IF(NETWORKDAYS(C2249,TODAY())&gt;=3,IF(NETWORKDAYS(C2249,TODAY())&lt;5,"Risco Médio",""),IF(NETWORKDAYS(C2249,TODAY())&lt;=2,"Risco Baixo",""))))</f>
        <v>Expedido</v>
      </c>
      <c r="P2249" s="5" t="s">
        <v>25</v>
      </c>
      <c r="S2249" s="7">
        <f>IF(ISBLANK(M2249),"Aguardando Previsão/Data",NETWORKDAYS(L2249,M2249)-1)</f>
        <v>-6</v>
      </c>
      <c r="T2249" s="5" t="s">
        <v>942</v>
      </c>
    </row>
    <row r="2250" spans="1:20" x14ac:dyDescent="0.35">
      <c r="A2250" s="5">
        <v>8100278473</v>
      </c>
      <c r="B2250" s="5">
        <v>12286</v>
      </c>
      <c r="C2250" s="6">
        <v>45673</v>
      </c>
      <c r="D2250" s="5" t="s">
        <v>158</v>
      </c>
      <c r="E2250" s="5" t="s">
        <v>159</v>
      </c>
      <c r="F2250" s="5" t="s">
        <v>406</v>
      </c>
      <c r="G2250" s="5" t="s">
        <v>407</v>
      </c>
      <c r="H2250" s="5" t="s">
        <v>108</v>
      </c>
      <c r="I2250" s="5" t="s">
        <v>166</v>
      </c>
      <c r="J2250" s="5" t="s">
        <v>181</v>
      </c>
      <c r="K2250" s="5" t="s">
        <v>80</v>
      </c>
      <c r="L2250" s="6">
        <v>45681</v>
      </c>
      <c r="M2250" s="6">
        <v>45678</v>
      </c>
      <c r="N2250" s="5" t="s">
        <v>811</v>
      </c>
      <c r="O2250" s="5" t="str">
        <f ca="1">IF(P2250&lt;&gt;"EXPEDIÇÃO","Expedido",IF(NETWORKDAYS(C2250,TODAY())&gt;=5,"Risco Alto",IF(NETWORKDAYS(C2250,TODAY())&gt;=3,IF(NETWORKDAYS(C2250,TODAY())&lt;5,"Risco Médio",""),IF(NETWORKDAYS(C2250,TODAY())&lt;=2,"Risco Baixo",""))))</f>
        <v>Expedido</v>
      </c>
      <c r="P2250" s="5" t="s">
        <v>25</v>
      </c>
      <c r="S2250" s="7">
        <f>IF(ISBLANK(M2250),"Aguardando Previsão/Data",NETWORKDAYS(L2250,M2250)-1)</f>
        <v>-5</v>
      </c>
      <c r="T2250" s="5" t="s">
        <v>942</v>
      </c>
    </row>
    <row r="2251" spans="1:20" x14ac:dyDescent="0.35">
      <c r="A2251" s="5">
        <v>8100278474</v>
      </c>
      <c r="B2251" s="5">
        <v>12288</v>
      </c>
      <c r="C2251" s="6">
        <v>45673</v>
      </c>
      <c r="D2251" s="5" t="s">
        <v>158</v>
      </c>
      <c r="E2251" s="5" t="s">
        <v>159</v>
      </c>
      <c r="F2251" s="5" t="s">
        <v>171</v>
      </c>
      <c r="G2251" s="5" t="s">
        <v>172</v>
      </c>
      <c r="H2251" s="5" t="s">
        <v>108</v>
      </c>
      <c r="I2251" s="5" t="s">
        <v>164</v>
      </c>
      <c r="J2251" s="5" t="s">
        <v>1396</v>
      </c>
      <c r="K2251" s="5" t="s">
        <v>170</v>
      </c>
      <c r="L2251" s="6">
        <v>45681</v>
      </c>
      <c r="M2251" s="6">
        <v>45677</v>
      </c>
      <c r="N2251" s="5" t="s">
        <v>811</v>
      </c>
      <c r="O2251" s="5" t="str">
        <f ca="1">IF(P2251&lt;&gt;"EXPEDIÇÃO","Expedido",IF(NETWORKDAYS(C2251,TODAY())&gt;=5,"Risco Alto",IF(NETWORKDAYS(C2251,TODAY())&gt;=3,IF(NETWORKDAYS(C2251,TODAY())&lt;5,"Risco Médio",""),IF(NETWORKDAYS(C2251,TODAY())&lt;=2,"Risco Baixo",""))))</f>
        <v>Expedido</v>
      </c>
      <c r="P2251" s="5" t="s">
        <v>25</v>
      </c>
      <c r="S2251" s="7">
        <f>IF(ISBLANK(M2251),"Aguardando Previsão/Data",NETWORKDAYS(L2251,M2251)-1)</f>
        <v>-6</v>
      </c>
      <c r="T2251" s="5" t="s">
        <v>942</v>
      </c>
    </row>
    <row r="2252" spans="1:20" x14ac:dyDescent="0.35">
      <c r="A2252" s="5">
        <v>8100278475</v>
      </c>
      <c r="B2252" s="5">
        <v>12283</v>
      </c>
      <c r="C2252" s="6">
        <v>45673</v>
      </c>
      <c r="D2252" s="5" t="s">
        <v>158</v>
      </c>
      <c r="E2252" s="5" t="s">
        <v>159</v>
      </c>
      <c r="F2252" s="5" t="s">
        <v>147</v>
      </c>
      <c r="G2252" s="5" t="s">
        <v>148</v>
      </c>
      <c r="H2252" s="5" t="s">
        <v>108</v>
      </c>
      <c r="I2252" s="5" t="s">
        <v>480</v>
      </c>
      <c r="J2252" s="5" t="s">
        <v>169</v>
      </c>
      <c r="K2252" s="5" t="s">
        <v>170</v>
      </c>
      <c r="L2252" s="6">
        <v>45680</v>
      </c>
      <c r="M2252" s="6">
        <v>45678</v>
      </c>
      <c r="N2252" s="5" t="s">
        <v>811</v>
      </c>
      <c r="O2252" s="5" t="str">
        <f ca="1">IF(P2252&lt;&gt;"EXPEDIÇÃO","Expedido",IF(NETWORKDAYS(C2252,TODAY())&gt;=5,"Risco Alto",IF(NETWORKDAYS(C2252,TODAY())&gt;=3,IF(NETWORKDAYS(C2252,TODAY())&lt;5,"Risco Médio",""),IF(NETWORKDAYS(C2252,TODAY())&lt;=2,"Risco Baixo",""))))</f>
        <v>Expedido</v>
      </c>
      <c r="P2252" s="5" t="s">
        <v>25</v>
      </c>
      <c r="R2252" s="5">
        <v>3098340</v>
      </c>
      <c r="S2252" s="7">
        <f>IF(ISBLANK(M2252),"Aguardando Previsão/Data",NETWORKDAYS(L2252,M2252)-1)</f>
        <v>-4</v>
      </c>
      <c r="T2252" s="5" t="s">
        <v>942</v>
      </c>
    </row>
    <row r="2253" spans="1:20" x14ac:dyDescent="0.35">
      <c r="A2253" s="5">
        <v>8100278476</v>
      </c>
      <c r="B2253" s="5">
        <v>12289</v>
      </c>
      <c r="C2253" s="6">
        <v>45673</v>
      </c>
      <c r="D2253" s="5" t="s">
        <v>158</v>
      </c>
      <c r="E2253" s="5" t="s">
        <v>159</v>
      </c>
      <c r="F2253" s="5" t="s">
        <v>167</v>
      </c>
      <c r="G2253" s="5" t="s">
        <v>168</v>
      </c>
      <c r="H2253" s="5" t="s">
        <v>108</v>
      </c>
      <c r="I2253" s="5" t="s">
        <v>164</v>
      </c>
      <c r="J2253" s="5" t="s">
        <v>454</v>
      </c>
      <c r="K2253" s="5" t="s">
        <v>170</v>
      </c>
      <c r="L2253" s="6">
        <v>45680</v>
      </c>
      <c r="M2253" s="6">
        <v>45677</v>
      </c>
      <c r="N2253" s="5" t="s">
        <v>811</v>
      </c>
      <c r="O2253" s="5" t="str">
        <f ca="1">IF(P2253&lt;&gt;"EXPEDIÇÃO","Expedido",IF(NETWORKDAYS(C2253,TODAY())&gt;=5,"Risco Alto",IF(NETWORKDAYS(C2253,TODAY())&gt;=3,IF(NETWORKDAYS(C2253,TODAY())&lt;5,"Risco Médio",""),IF(NETWORKDAYS(C2253,TODAY())&lt;=2,"Risco Baixo",""))))</f>
        <v>Expedido</v>
      </c>
      <c r="P2253" s="5" t="s">
        <v>25</v>
      </c>
      <c r="S2253" s="7">
        <f>IF(ISBLANK(M2253),"Aguardando Previsão/Data",NETWORKDAYS(L2253,M2253)-1)</f>
        <v>-5</v>
      </c>
      <c r="T2253" s="5" t="s">
        <v>942</v>
      </c>
    </row>
    <row r="2254" spans="1:20" x14ac:dyDescent="0.35">
      <c r="A2254" s="5">
        <v>8100278478</v>
      </c>
      <c r="B2254" s="5">
        <v>12284</v>
      </c>
      <c r="C2254" s="6">
        <v>45673</v>
      </c>
      <c r="D2254" s="5" t="s">
        <v>158</v>
      </c>
      <c r="E2254" s="5" t="s">
        <v>159</v>
      </c>
      <c r="F2254" s="5" t="s">
        <v>167</v>
      </c>
      <c r="G2254" s="5" t="s">
        <v>168</v>
      </c>
      <c r="H2254" s="5" t="s">
        <v>108</v>
      </c>
      <c r="I2254" s="5" t="s">
        <v>164</v>
      </c>
      <c r="J2254" s="5" t="s">
        <v>400</v>
      </c>
      <c r="K2254" s="5" t="s">
        <v>170</v>
      </c>
      <c r="L2254" s="6">
        <v>45680</v>
      </c>
      <c r="M2254" s="6">
        <v>45677</v>
      </c>
      <c r="N2254" s="5" t="s">
        <v>811</v>
      </c>
      <c r="O2254" s="5" t="str">
        <f ca="1">IF(P2254&lt;&gt;"EXPEDIÇÃO","Expedido",IF(NETWORKDAYS(C2254,TODAY())&gt;=5,"Risco Alto",IF(NETWORKDAYS(C2254,TODAY())&gt;=3,IF(NETWORKDAYS(C2254,TODAY())&lt;5,"Risco Médio",""),IF(NETWORKDAYS(C2254,TODAY())&lt;=2,"Risco Baixo",""))))</f>
        <v>Expedido</v>
      </c>
      <c r="P2254" s="5" t="s">
        <v>25</v>
      </c>
      <c r="S2254" s="7">
        <f>IF(ISBLANK(M2254),"Aguardando Previsão/Data",NETWORKDAYS(L2254,M2254)-1)</f>
        <v>-5</v>
      </c>
      <c r="T2254" s="5" t="s">
        <v>942</v>
      </c>
    </row>
    <row r="2255" spans="1:20" x14ac:dyDescent="0.35">
      <c r="A2255" s="5">
        <v>8100278479</v>
      </c>
      <c r="B2255" s="5">
        <v>12287</v>
      </c>
      <c r="C2255" s="6">
        <v>45673</v>
      </c>
      <c r="D2255" s="5" t="s">
        <v>158</v>
      </c>
      <c r="E2255" s="5" t="s">
        <v>159</v>
      </c>
      <c r="F2255" s="5" t="s">
        <v>167</v>
      </c>
      <c r="G2255" s="5" t="s">
        <v>168</v>
      </c>
      <c r="H2255" s="5" t="s">
        <v>108</v>
      </c>
      <c r="I2255" s="5" t="s">
        <v>164</v>
      </c>
      <c r="J2255" s="5" t="s">
        <v>215</v>
      </c>
      <c r="K2255" s="5" t="s">
        <v>170</v>
      </c>
      <c r="L2255" s="6">
        <v>45680</v>
      </c>
      <c r="M2255" s="6">
        <v>45678</v>
      </c>
      <c r="N2255" s="5" t="s">
        <v>811</v>
      </c>
      <c r="O2255" s="5" t="str">
        <f ca="1">IF(P2255&lt;&gt;"EXPEDIÇÃO","Expedido",IF(NETWORKDAYS(C2255,TODAY())&gt;=5,"Risco Alto",IF(NETWORKDAYS(C2255,TODAY())&gt;=3,IF(NETWORKDAYS(C2255,TODAY())&lt;5,"Risco Médio",""),IF(NETWORKDAYS(C2255,TODAY())&lt;=2,"Risco Baixo",""))))</f>
        <v>Expedido</v>
      </c>
      <c r="P2255" s="5" t="s">
        <v>25</v>
      </c>
      <c r="S2255" s="7">
        <f>IF(ISBLANK(M2255),"Aguardando Previsão/Data",NETWORKDAYS(L2255,M2255)-1)</f>
        <v>-4</v>
      </c>
      <c r="T2255" s="5" t="s">
        <v>942</v>
      </c>
    </row>
    <row r="2256" spans="1:20" x14ac:dyDescent="0.35">
      <c r="A2256" s="5">
        <v>8100278481</v>
      </c>
      <c r="B2256" s="5">
        <v>12298</v>
      </c>
      <c r="C2256" s="6">
        <v>45673</v>
      </c>
      <c r="D2256" s="5" t="s">
        <v>158</v>
      </c>
      <c r="E2256" s="5" t="s">
        <v>159</v>
      </c>
      <c r="F2256" s="5" t="s">
        <v>147</v>
      </c>
      <c r="G2256" s="5" t="s">
        <v>148</v>
      </c>
      <c r="H2256" s="5" t="s">
        <v>108</v>
      </c>
      <c r="I2256" s="5" t="s">
        <v>480</v>
      </c>
      <c r="J2256" s="5" t="s">
        <v>169</v>
      </c>
      <c r="K2256" s="5" t="s">
        <v>170</v>
      </c>
      <c r="L2256" s="6">
        <v>45680</v>
      </c>
      <c r="M2256" s="6">
        <v>45678</v>
      </c>
      <c r="N2256" s="5" t="s">
        <v>811</v>
      </c>
      <c r="O2256" s="5" t="str">
        <f ca="1">IF(P2256&lt;&gt;"EXPEDIÇÃO","Expedido",IF(NETWORKDAYS(C2256,TODAY())&gt;=5,"Risco Alto",IF(NETWORKDAYS(C2256,TODAY())&gt;=3,IF(NETWORKDAYS(C2256,TODAY())&lt;5,"Risco Médio",""),IF(NETWORKDAYS(C2256,TODAY())&lt;=2,"Risco Baixo",""))))</f>
        <v>Expedido</v>
      </c>
      <c r="P2256" s="5" t="s">
        <v>25</v>
      </c>
      <c r="R2256" s="5">
        <v>3098340</v>
      </c>
      <c r="S2256" s="7">
        <f>IF(ISBLANK(M2256),"Aguardando Previsão/Data",NETWORKDAYS(L2256,M2256)-1)</f>
        <v>-4</v>
      </c>
      <c r="T2256" s="5" t="s">
        <v>942</v>
      </c>
    </row>
    <row r="2257" spans="1:20" x14ac:dyDescent="0.35">
      <c r="A2257" s="5">
        <v>8100278500</v>
      </c>
      <c r="B2257" s="5">
        <v>12299</v>
      </c>
      <c r="C2257" s="6">
        <v>45673</v>
      </c>
      <c r="D2257" s="5" t="s">
        <v>158</v>
      </c>
      <c r="E2257" s="5" t="s">
        <v>159</v>
      </c>
      <c r="F2257" s="5" t="s">
        <v>84</v>
      </c>
      <c r="G2257" s="5" t="s">
        <v>85</v>
      </c>
      <c r="H2257" s="5" t="s">
        <v>108</v>
      </c>
      <c r="I2257" s="5" t="s">
        <v>767</v>
      </c>
      <c r="J2257" s="5" t="s">
        <v>181</v>
      </c>
      <c r="K2257" s="5" t="s">
        <v>80</v>
      </c>
      <c r="L2257" s="6">
        <v>45681</v>
      </c>
      <c r="M2257" s="6">
        <v>45678</v>
      </c>
      <c r="N2257" s="5" t="s">
        <v>811</v>
      </c>
      <c r="O2257" s="5" t="str">
        <f ca="1">IF(P2257&lt;&gt;"EXPEDIÇÃO","Expedido",IF(NETWORKDAYS(C2257,TODAY())&gt;=5,"Risco Alto",IF(NETWORKDAYS(C2257,TODAY())&gt;=3,IF(NETWORKDAYS(C2257,TODAY())&lt;5,"Risco Médio",""),IF(NETWORKDAYS(C2257,TODAY())&lt;=2,"Risco Baixo",""))))</f>
        <v>Expedido</v>
      </c>
      <c r="P2257" s="5" t="s">
        <v>25</v>
      </c>
      <c r="S2257" s="7">
        <f>IF(ISBLANK(M2257),"Aguardando Previsão/Data",NETWORKDAYS(L2257,M2257)-1)</f>
        <v>-5</v>
      </c>
      <c r="T2257" s="5" t="s">
        <v>942</v>
      </c>
    </row>
    <row r="2258" spans="1:20" x14ac:dyDescent="0.35">
      <c r="A2258" s="5">
        <v>8100278501</v>
      </c>
      <c r="B2258" s="5">
        <v>12300</v>
      </c>
      <c r="C2258" s="6">
        <v>45673</v>
      </c>
      <c r="D2258" s="5" t="s">
        <v>158</v>
      </c>
      <c r="E2258" s="5" t="s">
        <v>159</v>
      </c>
      <c r="F2258" s="5" t="s">
        <v>84</v>
      </c>
      <c r="G2258" s="5" t="s">
        <v>85</v>
      </c>
      <c r="H2258" s="5" t="s">
        <v>108</v>
      </c>
      <c r="I2258" s="5" t="s">
        <v>767</v>
      </c>
      <c r="J2258" s="5" t="s">
        <v>181</v>
      </c>
      <c r="K2258" s="5" t="s">
        <v>80</v>
      </c>
      <c r="L2258" s="6">
        <v>45681</v>
      </c>
      <c r="M2258" s="6">
        <v>45678</v>
      </c>
      <c r="N2258" s="5" t="s">
        <v>811</v>
      </c>
      <c r="O2258" s="5" t="str">
        <f ca="1">IF(P2258&lt;&gt;"EXPEDIÇÃO","Expedido",IF(NETWORKDAYS(C2258,TODAY())&gt;=5,"Risco Alto",IF(NETWORKDAYS(C2258,TODAY())&gt;=3,IF(NETWORKDAYS(C2258,TODAY())&lt;5,"Risco Médio",""),IF(NETWORKDAYS(C2258,TODAY())&lt;=2,"Risco Baixo",""))))</f>
        <v>Expedido</v>
      </c>
      <c r="P2258" s="5" t="s">
        <v>25</v>
      </c>
      <c r="S2258" s="7">
        <f>IF(ISBLANK(M2258),"Aguardando Previsão/Data",NETWORKDAYS(L2258,M2258)-1)</f>
        <v>-5</v>
      </c>
      <c r="T2258" s="5" t="s">
        <v>942</v>
      </c>
    </row>
    <row r="2259" spans="1:20" x14ac:dyDescent="0.35">
      <c r="A2259" s="5">
        <v>8100278502</v>
      </c>
      <c r="B2259" s="5">
        <v>12301</v>
      </c>
      <c r="C2259" s="6">
        <v>45673</v>
      </c>
      <c r="D2259" s="5" t="s">
        <v>158</v>
      </c>
      <c r="E2259" s="5" t="s">
        <v>159</v>
      </c>
      <c r="F2259" s="5" t="s">
        <v>84</v>
      </c>
      <c r="G2259" s="5" t="s">
        <v>85</v>
      </c>
      <c r="H2259" s="5" t="s">
        <v>108</v>
      </c>
      <c r="I2259" s="5" t="s">
        <v>767</v>
      </c>
      <c r="J2259" s="5" t="s">
        <v>181</v>
      </c>
      <c r="K2259" s="5" t="s">
        <v>80</v>
      </c>
      <c r="L2259" s="6">
        <v>45681</v>
      </c>
      <c r="M2259" s="6">
        <v>45678</v>
      </c>
      <c r="N2259" s="5" t="s">
        <v>811</v>
      </c>
      <c r="O2259" s="5" t="str">
        <f ca="1">IF(P2259&lt;&gt;"EXPEDIÇÃO","Expedido",IF(NETWORKDAYS(C2259,TODAY())&gt;=5,"Risco Alto",IF(NETWORKDAYS(C2259,TODAY())&gt;=3,IF(NETWORKDAYS(C2259,TODAY())&lt;5,"Risco Médio",""),IF(NETWORKDAYS(C2259,TODAY())&lt;=2,"Risco Baixo",""))))</f>
        <v>Expedido</v>
      </c>
      <c r="P2259" s="5" t="s">
        <v>25</v>
      </c>
      <c r="S2259" s="7">
        <f>IF(ISBLANK(M2259),"Aguardando Previsão/Data",NETWORKDAYS(L2259,M2259)-1)</f>
        <v>-5</v>
      </c>
      <c r="T2259" s="5" t="s">
        <v>942</v>
      </c>
    </row>
    <row r="2260" spans="1:20" x14ac:dyDescent="0.35">
      <c r="A2260" s="5">
        <v>8100278630</v>
      </c>
      <c r="B2260" s="5">
        <v>12304</v>
      </c>
      <c r="C2260" s="6">
        <v>45673</v>
      </c>
      <c r="D2260" s="5" t="s">
        <v>158</v>
      </c>
      <c r="E2260" s="5" t="s">
        <v>159</v>
      </c>
      <c r="F2260" s="5" t="s">
        <v>167</v>
      </c>
      <c r="G2260" s="5" t="s">
        <v>168</v>
      </c>
      <c r="H2260" s="5" t="s">
        <v>108</v>
      </c>
      <c r="I2260" s="5" t="s">
        <v>542</v>
      </c>
      <c r="J2260" s="5" t="s">
        <v>186</v>
      </c>
      <c r="K2260" s="5" t="s">
        <v>170</v>
      </c>
      <c r="L2260" s="6">
        <v>45679</v>
      </c>
      <c r="M2260" s="6">
        <v>45677</v>
      </c>
      <c r="N2260" s="5" t="s">
        <v>811</v>
      </c>
      <c r="O2260" s="5" t="str">
        <f ca="1">IF(P2260&lt;&gt;"EXPEDIÇÃO","Expedido",IF(NETWORKDAYS(C2260,TODAY())&gt;=5,"Risco Alto",IF(NETWORKDAYS(C2260,TODAY())&gt;=3,IF(NETWORKDAYS(C2260,TODAY())&lt;5,"Risco Médio",""),IF(NETWORKDAYS(C2260,TODAY())&lt;=2,"Risco Baixo",""))))</f>
        <v>Expedido</v>
      </c>
      <c r="P2260" s="5" t="s">
        <v>25</v>
      </c>
      <c r="S2260" s="7">
        <f>IF(ISBLANK(M2260),"Aguardando Previsão/Data",NETWORKDAYS(L2260,M2260)-1)</f>
        <v>-4</v>
      </c>
      <c r="T2260" s="5" t="s">
        <v>942</v>
      </c>
    </row>
    <row r="2261" spans="1:20" x14ac:dyDescent="0.35">
      <c r="A2261" s="5">
        <v>8100278690</v>
      </c>
      <c r="B2261" s="8">
        <v>12302</v>
      </c>
      <c r="C2261" s="6">
        <v>45673</v>
      </c>
      <c r="D2261" s="5" t="s">
        <v>158</v>
      </c>
      <c r="E2261" s="5" t="s">
        <v>159</v>
      </c>
      <c r="F2261" s="5" t="s">
        <v>171</v>
      </c>
      <c r="G2261" s="5" t="s">
        <v>172</v>
      </c>
      <c r="H2261" s="5" t="s">
        <v>108</v>
      </c>
      <c r="I2261" s="5" t="s">
        <v>539</v>
      </c>
      <c r="J2261" s="5" t="s">
        <v>540</v>
      </c>
      <c r="K2261" s="5" t="s">
        <v>170</v>
      </c>
      <c r="L2261" s="6">
        <v>45681</v>
      </c>
      <c r="M2261" s="6">
        <v>45679</v>
      </c>
      <c r="N2261" s="5" t="s">
        <v>811</v>
      </c>
      <c r="O2261" s="5" t="str">
        <f ca="1">IF(P2261&lt;&gt;"EXPEDIÇÃO","Expedido",IF(NETWORKDAYS(C2261,TODAY())&gt;=5,"Risco Alto",IF(NETWORKDAYS(C2261,TODAY())&gt;=3,IF(NETWORKDAYS(C2261,TODAY())&lt;5,"Risco Médio",""),IF(NETWORKDAYS(C2261,TODAY())&lt;=2,"Risco Baixo",""))))</f>
        <v>Expedido</v>
      </c>
      <c r="P2261" s="5" t="s">
        <v>25</v>
      </c>
      <c r="S2261" s="7">
        <f>IF(ISBLANK(M2261),"Aguardando Previsão/Data",NETWORKDAYS(L2261,M2261)-1)</f>
        <v>-4</v>
      </c>
      <c r="T2261" s="5" t="s">
        <v>942</v>
      </c>
    </row>
    <row r="2262" spans="1:20" x14ac:dyDescent="0.35">
      <c r="A2262" s="5">
        <v>8100278754</v>
      </c>
      <c r="B2262" s="5">
        <v>17484</v>
      </c>
      <c r="C2262" s="6">
        <v>45674</v>
      </c>
      <c r="D2262" s="5" t="s">
        <v>51</v>
      </c>
      <c r="E2262" s="5" t="s">
        <v>52</v>
      </c>
      <c r="F2262" s="5" t="s">
        <v>329</v>
      </c>
      <c r="G2262" s="5" t="s">
        <v>330</v>
      </c>
      <c r="H2262" s="5" t="s">
        <v>21</v>
      </c>
      <c r="I2262" s="5" t="s">
        <v>261</v>
      </c>
      <c r="J2262" s="5" t="s">
        <v>551</v>
      </c>
      <c r="K2262" s="5" t="s">
        <v>57</v>
      </c>
      <c r="L2262" s="6">
        <v>45680</v>
      </c>
      <c r="M2262" s="6">
        <v>45678</v>
      </c>
      <c r="N2262" s="5" t="s">
        <v>811</v>
      </c>
      <c r="O2262" s="5" t="str">
        <f ca="1">IF(P2262&lt;&gt;"EXPEDIÇÃO","Expedido",IF(NETWORKDAYS(C2262,TODAY())&gt;=5,"Risco Alto",IF(NETWORKDAYS(C2262,TODAY())&gt;=3,IF(NETWORKDAYS(C2262,TODAY())&lt;5,"Risco Médio",""),IF(NETWORKDAYS(C2262,TODAY())&lt;=2,"Risco Baixo",""))))</f>
        <v>Expedido</v>
      </c>
      <c r="P2262" s="5" t="s">
        <v>25</v>
      </c>
      <c r="S2262" s="7">
        <f>IF(ISBLANK(M2262),"Aguardando Previsão/Data",NETWORKDAYS(L2262,M2262)-1)</f>
        <v>-4</v>
      </c>
      <c r="T2262" s="5" t="s">
        <v>942</v>
      </c>
    </row>
    <row r="2263" spans="1:20" x14ac:dyDescent="0.35">
      <c r="A2263" s="5">
        <v>8100279017</v>
      </c>
      <c r="B2263" s="5">
        <v>17481</v>
      </c>
      <c r="C2263" s="6">
        <v>45674</v>
      </c>
      <c r="D2263" s="5" t="s">
        <v>51</v>
      </c>
      <c r="E2263" s="5" t="s">
        <v>52</v>
      </c>
      <c r="F2263" s="5" t="s">
        <v>329</v>
      </c>
      <c r="G2263" s="5" t="s">
        <v>330</v>
      </c>
      <c r="H2263" s="5" t="s">
        <v>21</v>
      </c>
      <c r="I2263" s="5" t="s">
        <v>22</v>
      </c>
      <c r="J2263" s="5" t="s">
        <v>65</v>
      </c>
      <c r="K2263" s="5" t="s">
        <v>57</v>
      </c>
      <c r="L2263" s="6">
        <v>45679</v>
      </c>
      <c r="M2263" s="6">
        <v>45675</v>
      </c>
      <c r="N2263" s="5" t="s">
        <v>811</v>
      </c>
      <c r="O2263" s="5" t="str">
        <f ca="1">IF(P2263&lt;&gt;"EXPEDIÇÃO","Expedido",IF(NETWORKDAYS(C2263,TODAY())&gt;=5,"Risco Alto",IF(NETWORKDAYS(C2263,TODAY())&gt;=3,IF(NETWORKDAYS(C2263,TODAY())&lt;5,"Risco Médio",""),IF(NETWORKDAYS(C2263,TODAY())&lt;=2,"Risco Baixo",""))))</f>
        <v>Expedido</v>
      </c>
      <c r="P2263" s="5" t="s">
        <v>25</v>
      </c>
      <c r="Q2263" s="5" t="s">
        <v>900</v>
      </c>
      <c r="S2263" s="7">
        <f>IF(ISBLANK(M2263),"Aguardando Previsão/Data",NETWORKDAYS(L2263,M2263)-1)</f>
        <v>-4</v>
      </c>
      <c r="T2263" s="5" t="s">
        <v>942</v>
      </c>
    </row>
    <row r="2264" spans="1:20" x14ac:dyDescent="0.35">
      <c r="A2264" s="5">
        <v>8100279019</v>
      </c>
      <c r="B2264" s="5">
        <v>17482</v>
      </c>
      <c r="C2264" s="6">
        <v>45674</v>
      </c>
      <c r="D2264" s="5" t="s">
        <v>51</v>
      </c>
      <c r="E2264" s="5" t="s">
        <v>52</v>
      </c>
      <c r="F2264" s="5" t="s">
        <v>53</v>
      </c>
      <c r="G2264" s="5" t="s">
        <v>54</v>
      </c>
      <c r="H2264" s="5" t="s">
        <v>21</v>
      </c>
      <c r="I2264" s="5" t="s">
        <v>266</v>
      </c>
      <c r="J2264" s="5" t="s">
        <v>267</v>
      </c>
      <c r="K2264" s="5" t="s">
        <v>57</v>
      </c>
      <c r="L2264" s="6">
        <v>45679</v>
      </c>
      <c r="M2264" s="6">
        <v>45678</v>
      </c>
      <c r="N2264" s="6" t="s">
        <v>811</v>
      </c>
      <c r="O2264" s="5" t="str">
        <f ca="1">IF(P2264&lt;&gt;"EXPEDIÇÃO","Expedido",IF(NETWORKDAYS(C2264,TODAY())&gt;=5,"Risco Alto",IF(NETWORKDAYS(C2264,TODAY())&gt;=3,IF(NETWORKDAYS(C2264,TODAY())&lt;5,"Risco Médio",""),IF(NETWORKDAYS(C2264,TODAY())&lt;=2,"Risco Baixo",""))))</f>
        <v>Expedido</v>
      </c>
      <c r="P2264" s="5" t="s">
        <v>25</v>
      </c>
      <c r="S2264" s="7">
        <f>IF(ISBLANK(M2264),"Aguardando Previsão/Data",NETWORKDAYS(L2264,M2264)-1)</f>
        <v>-3</v>
      </c>
      <c r="T2264" s="5" t="s">
        <v>942</v>
      </c>
    </row>
    <row r="2265" spans="1:20" x14ac:dyDescent="0.35">
      <c r="A2265" s="5">
        <v>8100279020</v>
      </c>
      <c r="B2265" s="5">
        <v>17483</v>
      </c>
      <c r="C2265" s="6">
        <v>45674</v>
      </c>
      <c r="D2265" s="5" t="s">
        <v>51</v>
      </c>
      <c r="E2265" s="5" t="s">
        <v>52</v>
      </c>
      <c r="F2265" s="5" t="s">
        <v>66</v>
      </c>
      <c r="G2265" s="5" t="s">
        <v>67</v>
      </c>
      <c r="H2265" s="5" t="s">
        <v>21</v>
      </c>
      <c r="I2265" s="5" t="s">
        <v>528</v>
      </c>
      <c r="J2265" s="5" t="s">
        <v>268</v>
      </c>
      <c r="K2265" s="5" t="s">
        <v>57</v>
      </c>
      <c r="L2265" s="6">
        <v>45684</v>
      </c>
      <c r="M2265" s="6">
        <v>45679</v>
      </c>
      <c r="N2265" s="6" t="s">
        <v>811</v>
      </c>
      <c r="O2265" s="5" t="str">
        <f ca="1">IF(P2265&lt;&gt;"EXPEDIÇÃO","Expedido",IF(NETWORKDAYS(C2265,TODAY())&gt;=5,"Risco Alto",IF(NETWORKDAYS(C2265,TODAY())&gt;=3,IF(NETWORKDAYS(C2265,TODAY())&lt;5,"Risco Médio",""),IF(NETWORKDAYS(C2265,TODAY())&lt;=2,"Risco Baixo",""))))</f>
        <v>Expedido</v>
      </c>
      <c r="P2265" s="5" t="s">
        <v>25</v>
      </c>
      <c r="S2265" s="7">
        <f>IF(ISBLANK(M2265),"Aguardando Previsão/Data",NETWORKDAYS(L2265,M2265)-1)</f>
        <v>-5</v>
      </c>
      <c r="T2265" s="5" t="s">
        <v>942</v>
      </c>
    </row>
    <row r="2266" spans="1:20" x14ac:dyDescent="0.35">
      <c r="A2266" s="5">
        <v>8100279134</v>
      </c>
      <c r="B2266" s="5">
        <v>17487</v>
      </c>
      <c r="C2266" s="6">
        <v>45674</v>
      </c>
      <c r="D2266" s="5" t="s">
        <v>51</v>
      </c>
      <c r="E2266" s="5" t="s">
        <v>52</v>
      </c>
      <c r="F2266" s="5" t="s">
        <v>329</v>
      </c>
      <c r="G2266" s="5" t="s">
        <v>330</v>
      </c>
      <c r="H2266" s="5" t="s">
        <v>21</v>
      </c>
      <c r="I2266" s="5" t="s">
        <v>261</v>
      </c>
      <c r="J2266" s="5" t="s">
        <v>65</v>
      </c>
      <c r="K2266" s="5" t="s">
        <v>57</v>
      </c>
      <c r="L2266" s="6">
        <v>45679</v>
      </c>
      <c r="M2266" s="6">
        <v>45677</v>
      </c>
      <c r="N2266" s="6" t="s">
        <v>811</v>
      </c>
      <c r="O2266" s="5" t="str">
        <f ca="1">IF(P2266&lt;&gt;"EXPEDIÇÃO","Expedido",IF(NETWORKDAYS(C2266,TODAY())&gt;=5,"Risco Alto",IF(NETWORKDAYS(C2266,TODAY())&gt;=3,IF(NETWORKDAYS(C2266,TODAY())&lt;5,"Risco Médio",""),IF(NETWORKDAYS(C2266,TODAY())&lt;=2,"Risco Baixo",""))))</f>
        <v>Expedido</v>
      </c>
      <c r="P2266" s="5" t="s">
        <v>25</v>
      </c>
      <c r="S2266" s="7">
        <f>IF(ISBLANK(M2266),"Aguardando Previsão/Data",NETWORKDAYS(L2266,M2266)-1)</f>
        <v>-4</v>
      </c>
      <c r="T2266" s="5" t="s">
        <v>942</v>
      </c>
    </row>
    <row r="2267" spans="1:20" x14ac:dyDescent="0.35">
      <c r="A2267" s="5">
        <v>8100279135</v>
      </c>
      <c r="B2267" s="5">
        <v>17485</v>
      </c>
      <c r="C2267" s="6">
        <v>45674</v>
      </c>
      <c r="D2267" s="5" t="s">
        <v>51</v>
      </c>
      <c r="E2267" s="5" t="s">
        <v>52</v>
      </c>
      <c r="F2267" s="5" t="s">
        <v>58</v>
      </c>
      <c r="G2267" s="5" t="s">
        <v>59</v>
      </c>
      <c r="H2267" s="5" t="s">
        <v>21</v>
      </c>
      <c r="I2267" s="5" t="s">
        <v>376</v>
      </c>
      <c r="J2267" s="5" t="s">
        <v>377</v>
      </c>
      <c r="K2267" s="5" t="s">
        <v>57</v>
      </c>
      <c r="L2267" s="6">
        <v>45681</v>
      </c>
      <c r="M2267" s="6">
        <v>45677</v>
      </c>
      <c r="N2267" s="6" t="s">
        <v>811</v>
      </c>
      <c r="O2267" s="5" t="str">
        <f ca="1">IF(P2267&lt;&gt;"EXPEDIÇÃO","Expedido",IF(NETWORKDAYS(C2267,TODAY())&gt;=5,"Risco Alto",IF(NETWORKDAYS(C2267,TODAY())&gt;=3,IF(NETWORKDAYS(C2267,TODAY())&lt;5,"Risco Médio",""),IF(NETWORKDAYS(C2267,TODAY())&lt;=2,"Risco Baixo",""))))</f>
        <v>Expedido</v>
      </c>
      <c r="P2267" s="5" t="s">
        <v>25</v>
      </c>
      <c r="S2267" s="7">
        <f>IF(ISBLANK(M2267),"Aguardando Previsão/Data",NETWORKDAYS(L2267,M2267)-1)</f>
        <v>-6</v>
      </c>
      <c r="T2267" s="5" t="s">
        <v>942</v>
      </c>
    </row>
    <row r="2268" spans="1:20" x14ac:dyDescent="0.35">
      <c r="A2268" s="5">
        <v>8100279136</v>
      </c>
      <c r="B2268" s="5">
        <v>17486</v>
      </c>
      <c r="C2268" s="6">
        <v>45674</v>
      </c>
      <c r="D2268" s="5" t="s">
        <v>51</v>
      </c>
      <c r="E2268" s="5" t="s">
        <v>52</v>
      </c>
      <c r="F2268" s="5" t="s">
        <v>58</v>
      </c>
      <c r="G2268" s="5" t="s">
        <v>59</v>
      </c>
      <c r="H2268" s="5" t="s">
        <v>21</v>
      </c>
      <c r="I2268" s="5" t="s">
        <v>376</v>
      </c>
      <c r="J2268" s="5" t="s">
        <v>377</v>
      </c>
      <c r="K2268" s="5" t="s">
        <v>57</v>
      </c>
      <c r="L2268" s="6">
        <v>45681</v>
      </c>
      <c r="M2268" s="6">
        <v>45677</v>
      </c>
      <c r="N2268" s="6" t="s">
        <v>811</v>
      </c>
      <c r="O2268" s="5" t="str">
        <f ca="1">IF(P2268&lt;&gt;"EXPEDIÇÃO","Expedido",IF(NETWORKDAYS(C2268,TODAY())&gt;=5,"Risco Alto",IF(NETWORKDAYS(C2268,TODAY())&gt;=3,IF(NETWORKDAYS(C2268,TODAY())&lt;5,"Risco Médio",""),IF(NETWORKDAYS(C2268,TODAY())&lt;=2,"Risco Baixo",""))))</f>
        <v>Expedido</v>
      </c>
      <c r="P2268" s="5" t="s">
        <v>25</v>
      </c>
      <c r="S2268" s="7">
        <f>IF(ISBLANK(M2268),"Aguardando Previsão/Data",NETWORKDAYS(L2268,M2268)-1)</f>
        <v>-6</v>
      </c>
      <c r="T2268" s="5" t="s">
        <v>942</v>
      </c>
    </row>
    <row r="2269" spans="1:20" x14ac:dyDescent="0.35">
      <c r="A2269" s="5">
        <v>8100279137</v>
      </c>
      <c r="B2269" s="5">
        <v>17490</v>
      </c>
      <c r="C2269" s="6">
        <v>45674</v>
      </c>
      <c r="D2269" s="5" t="s">
        <v>51</v>
      </c>
      <c r="E2269" s="5" t="s">
        <v>52</v>
      </c>
      <c r="F2269" s="5" t="s">
        <v>66</v>
      </c>
      <c r="G2269" s="5" t="s">
        <v>67</v>
      </c>
      <c r="H2269" s="5" t="s">
        <v>21</v>
      </c>
      <c r="I2269" s="5" t="s">
        <v>261</v>
      </c>
      <c r="J2269" s="5" t="s">
        <v>550</v>
      </c>
      <c r="K2269" s="5" t="s">
        <v>57</v>
      </c>
      <c r="L2269" s="6">
        <v>45680</v>
      </c>
      <c r="M2269" s="6">
        <v>45677</v>
      </c>
      <c r="N2269" s="6" t="s">
        <v>811</v>
      </c>
      <c r="O2269" s="5" t="str">
        <f ca="1">IF(P2269&lt;&gt;"EXPEDIÇÃO","Expedido",IF(NETWORKDAYS(C2269,TODAY())&gt;=5,"Risco Alto",IF(NETWORKDAYS(C2269,TODAY())&gt;=3,IF(NETWORKDAYS(C2269,TODAY())&lt;5,"Risco Médio",""),IF(NETWORKDAYS(C2269,TODAY())&lt;=2,"Risco Baixo",""))))</f>
        <v>Expedido</v>
      </c>
      <c r="P2269" s="5" t="s">
        <v>25</v>
      </c>
      <c r="S2269" s="7">
        <f>IF(ISBLANK(M2269),"Aguardando Previsão/Data",NETWORKDAYS(L2269,M2269)-1)</f>
        <v>-5</v>
      </c>
      <c r="T2269" s="5" t="s">
        <v>942</v>
      </c>
    </row>
    <row r="2270" spans="1:20" x14ac:dyDescent="0.35">
      <c r="A2270" s="5">
        <v>8100279138</v>
      </c>
      <c r="B2270" s="5">
        <v>17491</v>
      </c>
      <c r="C2270" s="6">
        <v>45674</v>
      </c>
      <c r="D2270" s="5" t="s">
        <v>51</v>
      </c>
      <c r="E2270" s="5" t="s">
        <v>52</v>
      </c>
      <c r="F2270" s="5" t="s">
        <v>58</v>
      </c>
      <c r="G2270" s="5" t="s">
        <v>59</v>
      </c>
      <c r="H2270" s="5" t="s">
        <v>21</v>
      </c>
      <c r="I2270" s="5" t="s">
        <v>555</v>
      </c>
      <c r="J2270" s="5" t="s">
        <v>556</v>
      </c>
      <c r="K2270" s="5" t="s">
        <v>57</v>
      </c>
      <c r="L2270" s="6">
        <v>45684</v>
      </c>
      <c r="M2270" s="6">
        <v>45678</v>
      </c>
      <c r="N2270" s="6" t="s">
        <v>811</v>
      </c>
      <c r="O2270" s="5" t="str">
        <f ca="1">IF(P2270&lt;&gt;"EXPEDIÇÃO","Expedido",IF(NETWORKDAYS(C2270,TODAY())&gt;=5,"Risco Alto",IF(NETWORKDAYS(C2270,TODAY())&gt;=3,IF(NETWORKDAYS(C2270,TODAY())&lt;5,"Risco Médio",""),IF(NETWORKDAYS(C2270,TODAY())&lt;=2,"Risco Baixo",""))))</f>
        <v>Expedido</v>
      </c>
      <c r="P2270" s="5" t="s">
        <v>25</v>
      </c>
      <c r="S2270" s="7">
        <f>IF(ISBLANK(M2270),"Aguardando Previsão/Data",NETWORKDAYS(L2270,M2270)-1)</f>
        <v>-6</v>
      </c>
      <c r="T2270" s="5" t="s">
        <v>942</v>
      </c>
    </row>
    <row r="2271" spans="1:20" x14ac:dyDescent="0.35">
      <c r="A2271" s="5">
        <v>8100279139</v>
      </c>
      <c r="B2271" s="5">
        <v>17492</v>
      </c>
      <c r="C2271" s="6">
        <v>45674</v>
      </c>
      <c r="D2271" s="5" t="s">
        <v>51</v>
      </c>
      <c r="E2271" s="5" t="s">
        <v>52</v>
      </c>
      <c r="F2271" s="5" t="s">
        <v>58</v>
      </c>
      <c r="G2271" s="5" t="s">
        <v>59</v>
      </c>
      <c r="H2271" s="5" t="s">
        <v>21</v>
      </c>
      <c r="I2271" s="5" t="s">
        <v>555</v>
      </c>
      <c r="J2271" s="5" t="s">
        <v>556</v>
      </c>
      <c r="K2271" s="5" t="s">
        <v>57</v>
      </c>
      <c r="L2271" s="6">
        <v>45684</v>
      </c>
      <c r="M2271" s="6">
        <v>45678</v>
      </c>
      <c r="N2271" s="6" t="s">
        <v>811</v>
      </c>
      <c r="O2271" s="5" t="str">
        <f ca="1">IF(P2271&lt;&gt;"EXPEDIÇÃO","Expedido",IF(NETWORKDAYS(C2271,TODAY())&gt;=5,"Risco Alto",IF(NETWORKDAYS(C2271,TODAY())&gt;=3,IF(NETWORKDAYS(C2271,TODAY())&lt;5,"Risco Médio",""),IF(NETWORKDAYS(C2271,TODAY())&lt;=2,"Risco Baixo",""))))</f>
        <v>Expedido</v>
      </c>
      <c r="P2271" s="5" t="s">
        <v>25</v>
      </c>
      <c r="S2271" s="7">
        <f>IF(ISBLANK(M2271),"Aguardando Previsão/Data",NETWORKDAYS(L2271,M2271)-1)</f>
        <v>-6</v>
      </c>
      <c r="T2271" s="5" t="s">
        <v>942</v>
      </c>
    </row>
    <row r="2272" spans="1:20" x14ac:dyDescent="0.35">
      <c r="A2272" s="5">
        <v>8100279140</v>
      </c>
      <c r="B2272" s="5">
        <v>17488</v>
      </c>
      <c r="C2272" s="6">
        <v>45674</v>
      </c>
      <c r="D2272" s="5" t="s">
        <v>51</v>
      </c>
      <c r="E2272" s="5" t="s">
        <v>52</v>
      </c>
      <c r="F2272" s="5" t="s">
        <v>58</v>
      </c>
      <c r="G2272" s="5" t="s">
        <v>59</v>
      </c>
      <c r="H2272" s="5" t="s">
        <v>21</v>
      </c>
      <c r="I2272" s="5" t="s">
        <v>983</v>
      </c>
      <c r="J2272" s="5" t="s">
        <v>56</v>
      </c>
      <c r="K2272" s="5" t="s">
        <v>57</v>
      </c>
      <c r="L2272" s="6">
        <v>45681</v>
      </c>
      <c r="M2272" s="6">
        <v>45678</v>
      </c>
      <c r="N2272" s="6" t="s">
        <v>811</v>
      </c>
      <c r="O2272" s="5" t="str">
        <f ca="1">IF(P2272&lt;&gt;"EXPEDIÇÃO","Expedido",IF(NETWORKDAYS(C2272,TODAY())&gt;=5,"Risco Alto",IF(NETWORKDAYS(C2272,TODAY())&gt;=3,IF(NETWORKDAYS(C2272,TODAY())&lt;5,"Risco Médio",""),IF(NETWORKDAYS(C2272,TODAY())&lt;=2,"Risco Baixo",""))))</f>
        <v>Expedido</v>
      </c>
      <c r="P2272" s="5" t="s">
        <v>25</v>
      </c>
      <c r="S2272" s="7">
        <f>IF(ISBLANK(M2272),"Aguardando Previsão/Data",NETWORKDAYS(L2272,M2272)-1)</f>
        <v>-5</v>
      </c>
      <c r="T2272" s="5" t="s">
        <v>942</v>
      </c>
    </row>
    <row r="2273" spans="1:20" x14ac:dyDescent="0.35">
      <c r="A2273" s="5">
        <v>8100279141</v>
      </c>
      <c r="B2273" s="5">
        <v>17493</v>
      </c>
      <c r="C2273" s="6">
        <v>45674</v>
      </c>
      <c r="D2273" s="5" t="s">
        <v>51</v>
      </c>
      <c r="E2273" s="5" t="s">
        <v>52</v>
      </c>
      <c r="F2273" s="5" t="s">
        <v>58</v>
      </c>
      <c r="G2273" s="5" t="s">
        <v>59</v>
      </c>
      <c r="H2273" s="5" t="s">
        <v>21</v>
      </c>
      <c r="I2273" s="5" t="s">
        <v>555</v>
      </c>
      <c r="J2273" s="5" t="s">
        <v>556</v>
      </c>
      <c r="K2273" s="5" t="s">
        <v>57</v>
      </c>
      <c r="L2273" s="6">
        <v>45684</v>
      </c>
      <c r="M2273" s="6">
        <v>45678</v>
      </c>
      <c r="N2273" s="6" t="s">
        <v>811</v>
      </c>
      <c r="O2273" s="5" t="str">
        <f ca="1">IF(P2273&lt;&gt;"EXPEDIÇÃO","Expedido",IF(NETWORKDAYS(C2273,TODAY())&gt;=5,"Risco Alto",IF(NETWORKDAYS(C2273,TODAY())&gt;=3,IF(NETWORKDAYS(C2273,TODAY())&lt;5,"Risco Médio",""),IF(NETWORKDAYS(C2273,TODAY())&lt;=2,"Risco Baixo",""))))</f>
        <v>Expedido</v>
      </c>
      <c r="P2273" s="5" t="s">
        <v>25</v>
      </c>
      <c r="S2273" s="7">
        <f>IF(ISBLANK(M2273),"Aguardando Previsão/Data",NETWORKDAYS(L2273,M2273)-1)</f>
        <v>-6</v>
      </c>
      <c r="T2273" s="5" t="s">
        <v>942</v>
      </c>
    </row>
    <row r="2274" spans="1:20" x14ac:dyDescent="0.35">
      <c r="A2274" s="5">
        <v>8100279142</v>
      </c>
      <c r="B2274" s="5">
        <v>17489</v>
      </c>
      <c r="C2274" s="6">
        <v>45674</v>
      </c>
      <c r="D2274" s="5" t="s">
        <v>51</v>
      </c>
      <c r="E2274" s="5" t="s">
        <v>52</v>
      </c>
      <c r="F2274" s="5" t="s">
        <v>58</v>
      </c>
      <c r="G2274" s="5" t="s">
        <v>59</v>
      </c>
      <c r="H2274" s="5" t="s">
        <v>21</v>
      </c>
      <c r="I2274" s="5" t="s">
        <v>55</v>
      </c>
      <c r="J2274" s="5" t="s">
        <v>648</v>
      </c>
      <c r="K2274" s="5" t="s">
        <v>57</v>
      </c>
      <c r="L2274" s="6">
        <v>45684</v>
      </c>
      <c r="M2274" s="6">
        <v>45678</v>
      </c>
      <c r="N2274" s="6" t="s">
        <v>811</v>
      </c>
      <c r="O2274" s="5" t="str">
        <f ca="1">IF(P2274&lt;&gt;"EXPEDIÇÃO","Expedido",IF(NETWORKDAYS(C2274,TODAY())&gt;=5,"Risco Alto",IF(NETWORKDAYS(C2274,TODAY())&gt;=3,IF(NETWORKDAYS(C2274,TODAY())&lt;5,"Risco Médio",""),IF(NETWORKDAYS(C2274,TODAY())&lt;=2,"Risco Baixo",""))))</f>
        <v>Expedido</v>
      </c>
      <c r="P2274" s="5" t="s">
        <v>25</v>
      </c>
      <c r="S2274" s="7">
        <f>IF(ISBLANK(M2274),"Aguardando Previsão/Data",NETWORKDAYS(L2274,M2274)-1)</f>
        <v>-6</v>
      </c>
      <c r="T2274" s="5" t="s">
        <v>942</v>
      </c>
    </row>
    <row r="2275" spans="1:20" x14ac:dyDescent="0.35">
      <c r="A2275" s="5">
        <v>8100279143</v>
      </c>
      <c r="B2275" s="5">
        <v>17494</v>
      </c>
      <c r="C2275" s="6">
        <v>45674</v>
      </c>
      <c r="D2275" s="5" t="s">
        <v>51</v>
      </c>
      <c r="E2275" s="5" t="s">
        <v>52</v>
      </c>
      <c r="F2275" s="5" t="s">
        <v>58</v>
      </c>
      <c r="G2275" s="5" t="s">
        <v>59</v>
      </c>
      <c r="H2275" s="5" t="s">
        <v>21</v>
      </c>
      <c r="I2275" s="5" t="s">
        <v>55</v>
      </c>
      <c r="J2275" s="5" t="s">
        <v>648</v>
      </c>
      <c r="K2275" s="5" t="s">
        <v>57</v>
      </c>
      <c r="L2275" s="6">
        <v>45684</v>
      </c>
      <c r="M2275" s="6">
        <v>45678</v>
      </c>
      <c r="N2275" s="6" t="s">
        <v>811</v>
      </c>
      <c r="O2275" s="5" t="str">
        <f ca="1">IF(P2275&lt;&gt;"EXPEDIÇÃO","Expedido",IF(NETWORKDAYS(C2275,TODAY())&gt;=5,"Risco Alto",IF(NETWORKDAYS(C2275,TODAY())&gt;=3,IF(NETWORKDAYS(C2275,TODAY())&lt;5,"Risco Médio",""),IF(NETWORKDAYS(C2275,TODAY())&lt;=2,"Risco Baixo",""))))</f>
        <v>Expedido</v>
      </c>
      <c r="P2275" s="5" t="s">
        <v>25</v>
      </c>
      <c r="S2275" s="7">
        <f>IF(ISBLANK(M2275),"Aguardando Previsão/Data",NETWORKDAYS(L2275,M2275)-1)</f>
        <v>-6</v>
      </c>
      <c r="T2275" s="5" t="s">
        <v>942</v>
      </c>
    </row>
    <row r="2276" spans="1:20" x14ac:dyDescent="0.35">
      <c r="A2276" s="5">
        <v>8100279208</v>
      </c>
      <c r="B2276" s="5">
        <v>17499</v>
      </c>
      <c r="C2276" s="6">
        <v>45674</v>
      </c>
      <c r="D2276" s="5" t="s">
        <v>51</v>
      </c>
      <c r="E2276" s="5" t="s">
        <v>52</v>
      </c>
      <c r="F2276" s="5" t="s">
        <v>329</v>
      </c>
      <c r="G2276" s="5" t="s">
        <v>330</v>
      </c>
      <c r="H2276" s="5" t="s">
        <v>21</v>
      </c>
      <c r="I2276" s="5" t="s">
        <v>261</v>
      </c>
      <c r="J2276" s="5" t="s">
        <v>83</v>
      </c>
      <c r="K2276" s="5" t="s">
        <v>57</v>
      </c>
      <c r="L2276" s="6">
        <v>45680</v>
      </c>
      <c r="M2276" s="6">
        <v>45677</v>
      </c>
      <c r="N2276" s="6" t="s">
        <v>811</v>
      </c>
      <c r="O2276" s="5" t="str">
        <f ca="1">IF(P2276&lt;&gt;"EXPEDIÇÃO","Expedido",IF(NETWORKDAYS(C2276,TODAY())&gt;=5,"Risco Alto",IF(NETWORKDAYS(C2276,TODAY())&gt;=3,IF(NETWORKDAYS(C2276,TODAY())&lt;5,"Risco Médio",""),IF(NETWORKDAYS(C2276,TODAY())&lt;=2,"Risco Baixo",""))))</f>
        <v>Expedido</v>
      </c>
      <c r="P2276" s="5" t="s">
        <v>25</v>
      </c>
      <c r="S2276" s="7">
        <f>IF(ISBLANK(M2276),"Aguardando Previsão/Data",NETWORKDAYS(L2276,M2276)-1)</f>
        <v>-5</v>
      </c>
      <c r="T2276" s="5" t="s">
        <v>942</v>
      </c>
    </row>
    <row r="2277" spans="1:20" x14ac:dyDescent="0.35">
      <c r="A2277" s="5">
        <v>8100279209</v>
      </c>
      <c r="B2277" s="5">
        <v>17497</v>
      </c>
      <c r="C2277" s="6">
        <v>45674</v>
      </c>
      <c r="D2277" s="5" t="s">
        <v>51</v>
      </c>
      <c r="E2277" s="5" t="s">
        <v>52</v>
      </c>
      <c r="F2277" s="5" t="s">
        <v>53</v>
      </c>
      <c r="G2277" s="5" t="s">
        <v>54</v>
      </c>
      <c r="H2277" s="5" t="s">
        <v>21</v>
      </c>
      <c r="I2277" s="5" t="s">
        <v>649</v>
      </c>
      <c r="J2277" s="5" t="s">
        <v>650</v>
      </c>
      <c r="K2277" s="5" t="s">
        <v>57</v>
      </c>
      <c r="L2277" s="6">
        <v>45684</v>
      </c>
      <c r="M2277" s="6">
        <v>45677</v>
      </c>
      <c r="N2277" s="6" t="s">
        <v>811</v>
      </c>
      <c r="O2277" s="5" t="str">
        <f ca="1">IF(P2277&lt;&gt;"EXPEDIÇÃO","Expedido",IF(NETWORKDAYS(C2277,TODAY())&gt;=5,"Risco Alto",IF(NETWORKDAYS(C2277,TODAY())&gt;=3,IF(NETWORKDAYS(C2277,TODAY())&lt;5,"Risco Médio",""),IF(NETWORKDAYS(C2277,TODAY())&lt;=2,"Risco Baixo",""))))</f>
        <v>Expedido</v>
      </c>
      <c r="P2277" s="5" t="s">
        <v>25</v>
      </c>
      <c r="S2277" s="7">
        <f>IF(ISBLANK(M2277),"Aguardando Previsão/Data",NETWORKDAYS(L2277,M2277)-1)</f>
        <v>-7</v>
      </c>
      <c r="T2277" s="5" t="s">
        <v>942</v>
      </c>
    </row>
    <row r="2278" spans="1:20" x14ac:dyDescent="0.35">
      <c r="A2278" s="5">
        <v>8100279210</v>
      </c>
      <c r="B2278" s="5">
        <v>17495</v>
      </c>
      <c r="C2278" s="6">
        <v>45674</v>
      </c>
      <c r="D2278" s="5" t="s">
        <v>51</v>
      </c>
      <c r="E2278" s="5" t="s">
        <v>52</v>
      </c>
      <c r="F2278" s="5" t="s">
        <v>66</v>
      </c>
      <c r="G2278" s="5" t="s">
        <v>67</v>
      </c>
      <c r="H2278" s="5" t="s">
        <v>21</v>
      </c>
      <c r="I2278" s="5" t="s">
        <v>269</v>
      </c>
      <c r="J2278" s="5" t="s">
        <v>270</v>
      </c>
      <c r="K2278" s="5" t="s">
        <v>57</v>
      </c>
      <c r="L2278" s="6">
        <v>45684</v>
      </c>
      <c r="M2278" s="6">
        <v>45678</v>
      </c>
      <c r="N2278" s="6" t="s">
        <v>811</v>
      </c>
      <c r="O2278" s="5" t="str">
        <f ca="1">IF(P2278&lt;&gt;"EXPEDIÇÃO","Expedido",IF(NETWORKDAYS(C2278,TODAY())&gt;=5,"Risco Alto",IF(NETWORKDAYS(C2278,TODAY())&gt;=3,IF(NETWORKDAYS(C2278,TODAY())&lt;5,"Risco Médio",""),IF(NETWORKDAYS(C2278,TODAY())&lt;=2,"Risco Baixo",""))))</f>
        <v>Expedido</v>
      </c>
      <c r="P2278" s="5" t="s">
        <v>25</v>
      </c>
      <c r="S2278" s="7">
        <f>IF(ISBLANK(M2278),"Aguardando Previsão/Data",NETWORKDAYS(L2278,M2278)-1)</f>
        <v>-6</v>
      </c>
      <c r="T2278" s="5" t="s">
        <v>942</v>
      </c>
    </row>
    <row r="2279" spans="1:20" x14ac:dyDescent="0.35">
      <c r="A2279" s="5">
        <v>8100279211</v>
      </c>
      <c r="B2279" s="5">
        <v>17496</v>
      </c>
      <c r="C2279" s="6">
        <v>45674</v>
      </c>
      <c r="D2279" s="5" t="s">
        <v>51</v>
      </c>
      <c r="E2279" s="5" t="s">
        <v>52</v>
      </c>
      <c r="F2279" s="5" t="s">
        <v>66</v>
      </c>
      <c r="G2279" s="5" t="s">
        <v>67</v>
      </c>
      <c r="H2279" s="5" t="s">
        <v>21</v>
      </c>
      <c r="I2279" s="5" t="s">
        <v>269</v>
      </c>
      <c r="J2279" s="5" t="s">
        <v>270</v>
      </c>
      <c r="K2279" s="5" t="s">
        <v>57</v>
      </c>
      <c r="L2279" s="6">
        <v>45684</v>
      </c>
      <c r="M2279" s="6">
        <v>45678</v>
      </c>
      <c r="N2279" s="6" t="s">
        <v>811</v>
      </c>
      <c r="O2279" s="5" t="str">
        <f ca="1">IF(P2279&lt;&gt;"EXPEDIÇÃO","Expedido",IF(NETWORKDAYS(C2279,TODAY())&gt;=5,"Risco Alto",IF(NETWORKDAYS(C2279,TODAY())&gt;=3,IF(NETWORKDAYS(C2279,TODAY())&lt;5,"Risco Médio",""),IF(NETWORKDAYS(C2279,TODAY())&lt;=2,"Risco Baixo",""))))</f>
        <v>Expedido</v>
      </c>
      <c r="P2279" s="5" t="s">
        <v>25</v>
      </c>
      <c r="S2279" s="7">
        <f>IF(ISBLANK(M2279),"Aguardando Previsão/Data",NETWORKDAYS(L2279,M2279)-1)</f>
        <v>-6</v>
      </c>
      <c r="T2279" s="5" t="s">
        <v>942</v>
      </c>
    </row>
    <row r="2280" spans="1:20" x14ac:dyDescent="0.35">
      <c r="A2280" s="5">
        <v>8100279212</v>
      </c>
      <c r="B2280" s="5">
        <v>17498</v>
      </c>
      <c r="C2280" s="6">
        <v>45674</v>
      </c>
      <c r="D2280" s="5" t="s">
        <v>51</v>
      </c>
      <c r="E2280" s="5" t="s">
        <v>52</v>
      </c>
      <c r="F2280" s="5" t="s">
        <v>66</v>
      </c>
      <c r="G2280" s="5" t="s">
        <v>67</v>
      </c>
      <c r="H2280" s="5" t="s">
        <v>21</v>
      </c>
      <c r="I2280" s="5" t="s">
        <v>669</v>
      </c>
      <c r="J2280" s="5" t="s">
        <v>705</v>
      </c>
      <c r="K2280" s="5" t="s">
        <v>57</v>
      </c>
      <c r="L2280" s="6">
        <v>45681</v>
      </c>
      <c r="M2280" s="6">
        <v>45677</v>
      </c>
      <c r="N2280" s="6" t="s">
        <v>811</v>
      </c>
      <c r="O2280" s="5" t="str">
        <f ca="1">IF(P2280&lt;&gt;"EXPEDIÇÃO","Expedido",IF(NETWORKDAYS(C2280,TODAY())&gt;=5,"Risco Alto",IF(NETWORKDAYS(C2280,TODAY())&gt;=3,IF(NETWORKDAYS(C2280,TODAY())&lt;5,"Risco Médio",""),IF(NETWORKDAYS(C2280,TODAY())&lt;=2,"Risco Baixo",""))))</f>
        <v>Expedido</v>
      </c>
      <c r="P2280" s="5" t="s">
        <v>25</v>
      </c>
      <c r="Q2280" s="5" t="s">
        <v>897</v>
      </c>
      <c r="S2280" s="7">
        <f>IF(ISBLANK(M2280),"Aguardando Previsão/Data",NETWORKDAYS(L2280,M2280)-1)</f>
        <v>-6</v>
      </c>
      <c r="T2280" s="5" t="s">
        <v>942</v>
      </c>
    </row>
    <row r="2281" spans="1:20" x14ac:dyDescent="0.35">
      <c r="A2281" s="5">
        <v>8100279154</v>
      </c>
      <c r="B2281" s="5">
        <v>19436</v>
      </c>
      <c r="C2281" s="6">
        <v>45674</v>
      </c>
      <c r="D2281" s="5" t="s">
        <v>106</v>
      </c>
      <c r="E2281" s="5" t="s">
        <v>107</v>
      </c>
      <c r="F2281" s="5" t="s">
        <v>44</v>
      </c>
      <c r="G2281" s="5" t="s">
        <v>45</v>
      </c>
      <c r="H2281" s="5" t="s">
        <v>21</v>
      </c>
      <c r="I2281" s="5" t="s">
        <v>798</v>
      </c>
      <c r="J2281" s="5" t="s">
        <v>598</v>
      </c>
      <c r="K2281" s="5" t="s">
        <v>24</v>
      </c>
      <c r="L2281" s="6">
        <v>45684</v>
      </c>
      <c r="M2281" s="6">
        <v>45680</v>
      </c>
      <c r="N2281" s="6" t="s">
        <v>811</v>
      </c>
      <c r="O2281" s="5" t="str">
        <f ca="1">IF(P2281&lt;&gt;"EXPEDIÇÃO","Expedido",IF(NETWORKDAYS(C2281,TODAY())&gt;=5,"Risco Alto",IF(NETWORKDAYS(C2281,TODAY())&gt;=3,IF(NETWORKDAYS(C2281,TODAY())&lt;5,"Risco Médio",""),IF(NETWORKDAYS(C2281,TODAY())&lt;=2,"Risco Baixo",""))))</f>
        <v>Expedido</v>
      </c>
      <c r="P2281" s="5" t="s">
        <v>25</v>
      </c>
      <c r="Q2281" s="5" t="s">
        <v>926</v>
      </c>
      <c r="R2281" s="5">
        <v>3089102</v>
      </c>
      <c r="S2281" s="7">
        <f>IF(ISBLANK(M2281),"Aguardando Previsão/Data",NETWORKDAYS(L2281,M2281)-1)</f>
        <v>-4</v>
      </c>
      <c r="T2281" s="5" t="s">
        <v>942</v>
      </c>
    </row>
    <row r="2282" spans="1:20" x14ac:dyDescent="0.35">
      <c r="A2282" s="5">
        <v>8100277375</v>
      </c>
      <c r="B2282" s="5">
        <v>21444</v>
      </c>
      <c r="C2282" s="6">
        <v>45674</v>
      </c>
      <c r="D2282" s="5" t="s">
        <v>17</v>
      </c>
      <c r="E2282" s="5" t="s">
        <v>18</v>
      </c>
      <c r="F2282" s="5" t="s">
        <v>32</v>
      </c>
      <c r="G2282" s="5" t="s">
        <v>33</v>
      </c>
      <c r="H2282" s="5" t="s">
        <v>21</v>
      </c>
      <c r="I2282" s="5" t="s">
        <v>367</v>
      </c>
      <c r="J2282" s="5" t="s">
        <v>368</v>
      </c>
      <c r="K2282" s="5" t="s">
        <v>24</v>
      </c>
      <c r="L2282" s="6">
        <v>45684</v>
      </c>
      <c r="M2282" s="6">
        <v>45680</v>
      </c>
      <c r="N2282" s="5" t="s">
        <v>811</v>
      </c>
      <c r="O2282" s="5" t="str">
        <f ca="1">IF(P2282&lt;&gt;"EXPEDIÇÃO","Expedido",IF(NETWORKDAYS(C2282,TODAY())&gt;=5,"Risco Alto",IF(NETWORKDAYS(C2282,TODAY())&gt;=3,IF(NETWORKDAYS(C2282,TODAY())&lt;5,"Risco Médio",""),IF(NETWORKDAYS(C2282,TODAY())&lt;=2,"Risco Baixo",""))))</f>
        <v>Expedido</v>
      </c>
      <c r="P2282" s="5" t="s">
        <v>25</v>
      </c>
      <c r="S2282" s="7">
        <f>IF(ISBLANK(M2282),"Aguardando Previsão/Data",NETWORKDAYS(L2282,M2282)-1)</f>
        <v>-4</v>
      </c>
      <c r="T2282" s="5" t="s">
        <v>942</v>
      </c>
    </row>
    <row r="2283" spans="1:20" x14ac:dyDescent="0.35">
      <c r="A2283" s="5">
        <v>8100278548</v>
      </c>
      <c r="B2283" s="5">
        <v>21430</v>
      </c>
      <c r="C2283" s="6">
        <v>45674</v>
      </c>
      <c r="D2283" s="5" t="s">
        <v>17</v>
      </c>
      <c r="E2283" s="5" t="s">
        <v>18</v>
      </c>
      <c r="F2283" s="5" t="s">
        <v>84</v>
      </c>
      <c r="G2283" s="5" t="s">
        <v>85</v>
      </c>
      <c r="H2283" s="5" t="s">
        <v>21</v>
      </c>
      <c r="I2283" s="5" t="s">
        <v>766</v>
      </c>
      <c r="J2283" s="5" t="s">
        <v>43</v>
      </c>
      <c r="K2283" s="5" t="s">
        <v>24</v>
      </c>
      <c r="L2283" s="6">
        <v>45681</v>
      </c>
      <c r="M2283" s="6">
        <v>45677</v>
      </c>
      <c r="N2283" s="5" t="s">
        <v>811</v>
      </c>
      <c r="O2283" s="5" t="str">
        <f ca="1">IF(P2283&lt;&gt;"EXPEDIÇÃO","Expedido",IF(NETWORKDAYS(C2283,TODAY())&gt;=5,"Risco Alto",IF(NETWORKDAYS(C2283,TODAY())&gt;=3,IF(NETWORKDAYS(C2283,TODAY())&lt;5,"Risco Médio",""),IF(NETWORKDAYS(C2283,TODAY())&lt;=2,"Risco Baixo",""))))</f>
        <v>Expedido</v>
      </c>
      <c r="P2283" s="5" t="s">
        <v>25</v>
      </c>
      <c r="S2283" s="7">
        <f>IF(ISBLANK(M2283),"Aguardando Previsão/Data",NETWORKDAYS(L2283,M2283)-1)</f>
        <v>-6</v>
      </c>
      <c r="T2283" s="5" t="s">
        <v>942</v>
      </c>
    </row>
    <row r="2284" spans="1:20" x14ac:dyDescent="0.35">
      <c r="A2284" s="5">
        <v>8100278728</v>
      </c>
      <c r="B2284" s="5">
        <v>21432</v>
      </c>
      <c r="C2284" s="6">
        <v>45674</v>
      </c>
      <c r="D2284" s="5" t="s">
        <v>17</v>
      </c>
      <c r="E2284" s="5" t="s">
        <v>18</v>
      </c>
      <c r="F2284" s="5" t="s">
        <v>39</v>
      </c>
      <c r="G2284" s="5" t="s">
        <v>40</v>
      </c>
      <c r="H2284" s="5" t="s">
        <v>21</v>
      </c>
      <c r="I2284" s="5" t="s">
        <v>849</v>
      </c>
      <c r="J2284" s="5" t="s">
        <v>603</v>
      </c>
      <c r="K2284" s="5" t="s">
        <v>24</v>
      </c>
      <c r="L2284" s="6">
        <v>45686</v>
      </c>
      <c r="M2284" s="6">
        <v>45684</v>
      </c>
      <c r="N2284" s="5" t="s">
        <v>811</v>
      </c>
      <c r="O2284" s="5" t="str">
        <f ca="1">IF(P2284&lt;&gt;"EXPEDIÇÃO","Expedido",IF(NETWORKDAYS(C2284,TODAY())&gt;=5,"Risco Alto",IF(NETWORKDAYS(C2284,TODAY())&gt;=3,IF(NETWORKDAYS(C2284,TODAY())&lt;5,"Risco Médio",""),IF(NETWORKDAYS(C2284,TODAY())&lt;=2,"Risco Baixo",""))))</f>
        <v>Expedido</v>
      </c>
      <c r="P2284" s="5" t="s">
        <v>25</v>
      </c>
      <c r="S2284" s="7">
        <f>IF(ISBLANK(M2284),"Aguardando Previsão/Data",NETWORKDAYS(L2284,M2284)-1)</f>
        <v>-4</v>
      </c>
      <c r="T2284" s="5" t="s">
        <v>942</v>
      </c>
    </row>
    <row r="2285" spans="1:20" x14ac:dyDescent="0.35">
      <c r="A2285" s="5">
        <v>8100278729</v>
      </c>
      <c r="B2285" s="5">
        <v>21431</v>
      </c>
      <c r="C2285" s="6">
        <v>45674</v>
      </c>
      <c r="D2285" s="5" t="s">
        <v>17</v>
      </c>
      <c r="E2285" s="5" t="s">
        <v>18</v>
      </c>
      <c r="F2285" s="5" t="s">
        <v>39</v>
      </c>
      <c r="G2285" s="5" t="s">
        <v>40</v>
      </c>
      <c r="H2285" s="5" t="s">
        <v>21</v>
      </c>
      <c r="I2285" s="5" t="s">
        <v>605</v>
      </c>
      <c r="J2285" s="5" t="s">
        <v>41</v>
      </c>
      <c r="K2285" s="5" t="s">
        <v>24</v>
      </c>
      <c r="L2285" s="6">
        <v>45686</v>
      </c>
      <c r="M2285" s="6">
        <v>45679</v>
      </c>
      <c r="N2285" s="5" t="s">
        <v>811</v>
      </c>
      <c r="O2285" s="5" t="str">
        <f ca="1">IF(P2285&lt;&gt;"EXPEDIÇÃO","Expedido",IF(NETWORKDAYS(C2285,TODAY())&gt;=5,"Risco Alto",IF(NETWORKDAYS(C2285,TODAY())&gt;=3,IF(NETWORKDAYS(C2285,TODAY())&lt;5,"Risco Médio",""),IF(NETWORKDAYS(C2285,TODAY())&lt;=2,"Risco Baixo",""))))</f>
        <v>Expedido</v>
      </c>
      <c r="P2285" s="5" t="s">
        <v>25</v>
      </c>
      <c r="S2285" s="7">
        <f>IF(ISBLANK(M2285),"Aguardando Previsão/Data",NETWORKDAYS(L2285,M2285)-1)</f>
        <v>-7</v>
      </c>
      <c r="T2285" s="5" t="s">
        <v>942</v>
      </c>
    </row>
    <row r="2286" spans="1:20" x14ac:dyDescent="0.35">
      <c r="A2286" s="5">
        <v>8100278730</v>
      </c>
      <c r="B2286" s="5">
        <v>21450</v>
      </c>
      <c r="C2286" s="6">
        <v>45674</v>
      </c>
      <c r="D2286" s="5" t="s">
        <v>17</v>
      </c>
      <c r="E2286" s="5" t="s">
        <v>18</v>
      </c>
      <c r="F2286" s="5" t="s">
        <v>39</v>
      </c>
      <c r="G2286" s="5" t="s">
        <v>40</v>
      </c>
      <c r="H2286" s="5" t="s">
        <v>21</v>
      </c>
      <c r="I2286" s="5" t="s">
        <v>1114</v>
      </c>
      <c r="J2286" s="5" t="s">
        <v>260</v>
      </c>
      <c r="K2286" s="5" t="s">
        <v>24</v>
      </c>
      <c r="L2286" s="6">
        <v>45687</v>
      </c>
      <c r="M2286" s="6">
        <v>45687</v>
      </c>
      <c r="N2286" s="5" t="s">
        <v>811</v>
      </c>
      <c r="O2286" s="5" t="str">
        <f ca="1">IF(P2286&lt;&gt;"EXPEDIÇÃO","Expedido",IF(NETWORKDAYS(C2286,TODAY())&gt;=5,"Risco Alto",IF(NETWORKDAYS(C2286,TODAY())&gt;=3,IF(NETWORKDAYS(C2286,TODAY())&lt;5,"Risco Médio",""),IF(NETWORKDAYS(C2286,TODAY())&lt;=2,"Risco Baixo",""))))</f>
        <v>Expedido</v>
      </c>
      <c r="P2286" s="5" t="s">
        <v>617</v>
      </c>
      <c r="Q2286" s="5" t="s">
        <v>898</v>
      </c>
      <c r="S2286" s="7">
        <f>IF(ISBLANK(M2286),"Aguardando Previsão/Data",NETWORKDAYS(L2286,M2286)-1)</f>
        <v>0</v>
      </c>
    </row>
    <row r="2287" spans="1:20" x14ac:dyDescent="0.35">
      <c r="A2287" s="5">
        <v>8100278731</v>
      </c>
      <c r="B2287" s="5">
        <v>21427</v>
      </c>
      <c r="C2287" s="6">
        <v>45674</v>
      </c>
      <c r="D2287" s="5" t="s">
        <v>17</v>
      </c>
      <c r="E2287" s="5" t="s">
        <v>18</v>
      </c>
      <c r="F2287" s="5" t="s">
        <v>39</v>
      </c>
      <c r="G2287" s="5" t="s">
        <v>40</v>
      </c>
      <c r="H2287" s="5" t="s">
        <v>21</v>
      </c>
      <c r="I2287" s="5" t="s">
        <v>1086</v>
      </c>
      <c r="J2287" s="5" t="s">
        <v>600</v>
      </c>
      <c r="K2287" s="5" t="s">
        <v>24</v>
      </c>
      <c r="L2287" s="6">
        <v>45684</v>
      </c>
      <c r="M2287" s="6">
        <v>45681</v>
      </c>
      <c r="N2287" s="5" t="s">
        <v>811</v>
      </c>
      <c r="O2287" s="5" t="str">
        <f ca="1">IF(P2287&lt;&gt;"EXPEDIÇÃO","Expedido",IF(NETWORKDAYS(C2287,TODAY())&gt;=5,"Risco Alto",IF(NETWORKDAYS(C2287,TODAY())&gt;=3,IF(NETWORKDAYS(C2287,TODAY())&lt;5,"Risco Médio",""),IF(NETWORKDAYS(C2287,TODAY())&lt;=2,"Risco Baixo",""))))</f>
        <v>Expedido</v>
      </c>
      <c r="P2287" s="5" t="s">
        <v>25</v>
      </c>
      <c r="S2287" s="7">
        <f>IF(ISBLANK(M2287),"Aguardando Previsão/Data",NETWORKDAYS(L2287,M2287)-1)</f>
        <v>-3</v>
      </c>
      <c r="T2287" s="5" t="s">
        <v>942</v>
      </c>
    </row>
    <row r="2288" spans="1:20" x14ac:dyDescent="0.35">
      <c r="A2288" s="5">
        <v>8100278732</v>
      </c>
      <c r="B2288" s="5">
        <v>21426</v>
      </c>
      <c r="C2288" s="6">
        <v>45674</v>
      </c>
      <c r="D2288" s="5" t="s">
        <v>17</v>
      </c>
      <c r="E2288" s="5" t="s">
        <v>18</v>
      </c>
      <c r="F2288" s="5" t="s">
        <v>39</v>
      </c>
      <c r="G2288" s="5" t="s">
        <v>40</v>
      </c>
      <c r="H2288" s="5" t="s">
        <v>21</v>
      </c>
      <c r="I2288" s="5" t="s">
        <v>607</v>
      </c>
      <c r="J2288" s="5" t="s">
        <v>608</v>
      </c>
      <c r="K2288" s="5" t="s">
        <v>24</v>
      </c>
      <c r="L2288" s="6">
        <v>45688</v>
      </c>
      <c r="M2288" s="6">
        <v>45688</v>
      </c>
      <c r="N2288" s="5" t="s">
        <v>811</v>
      </c>
      <c r="O2288" s="5" t="str">
        <f ca="1">IF(P2288&lt;&gt;"EXPEDIÇÃO","Expedido",IF(NETWORKDAYS(C2288,TODAY())&gt;=5,"Risco Alto",IF(NETWORKDAYS(C2288,TODAY())&gt;=3,IF(NETWORKDAYS(C2288,TODAY())&lt;5,"Risco Médio",""),IF(NETWORKDAYS(C2288,TODAY())&lt;=2,"Risco Baixo",""))))</f>
        <v>Expedido</v>
      </c>
      <c r="P2288" s="5" t="s">
        <v>617</v>
      </c>
      <c r="S2288" s="7">
        <f>IF(ISBLANK(M2288),"Aguardando Previsão/Data",NETWORKDAYS(L2288,M2288)-1)</f>
        <v>0</v>
      </c>
    </row>
    <row r="2289" spans="1:20" x14ac:dyDescent="0.35">
      <c r="A2289" s="5">
        <v>8100278733</v>
      </c>
      <c r="B2289" s="5">
        <v>21448</v>
      </c>
      <c r="C2289" s="6">
        <v>45674</v>
      </c>
      <c r="D2289" s="5" t="s">
        <v>17</v>
      </c>
      <c r="E2289" s="5" t="s">
        <v>18</v>
      </c>
      <c r="F2289" s="5" t="s">
        <v>39</v>
      </c>
      <c r="G2289" s="5" t="s">
        <v>40</v>
      </c>
      <c r="H2289" s="5" t="s">
        <v>21</v>
      </c>
      <c r="I2289" s="5" t="s">
        <v>1156</v>
      </c>
      <c r="J2289" s="5" t="s">
        <v>602</v>
      </c>
      <c r="K2289" s="5" t="s">
        <v>24</v>
      </c>
      <c r="L2289" s="6">
        <v>45684</v>
      </c>
      <c r="M2289" s="6">
        <v>45684</v>
      </c>
      <c r="N2289" s="5" t="s">
        <v>811</v>
      </c>
      <c r="O2289" s="5" t="str">
        <f ca="1">IF(P2289&lt;&gt;"EXPEDIÇÃO","Expedido",IF(NETWORKDAYS(C2289,TODAY())&gt;=5,"Risco Alto",IF(NETWORKDAYS(C2289,TODAY())&gt;=3,IF(NETWORKDAYS(C2289,TODAY())&lt;5,"Risco Médio",""),IF(NETWORKDAYS(C2289,TODAY())&lt;=2,"Risco Baixo",""))))</f>
        <v>Expedido</v>
      </c>
      <c r="P2289" s="5" t="s">
        <v>25</v>
      </c>
      <c r="Q2289" s="5" t="s">
        <v>937</v>
      </c>
      <c r="S2289" s="7">
        <f>IF(ISBLANK(M2289),"Aguardando Previsão/Data",NETWORKDAYS(L2289,M2289)-1)</f>
        <v>0</v>
      </c>
      <c r="T2289" s="5" t="s">
        <v>942</v>
      </c>
    </row>
    <row r="2290" spans="1:20" x14ac:dyDescent="0.35">
      <c r="A2290" s="5">
        <v>8100278734</v>
      </c>
      <c r="B2290" s="5">
        <v>21439</v>
      </c>
      <c r="C2290" s="6">
        <v>45674</v>
      </c>
      <c r="D2290" s="5" t="s">
        <v>17</v>
      </c>
      <c r="E2290" s="5" t="s">
        <v>18</v>
      </c>
      <c r="F2290" s="5" t="s">
        <v>39</v>
      </c>
      <c r="G2290" s="5" t="s">
        <v>40</v>
      </c>
      <c r="H2290" s="5" t="s">
        <v>21</v>
      </c>
      <c r="I2290" s="5" t="s">
        <v>22</v>
      </c>
      <c r="J2290" s="5" t="s">
        <v>23</v>
      </c>
      <c r="K2290" s="5" t="s">
        <v>24</v>
      </c>
      <c r="L2290" s="6">
        <v>45680</v>
      </c>
      <c r="M2290" s="6">
        <v>45675</v>
      </c>
      <c r="N2290" s="5" t="s">
        <v>811</v>
      </c>
      <c r="O2290" s="5" t="str">
        <f ca="1">IF(P2290&lt;&gt;"EXPEDIÇÃO","Expedido",IF(NETWORKDAYS(C2290,TODAY())&gt;=5,"Risco Alto",IF(NETWORKDAYS(C2290,TODAY())&gt;=3,IF(NETWORKDAYS(C2290,TODAY())&lt;5,"Risco Médio",""),IF(NETWORKDAYS(C2290,TODAY())&lt;=2,"Risco Baixo",""))))</f>
        <v>Expedido</v>
      </c>
      <c r="P2290" s="5" t="s">
        <v>25</v>
      </c>
      <c r="Q2290" s="5" t="s">
        <v>900</v>
      </c>
      <c r="S2290" s="7">
        <f>IF(ISBLANK(M2290),"Aguardando Previsão/Data",NETWORKDAYS(L2290,M2290)-1)</f>
        <v>-5</v>
      </c>
      <c r="T2290" s="5" t="s">
        <v>942</v>
      </c>
    </row>
    <row r="2291" spans="1:20" x14ac:dyDescent="0.35">
      <c r="A2291" s="5">
        <v>8100278735</v>
      </c>
      <c r="B2291" s="5">
        <v>21449</v>
      </c>
      <c r="C2291" s="6">
        <v>45674</v>
      </c>
      <c r="D2291" s="5" t="s">
        <v>17</v>
      </c>
      <c r="E2291" s="5" t="s">
        <v>18</v>
      </c>
      <c r="F2291" s="5" t="s">
        <v>39</v>
      </c>
      <c r="G2291" s="5" t="s">
        <v>40</v>
      </c>
      <c r="H2291" s="5" t="s">
        <v>21</v>
      </c>
      <c r="I2291" s="5" t="s">
        <v>1041</v>
      </c>
      <c r="J2291" s="5" t="s">
        <v>466</v>
      </c>
      <c r="K2291" s="5" t="s">
        <v>24</v>
      </c>
      <c r="L2291" s="6">
        <v>45686</v>
      </c>
      <c r="M2291" s="6">
        <v>45685</v>
      </c>
      <c r="N2291" s="5" t="s">
        <v>811</v>
      </c>
      <c r="O2291" s="5" t="str">
        <f ca="1">IF(P2291&lt;&gt;"EXPEDIÇÃO","Expedido",IF(NETWORKDAYS(C2291,TODAY())&gt;=5,"Risco Alto",IF(NETWORKDAYS(C2291,TODAY())&gt;=3,IF(NETWORKDAYS(C2291,TODAY())&lt;5,"Risco Médio",""),IF(NETWORKDAYS(C2291,TODAY())&lt;=2,"Risco Baixo",""))))</f>
        <v>Expedido</v>
      </c>
      <c r="P2291" s="5" t="s">
        <v>25</v>
      </c>
      <c r="S2291" s="7">
        <f>IF(ISBLANK(M2291),"Aguardando Previsão/Data",NETWORKDAYS(L2291,M2291)-1)</f>
        <v>-3</v>
      </c>
      <c r="T2291" s="5" t="s">
        <v>942</v>
      </c>
    </row>
    <row r="2292" spans="1:20" x14ac:dyDescent="0.35">
      <c r="A2292" s="5">
        <v>8100278736</v>
      </c>
      <c r="B2292" s="5">
        <v>21442</v>
      </c>
      <c r="C2292" s="6">
        <v>45674</v>
      </c>
      <c r="D2292" s="5" t="s">
        <v>17</v>
      </c>
      <c r="E2292" s="5" t="s">
        <v>18</v>
      </c>
      <c r="F2292" s="5" t="s">
        <v>39</v>
      </c>
      <c r="G2292" s="5" t="s">
        <v>40</v>
      </c>
      <c r="H2292" s="5" t="s">
        <v>21</v>
      </c>
      <c r="I2292" s="5" t="s">
        <v>1096</v>
      </c>
      <c r="J2292" s="5" t="s">
        <v>41</v>
      </c>
      <c r="K2292" s="5" t="s">
        <v>24</v>
      </c>
      <c r="L2292" s="6">
        <v>45686</v>
      </c>
      <c r="M2292" s="6">
        <v>45684</v>
      </c>
      <c r="N2292" s="5" t="s">
        <v>811</v>
      </c>
      <c r="O2292" s="5" t="str">
        <f ca="1">IF(P2292&lt;&gt;"EXPEDIÇÃO","Expedido",IF(NETWORKDAYS(C2292,TODAY())&gt;=5,"Risco Alto",IF(NETWORKDAYS(C2292,TODAY())&gt;=3,IF(NETWORKDAYS(C2292,TODAY())&lt;5,"Risco Médio",""),IF(NETWORKDAYS(C2292,TODAY())&lt;=2,"Risco Baixo",""))))</f>
        <v>Expedido</v>
      </c>
      <c r="P2292" s="5" t="s">
        <v>25</v>
      </c>
      <c r="Q2292" s="5" t="s">
        <v>897</v>
      </c>
      <c r="S2292" s="7">
        <f>IF(ISBLANK(M2292),"Aguardando Previsão/Data",NETWORKDAYS(L2292,M2292)-1)</f>
        <v>-4</v>
      </c>
      <c r="T2292" s="5" t="s">
        <v>942</v>
      </c>
    </row>
    <row r="2293" spans="1:20" x14ac:dyDescent="0.35">
      <c r="A2293" s="5">
        <v>8100278737</v>
      </c>
      <c r="B2293" s="5">
        <v>21435</v>
      </c>
      <c r="C2293" s="6">
        <v>45674</v>
      </c>
      <c r="D2293" s="5" t="s">
        <v>17</v>
      </c>
      <c r="E2293" s="5" t="s">
        <v>18</v>
      </c>
      <c r="F2293" s="5" t="s">
        <v>32</v>
      </c>
      <c r="G2293" s="5" t="s">
        <v>33</v>
      </c>
      <c r="H2293" s="5" t="s">
        <v>21</v>
      </c>
      <c r="I2293" s="5" t="s">
        <v>916</v>
      </c>
      <c r="J2293" s="5" t="s">
        <v>368</v>
      </c>
      <c r="K2293" s="5" t="s">
        <v>24</v>
      </c>
      <c r="L2293" s="6">
        <v>45684</v>
      </c>
      <c r="M2293" s="6">
        <v>45678</v>
      </c>
      <c r="N2293" s="5" t="s">
        <v>811</v>
      </c>
      <c r="O2293" s="5" t="str">
        <f ca="1">IF(P2293&lt;&gt;"EXPEDIÇÃO","Expedido",IF(NETWORKDAYS(C2293,TODAY())&gt;=5,"Risco Alto",IF(NETWORKDAYS(C2293,TODAY())&gt;=3,IF(NETWORKDAYS(C2293,TODAY())&lt;5,"Risco Médio",""),IF(NETWORKDAYS(C2293,TODAY())&lt;=2,"Risco Baixo",""))))</f>
        <v>Expedido</v>
      </c>
      <c r="P2293" s="5" t="s">
        <v>25</v>
      </c>
      <c r="S2293" s="7">
        <f>IF(ISBLANK(M2293),"Aguardando Previsão/Data",NETWORKDAYS(L2293,M2293)-1)</f>
        <v>-6</v>
      </c>
      <c r="T2293" s="5" t="s">
        <v>942</v>
      </c>
    </row>
    <row r="2294" spans="1:20" x14ac:dyDescent="0.35">
      <c r="A2294" s="5">
        <v>8100278738</v>
      </c>
      <c r="B2294" s="5">
        <v>21424</v>
      </c>
      <c r="C2294" s="6">
        <v>45674</v>
      </c>
      <c r="D2294" s="5" t="s">
        <v>17</v>
      </c>
      <c r="E2294" s="5" t="s">
        <v>18</v>
      </c>
      <c r="F2294" s="5" t="s">
        <v>39</v>
      </c>
      <c r="G2294" s="5" t="s">
        <v>40</v>
      </c>
      <c r="H2294" s="5" t="s">
        <v>21</v>
      </c>
      <c r="I2294" s="5" t="s">
        <v>747</v>
      </c>
      <c r="J2294" s="5" t="s">
        <v>41</v>
      </c>
      <c r="K2294" s="5" t="s">
        <v>24</v>
      </c>
      <c r="L2294" s="6">
        <v>45686</v>
      </c>
      <c r="M2294" s="6">
        <v>45684</v>
      </c>
      <c r="N2294" s="5" t="s">
        <v>811</v>
      </c>
      <c r="O2294" s="5" t="str">
        <f ca="1">IF(P2294&lt;&gt;"EXPEDIÇÃO","Expedido",IF(NETWORKDAYS(C2294,TODAY())&gt;=5,"Risco Alto",IF(NETWORKDAYS(C2294,TODAY())&gt;=3,IF(NETWORKDAYS(C2294,TODAY())&lt;5,"Risco Médio",""),IF(NETWORKDAYS(C2294,TODAY())&lt;=2,"Risco Baixo",""))))</f>
        <v>Expedido</v>
      </c>
      <c r="P2294" s="5" t="s">
        <v>25</v>
      </c>
      <c r="S2294" s="7">
        <f>IF(ISBLANK(M2294),"Aguardando Previsão/Data",NETWORKDAYS(L2294,M2294)-1)</f>
        <v>-4</v>
      </c>
      <c r="T2294" s="5" t="s">
        <v>942</v>
      </c>
    </row>
    <row r="2295" spans="1:20" x14ac:dyDescent="0.35">
      <c r="A2295" s="5">
        <v>8100278810</v>
      </c>
      <c r="B2295" s="5">
        <v>21429</v>
      </c>
      <c r="C2295" s="6">
        <v>45674</v>
      </c>
      <c r="D2295" s="5" t="s">
        <v>17</v>
      </c>
      <c r="E2295" s="5" t="s">
        <v>18</v>
      </c>
      <c r="F2295" s="5" t="s">
        <v>39</v>
      </c>
      <c r="G2295" s="5" t="s">
        <v>40</v>
      </c>
      <c r="H2295" s="5" t="s">
        <v>21</v>
      </c>
      <c r="I2295" s="5" t="s">
        <v>1302</v>
      </c>
      <c r="J2295" s="5" t="s">
        <v>600</v>
      </c>
      <c r="K2295" s="5" t="s">
        <v>24</v>
      </c>
      <c r="L2295" s="6">
        <v>45684</v>
      </c>
      <c r="M2295" s="6">
        <v>45682</v>
      </c>
      <c r="N2295" s="5" t="s">
        <v>811</v>
      </c>
      <c r="O2295" s="5" t="str">
        <f ca="1">IF(P2295&lt;&gt;"EXPEDIÇÃO","Expedido",IF(NETWORKDAYS(C2295,TODAY())&gt;=5,"Risco Alto",IF(NETWORKDAYS(C2295,TODAY())&gt;=3,IF(NETWORKDAYS(C2295,TODAY())&lt;5,"Risco Médio",""),IF(NETWORKDAYS(C2295,TODAY())&lt;=2,"Risco Baixo",""))))</f>
        <v>Expedido</v>
      </c>
      <c r="P2295" s="5" t="s">
        <v>25</v>
      </c>
      <c r="S2295" s="7">
        <f>IF(ISBLANK(M2295),"Aguardando Previsão/Data",NETWORKDAYS(L2295,M2295)-1)</f>
        <v>-2</v>
      </c>
      <c r="T2295" s="5" t="s">
        <v>942</v>
      </c>
    </row>
    <row r="2296" spans="1:20" x14ac:dyDescent="0.35">
      <c r="A2296" s="5">
        <v>8100278811</v>
      </c>
      <c r="B2296" s="5">
        <v>21433</v>
      </c>
      <c r="C2296" s="6">
        <v>45674</v>
      </c>
      <c r="D2296" s="5" t="s">
        <v>17</v>
      </c>
      <c r="E2296" s="5" t="s">
        <v>18</v>
      </c>
      <c r="F2296" s="5" t="s">
        <v>39</v>
      </c>
      <c r="G2296" s="5" t="s">
        <v>40</v>
      </c>
      <c r="H2296" s="5" t="s">
        <v>21</v>
      </c>
      <c r="I2296" s="5" t="s">
        <v>842</v>
      </c>
      <c r="J2296" s="5" t="s">
        <v>848</v>
      </c>
      <c r="K2296" s="5" t="s">
        <v>24</v>
      </c>
      <c r="L2296" s="6">
        <v>45684</v>
      </c>
      <c r="M2296" s="6">
        <v>45681</v>
      </c>
      <c r="N2296" s="5" t="s">
        <v>811</v>
      </c>
      <c r="O2296" s="5" t="str">
        <f ca="1">IF(P2296&lt;&gt;"EXPEDIÇÃO","Expedido",IF(NETWORKDAYS(C2296,TODAY())&gt;=5,"Risco Alto",IF(NETWORKDAYS(C2296,TODAY())&gt;=3,IF(NETWORKDAYS(C2296,TODAY())&lt;5,"Risco Médio",""),IF(NETWORKDAYS(C2296,TODAY())&lt;=2,"Risco Baixo",""))))</f>
        <v>Expedido</v>
      </c>
      <c r="P2296" s="5" t="s">
        <v>25</v>
      </c>
      <c r="S2296" s="7">
        <f>IF(ISBLANK(M2296),"Aguardando Previsão/Data",NETWORKDAYS(L2296,M2296)-1)</f>
        <v>-3</v>
      </c>
      <c r="T2296" s="5" t="s">
        <v>942</v>
      </c>
    </row>
    <row r="2297" spans="1:20" x14ac:dyDescent="0.35">
      <c r="A2297" s="5">
        <v>8100278812</v>
      </c>
      <c r="B2297" s="5">
        <v>21437</v>
      </c>
      <c r="C2297" s="6">
        <v>45674</v>
      </c>
      <c r="D2297" s="5" t="s">
        <v>17</v>
      </c>
      <c r="E2297" s="5" t="s">
        <v>18</v>
      </c>
      <c r="F2297" s="5" t="s">
        <v>39</v>
      </c>
      <c r="G2297" s="5" t="s">
        <v>40</v>
      </c>
      <c r="H2297" s="5" t="s">
        <v>21</v>
      </c>
      <c r="I2297" s="5" t="s">
        <v>943</v>
      </c>
      <c r="J2297" s="5" t="s">
        <v>495</v>
      </c>
      <c r="K2297" s="5" t="s">
        <v>24</v>
      </c>
      <c r="L2297" s="6">
        <v>45688</v>
      </c>
      <c r="M2297" s="6">
        <v>45688</v>
      </c>
      <c r="N2297" s="5" t="s">
        <v>811</v>
      </c>
      <c r="O2297" s="5" t="str">
        <f ca="1">IF(P2297&lt;&gt;"EXPEDIÇÃO","Expedido",IF(NETWORKDAYS(C2297,TODAY())&gt;=5,"Risco Alto",IF(NETWORKDAYS(C2297,TODAY())&gt;=3,IF(NETWORKDAYS(C2297,TODAY())&lt;5,"Risco Médio",""),IF(NETWORKDAYS(C2297,TODAY())&lt;=2,"Risco Baixo",""))))</f>
        <v>Expedido</v>
      </c>
      <c r="P2297" s="5" t="s">
        <v>617</v>
      </c>
      <c r="S2297" s="7">
        <f>IF(ISBLANK(M2297),"Aguardando Previsão/Data",NETWORKDAYS(L2297,M2297)-1)</f>
        <v>0</v>
      </c>
    </row>
    <row r="2298" spans="1:20" x14ac:dyDescent="0.35">
      <c r="A2298" s="5">
        <v>8100278813</v>
      </c>
      <c r="B2298" s="5">
        <v>21434</v>
      </c>
      <c r="C2298" s="6">
        <v>45674</v>
      </c>
      <c r="D2298" s="5" t="s">
        <v>17</v>
      </c>
      <c r="E2298" s="5" t="s">
        <v>18</v>
      </c>
      <c r="F2298" s="5" t="s">
        <v>39</v>
      </c>
      <c r="G2298" s="5" t="s">
        <v>40</v>
      </c>
      <c r="H2298" s="5" t="s">
        <v>21</v>
      </c>
      <c r="I2298" s="5" t="s">
        <v>842</v>
      </c>
      <c r="J2298" s="5" t="s">
        <v>848</v>
      </c>
      <c r="K2298" s="5" t="s">
        <v>24</v>
      </c>
      <c r="L2298" s="6">
        <v>45684</v>
      </c>
      <c r="M2298" s="6">
        <v>45681</v>
      </c>
      <c r="N2298" s="5" t="s">
        <v>811</v>
      </c>
      <c r="O2298" s="5" t="str">
        <f ca="1">IF(P2298&lt;&gt;"EXPEDIÇÃO","Expedido",IF(NETWORKDAYS(C2298,TODAY())&gt;=5,"Risco Alto",IF(NETWORKDAYS(C2298,TODAY())&gt;=3,IF(NETWORKDAYS(C2298,TODAY())&lt;5,"Risco Médio",""),IF(NETWORKDAYS(C2298,TODAY())&lt;=2,"Risco Baixo",""))))</f>
        <v>Expedido</v>
      </c>
      <c r="P2298" s="5" t="s">
        <v>25</v>
      </c>
      <c r="S2298" s="7">
        <f>IF(ISBLANK(M2298),"Aguardando Previsão/Data",NETWORKDAYS(L2298,M2298)-1)</f>
        <v>-3</v>
      </c>
      <c r="T2298" s="5" t="s">
        <v>942</v>
      </c>
    </row>
    <row r="2299" spans="1:20" x14ac:dyDescent="0.35">
      <c r="A2299" s="5">
        <v>8100278814</v>
      </c>
      <c r="B2299" s="5">
        <v>21428</v>
      </c>
      <c r="C2299" s="6">
        <v>45674</v>
      </c>
      <c r="D2299" s="5" t="s">
        <v>17</v>
      </c>
      <c r="E2299" s="5" t="s">
        <v>18</v>
      </c>
      <c r="F2299" s="5" t="s">
        <v>39</v>
      </c>
      <c r="G2299" s="5" t="s">
        <v>40</v>
      </c>
      <c r="H2299" s="5" t="s">
        <v>21</v>
      </c>
      <c r="I2299" s="5" t="s">
        <v>1016</v>
      </c>
      <c r="J2299" s="5" t="s">
        <v>737</v>
      </c>
      <c r="K2299" s="5" t="s">
        <v>24</v>
      </c>
      <c r="L2299" s="6">
        <v>45688</v>
      </c>
      <c r="M2299" s="6">
        <v>45687</v>
      </c>
      <c r="N2299" s="5" t="s">
        <v>811</v>
      </c>
      <c r="O2299" s="5" t="str">
        <f ca="1">IF(P2299&lt;&gt;"EXPEDIÇÃO","Expedido",IF(NETWORKDAYS(C2299,TODAY())&gt;=5,"Risco Alto",IF(NETWORKDAYS(C2299,TODAY())&gt;=3,IF(NETWORKDAYS(C2299,TODAY())&lt;5,"Risco Médio",""),IF(NETWORKDAYS(C2299,TODAY())&lt;=2,"Risco Baixo",""))))</f>
        <v>Expedido</v>
      </c>
      <c r="P2299" s="5" t="s">
        <v>617</v>
      </c>
      <c r="S2299" s="7">
        <f>IF(ISBLANK(M2299),"Aguardando Previsão/Data",NETWORKDAYS(L2299,M2299)-1)</f>
        <v>-3</v>
      </c>
    </row>
    <row r="2300" spans="1:20" x14ac:dyDescent="0.35">
      <c r="A2300" s="5">
        <v>8100278815</v>
      </c>
      <c r="B2300" s="5">
        <v>21438</v>
      </c>
      <c r="C2300" s="6">
        <v>45674</v>
      </c>
      <c r="D2300" s="5" t="s">
        <v>17</v>
      </c>
      <c r="E2300" s="5" t="s">
        <v>18</v>
      </c>
      <c r="F2300" s="5" t="s">
        <v>32</v>
      </c>
      <c r="G2300" s="5" t="s">
        <v>33</v>
      </c>
      <c r="H2300" s="5" t="s">
        <v>21</v>
      </c>
      <c r="I2300" s="5" t="s">
        <v>22</v>
      </c>
      <c r="J2300" s="5" t="s">
        <v>23</v>
      </c>
      <c r="K2300" s="5" t="s">
        <v>24</v>
      </c>
      <c r="L2300" s="6">
        <v>45680</v>
      </c>
      <c r="M2300" s="6">
        <v>45675</v>
      </c>
      <c r="N2300" s="5" t="s">
        <v>811</v>
      </c>
      <c r="O2300" s="5" t="str">
        <f ca="1">IF(P2300&lt;&gt;"EXPEDIÇÃO","Expedido",IF(NETWORKDAYS(C2300,TODAY())&gt;=5,"Risco Alto",IF(NETWORKDAYS(C2300,TODAY())&gt;=3,IF(NETWORKDAYS(C2300,TODAY())&lt;5,"Risco Médio",""),IF(NETWORKDAYS(C2300,TODAY())&lt;=2,"Risco Baixo",""))))</f>
        <v>Expedido</v>
      </c>
      <c r="P2300" s="5" t="s">
        <v>25</v>
      </c>
      <c r="Q2300" s="5" t="s">
        <v>900</v>
      </c>
      <c r="S2300" s="7">
        <f>IF(ISBLANK(M2300),"Aguardando Previsão/Data",NETWORKDAYS(L2300,M2300)-1)</f>
        <v>-5</v>
      </c>
      <c r="T2300" s="5" t="s">
        <v>942</v>
      </c>
    </row>
    <row r="2301" spans="1:20" x14ac:dyDescent="0.35">
      <c r="A2301" s="5">
        <v>8100278816</v>
      </c>
      <c r="B2301" s="5">
        <v>21436</v>
      </c>
      <c r="C2301" s="6">
        <v>45674</v>
      </c>
      <c r="D2301" s="5" t="s">
        <v>17</v>
      </c>
      <c r="E2301" s="5" t="s">
        <v>18</v>
      </c>
      <c r="F2301" s="5" t="s">
        <v>39</v>
      </c>
      <c r="G2301" s="5" t="s">
        <v>40</v>
      </c>
      <c r="H2301" s="5" t="s">
        <v>21</v>
      </c>
      <c r="I2301" s="5" t="s">
        <v>918</v>
      </c>
      <c r="J2301" s="5" t="s">
        <v>495</v>
      </c>
      <c r="K2301" s="5" t="s">
        <v>24</v>
      </c>
      <c r="L2301" s="6">
        <v>45688</v>
      </c>
      <c r="M2301" s="6">
        <v>45685</v>
      </c>
      <c r="N2301" s="5" t="s">
        <v>811</v>
      </c>
      <c r="O2301" s="5" t="str">
        <f ca="1">IF(P2301&lt;&gt;"EXPEDIÇÃO","Expedido",IF(NETWORKDAYS(C2301,TODAY())&gt;=5,"Risco Alto",IF(NETWORKDAYS(C2301,TODAY())&gt;=3,IF(NETWORKDAYS(C2301,TODAY())&lt;5,"Risco Médio",""),IF(NETWORKDAYS(C2301,TODAY())&lt;=2,"Risco Baixo",""))))</f>
        <v>Expedido</v>
      </c>
      <c r="P2301" s="5" t="s">
        <v>25</v>
      </c>
      <c r="S2301" s="7">
        <f>IF(ISBLANK(M2301),"Aguardando Previsão/Data",NETWORKDAYS(L2301,M2301)-1)</f>
        <v>-5</v>
      </c>
      <c r="T2301" s="5" t="s">
        <v>942</v>
      </c>
    </row>
    <row r="2302" spans="1:20" x14ac:dyDescent="0.35">
      <c r="A2302" s="5">
        <v>8100278817</v>
      </c>
      <c r="B2302" s="5">
        <v>21425</v>
      </c>
      <c r="C2302" s="6">
        <v>45674</v>
      </c>
      <c r="D2302" s="5" t="s">
        <v>17</v>
      </c>
      <c r="E2302" s="5" t="s">
        <v>18</v>
      </c>
      <c r="F2302" s="5" t="s">
        <v>39</v>
      </c>
      <c r="G2302" s="5" t="s">
        <v>40</v>
      </c>
      <c r="H2302" s="5" t="s">
        <v>21</v>
      </c>
      <c r="I2302" s="5" t="s">
        <v>747</v>
      </c>
      <c r="J2302" s="5" t="s">
        <v>41</v>
      </c>
      <c r="K2302" s="5" t="s">
        <v>24</v>
      </c>
      <c r="L2302" s="6">
        <v>45686</v>
      </c>
      <c r="M2302" s="6">
        <v>45684</v>
      </c>
      <c r="N2302" s="5" t="s">
        <v>811</v>
      </c>
      <c r="O2302" s="5" t="str">
        <f ca="1">IF(P2302&lt;&gt;"EXPEDIÇÃO","Expedido",IF(NETWORKDAYS(C2302,TODAY())&gt;=5,"Risco Alto",IF(NETWORKDAYS(C2302,TODAY())&gt;=3,IF(NETWORKDAYS(C2302,TODAY())&lt;5,"Risco Médio",""),IF(NETWORKDAYS(C2302,TODAY())&lt;=2,"Risco Baixo",""))))</f>
        <v>Expedido</v>
      </c>
      <c r="P2302" s="5" t="s">
        <v>25</v>
      </c>
      <c r="S2302" s="7">
        <f>IF(ISBLANK(M2302),"Aguardando Previsão/Data",NETWORKDAYS(L2302,M2302)-1)</f>
        <v>-4</v>
      </c>
      <c r="T2302" s="5" t="s">
        <v>942</v>
      </c>
    </row>
    <row r="2303" spans="1:20" x14ac:dyDescent="0.35">
      <c r="A2303" s="5">
        <v>8100279006</v>
      </c>
      <c r="B2303" s="5">
        <v>21443</v>
      </c>
      <c r="C2303" s="6">
        <v>45674</v>
      </c>
      <c r="D2303" s="5" t="s">
        <v>17</v>
      </c>
      <c r="E2303" s="5" t="s">
        <v>18</v>
      </c>
      <c r="F2303" s="5" t="s">
        <v>44</v>
      </c>
      <c r="G2303" s="5" t="s">
        <v>45</v>
      </c>
      <c r="H2303" s="5" t="s">
        <v>21</v>
      </c>
      <c r="I2303" s="5" t="s">
        <v>643</v>
      </c>
      <c r="J2303" s="5" t="s">
        <v>48</v>
      </c>
      <c r="K2303" s="5" t="s">
        <v>24</v>
      </c>
      <c r="L2303" s="6">
        <v>45684</v>
      </c>
      <c r="M2303" s="6">
        <v>45681</v>
      </c>
      <c r="N2303" s="5" t="s">
        <v>811</v>
      </c>
      <c r="O2303" s="5" t="str">
        <f ca="1">IF(P2303&lt;&gt;"EXPEDIÇÃO","Expedido",IF(NETWORKDAYS(C2303,TODAY())&gt;=5,"Risco Alto",IF(NETWORKDAYS(C2303,TODAY())&gt;=3,IF(NETWORKDAYS(C2303,TODAY())&lt;5,"Risco Médio",""),IF(NETWORKDAYS(C2303,TODAY())&lt;=2,"Risco Baixo",""))))</f>
        <v>Expedido</v>
      </c>
      <c r="P2303" s="5" t="s">
        <v>25</v>
      </c>
      <c r="S2303" s="7">
        <f>IF(ISBLANK(M2303),"Aguardando Previsão/Data",NETWORKDAYS(L2303,M2303)-1)</f>
        <v>-3</v>
      </c>
      <c r="T2303" s="5" t="s">
        <v>942</v>
      </c>
    </row>
    <row r="2304" spans="1:20" x14ac:dyDescent="0.35">
      <c r="A2304" s="5">
        <v>8100279009</v>
      </c>
      <c r="B2304" s="5">
        <v>21457</v>
      </c>
      <c r="C2304" s="6">
        <v>45674</v>
      </c>
      <c r="D2304" s="5" t="s">
        <v>17</v>
      </c>
      <c r="E2304" s="5" t="s">
        <v>18</v>
      </c>
      <c r="F2304" s="5" t="s">
        <v>44</v>
      </c>
      <c r="G2304" s="5" t="s">
        <v>45</v>
      </c>
      <c r="H2304" s="5" t="s">
        <v>21</v>
      </c>
      <c r="I2304" s="5" t="s">
        <v>1334</v>
      </c>
      <c r="J2304" s="5" t="s">
        <v>1335</v>
      </c>
      <c r="K2304" s="5" t="s">
        <v>24</v>
      </c>
      <c r="L2304" s="6">
        <v>45681</v>
      </c>
      <c r="M2304" s="6">
        <v>45677</v>
      </c>
      <c r="N2304" s="5" t="s">
        <v>811</v>
      </c>
      <c r="O2304" s="5" t="str">
        <f ca="1">IF(P2304&lt;&gt;"EXPEDIÇÃO","Expedido",IF(NETWORKDAYS(C2304,TODAY())&gt;=5,"Risco Alto",IF(NETWORKDAYS(C2304,TODAY())&gt;=3,IF(NETWORKDAYS(C2304,TODAY())&lt;5,"Risco Médio",""),IF(NETWORKDAYS(C2304,TODAY())&lt;=2,"Risco Baixo",""))))</f>
        <v>Expedido</v>
      </c>
      <c r="P2304" s="5" t="s">
        <v>25</v>
      </c>
      <c r="S2304" s="7">
        <f>IF(ISBLANK(M2304),"Aguardando Previsão/Data",NETWORKDAYS(L2304,M2304)-1)</f>
        <v>-6</v>
      </c>
      <c r="T2304" s="5" t="s">
        <v>942</v>
      </c>
    </row>
    <row r="2305" spans="1:20" x14ac:dyDescent="0.35">
      <c r="A2305" s="5">
        <v>8100279010</v>
      </c>
      <c r="B2305" s="5">
        <v>21445</v>
      </c>
      <c r="C2305" s="6">
        <v>45674</v>
      </c>
      <c r="D2305" s="5" t="s">
        <v>17</v>
      </c>
      <c r="E2305" s="5" t="s">
        <v>18</v>
      </c>
      <c r="F2305" s="5" t="s">
        <v>27</v>
      </c>
      <c r="G2305" s="5" t="s">
        <v>28</v>
      </c>
      <c r="H2305" s="5" t="s">
        <v>21</v>
      </c>
      <c r="I2305" s="5" t="s">
        <v>328</v>
      </c>
      <c r="J2305" s="5" t="s">
        <v>28</v>
      </c>
      <c r="K2305" s="5" t="s">
        <v>24</v>
      </c>
      <c r="L2305" s="6">
        <v>45681</v>
      </c>
      <c r="M2305" s="6">
        <v>45679</v>
      </c>
      <c r="N2305" s="5" t="s">
        <v>811</v>
      </c>
      <c r="O2305" s="5" t="str">
        <f ca="1">IF(P2305&lt;&gt;"EXPEDIÇÃO","Expedido",IF(NETWORKDAYS(C2305,TODAY())&gt;=5,"Risco Alto",IF(NETWORKDAYS(C2305,TODAY())&gt;=3,IF(NETWORKDAYS(C2305,TODAY())&lt;5,"Risco Médio",""),IF(NETWORKDAYS(C2305,TODAY())&lt;=2,"Risco Baixo",""))))</f>
        <v>Expedido</v>
      </c>
      <c r="P2305" s="5" t="s">
        <v>25</v>
      </c>
      <c r="S2305" s="7">
        <f>IF(ISBLANK(M2305),"Aguardando Previsão/Data",NETWORKDAYS(L2305,M2305)-1)</f>
        <v>-4</v>
      </c>
      <c r="T2305" s="5" t="s">
        <v>942</v>
      </c>
    </row>
    <row r="2306" spans="1:20" x14ac:dyDescent="0.35">
      <c r="A2306" s="5">
        <v>8100279278</v>
      </c>
      <c r="B2306" s="5">
        <v>21458</v>
      </c>
      <c r="C2306" s="6">
        <v>45674</v>
      </c>
      <c r="D2306" s="5" t="s">
        <v>17</v>
      </c>
      <c r="E2306" s="5" t="s">
        <v>18</v>
      </c>
      <c r="F2306" s="5" t="s">
        <v>27</v>
      </c>
      <c r="G2306" s="5" t="s">
        <v>28</v>
      </c>
      <c r="H2306" s="5" t="s">
        <v>21</v>
      </c>
      <c r="I2306" s="5" t="s">
        <v>903</v>
      </c>
      <c r="J2306" s="5" t="s">
        <v>42</v>
      </c>
      <c r="K2306" s="5" t="s">
        <v>24</v>
      </c>
      <c r="L2306" s="6">
        <v>45684</v>
      </c>
      <c r="M2306" s="6">
        <v>45679</v>
      </c>
      <c r="N2306" s="6" t="s">
        <v>811</v>
      </c>
      <c r="O2306" s="5" t="str">
        <f ca="1">IF(P2306&lt;&gt;"EXPEDIÇÃO","Expedido",IF(NETWORKDAYS(C2306,TODAY())&gt;=5,"Risco Alto",IF(NETWORKDAYS(C2306,TODAY())&gt;=3,IF(NETWORKDAYS(C2306,TODAY())&lt;5,"Risco Médio",""),IF(NETWORKDAYS(C2306,TODAY())&lt;=2,"Risco Baixo",""))))</f>
        <v>Expedido</v>
      </c>
      <c r="P2306" s="5" t="s">
        <v>25</v>
      </c>
      <c r="S2306" s="7">
        <f>IF(ISBLANK(M2306),"Aguardando Previsão/Data",NETWORKDAYS(L2306,M2306)-1)</f>
        <v>-5</v>
      </c>
      <c r="T2306" s="5" t="s">
        <v>942</v>
      </c>
    </row>
    <row r="2307" spans="1:20" x14ac:dyDescent="0.35">
      <c r="A2307" s="5">
        <v>8100278421</v>
      </c>
      <c r="B2307" s="5">
        <v>13325</v>
      </c>
      <c r="C2307" s="6">
        <v>45674</v>
      </c>
      <c r="D2307" s="5" t="s">
        <v>91</v>
      </c>
      <c r="E2307" s="5" t="s">
        <v>92</v>
      </c>
      <c r="F2307" s="5" t="s">
        <v>103</v>
      </c>
      <c r="G2307" s="5" t="s">
        <v>104</v>
      </c>
      <c r="H2307" s="5" t="s">
        <v>21</v>
      </c>
      <c r="I2307" s="5" t="s">
        <v>863</v>
      </c>
      <c r="J2307" s="5" t="s">
        <v>637</v>
      </c>
      <c r="K2307" s="5" t="s">
        <v>423</v>
      </c>
      <c r="L2307" s="6">
        <v>45685</v>
      </c>
      <c r="M2307" s="6">
        <v>45679</v>
      </c>
      <c r="N2307" s="5" t="s">
        <v>811</v>
      </c>
      <c r="O2307" s="5" t="str">
        <f ca="1">IF(P2307&lt;&gt;"EXPEDIÇÃO","Expedido",IF(NETWORKDAYS(C2307,TODAY())&gt;=5,"Risco Alto",IF(NETWORKDAYS(C2307,TODAY())&gt;=3,IF(NETWORKDAYS(C2307,TODAY())&lt;5,"Risco Médio",""),IF(NETWORKDAYS(C2307,TODAY())&lt;=2,"Risco Baixo",""))))</f>
        <v>Expedido</v>
      </c>
      <c r="P2307" s="5" t="s">
        <v>25</v>
      </c>
      <c r="S2307" s="7">
        <f>IF(ISBLANK(M2307),"Aguardando Previsão/Data",NETWORKDAYS(L2307,M2307)-1)</f>
        <v>-6</v>
      </c>
      <c r="T2307" s="5" t="s">
        <v>942</v>
      </c>
    </row>
    <row r="2308" spans="1:20" x14ac:dyDescent="0.35">
      <c r="A2308" s="5">
        <v>8100278537</v>
      </c>
      <c r="B2308" s="5">
        <v>13320</v>
      </c>
      <c r="C2308" s="6">
        <v>45674</v>
      </c>
      <c r="D2308" s="5" t="s">
        <v>91</v>
      </c>
      <c r="E2308" s="5" t="s">
        <v>92</v>
      </c>
      <c r="F2308" s="5" t="s">
        <v>19</v>
      </c>
      <c r="G2308" s="5" t="s">
        <v>20</v>
      </c>
      <c r="H2308" s="5" t="s">
        <v>21</v>
      </c>
      <c r="I2308" s="5" t="s">
        <v>577</v>
      </c>
      <c r="J2308" s="5" t="s">
        <v>695</v>
      </c>
      <c r="K2308" s="5" t="s">
        <v>274</v>
      </c>
      <c r="L2308" s="6">
        <v>45686</v>
      </c>
      <c r="M2308" s="6">
        <v>45685</v>
      </c>
      <c r="N2308" s="5" t="s">
        <v>811</v>
      </c>
      <c r="O2308" s="5" t="str">
        <f ca="1">IF(P2308&lt;&gt;"EXPEDIÇÃO","Expedido",IF(NETWORKDAYS(C2308,TODAY())&gt;=5,"Risco Alto",IF(NETWORKDAYS(C2308,TODAY())&gt;=3,IF(NETWORKDAYS(C2308,TODAY())&lt;5,"Risco Médio",""),IF(NETWORKDAYS(C2308,TODAY())&lt;=2,"Risco Baixo",""))))</f>
        <v>Expedido</v>
      </c>
      <c r="P2308" s="5" t="s">
        <v>25</v>
      </c>
      <c r="S2308" s="7">
        <f>IF(ISBLANK(M2308),"Aguardando Previsão/Data",NETWORKDAYS(L2308,M2308)-1)</f>
        <v>-3</v>
      </c>
      <c r="T2308" s="5" t="s">
        <v>942</v>
      </c>
    </row>
    <row r="2309" spans="1:20" x14ac:dyDescent="0.35">
      <c r="A2309" s="5">
        <v>8100278620</v>
      </c>
      <c r="B2309" s="5">
        <v>13317</v>
      </c>
      <c r="C2309" s="6">
        <v>45674</v>
      </c>
      <c r="D2309" s="5" t="s">
        <v>91</v>
      </c>
      <c r="E2309" s="5" t="s">
        <v>92</v>
      </c>
      <c r="F2309" s="5" t="s">
        <v>96</v>
      </c>
      <c r="G2309" s="5" t="s">
        <v>97</v>
      </c>
      <c r="H2309" s="5" t="s">
        <v>21</v>
      </c>
      <c r="I2309" s="5" t="s">
        <v>703</v>
      </c>
      <c r="J2309" s="5" t="s">
        <v>632</v>
      </c>
      <c r="K2309" s="5" t="s">
        <v>101</v>
      </c>
      <c r="L2309" s="6">
        <v>45686</v>
      </c>
      <c r="M2309" s="6">
        <v>45681</v>
      </c>
      <c r="N2309" s="5" t="s">
        <v>811</v>
      </c>
      <c r="O2309" s="5" t="str">
        <f ca="1">IF(P2309&lt;&gt;"EXPEDIÇÃO","Expedido",IF(NETWORKDAYS(C2309,TODAY())&gt;=5,"Risco Alto",IF(NETWORKDAYS(C2309,TODAY())&gt;=3,IF(NETWORKDAYS(C2309,TODAY())&lt;5,"Risco Médio",""),IF(NETWORKDAYS(C2309,TODAY())&lt;=2,"Risco Baixo",""))))</f>
        <v>Expedido</v>
      </c>
      <c r="P2309" s="5" t="s">
        <v>25</v>
      </c>
      <c r="S2309" s="7">
        <f>IF(ISBLANK(M2309),"Aguardando Previsão/Data",NETWORKDAYS(L2309,M2309)-1)</f>
        <v>-5</v>
      </c>
      <c r="T2309" s="5" t="s">
        <v>942</v>
      </c>
    </row>
    <row r="2310" spans="1:20" x14ac:dyDescent="0.35">
      <c r="A2310" s="5">
        <v>8100278621</v>
      </c>
      <c r="B2310" s="5">
        <v>13318</v>
      </c>
      <c r="C2310" s="6">
        <v>45674</v>
      </c>
      <c r="D2310" s="5" t="s">
        <v>91</v>
      </c>
      <c r="E2310" s="5" t="s">
        <v>92</v>
      </c>
      <c r="F2310" s="5" t="s">
        <v>96</v>
      </c>
      <c r="G2310" s="5" t="s">
        <v>97</v>
      </c>
      <c r="H2310" s="5" t="s">
        <v>21</v>
      </c>
      <c r="I2310" s="5" t="s">
        <v>703</v>
      </c>
      <c r="J2310" s="5" t="s">
        <v>579</v>
      </c>
      <c r="K2310" s="5" t="s">
        <v>101</v>
      </c>
      <c r="L2310" s="6">
        <v>45686</v>
      </c>
      <c r="M2310" s="6">
        <v>45677</v>
      </c>
      <c r="N2310" s="5" t="s">
        <v>811</v>
      </c>
      <c r="O2310" s="5" t="str">
        <f ca="1">IF(P2310&lt;&gt;"EXPEDIÇÃO","Expedido",IF(NETWORKDAYS(C2310,TODAY())&gt;=5,"Risco Alto",IF(NETWORKDAYS(C2310,TODAY())&gt;=3,IF(NETWORKDAYS(C2310,TODAY())&lt;5,"Risco Médio",""),IF(NETWORKDAYS(C2310,TODAY())&lt;=2,"Risco Baixo",""))))</f>
        <v>Expedido</v>
      </c>
      <c r="P2310" s="5" t="s">
        <v>25</v>
      </c>
      <c r="S2310" s="7">
        <f>IF(ISBLANK(M2310),"Aguardando Previsão/Data",NETWORKDAYS(L2310,M2310)-1)</f>
        <v>-9</v>
      </c>
      <c r="T2310" s="5" t="s">
        <v>942</v>
      </c>
    </row>
    <row r="2311" spans="1:20" x14ac:dyDescent="0.35">
      <c r="A2311" s="5">
        <v>8100278622</v>
      </c>
      <c r="B2311" s="5">
        <v>13319</v>
      </c>
      <c r="C2311" s="6">
        <v>45674</v>
      </c>
      <c r="D2311" s="5" t="s">
        <v>91</v>
      </c>
      <c r="E2311" s="5" t="s">
        <v>92</v>
      </c>
      <c r="F2311" s="5" t="s">
        <v>96</v>
      </c>
      <c r="G2311" s="5" t="s">
        <v>97</v>
      </c>
      <c r="H2311" s="5" t="s">
        <v>21</v>
      </c>
      <c r="I2311" s="5" t="s">
        <v>703</v>
      </c>
      <c r="J2311" s="5" t="s">
        <v>100</v>
      </c>
      <c r="K2311" s="5" t="s">
        <v>101</v>
      </c>
      <c r="L2311" s="6">
        <v>45686</v>
      </c>
      <c r="M2311" s="6">
        <v>45677</v>
      </c>
      <c r="N2311" s="5" t="s">
        <v>811</v>
      </c>
      <c r="O2311" s="5" t="str">
        <f ca="1">IF(P2311&lt;&gt;"EXPEDIÇÃO","Expedido",IF(NETWORKDAYS(C2311,TODAY())&gt;=5,"Risco Alto",IF(NETWORKDAYS(C2311,TODAY())&gt;=3,IF(NETWORKDAYS(C2311,TODAY())&lt;5,"Risco Médio",""),IF(NETWORKDAYS(C2311,TODAY())&lt;=2,"Risco Baixo",""))))</f>
        <v>Expedido</v>
      </c>
      <c r="P2311" s="5" t="s">
        <v>25</v>
      </c>
      <c r="S2311" s="7">
        <f>IF(ISBLANK(M2311),"Aguardando Previsão/Data",NETWORKDAYS(L2311,M2311)-1)</f>
        <v>-9</v>
      </c>
      <c r="T2311" s="5" t="s">
        <v>942</v>
      </c>
    </row>
    <row r="2312" spans="1:20" x14ac:dyDescent="0.35">
      <c r="A2312" s="5">
        <v>8100278806</v>
      </c>
      <c r="B2312" s="5">
        <v>13324</v>
      </c>
      <c r="C2312" s="6">
        <v>45674</v>
      </c>
      <c r="D2312" s="5" t="s">
        <v>91</v>
      </c>
      <c r="E2312" s="5" t="s">
        <v>92</v>
      </c>
      <c r="F2312" s="5" t="s">
        <v>196</v>
      </c>
      <c r="G2312" s="5" t="s">
        <v>197</v>
      </c>
      <c r="H2312" s="5" t="s">
        <v>21</v>
      </c>
      <c r="I2312" s="5" t="s">
        <v>755</v>
      </c>
      <c r="J2312" s="5" t="s">
        <v>756</v>
      </c>
      <c r="K2312" s="5" t="s">
        <v>95</v>
      </c>
      <c r="L2312" s="6">
        <v>45681</v>
      </c>
      <c r="M2312" s="6">
        <v>45677</v>
      </c>
      <c r="N2312" s="5" t="s">
        <v>811</v>
      </c>
      <c r="O2312" s="5" t="str">
        <f ca="1">IF(P2312&lt;&gt;"EXPEDIÇÃO","Expedido",IF(NETWORKDAYS(C2312,TODAY())&gt;=5,"Risco Alto",IF(NETWORKDAYS(C2312,TODAY())&gt;=3,IF(NETWORKDAYS(C2312,TODAY())&lt;5,"Risco Médio",""),IF(NETWORKDAYS(C2312,TODAY())&lt;=2,"Risco Baixo",""))))</f>
        <v>Expedido</v>
      </c>
      <c r="P2312" s="5" t="s">
        <v>25</v>
      </c>
      <c r="S2312" s="7">
        <f>IF(ISBLANK(M2312),"Aguardando Previsão/Data",NETWORKDAYS(L2312,M2312)-1)</f>
        <v>-6</v>
      </c>
      <c r="T2312" s="5" t="s">
        <v>942</v>
      </c>
    </row>
    <row r="2313" spans="1:20" x14ac:dyDescent="0.35">
      <c r="A2313" s="5">
        <v>8100278809</v>
      </c>
      <c r="B2313" s="5">
        <v>13321</v>
      </c>
      <c r="C2313" s="6">
        <v>45674</v>
      </c>
      <c r="D2313" s="5" t="s">
        <v>91</v>
      </c>
      <c r="E2313" s="5" t="s">
        <v>92</v>
      </c>
      <c r="F2313" s="5" t="s">
        <v>58</v>
      </c>
      <c r="G2313" s="5" t="s">
        <v>59</v>
      </c>
      <c r="H2313" s="5" t="s">
        <v>21</v>
      </c>
      <c r="I2313" s="5" t="s">
        <v>1293</v>
      </c>
      <c r="J2313" s="5" t="s">
        <v>1357</v>
      </c>
      <c r="K2313" s="5" t="s">
        <v>95</v>
      </c>
      <c r="L2313" s="6">
        <v>45687</v>
      </c>
      <c r="M2313" s="6">
        <v>45679</v>
      </c>
      <c r="N2313" s="5" t="s">
        <v>811</v>
      </c>
      <c r="O2313" s="5" t="str">
        <f ca="1">IF(P2313&lt;&gt;"EXPEDIÇÃO","Expedido",IF(NETWORKDAYS(C2313,TODAY())&gt;=5,"Risco Alto",IF(NETWORKDAYS(C2313,TODAY())&gt;=3,IF(NETWORKDAYS(C2313,TODAY())&lt;5,"Risco Médio",""),IF(NETWORKDAYS(C2313,TODAY())&lt;=2,"Risco Baixo",""))))</f>
        <v>Expedido</v>
      </c>
      <c r="P2313" s="5" t="s">
        <v>25</v>
      </c>
      <c r="S2313" s="7">
        <f>IF(ISBLANK(M2313),"Aguardando Previsão/Data",NETWORKDAYS(L2313,M2313)-1)</f>
        <v>-8</v>
      </c>
      <c r="T2313" s="5" t="s">
        <v>942</v>
      </c>
    </row>
    <row r="2314" spans="1:20" x14ac:dyDescent="0.35">
      <c r="A2314" s="5">
        <v>8100278818</v>
      </c>
      <c r="B2314" s="5">
        <v>13331</v>
      </c>
      <c r="C2314" s="6">
        <v>45674</v>
      </c>
      <c r="D2314" s="5" t="s">
        <v>91</v>
      </c>
      <c r="E2314" s="5" t="s">
        <v>92</v>
      </c>
      <c r="F2314" s="5" t="s">
        <v>103</v>
      </c>
      <c r="G2314" s="5" t="s">
        <v>104</v>
      </c>
      <c r="H2314" s="5" t="s">
        <v>21</v>
      </c>
      <c r="I2314" s="5" t="s">
        <v>1399</v>
      </c>
      <c r="J2314" s="5" t="s">
        <v>638</v>
      </c>
      <c r="K2314" s="5" t="s">
        <v>274</v>
      </c>
      <c r="L2314" s="6">
        <v>45686</v>
      </c>
      <c r="M2314" s="6">
        <v>45685</v>
      </c>
      <c r="N2314" s="5" t="s">
        <v>811</v>
      </c>
      <c r="O2314" s="5" t="str">
        <f ca="1">IF(P2314&lt;&gt;"EXPEDIÇÃO","Expedido",IF(NETWORKDAYS(C2314,TODAY())&gt;=5,"Risco Alto",IF(NETWORKDAYS(C2314,TODAY())&gt;=3,IF(NETWORKDAYS(C2314,TODAY())&lt;5,"Risco Médio",""),IF(NETWORKDAYS(C2314,TODAY())&lt;=2,"Risco Baixo",""))))</f>
        <v>Expedido</v>
      </c>
      <c r="P2314" s="5" t="s">
        <v>25</v>
      </c>
      <c r="S2314" s="7">
        <f>IF(ISBLANK(M2314),"Aguardando Previsão/Data",NETWORKDAYS(L2314,M2314)-1)</f>
        <v>-3</v>
      </c>
      <c r="T2314" s="5" t="s">
        <v>942</v>
      </c>
    </row>
    <row r="2315" spans="1:20" x14ac:dyDescent="0.35">
      <c r="A2315" s="5">
        <v>8100278819</v>
      </c>
      <c r="B2315" s="5">
        <v>13328</v>
      </c>
      <c r="C2315" s="6">
        <v>45674</v>
      </c>
      <c r="D2315" s="5" t="s">
        <v>91</v>
      </c>
      <c r="E2315" s="5" t="s">
        <v>92</v>
      </c>
      <c r="F2315" s="5" t="s">
        <v>103</v>
      </c>
      <c r="G2315" s="5" t="s">
        <v>104</v>
      </c>
      <c r="H2315" s="5" t="s">
        <v>21</v>
      </c>
      <c r="I2315" s="5" t="s">
        <v>664</v>
      </c>
      <c r="J2315" s="5" t="s">
        <v>578</v>
      </c>
      <c r="K2315" s="5" t="s">
        <v>274</v>
      </c>
      <c r="L2315" s="6">
        <v>45685</v>
      </c>
      <c r="M2315" s="6">
        <v>45677</v>
      </c>
      <c r="N2315" s="5" t="s">
        <v>811</v>
      </c>
      <c r="O2315" s="5" t="str">
        <f ca="1">IF(P2315&lt;&gt;"EXPEDIÇÃO","Expedido",IF(NETWORKDAYS(C2315,TODAY())&gt;=5,"Risco Alto",IF(NETWORKDAYS(C2315,TODAY())&gt;=3,IF(NETWORKDAYS(C2315,TODAY())&lt;5,"Risco Médio",""),IF(NETWORKDAYS(C2315,TODAY())&lt;=2,"Risco Baixo",""))))</f>
        <v>Expedido</v>
      </c>
      <c r="P2315" s="5" t="s">
        <v>25</v>
      </c>
      <c r="S2315" s="7">
        <f>IF(ISBLANK(M2315),"Aguardando Previsão/Data",NETWORKDAYS(L2315,M2315)-1)</f>
        <v>-8</v>
      </c>
      <c r="T2315" s="5" t="s">
        <v>942</v>
      </c>
    </row>
    <row r="2316" spans="1:20" x14ac:dyDescent="0.35">
      <c r="A2316" s="5">
        <v>8100278820</v>
      </c>
      <c r="B2316" s="5">
        <v>13329</v>
      </c>
      <c r="C2316" s="6">
        <v>45674</v>
      </c>
      <c r="D2316" s="5" t="s">
        <v>91</v>
      </c>
      <c r="E2316" s="5" t="s">
        <v>92</v>
      </c>
      <c r="F2316" s="5" t="s">
        <v>103</v>
      </c>
      <c r="G2316" s="5" t="s">
        <v>104</v>
      </c>
      <c r="H2316" s="5" t="s">
        <v>21</v>
      </c>
      <c r="I2316" s="5" t="s">
        <v>1400</v>
      </c>
      <c r="J2316" s="5" t="s">
        <v>638</v>
      </c>
      <c r="K2316" s="5" t="s">
        <v>274</v>
      </c>
      <c r="L2316" s="6">
        <v>45686</v>
      </c>
      <c r="M2316" s="6">
        <v>45685</v>
      </c>
      <c r="N2316" s="5" t="s">
        <v>811</v>
      </c>
      <c r="O2316" s="5" t="str">
        <f ca="1">IF(P2316&lt;&gt;"EXPEDIÇÃO","Expedido",IF(NETWORKDAYS(C2316,TODAY())&gt;=5,"Risco Alto",IF(NETWORKDAYS(C2316,TODAY())&gt;=3,IF(NETWORKDAYS(C2316,TODAY())&lt;5,"Risco Médio",""),IF(NETWORKDAYS(C2316,TODAY())&lt;=2,"Risco Baixo",""))))</f>
        <v>Expedido</v>
      </c>
      <c r="P2316" s="5" t="s">
        <v>25</v>
      </c>
      <c r="S2316" s="7">
        <f>IF(ISBLANK(M2316),"Aguardando Previsão/Data",NETWORKDAYS(L2316,M2316)-1)</f>
        <v>-3</v>
      </c>
      <c r="T2316" s="5" t="s">
        <v>942</v>
      </c>
    </row>
    <row r="2317" spans="1:20" x14ac:dyDescent="0.35">
      <c r="A2317" s="5">
        <v>8100278821</v>
      </c>
      <c r="B2317" s="5">
        <v>13327</v>
      </c>
      <c r="C2317" s="6">
        <v>45674</v>
      </c>
      <c r="D2317" s="5" t="s">
        <v>91</v>
      </c>
      <c r="E2317" s="5" t="s">
        <v>92</v>
      </c>
      <c r="F2317" s="5" t="s">
        <v>103</v>
      </c>
      <c r="G2317" s="5" t="s">
        <v>104</v>
      </c>
      <c r="H2317" s="5" t="s">
        <v>21</v>
      </c>
      <c r="I2317" s="5" t="s">
        <v>924</v>
      </c>
      <c r="J2317" s="5" t="s">
        <v>273</v>
      </c>
      <c r="K2317" s="5" t="s">
        <v>274</v>
      </c>
      <c r="L2317" s="6">
        <v>45685</v>
      </c>
      <c r="M2317" s="6">
        <v>45679</v>
      </c>
      <c r="N2317" s="5" t="s">
        <v>811</v>
      </c>
      <c r="O2317" s="5" t="str">
        <f ca="1">IF(P2317&lt;&gt;"EXPEDIÇÃO","Expedido",IF(NETWORKDAYS(C2317,TODAY())&gt;=5,"Risco Alto",IF(NETWORKDAYS(C2317,TODAY())&gt;=3,IF(NETWORKDAYS(C2317,TODAY())&lt;5,"Risco Médio",""),IF(NETWORKDAYS(C2317,TODAY())&lt;=2,"Risco Baixo",""))))</f>
        <v>Expedido</v>
      </c>
      <c r="P2317" s="5" t="s">
        <v>25</v>
      </c>
      <c r="S2317" s="7">
        <f>IF(ISBLANK(M2317),"Aguardando Previsão/Data",NETWORKDAYS(L2317,M2317)-1)</f>
        <v>-6</v>
      </c>
      <c r="T2317" s="5" t="s">
        <v>942</v>
      </c>
    </row>
    <row r="2318" spans="1:20" x14ac:dyDescent="0.35">
      <c r="A2318" s="5">
        <v>8100278822</v>
      </c>
      <c r="B2318" s="5">
        <v>13330</v>
      </c>
      <c r="C2318" s="6">
        <v>45674</v>
      </c>
      <c r="D2318" s="5" t="s">
        <v>91</v>
      </c>
      <c r="E2318" s="5" t="s">
        <v>92</v>
      </c>
      <c r="F2318" s="5" t="s">
        <v>103</v>
      </c>
      <c r="G2318" s="5" t="s">
        <v>104</v>
      </c>
      <c r="H2318" s="5" t="s">
        <v>21</v>
      </c>
      <c r="I2318" s="5" t="s">
        <v>1400</v>
      </c>
      <c r="J2318" s="5" t="s">
        <v>638</v>
      </c>
      <c r="K2318" s="5" t="s">
        <v>274</v>
      </c>
      <c r="L2318" s="6">
        <v>45686</v>
      </c>
      <c r="M2318" s="6">
        <v>45685</v>
      </c>
      <c r="N2318" s="5" t="s">
        <v>811</v>
      </c>
      <c r="O2318" s="5" t="str">
        <f ca="1">IF(P2318&lt;&gt;"EXPEDIÇÃO","Expedido",IF(NETWORKDAYS(C2318,TODAY())&gt;=5,"Risco Alto",IF(NETWORKDAYS(C2318,TODAY())&gt;=3,IF(NETWORKDAYS(C2318,TODAY())&lt;5,"Risco Médio",""),IF(NETWORKDAYS(C2318,TODAY())&lt;=2,"Risco Baixo",""))))</f>
        <v>Expedido</v>
      </c>
      <c r="P2318" s="5" t="s">
        <v>25</v>
      </c>
      <c r="S2318" s="7">
        <f>IF(ISBLANK(M2318),"Aguardando Previsão/Data",NETWORKDAYS(L2318,M2318)-1)</f>
        <v>-3</v>
      </c>
      <c r="T2318" s="5" t="s">
        <v>942</v>
      </c>
    </row>
    <row r="2319" spans="1:20" x14ac:dyDescent="0.35">
      <c r="A2319" s="5">
        <v>8100278834</v>
      </c>
      <c r="B2319" s="5">
        <v>13322</v>
      </c>
      <c r="C2319" s="6">
        <v>45674</v>
      </c>
      <c r="D2319" s="5" t="s">
        <v>91</v>
      </c>
      <c r="E2319" s="5" t="s">
        <v>92</v>
      </c>
      <c r="F2319" s="5" t="s">
        <v>58</v>
      </c>
      <c r="G2319" s="5" t="s">
        <v>59</v>
      </c>
      <c r="H2319" s="5" t="s">
        <v>21</v>
      </c>
      <c r="I2319" s="5" t="s">
        <v>237</v>
      </c>
      <c r="J2319" s="5" t="s">
        <v>275</v>
      </c>
      <c r="K2319" s="5" t="s">
        <v>95</v>
      </c>
      <c r="L2319" s="6">
        <v>45687</v>
      </c>
      <c r="M2319" s="6">
        <v>45680</v>
      </c>
      <c r="N2319" s="5" t="s">
        <v>811</v>
      </c>
      <c r="O2319" s="5" t="str">
        <f ca="1">IF(P2319&lt;&gt;"EXPEDIÇÃO","Expedido",IF(NETWORKDAYS(C2319,TODAY())&gt;=5,"Risco Alto",IF(NETWORKDAYS(C2319,TODAY())&gt;=3,IF(NETWORKDAYS(C2319,TODAY())&lt;5,"Risco Médio",""),IF(NETWORKDAYS(C2319,TODAY())&lt;=2,"Risco Baixo",""))))</f>
        <v>Expedido</v>
      </c>
      <c r="P2319" s="5" t="s">
        <v>25</v>
      </c>
      <c r="S2319" s="7">
        <f>IF(ISBLANK(M2319),"Aguardando Previsão/Data",NETWORKDAYS(L2319,M2319)-1)</f>
        <v>-7</v>
      </c>
      <c r="T2319" s="5" t="s">
        <v>942</v>
      </c>
    </row>
    <row r="2320" spans="1:20" x14ac:dyDescent="0.35">
      <c r="A2320" s="5">
        <v>8100278835</v>
      </c>
      <c r="B2320" s="5">
        <v>13326</v>
      </c>
      <c r="C2320" s="6">
        <v>45674</v>
      </c>
      <c r="D2320" s="5" t="s">
        <v>91</v>
      </c>
      <c r="E2320" s="5" t="s">
        <v>92</v>
      </c>
      <c r="F2320" s="5" t="s">
        <v>96</v>
      </c>
      <c r="G2320" s="5" t="s">
        <v>97</v>
      </c>
      <c r="H2320" s="5" t="s">
        <v>21</v>
      </c>
      <c r="I2320" s="5" t="s">
        <v>1071</v>
      </c>
      <c r="J2320" s="5" t="s">
        <v>472</v>
      </c>
      <c r="K2320" s="5" t="s">
        <v>95</v>
      </c>
      <c r="L2320" s="6">
        <v>45681</v>
      </c>
      <c r="M2320" s="6">
        <v>45678</v>
      </c>
      <c r="N2320" s="5" t="s">
        <v>811</v>
      </c>
      <c r="O2320" s="5" t="str">
        <f ca="1">IF(P2320&lt;&gt;"EXPEDIÇÃO","Expedido",IF(NETWORKDAYS(C2320,TODAY())&gt;=5,"Risco Alto",IF(NETWORKDAYS(C2320,TODAY())&gt;=3,IF(NETWORKDAYS(C2320,TODAY())&lt;5,"Risco Médio",""),IF(NETWORKDAYS(C2320,TODAY())&lt;=2,"Risco Baixo",""))))</f>
        <v>Expedido</v>
      </c>
      <c r="P2320" s="5" t="s">
        <v>25</v>
      </c>
      <c r="S2320" s="7">
        <f>IF(ISBLANK(M2320),"Aguardando Previsão/Data",NETWORKDAYS(L2320,M2320)-1)</f>
        <v>-5</v>
      </c>
      <c r="T2320" s="5" t="s">
        <v>942</v>
      </c>
    </row>
    <row r="2321" spans="1:20" x14ac:dyDescent="0.35">
      <c r="A2321" s="5">
        <v>8100278837</v>
      </c>
      <c r="B2321" s="5">
        <v>13323</v>
      </c>
      <c r="C2321" s="6">
        <v>45674</v>
      </c>
      <c r="D2321" s="5" t="s">
        <v>91</v>
      </c>
      <c r="E2321" s="5" t="s">
        <v>92</v>
      </c>
      <c r="F2321" s="5" t="s">
        <v>58</v>
      </c>
      <c r="G2321" s="5" t="s">
        <v>59</v>
      </c>
      <c r="H2321" s="5" t="s">
        <v>21</v>
      </c>
      <c r="I2321" s="5" t="s">
        <v>237</v>
      </c>
      <c r="J2321" s="5" t="s">
        <v>275</v>
      </c>
      <c r="K2321" s="5" t="s">
        <v>95</v>
      </c>
      <c r="L2321" s="6">
        <v>45687</v>
      </c>
      <c r="M2321" s="6">
        <v>45680</v>
      </c>
      <c r="N2321" s="5" t="s">
        <v>811</v>
      </c>
      <c r="O2321" s="5" t="str">
        <f ca="1">IF(P2321&lt;&gt;"EXPEDIÇÃO","Expedido",IF(NETWORKDAYS(C2321,TODAY())&gt;=5,"Risco Alto",IF(NETWORKDAYS(C2321,TODAY())&gt;=3,IF(NETWORKDAYS(C2321,TODAY())&lt;5,"Risco Médio",""),IF(NETWORKDAYS(C2321,TODAY())&lt;=2,"Risco Baixo",""))))</f>
        <v>Expedido</v>
      </c>
      <c r="P2321" s="5" t="s">
        <v>25</v>
      </c>
      <c r="S2321" s="7">
        <f>IF(ISBLANK(M2321),"Aguardando Previsão/Data",NETWORKDAYS(L2321,M2321)-1)</f>
        <v>-7</v>
      </c>
      <c r="T2321" s="5" t="s">
        <v>942</v>
      </c>
    </row>
    <row r="2322" spans="1:20" x14ac:dyDescent="0.35">
      <c r="A2322" s="5">
        <v>8100278845</v>
      </c>
      <c r="B2322" s="5">
        <v>21440</v>
      </c>
      <c r="C2322" s="6">
        <v>45674</v>
      </c>
      <c r="D2322" s="5" t="s">
        <v>836</v>
      </c>
      <c r="E2322" s="5" t="s">
        <v>837</v>
      </c>
      <c r="F2322" s="5" t="s">
        <v>39</v>
      </c>
      <c r="G2322" s="5" t="s">
        <v>40</v>
      </c>
      <c r="H2322" s="5" t="s">
        <v>21</v>
      </c>
      <c r="I2322" s="5" t="s">
        <v>833</v>
      </c>
      <c r="J2322" s="5" t="s">
        <v>466</v>
      </c>
      <c r="K2322" s="5" t="s">
        <v>24</v>
      </c>
      <c r="L2322" s="6">
        <v>45684</v>
      </c>
      <c r="M2322" s="6">
        <v>45681</v>
      </c>
      <c r="N2322" s="5" t="s">
        <v>811</v>
      </c>
      <c r="O2322" s="5" t="str">
        <f ca="1">IF(P2322&lt;&gt;"EXPEDIÇÃO","Expedido",IF(NETWORKDAYS(C2322,TODAY())&gt;=5,"Risco Alto",IF(NETWORKDAYS(C2322,TODAY())&gt;=3,IF(NETWORKDAYS(C2322,TODAY())&lt;5,"Risco Médio",""),IF(NETWORKDAYS(C2322,TODAY())&lt;=2,"Risco Baixo",""))))</f>
        <v>Expedido</v>
      </c>
      <c r="P2322" s="5" t="s">
        <v>25</v>
      </c>
      <c r="S2322" s="7">
        <f>IF(ISBLANK(M2322),"Aguardando Previsão/Data",NETWORKDAYS(L2322,M2322)-1)</f>
        <v>-3</v>
      </c>
      <c r="T2322" s="5" t="s">
        <v>942</v>
      </c>
    </row>
    <row r="2323" spans="1:20" x14ac:dyDescent="0.35">
      <c r="A2323" s="5">
        <v>8100279284</v>
      </c>
      <c r="B2323" s="5">
        <v>21451</v>
      </c>
      <c r="C2323" s="6">
        <v>45674</v>
      </c>
      <c r="D2323" s="5" t="s">
        <v>836</v>
      </c>
      <c r="E2323" s="5" t="s">
        <v>837</v>
      </c>
      <c r="F2323" s="5" t="s">
        <v>27</v>
      </c>
      <c r="G2323" s="5" t="s">
        <v>28</v>
      </c>
      <c r="H2323" s="5" t="s">
        <v>21</v>
      </c>
      <c r="I2323" s="5" t="s">
        <v>493</v>
      </c>
      <c r="J2323" s="5" t="s">
        <v>28</v>
      </c>
      <c r="K2323" s="5" t="s">
        <v>24</v>
      </c>
      <c r="L2323" s="6">
        <v>45681</v>
      </c>
      <c r="M2323" s="6">
        <v>45684</v>
      </c>
      <c r="N2323" s="6" t="s">
        <v>812</v>
      </c>
      <c r="O2323" s="5" t="str">
        <f ca="1">IF(P2323&lt;&gt;"EXPEDIÇÃO","Expedido",IF(NETWORKDAYS(C2323,TODAY())&gt;=5,"Risco Alto",IF(NETWORKDAYS(C2323,TODAY())&gt;=3,IF(NETWORKDAYS(C2323,TODAY())&lt;5,"Risco Médio",""),IF(NETWORKDAYS(C2323,TODAY())&lt;=2,"Risco Baixo",""))))</f>
        <v>Expedido</v>
      </c>
      <c r="P2323" s="5" t="s">
        <v>25</v>
      </c>
      <c r="S2323" s="7">
        <f>IF(ISBLANK(M2323),"Aguardando Previsão/Data",NETWORKDAYS(L2323,M2323)-1)</f>
        <v>1</v>
      </c>
      <c r="T2323" s="5" t="s">
        <v>942</v>
      </c>
    </row>
    <row r="2324" spans="1:20" x14ac:dyDescent="0.35">
      <c r="A2324" s="5">
        <v>8100279285</v>
      </c>
      <c r="B2324" s="5">
        <v>21452</v>
      </c>
      <c r="C2324" s="6">
        <v>45674</v>
      </c>
      <c r="D2324" s="5" t="s">
        <v>836</v>
      </c>
      <c r="E2324" s="5" t="s">
        <v>837</v>
      </c>
      <c r="F2324" s="5" t="s">
        <v>27</v>
      </c>
      <c r="G2324" s="5" t="s">
        <v>28</v>
      </c>
      <c r="H2324" s="5" t="s">
        <v>21</v>
      </c>
      <c r="I2324" s="5" t="s">
        <v>415</v>
      </c>
      <c r="J2324" s="5" t="s">
        <v>364</v>
      </c>
      <c r="K2324" s="5" t="s">
        <v>24</v>
      </c>
      <c r="L2324" s="6">
        <v>45681</v>
      </c>
      <c r="M2324" s="6">
        <v>45681</v>
      </c>
      <c r="N2324" s="6" t="s">
        <v>811</v>
      </c>
      <c r="O2324" s="5" t="str">
        <f ca="1">IF(P2324&lt;&gt;"EXPEDIÇÃO","Expedido",IF(NETWORKDAYS(C2324,TODAY())&gt;=5,"Risco Alto",IF(NETWORKDAYS(C2324,TODAY())&gt;=3,IF(NETWORKDAYS(C2324,TODAY())&lt;5,"Risco Médio",""),IF(NETWORKDAYS(C2324,TODAY())&lt;=2,"Risco Baixo",""))))</f>
        <v>Expedido</v>
      </c>
      <c r="P2324" s="5" t="s">
        <v>25</v>
      </c>
      <c r="S2324" s="7">
        <f>IF(ISBLANK(M2324),"Aguardando Previsão/Data",NETWORKDAYS(L2324,M2324)-1)</f>
        <v>0</v>
      </c>
      <c r="T2324" s="5" t="s">
        <v>942</v>
      </c>
    </row>
    <row r="2325" spans="1:20" x14ac:dyDescent="0.35">
      <c r="A2325" s="5">
        <v>8100279286</v>
      </c>
      <c r="B2325" s="5">
        <v>21453</v>
      </c>
      <c r="C2325" s="6">
        <v>45674</v>
      </c>
      <c r="D2325" s="5" t="s">
        <v>836</v>
      </c>
      <c r="E2325" s="5" t="s">
        <v>837</v>
      </c>
      <c r="F2325" s="5" t="s">
        <v>27</v>
      </c>
      <c r="G2325" s="5" t="s">
        <v>28</v>
      </c>
      <c r="H2325" s="5" t="s">
        <v>21</v>
      </c>
      <c r="I2325" s="5" t="s">
        <v>704</v>
      </c>
      <c r="J2325" s="5" t="s">
        <v>491</v>
      </c>
      <c r="K2325" s="5" t="s">
        <v>24</v>
      </c>
      <c r="L2325" s="6">
        <v>45678</v>
      </c>
      <c r="M2325" s="6">
        <v>45681</v>
      </c>
      <c r="N2325" s="6" t="s">
        <v>812</v>
      </c>
      <c r="O2325" s="5" t="str">
        <f ca="1">IF(P2325&lt;&gt;"EXPEDIÇÃO","Expedido",IF(NETWORKDAYS(C2325,TODAY())&gt;=5,"Risco Alto",IF(NETWORKDAYS(C2325,TODAY())&gt;=3,IF(NETWORKDAYS(C2325,TODAY())&lt;5,"Risco Médio",""),IF(NETWORKDAYS(C2325,TODAY())&lt;=2,"Risco Baixo",""))))</f>
        <v>Expedido</v>
      </c>
      <c r="P2325" s="5" t="s">
        <v>25</v>
      </c>
      <c r="S2325" s="7">
        <f>IF(ISBLANK(M2325),"Aguardando Previsão/Data",NETWORKDAYS(L2325,M2325)-1)</f>
        <v>3</v>
      </c>
      <c r="T2325" s="5" t="s">
        <v>942</v>
      </c>
    </row>
    <row r="2326" spans="1:20" x14ac:dyDescent="0.35">
      <c r="A2326" s="5">
        <v>8100279287</v>
      </c>
      <c r="B2326" s="5">
        <v>21454</v>
      </c>
      <c r="C2326" s="6">
        <v>45674</v>
      </c>
      <c r="D2326" s="5" t="s">
        <v>836</v>
      </c>
      <c r="E2326" s="5" t="s">
        <v>837</v>
      </c>
      <c r="F2326" s="5" t="s">
        <v>27</v>
      </c>
      <c r="G2326" s="5" t="s">
        <v>28</v>
      </c>
      <c r="H2326" s="5" t="s">
        <v>21</v>
      </c>
      <c r="I2326" s="5" t="s">
        <v>1329</v>
      </c>
      <c r="J2326" s="5" t="s">
        <v>49</v>
      </c>
      <c r="K2326" s="5" t="s">
        <v>24</v>
      </c>
      <c r="L2326" s="6">
        <v>45678</v>
      </c>
      <c r="M2326" s="6">
        <v>45682</v>
      </c>
      <c r="N2326" s="6" t="s">
        <v>812</v>
      </c>
      <c r="O2326" s="5" t="str">
        <f ca="1">IF(P2326&lt;&gt;"EXPEDIÇÃO","Expedido",IF(NETWORKDAYS(C2326,TODAY())&gt;=5,"Risco Alto",IF(NETWORKDAYS(C2326,TODAY())&gt;=3,IF(NETWORKDAYS(C2326,TODAY())&lt;5,"Risco Médio",""),IF(NETWORKDAYS(C2326,TODAY())&lt;=2,"Risco Baixo",""))))</f>
        <v>Expedido</v>
      </c>
      <c r="P2326" s="5" t="s">
        <v>25</v>
      </c>
      <c r="S2326" s="7">
        <f>IF(ISBLANK(M2326),"Aguardando Previsão/Data",NETWORKDAYS(L2326,M2326)-1)</f>
        <v>3</v>
      </c>
      <c r="T2326" s="5" t="s">
        <v>942</v>
      </c>
    </row>
    <row r="2327" spans="1:20" x14ac:dyDescent="0.35">
      <c r="A2327" s="5">
        <v>8100279288</v>
      </c>
      <c r="B2327" s="5">
        <v>21455</v>
      </c>
      <c r="C2327" s="6">
        <v>45674</v>
      </c>
      <c r="D2327" s="5" t="s">
        <v>836</v>
      </c>
      <c r="E2327" s="5" t="s">
        <v>837</v>
      </c>
      <c r="F2327" s="5" t="s">
        <v>27</v>
      </c>
      <c r="G2327" s="5" t="s">
        <v>28</v>
      </c>
      <c r="H2327" s="5" t="s">
        <v>21</v>
      </c>
      <c r="I2327" s="5" t="s">
        <v>1023</v>
      </c>
      <c r="J2327" s="5" t="s">
        <v>364</v>
      </c>
      <c r="K2327" s="5" t="s">
        <v>24</v>
      </c>
      <c r="L2327" s="6">
        <v>45681</v>
      </c>
      <c r="M2327" s="6">
        <v>45681</v>
      </c>
      <c r="N2327" s="6" t="s">
        <v>811</v>
      </c>
      <c r="O2327" s="5" t="str">
        <f ca="1">IF(P2327&lt;&gt;"EXPEDIÇÃO","Expedido",IF(NETWORKDAYS(C2327,TODAY())&gt;=5,"Risco Alto",IF(NETWORKDAYS(C2327,TODAY())&gt;=3,IF(NETWORKDAYS(C2327,TODAY())&lt;5,"Risco Médio",""),IF(NETWORKDAYS(C2327,TODAY())&lt;=2,"Risco Baixo",""))))</f>
        <v>Expedido</v>
      </c>
      <c r="P2327" s="5" t="s">
        <v>25</v>
      </c>
      <c r="S2327" s="7">
        <f>IF(ISBLANK(M2327),"Aguardando Previsão/Data",NETWORKDAYS(L2327,M2327)-1)</f>
        <v>0</v>
      </c>
      <c r="T2327" s="5" t="s">
        <v>942</v>
      </c>
    </row>
    <row r="2328" spans="1:20" x14ac:dyDescent="0.35">
      <c r="A2328" s="5">
        <v>8100279294</v>
      </c>
      <c r="B2328" s="5">
        <v>21456</v>
      </c>
      <c r="C2328" s="6">
        <v>45674</v>
      </c>
      <c r="D2328" s="5" t="s">
        <v>836</v>
      </c>
      <c r="E2328" s="5" t="s">
        <v>837</v>
      </c>
      <c r="F2328" s="5" t="s">
        <v>32</v>
      </c>
      <c r="G2328" s="5" t="s">
        <v>33</v>
      </c>
      <c r="H2328" s="5" t="s">
        <v>21</v>
      </c>
      <c r="I2328" s="5" t="s">
        <v>1081</v>
      </c>
      <c r="J2328" s="5" t="s">
        <v>38</v>
      </c>
      <c r="K2328" s="5" t="s">
        <v>24</v>
      </c>
      <c r="L2328" s="6">
        <v>45684</v>
      </c>
      <c r="M2328" s="6">
        <v>45680</v>
      </c>
      <c r="N2328" s="6" t="s">
        <v>811</v>
      </c>
      <c r="O2328" s="5" t="str">
        <f ca="1">IF(P2328&lt;&gt;"EXPEDIÇÃO","Expedido",IF(NETWORKDAYS(C2328,TODAY())&gt;=5,"Risco Alto",IF(NETWORKDAYS(C2328,TODAY())&gt;=3,IF(NETWORKDAYS(C2328,TODAY())&lt;5,"Risco Médio",""),IF(NETWORKDAYS(C2328,TODAY())&lt;=2,"Risco Baixo",""))))</f>
        <v>Expedido</v>
      </c>
      <c r="P2328" s="5" t="s">
        <v>25</v>
      </c>
      <c r="S2328" s="7">
        <f>IF(ISBLANK(M2328),"Aguardando Previsão/Data",NETWORKDAYS(L2328,M2328)-1)</f>
        <v>-4</v>
      </c>
      <c r="T2328" s="5" t="s">
        <v>942</v>
      </c>
    </row>
    <row r="2329" spans="1:20" x14ac:dyDescent="0.35">
      <c r="A2329" s="5">
        <v>8100278458</v>
      </c>
      <c r="B2329" s="5">
        <v>10843</v>
      </c>
      <c r="C2329" s="6">
        <v>45674</v>
      </c>
      <c r="D2329" s="5" t="s">
        <v>239</v>
      </c>
      <c r="E2329" s="5" t="s">
        <v>240</v>
      </c>
      <c r="F2329" s="5" t="s">
        <v>242</v>
      </c>
      <c r="G2329" s="5" t="s">
        <v>243</v>
      </c>
      <c r="H2329" s="5" t="s">
        <v>218</v>
      </c>
      <c r="I2329" s="5" t="s">
        <v>630</v>
      </c>
      <c r="J2329" s="5" t="s">
        <v>631</v>
      </c>
      <c r="K2329" s="5" t="s">
        <v>241</v>
      </c>
      <c r="L2329" s="6">
        <v>45681</v>
      </c>
      <c r="M2329" s="6">
        <v>45678</v>
      </c>
      <c r="N2329" s="5" t="s">
        <v>811</v>
      </c>
      <c r="O2329" s="5" t="str">
        <f ca="1">IF(P2329&lt;&gt;"EXPEDIÇÃO","Expedido",IF(NETWORKDAYS(C2329,TODAY())&gt;=5,"Risco Alto",IF(NETWORKDAYS(C2329,TODAY())&gt;=3,IF(NETWORKDAYS(C2329,TODAY())&lt;5,"Risco Médio",""),IF(NETWORKDAYS(C2329,TODAY())&lt;=2,"Risco Baixo",""))))</f>
        <v>Expedido</v>
      </c>
      <c r="P2329" s="5" t="s">
        <v>25</v>
      </c>
      <c r="Q2329" s="5" t="s">
        <v>793</v>
      </c>
      <c r="S2329" s="7">
        <f>IF(ISBLANK(M2329),"Aguardando Previsão/Data",NETWORKDAYS(L2329,M2329)-1)</f>
        <v>-5</v>
      </c>
      <c r="T2329" s="5" t="s">
        <v>942</v>
      </c>
    </row>
    <row r="2330" spans="1:20" x14ac:dyDescent="0.35">
      <c r="A2330" s="5">
        <v>8100278463</v>
      </c>
      <c r="B2330" s="5">
        <v>10844</v>
      </c>
      <c r="C2330" s="6">
        <v>45674</v>
      </c>
      <c r="D2330" s="5" t="s">
        <v>239</v>
      </c>
      <c r="E2330" s="5" t="s">
        <v>240</v>
      </c>
      <c r="F2330" s="5" t="s">
        <v>242</v>
      </c>
      <c r="G2330" s="5" t="s">
        <v>243</v>
      </c>
      <c r="H2330" s="5" t="s">
        <v>218</v>
      </c>
      <c r="I2330" s="5" t="s">
        <v>488</v>
      </c>
      <c r="J2330" s="5" t="s">
        <v>489</v>
      </c>
      <c r="K2330" s="5" t="s">
        <v>241</v>
      </c>
      <c r="L2330" s="6">
        <v>45680</v>
      </c>
      <c r="M2330" s="6">
        <v>45680</v>
      </c>
      <c r="N2330" s="5" t="s">
        <v>811</v>
      </c>
      <c r="O2330" s="5" t="str">
        <f ca="1">IF(P2330&lt;&gt;"EXPEDIÇÃO","Expedido",IF(NETWORKDAYS(C2330,TODAY())&gt;=5,"Risco Alto",IF(NETWORKDAYS(C2330,TODAY())&gt;=3,IF(NETWORKDAYS(C2330,TODAY())&lt;5,"Risco Médio",""),IF(NETWORKDAYS(C2330,TODAY())&lt;=2,"Risco Baixo",""))))</f>
        <v>Expedido</v>
      </c>
      <c r="P2330" s="5" t="s">
        <v>25</v>
      </c>
      <c r="Q2330" s="5" t="s">
        <v>793</v>
      </c>
      <c r="S2330" s="7">
        <f>IF(ISBLANK(M2330),"Aguardando Previsão/Data",NETWORKDAYS(L2330,M2330)-1)</f>
        <v>0</v>
      </c>
      <c r="T2330" s="5" t="s">
        <v>942</v>
      </c>
    </row>
    <row r="2331" spans="1:20" x14ac:dyDescent="0.35">
      <c r="A2331" s="5">
        <v>8100278944</v>
      </c>
      <c r="B2331" s="5">
        <v>10854</v>
      </c>
      <c r="C2331" s="6">
        <v>45674</v>
      </c>
      <c r="D2331" s="5" t="s">
        <v>239</v>
      </c>
      <c r="E2331" s="5" t="s">
        <v>240</v>
      </c>
      <c r="F2331" s="5" t="s">
        <v>242</v>
      </c>
      <c r="G2331" s="5" t="s">
        <v>243</v>
      </c>
      <c r="H2331" s="5" t="s">
        <v>218</v>
      </c>
      <c r="I2331" s="5" t="s">
        <v>488</v>
      </c>
      <c r="J2331" s="5" t="s">
        <v>489</v>
      </c>
      <c r="K2331" s="5" t="s">
        <v>241</v>
      </c>
      <c r="L2331" s="6">
        <v>45680</v>
      </c>
      <c r="M2331" s="6">
        <v>45680</v>
      </c>
      <c r="N2331" s="5" t="s">
        <v>811</v>
      </c>
      <c r="O2331" s="5" t="str">
        <f ca="1">IF(P2331&lt;&gt;"EXPEDIÇÃO","Expedido",IF(NETWORKDAYS(C2331,TODAY())&gt;=5,"Risco Alto",IF(NETWORKDAYS(C2331,TODAY())&gt;=3,IF(NETWORKDAYS(C2331,TODAY())&lt;5,"Risco Médio",""),IF(NETWORKDAYS(C2331,TODAY())&lt;=2,"Risco Baixo",""))))</f>
        <v>Expedido</v>
      </c>
      <c r="P2331" s="5" t="s">
        <v>25</v>
      </c>
      <c r="Q2331" s="5" t="s">
        <v>793</v>
      </c>
      <c r="S2331" s="7">
        <f>IF(ISBLANK(M2331),"Aguardando Previsão/Data",NETWORKDAYS(L2331,M2331)-1)</f>
        <v>0</v>
      </c>
      <c r="T2331" s="5" t="s">
        <v>942</v>
      </c>
    </row>
    <row r="2332" spans="1:20" x14ac:dyDescent="0.35">
      <c r="A2332" s="5">
        <v>8100278946</v>
      </c>
      <c r="B2332" s="5">
        <v>10851</v>
      </c>
      <c r="C2332" s="6">
        <v>45674</v>
      </c>
      <c r="D2332" s="5" t="s">
        <v>239</v>
      </c>
      <c r="E2332" s="5" t="s">
        <v>240</v>
      </c>
      <c r="F2332" s="5" t="s">
        <v>160</v>
      </c>
      <c r="G2332" s="5" t="s">
        <v>161</v>
      </c>
      <c r="H2332" s="5" t="s">
        <v>218</v>
      </c>
      <c r="I2332" s="5" t="s">
        <v>354</v>
      </c>
      <c r="J2332" s="5" t="s">
        <v>355</v>
      </c>
      <c r="K2332" s="5" t="s">
        <v>241</v>
      </c>
      <c r="L2332" s="6">
        <v>45680</v>
      </c>
      <c r="M2332" s="6">
        <v>45679</v>
      </c>
      <c r="N2332" s="5" t="s">
        <v>811</v>
      </c>
      <c r="O2332" s="5" t="str">
        <f ca="1">IF(P2332&lt;&gt;"EXPEDIÇÃO","Expedido",IF(NETWORKDAYS(C2332,TODAY())&gt;=5,"Risco Alto",IF(NETWORKDAYS(C2332,TODAY())&gt;=3,IF(NETWORKDAYS(C2332,TODAY())&lt;5,"Risco Médio",""),IF(NETWORKDAYS(C2332,TODAY())&lt;=2,"Risco Baixo",""))))</f>
        <v>Expedido</v>
      </c>
      <c r="P2332" s="5" t="s">
        <v>25</v>
      </c>
      <c r="Q2332" s="5" t="s">
        <v>793</v>
      </c>
      <c r="S2332" s="7">
        <f>IF(ISBLANK(M2332),"Aguardando Previsão/Data",NETWORKDAYS(L2332,M2332)-1)</f>
        <v>-3</v>
      </c>
      <c r="T2332" s="5" t="s">
        <v>942</v>
      </c>
    </row>
    <row r="2333" spans="1:20" x14ac:dyDescent="0.35">
      <c r="A2333" s="5">
        <v>8100278947</v>
      </c>
      <c r="B2333" s="5">
        <v>10852</v>
      </c>
      <c r="C2333" s="6">
        <v>45674</v>
      </c>
      <c r="D2333" s="5" t="s">
        <v>239</v>
      </c>
      <c r="E2333" s="5" t="s">
        <v>240</v>
      </c>
      <c r="F2333" s="5" t="s">
        <v>160</v>
      </c>
      <c r="G2333" s="5" t="s">
        <v>161</v>
      </c>
      <c r="H2333" s="5" t="s">
        <v>218</v>
      </c>
      <c r="I2333" s="5" t="s">
        <v>354</v>
      </c>
      <c r="J2333" s="5" t="s">
        <v>355</v>
      </c>
      <c r="K2333" s="5" t="s">
        <v>241</v>
      </c>
      <c r="L2333" s="6">
        <v>45680</v>
      </c>
      <c r="M2333" s="6">
        <v>45679</v>
      </c>
      <c r="N2333" s="5" t="s">
        <v>811</v>
      </c>
      <c r="O2333" s="5" t="str">
        <f ca="1">IF(P2333&lt;&gt;"EXPEDIÇÃO","Expedido",IF(NETWORKDAYS(C2333,TODAY())&gt;=5,"Risco Alto",IF(NETWORKDAYS(C2333,TODAY())&gt;=3,IF(NETWORKDAYS(C2333,TODAY())&lt;5,"Risco Médio",""),IF(NETWORKDAYS(C2333,TODAY())&lt;=2,"Risco Baixo",""))))</f>
        <v>Expedido</v>
      </c>
      <c r="P2333" s="5" t="s">
        <v>25</v>
      </c>
      <c r="Q2333" s="5" t="s">
        <v>793</v>
      </c>
      <c r="S2333" s="7">
        <f>IF(ISBLANK(M2333),"Aguardando Previsão/Data",NETWORKDAYS(L2333,M2333)-1)</f>
        <v>-3</v>
      </c>
      <c r="T2333" s="5" t="s">
        <v>942</v>
      </c>
    </row>
    <row r="2334" spans="1:20" x14ac:dyDescent="0.35">
      <c r="A2334" s="5">
        <v>8100278948</v>
      </c>
      <c r="B2334" s="5">
        <v>10846</v>
      </c>
      <c r="C2334" s="6">
        <v>45674</v>
      </c>
      <c r="D2334" s="5" t="s">
        <v>239</v>
      </c>
      <c r="E2334" s="5" t="s">
        <v>240</v>
      </c>
      <c r="F2334" s="5" t="s">
        <v>242</v>
      </c>
      <c r="G2334" s="5" t="s">
        <v>243</v>
      </c>
      <c r="H2334" s="5" t="s">
        <v>218</v>
      </c>
      <c r="I2334" s="5" t="s">
        <v>182</v>
      </c>
      <c r="J2334" s="5" t="s">
        <v>668</v>
      </c>
      <c r="K2334" s="5" t="s">
        <v>241</v>
      </c>
      <c r="L2334" s="6">
        <v>45680</v>
      </c>
      <c r="M2334" s="6">
        <v>45679</v>
      </c>
      <c r="N2334" s="5" t="s">
        <v>811</v>
      </c>
      <c r="O2334" s="5" t="str">
        <f ca="1">IF(P2334&lt;&gt;"EXPEDIÇÃO","Expedido",IF(NETWORKDAYS(C2334,TODAY())&gt;=5,"Risco Alto",IF(NETWORKDAYS(C2334,TODAY())&gt;=3,IF(NETWORKDAYS(C2334,TODAY())&lt;5,"Risco Médio",""),IF(NETWORKDAYS(C2334,TODAY())&lt;=2,"Risco Baixo",""))))</f>
        <v>Expedido</v>
      </c>
      <c r="P2334" s="5" t="s">
        <v>25</v>
      </c>
      <c r="Q2334" s="5" t="s">
        <v>793</v>
      </c>
      <c r="S2334" s="7">
        <f>IF(ISBLANK(M2334),"Aguardando Previsão/Data",NETWORKDAYS(L2334,M2334)-1)</f>
        <v>-3</v>
      </c>
      <c r="T2334" s="5" t="s">
        <v>942</v>
      </c>
    </row>
    <row r="2335" spans="1:20" x14ac:dyDescent="0.35">
      <c r="A2335" s="5">
        <v>8100278951</v>
      </c>
      <c r="B2335" s="5">
        <v>10847</v>
      </c>
      <c r="C2335" s="6">
        <v>45674</v>
      </c>
      <c r="D2335" s="5" t="s">
        <v>239</v>
      </c>
      <c r="E2335" s="5" t="s">
        <v>240</v>
      </c>
      <c r="F2335" s="5" t="s">
        <v>242</v>
      </c>
      <c r="G2335" s="5" t="s">
        <v>243</v>
      </c>
      <c r="H2335" s="5" t="s">
        <v>218</v>
      </c>
      <c r="I2335" s="5" t="s">
        <v>245</v>
      </c>
      <c r="J2335" s="5" t="s">
        <v>656</v>
      </c>
      <c r="K2335" s="5" t="s">
        <v>241</v>
      </c>
      <c r="L2335" s="6">
        <v>45680</v>
      </c>
      <c r="M2335" s="6">
        <v>45679</v>
      </c>
      <c r="N2335" s="5" t="s">
        <v>811</v>
      </c>
      <c r="O2335" s="5" t="str">
        <f ca="1">IF(P2335&lt;&gt;"EXPEDIÇÃO","Expedido",IF(NETWORKDAYS(C2335,TODAY())&gt;=5,"Risco Alto",IF(NETWORKDAYS(C2335,TODAY())&gt;=3,IF(NETWORKDAYS(C2335,TODAY())&lt;5,"Risco Médio",""),IF(NETWORKDAYS(C2335,TODAY())&lt;=2,"Risco Baixo",""))))</f>
        <v>Expedido</v>
      </c>
      <c r="P2335" s="5" t="s">
        <v>25</v>
      </c>
      <c r="Q2335" s="5" t="s">
        <v>793</v>
      </c>
      <c r="S2335" s="7">
        <f>IF(ISBLANK(M2335),"Aguardando Previsão/Data",NETWORKDAYS(L2335,M2335)-1)</f>
        <v>-3</v>
      </c>
      <c r="T2335" s="5" t="s">
        <v>942</v>
      </c>
    </row>
    <row r="2336" spans="1:20" x14ac:dyDescent="0.35">
      <c r="A2336" s="5">
        <v>8100278952</v>
      </c>
      <c r="B2336" s="5">
        <v>10848</v>
      </c>
      <c r="C2336" s="6">
        <v>45674</v>
      </c>
      <c r="D2336" s="5" t="s">
        <v>239</v>
      </c>
      <c r="E2336" s="5" t="s">
        <v>240</v>
      </c>
      <c r="F2336" s="5" t="s">
        <v>242</v>
      </c>
      <c r="G2336" s="5" t="s">
        <v>243</v>
      </c>
      <c r="H2336" s="5" t="s">
        <v>218</v>
      </c>
      <c r="I2336" s="5" t="s">
        <v>245</v>
      </c>
      <c r="J2336" s="5" t="s">
        <v>656</v>
      </c>
      <c r="K2336" s="5" t="s">
        <v>241</v>
      </c>
      <c r="L2336" s="6">
        <v>45680</v>
      </c>
      <c r="M2336" s="6">
        <v>45679</v>
      </c>
      <c r="N2336" s="5" t="s">
        <v>811</v>
      </c>
      <c r="O2336" s="5" t="str">
        <f ca="1">IF(P2336&lt;&gt;"EXPEDIÇÃO","Expedido",IF(NETWORKDAYS(C2336,TODAY())&gt;=5,"Risco Alto",IF(NETWORKDAYS(C2336,TODAY())&gt;=3,IF(NETWORKDAYS(C2336,TODAY())&lt;5,"Risco Médio",""),IF(NETWORKDAYS(C2336,TODAY())&lt;=2,"Risco Baixo",""))))</f>
        <v>Expedido</v>
      </c>
      <c r="P2336" s="5" t="s">
        <v>25</v>
      </c>
      <c r="Q2336" s="5" t="s">
        <v>793</v>
      </c>
      <c r="S2336" s="7">
        <f>IF(ISBLANK(M2336),"Aguardando Previsão/Data",NETWORKDAYS(L2336,M2336)-1)</f>
        <v>-3</v>
      </c>
      <c r="T2336" s="5" t="s">
        <v>942</v>
      </c>
    </row>
    <row r="2337" spans="1:20" x14ac:dyDescent="0.35">
      <c r="A2337" s="5">
        <v>8100278953</v>
      </c>
      <c r="B2337" s="5">
        <v>10849</v>
      </c>
      <c r="C2337" s="6">
        <v>45674</v>
      </c>
      <c r="D2337" s="5" t="s">
        <v>239</v>
      </c>
      <c r="E2337" s="5" t="s">
        <v>240</v>
      </c>
      <c r="F2337" s="5" t="s">
        <v>242</v>
      </c>
      <c r="G2337" s="5" t="s">
        <v>243</v>
      </c>
      <c r="H2337" s="5" t="s">
        <v>218</v>
      </c>
      <c r="I2337" s="5" t="s">
        <v>245</v>
      </c>
      <c r="J2337" s="5" t="s">
        <v>656</v>
      </c>
      <c r="K2337" s="5" t="s">
        <v>241</v>
      </c>
      <c r="L2337" s="6">
        <v>45680</v>
      </c>
      <c r="M2337" s="6">
        <v>45679</v>
      </c>
      <c r="N2337" s="5" t="s">
        <v>811</v>
      </c>
      <c r="O2337" s="5" t="str">
        <f ca="1">IF(P2337&lt;&gt;"EXPEDIÇÃO","Expedido",IF(NETWORKDAYS(C2337,TODAY())&gt;=5,"Risco Alto",IF(NETWORKDAYS(C2337,TODAY())&gt;=3,IF(NETWORKDAYS(C2337,TODAY())&lt;5,"Risco Médio",""),IF(NETWORKDAYS(C2337,TODAY())&lt;=2,"Risco Baixo",""))))</f>
        <v>Expedido</v>
      </c>
      <c r="P2337" s="5" t="s">
        <v>25</v>
      </c>
      <c r="Q2337" s="5" t="s">
        <v>793</v>
      </c>
      <c r="S2337" s="7">
        <f>IF(ISBLANK(M2337),"Aguardando Previsão/Data",NETWORKDAYS(L2337,M2337)-1)</f>
        <v>-3</v>
      </c>
      <c r="T2337" s="5" t="s">
        <v>942</v>
      </c>
    </row>
    <row r="2338" spans="1:20" x14ac:dyDescent="0.35">
      <c r="A2338" s="5">
        <v>8100278954</v>
      </c>
      <c r="B2338" s="5">
        <v>10850</v>
      </c>
      <c r="C2338" s="6">
        <v>45674</v>
      </c>
      <c r="D2338" s="5" t="s">
        <v>239</v>
      </c>
      <c r="E2338" s="5" t="s">
        <v>240</v>
      </c>
      <c r="F2338" s="5" t="s">
        <v>242</v>
      </c>
      <c r="G2338" s="5" t="s">
        <v>243</v>
      </c>
      <c r="H2338" s="5" t="s">
        <v>218</v>
      </c>
      <c r="I2338" s="5" t="s">
        <v>245</v>
      </c>
      <c r="J2338" s="5" t="s">
        <v>656</v>
      </c>
      <c r="K2338" s="5" t="s">
        <v>241</v>
      </c>
      <c r="L2338" s="6">
        <v>45680</v>
      </c>
      <c r="M2338" s="6">
        <v>45679</v>
      </c>
      <c r="N2338" s="5" t="s">
        <v>811</v>
      </c>
      <c r="O2338" s="5" t="str">
        <f ca="1">IF(P2338&lt;&gt;"EXPEDIÇÃO","Expedido",IF(NETWORKDAYS(C2338,TODAY())&gt;=5,"Risco Alto",IF(NETWORKDAYS(C2338,TODAY())&gt;=3,IF(NETWORKDAYS(C2338,TODAY())&lt;5,"Risco Médio",""),IF(NETWORKDAYS(C2338,TODAY())&lt;=2,"Risco Baixo",""))))</f>
        <v>Expedido</v>
      </c>
      <c r="P2338" s="5" t="s">
        <v>25</v>
      </c>
      <c r="Q2338" s="5" t="s">
        <v>793</v>
      </c>
      <c r="S2338" s="7">
        <f>IF(ISBLANK(M2338),"Aguardando Previsão/Data",NETWORKDAYS(L2338,M2338)-1)</f>
        <v>-3</v>
      </c>
      <c r="T2338" s="5" t="s">
        <v>942</v>
      </c>
    </row>
    <row r="2339" spans="1:20" x14ac:dyDescent="0.35">
      <c r="A2339" s="5">
        <v>8100278955</v>
      </c>
      <c r="B2339" s="5">
        <v>10845</v>
      </c>
      <c r="C2339" s="6">
        <v>45674</v>
      </c>
      <c r="D2339" s="5" t="s">
        <v>239</v>
      </c>
      <c r="E2339" s="5" t="s">
        <v>240</v>
      </c>
      <c r="F2339" s="5" t="s">
        <v>176</v>
      </c>
      <c r="G2339" s="5" t="s">
        <v>177</v>
      </c>
      <c r="H2339" s="5" t="s">
        <v>218</v>
      </c>
      <c r="I2339" s="5" t="s">
        <v>546</v>
      </c>
      <c r="J2339" s="5" t="s">
        <v>355</v>
      </c>
      <c r="K2339" s="5" t="s">
        <v>241</v>
      </c>
      <c r="L2339" s="6">
        <v>45680</v>
      </c>
      <c r="M2339" s="6">
        <v>45674</v>
      </c>
      <c r="N2339" s="5" t="s">
        <v>811</v>
      </c>
      <c r="O2339" s="5" t="str">
        <f ca="1">IF(P2339&lt;&gt;"EXPEDIÇÃO","Expedido",IF(NETWORKDAYS(C2339,TODAY())&gt;=5,"Risco Alto",IF(NETWORKDAYS(C2339,TODAY())&gt;=3,IF(NETWORKDAYS(C2339,TODAY())&lt;5,"Risco Médio",""),IF(NETWORKDAYS(C2339,TODAY())&lt;=2,"Risco Baixo",""))))</f>
        <v>Expedido</v>
      </c>
      <c r="P2339" s="5" t="s">
        <v>25</v>
      </c>
      <c r="S2339" s="7">
        <f>IF(ISBLANK(M2339),"Aguardando Previsão/Data",NETWORKDAYS(L2339,M2339)-1)</f>
        <v>-6</v>
      </c>
      <c r="T2339" s="5" t="s">
        <v>942</v>
      </c>
    </row>
    <row r="2340" spans="1:20" x14ac:dyDescent="0.35">
      <c r="A2340" s="5">
        <v>8100278956</v>
      </c>
      <c r="B2340" s="5">
        <v>10853</v>
      </c>
      <c r="C2340" s="6">
        <v>45674</v>
      </c>
      <c r="D2340" s="5" t="s">
        <v>239</v>
      </c>
      <c r="E2340" s="5" t="s">
        <v>240</v>
      </c>
      <c r="F2340" s="5" t="s">
        <v>160</v>
      </c>
      <c r="G2340" s="5" t="s">
        <v>161</v>
      </c>
      <c r="H2340" s="5" t="s">
        <v>218</v>
      </c>
      <c r="I2340" s="5" t="s">
        <v>354</v>
      </c>
      <c r="J2340" s="5" t="s">
        <v>355</v>
      </c>
      <c r="K2340" s="5" t="s">
        <v>241</v>
      </c>
      <c r="L2340" s="6">
        <v>45680</v>
      </c>
      <c r="M2340" s="6">
        <v>45679</v>
      </c>
      <c r="N2340" s="5" t="s">
        <v>811</v>
      </c>
      <c r="O2340" s="5" t="str">
        <f ca="1">IF(P2340&lt;&gt;"EXPEDIÇÃO","Expedido",IF(NETWORKDAYS(C2340,TODAY())&gt;=5,"Risco Alto",IF(NETWORKDAYS(C2340,TODAY())&gt;=3,IF(NETWORKDAYS(C2340,TODAY())&lt;5,"Risco Médio",""),IF(NETWORKDAYS(C2340,TODAY())&lt;=2,"Risco Baixo",""))))</f>
        <v>Expedido</v>
      </c>
      <c r="P2340" s="5" t="s">
        <v>25</v>
      </c>
      <c r="Q2340" s="5" t="s">
        <v>793</v>
      </c>
      <c r="S2340" s="7">
        <f>IF(ISBLANK(M2340),"Aguardando Previsão/Data",NETWORKDAYS(L2340,M2340)-1)</f>
        <v>-3</v>
      </c>
      <c r="T2340" s="5" t="s">
        <v>942</v>
      </c>
    </row>
    <row r="2341" spans="1:20" x14ac:dyDescent="0.35">
      <c r="A2341" s="5">
        <v>8100279108</v>
      </c>
      <c r="B2341" s="5">
        <v>10855</v>
      </c>
      <c r="C2341" s="6">
        <v>45674</v>
      </c>
      <c r="D2341" s="5" t="s">
        <v>239</v>
      </c>
      <c r="E2341" s="5" t="s">
        <v>240</v>
      </c>
      <c r="F2341" s="5" t="s">
        <v>176</v>
      </c>
      <c r="G2341" s="5" t="s">
        <v>177</v>
      </c>
      <c r="H2341" s="5" t="s">
        <v>218</v>
      </c>
      <c r="I2341" s="5" t="s">
        <v>322</v>
      </c>
      <c r="J2341" s="5" t="s">
        <v>323</v>
      </c>
      <c r="K2341" s="5" t="s">
        <v>241</v>
      </c>
      <c r="L2341" s="6">
        <v>45680</v>
      </c>
      <c r="M2341" s="6">
        <v>45679</v>
      </c>
      <c r="N2341" s="6" t="s">
        <v>811</v>
      </c>
      <c r="O2341" s="5" t="str">
        <f ca="1">IF(P2341&lt;&gt;"EXPEDIÇÃO","Expedido",IF(NETWORKDAYS(C2341,TODAY())&gt;=5,"Risco Alto",IF(NETWORKDAYS(C2341,TODAY())&gt;=3,IF(NETWORKDAYS(C2341,TODAY())&lt;5,"Risco Médio",""),IF(NETWORKDAYS(C2341,TODAY())&lt;=2,"Risco Baixo",""))))</f>
        <v>Expedido</v>
      </c>
      <c r="P2341" s="5" t="s">
        <v>25</v>
      </c>
      <c r="Q2341" s="5" t="s">
        <v>793</v>
      </c>
      <c r="S2341" s="7">
        <f>IF(ISBLANK(M2341),"Aguardando Previsão/Data",NETWORKDAYS(L2341,M2341)-1)</f>
        <v>-3</v>
      </c>
      <c r="T2341" s="5" t="s">
        <v>942</v>
      </c>
    </row>
    <row r="2342" spans="1:20" x14ac:dyDescent="0.35">
      <c r="A2342" s="5">
        <v>8100279157</v>
      </c>
      <c r="B2342" s="5">
        <v>10861</v>
      </c>
      <c r="C2342" s="6">
        <v>45674</v>
      </c>
      <c r="D2342" s="5" t="s">
        <v>239</v>
      </c>
      <c r="E2342" s="5" t="s">
        <v>240</v>
      </c>
      <c r="F2342" s="5" t="s">
        <v>160</v>
      </c>
      <c r="G2342" s="5" t="s">
        <v>161</v>
      </c>
      <c r="H2342" s="5" t="s">
        <v>218</v>
      </c>
      <c r="I2342" s="5" t="s">
        <v>1100</v>
      </c>
      <c r="J2342" s="5" t="s">
        <v>161</v>
      </c>
      <c r="K2342" s="5" t="s">
        <v>241</v>
      </c>
      <c r="L2342" s="6">
        <v>45680</v>
      </c>
      <c r="M2342" s="6">
        <v>45678</v>
      </c>
      <c r="N2342" s="6" t="s">
        <v>811</v>
      </c>
      <c r="O2342" s="5" t="str">
        <f ca="1">IF(P2342&lt;&gt;"EXPEDIÇÃO","Expedido",IF(NETWORKDAYS(C2342,TODAY())&gt;=5,"Risco Alto",IF(NETWORKDAYS(C2342,TODAY())&gt;=3,IF(NETWORKDAYS(C2342,TODAY())&lt;5,"Risco Médio",""),IF(NETWORKDAYS(C2342,TODAY())&lt;=2,"Risco Baixo",""))))</f>
        <v>Expedido</v>
      </c>
      <c r="P2342" s="5" t="s">
        <v>25</v>
      </c>
      <c r="Q2342" s="5" t="s">
        <v>793</v>
      </c>
      <c r="S2342" s="7">
        <f>IF(ISBLANK(M2342),"Aguardando Previsão/Data",NETWORKDAYS(L2342,M2342)-1)</f>
        <v>-4</v>
      </c>
      <c r="T2342" s="5" t="s">
        <v>942</v>
      </c>
    </row>
    <row r="2343" spans="1:20" x14ac:dyDescent="0.35">
      <c r="A2343" s="5">
        <v>8100279158</v>
      </c>
      <c r="B2343" s="5">
        <v>10859</v>
      </c>
      <c r="C2343" s="6">
        <v>45674</v>
      </c>
      <c r="D2343" s="5" t="s">
        <v>239</v>
      </c>
      <c r="E2343" s="5" t="s">
        <v>240</v>
      </c>
      <c r="F2343" s="5" t="s">
        <v>242</v>
      </c>
      <c r="G2343" s="5" t="s">
        <v>243</v>
      </c>
      <c r="H2343" s="5" t="s">
        <v>218</v>
      </c>
      <c r="I2343" s="5" t="s">
        <v>460</v>
      </c>
      <c r="J2343" s="5" t="s">
        <v>461</v>
      </c>
      <c r="K2343" s="5" t="s">
        <v>241</v>
      </c>
      <c r="L2343" s="6">
        <v>45680</v>
      </c>
      <c r="M2343" s="6">
        <v>45679</v>
      </c>
      <c r="N2343" s="6" t="s">
        <v>811</v>
      </c>
      <c r="O2343" s="5" t="str">
        <f ca="1">IF(P2343&lt;&gt;"EXPEDIÇÃO","Expedido",IF(NETWORKDAYS(C2343,TODAY())&gt;=5,"Risco Alto",IF(NETWORKDAYS(C2343,TODAY())&gt;=3,IF(NETWORKDAYS(C2343,TODAY())&lt;5,"Risco Médio",""),IF(NETWORKDAYS(C2343,TODAY())&lt;=2,"Risco Baixo",""))))</f>
        <v>Expedido</v>
      </c>
      <c r="P2343" s="5" t="s">
        <v>25</v>
      </c>
      <c r="Q2343" s="5" t="s">
        <v>793</v>
      </c>
      <c r="S2343" s="7">
        <f>IF(ISBLANK(M2343),"Aguardando Previsão/Data",NETWORKDAYS(L2343,M2343)-1)</f>
        <v>-3</v>
      </c>
      <c r="T2343" s="5" t="s">
        <v>942</v>
      </c>
    </row>
    <row r="2344" spans="1:20" x14ac:dyDescent="0.35">
      <c r="A2344" s="5">
        <v>8100279159</v>
      </c>
      <c r="B2344" s="5">
        <v>10856</v>
      </c>
      <c r="C2344" s="6">
        <v>45674</v>
      </c>
      <c r="D2344" s="5" t="s">
        <v>239</v>
      </c>
      <c r="E2344" s="5" t="s">
        <v>240</v>
      </c>
      <c r="F2344" s="5" t="s">
        <v>242</v>
      </c>
      <c r="G2344" s="5" t="s">
        <v>243</v>
      </c>
      <c r="H2344" s="5" t="s">
        <v>218</v>
      </c>
      <c r="I2344" s="5" t="s">
        <v>354</v>
      </c>
      <c r="J2344" s="5" t="s">
        <v>355</v>
      </c>
      <c r="K2344" s="5" t="s">
        <v>241</v>
      </c>
      <c r="L2344" s="6">
        <v>45680</v>
      </c>
      <c r="M2344" s="6">
        <v>45678</v>
      </c>
      <c r="N2344" s="6" t="s">
        <v>811</v>
      </c>
      <c r="O2344" s="5" t="str">
        <f ca="1">IF(P2344&lt;&gt;"EXPEDIÇÃO","Expedido",IF(NETWORKDAYS(C2344,TODAY())&gt;=5,"Risco Alto",IF(NETWORKDAYS(C2344,TODAY())&gt;=3,IF(NETWORKDAYS(C2344,TODAY())&lt;5,"Risco Médio",""),IF(NETWORKDAYS(C2344,TODAY())&lt;=2,"Risco Baixo",""))))</f>
        <v>Expedido</v>
      </c>
      <c r="P2344" s="5" t="s">
        <v>25</v>
      </c>
      <c r="Q2344" s="5" t="s">
        <v>793</v>
      </c>
      <c r="S2344" s="7">
        <f>IF(ISBLANK(M2344),"Aguardando Previsão/Data",NETWORKDAYS(L2344,M2344)-1)</f>
        <v>-4</v>
      </c>
      <c r="T2344" s="5" t="s">
        <v>942</v>
      </c>
    </row>
    <row r="2345" spans="1:20" x14ac:dyDescent="0.35">
      <c r="A2345" s="5">
        <v>8100279160</v>
      </c>
      <c r="B2345" s="5">
        <v>10857</v>
      </c>
      <c r="C2345" s="6">
        <v>45674</v>
      </c>
      <c r="D2345" s="5" t="s">
        <v>239</v>
      </c>
      <c r="E2345" s="5" t="s">
        <v>240</v>
      </c>
      <c r="F2345" s="5" t="s">
        <v>176</v>
      </c>
      <c r="G2345" s="5" t="s">
        <v>177</v>
      </c>
      <c r="H2345" s="5" t="s">
        <v>218</v>
      </c>
      <c r="I2345" s="5" t="s">
        <v>354</v>
      </c>
      <c r="J2345" s="5" t="s">
        <v>355</v>
      </c>
      <c r="K2345" s="5" t="s">
        <v>241</v>
      </c>
      <c r="L2345" s="6">
        <v>45680</v>
      </c>
      <c r="M2345" s="6">
        <v>45678</v>
      </c>
      <c r="N2345" s="6" t="s">
        <v>811</v>
      </c>
      <c r="O2345" s="5" t="str">
        <f ca="1">IF(P2345&lt;&gt;"EXPEDIÇÃO","Expedido",IF(NETWORKDAYS(C2345,TODAY())&gt;=5,"Risco Alto",IF(NETWORKDAYS(C2345,TODAY())&gt;=3,IF(NETWORKDAYS(C2345,TODAY())&lt;5,"Risco Médio",""),IF(NETWORKDAYS(C2345,TODAY())&lt;=2,"Risco Baixo",""))))</f>
        <v>Expedido</v>
      </c>
      <c r="P2345" s="5" t="s">
        <v>25</v>
      </c>
      <c r="Q2345" s="5" t="s">
        <v>793</v>
      </c>
      <c r="S2345" s="7">
        <f>IF(ISBLANK(M2345),"Aguardando Previsão/Data",NETWORKDAYS(L2345,M2345)-1)</f>
        <v>-4</v>
      </c>
      <c r="T2345" s="5" t="s">
        <v>942</v>
      </c>
    </row>
    <row r="2346" spans="1:20" x14ac:dyDescent="0.35">
      <c r="A2346" s="5">
        <v>8100279161</v>
      </c>
      <c r="B2346" s="5">
        <v>10858</v>
      </c>
      <c r="C2346" s="6">
        <v>45674</v>
      </c>
      <c r="D2346" s="5" t="s">
        <v>239</v>
      </c>
      <c r="E2346" s="5" t="s">
        <v>240</v>
      </c>
      <c r="F2346" s="5" t="s">
        <v>176</v>
      </c>
      <c r="G2346" s="5" t="s">
        <v>177</v>
      </c>
      <c r="H2346" s="5" t="s">
        <v>218</v>
      </c>
      <c r="I2346" s="5" t="s">
        <v>247</v>
      </c>
      <c r="J2346" s="5" t="s">
        <v>248</v>
      </c>
      <c r="K2346" s="5" t="s">
        <v>241</v>
      </c>
      <c r="L2346" s="6">
        <v>45681</v>
      </c>
      <c r="M2346" s="6">
        <v>45680</v>
      </c>
      <c r="N2346" s="6" t="s">
        <v>811</v>
      </c>
      <c r="O2346" s="5" t="str">
        <f ca="1">IF(P2346&lt;&gt;"EXPEDIÇÃO","Expedido",IF(NETWORKDAYS(C2346,TODAY())&gt;=5,"Risco Alto",IF(NETWORKDAYS(C2346,TODAY())&gt;=3,IF(NETWORKDAYS(C2346,TODAY())&lt;5,"Risco Médio",""),IF(NETWORKDAYS(C2346,TODAY())&lt;=2,"Risco Baixo",""))))</f>
        <v>Expedido</v>
      </c>
      <c r="P2346" s="5" t="s">
        <v>25</v>
      </c>
      <c r="Q2346" s="5" t="s">
        <v>793</v>
      </c>
      <c r="S2346" s="7">
        <f>IF(ISBLANK(M2346),"Aguardando Previsão/Data",NETWORKDAYS(L2346,M2346)-1)</f>
        <v>-3</v>
      </c>
      <c r="T2346" s="5" t="s">
        <v>942</v>
      </c>
    </row>
    <row r="2347" spans="1:20" x14ac:dyDescent="0.35">
      <c r="A2347" s="5">
        <v>8100279162</v>
      </c>
      <c r="B2347" s="5">
        <v>10860</v>
      </c>
      <c r="C2347" s="6">
        <v>45674</v>
      </c>
      <c r="D2347" s="5" t="s">
        <v>239</v>
      </c>
      <c r="E2347" s="5" t="s">
        <v>240</v>
      </c>
      <c r="F2347" s="5" t="s">
        <v>160</v>
      </c>
      <c r="G2347" s="5" t="s">
        <v>161</v>
      </c>
      <c r="H2347" s="5" t="s">
        <v>218</v>
      </c>
      <c r="I2347" s="5" t="s">
        <v>687</v>
      </c>
      <c r="J2347" s="5" t="s">
        <v>688</v>
      </c>
      <c r="K2347" s="5" t="s">
        <v>241</v>
      </c>
      <c r="L2347" s="6">
        <v>45680</v>
      </c>
      <c r="M2347" s="6">
        <v>45678</v>
      </c>
      <c r="N2347" s="6" t="s">
        <v>811</v>
      </c>
      <c r="O2347" s="5" t="str">
        <f ca="1">IF(P2347&lt;&gt;"EXPEDIÇÃO","Expedido",IF(NETWORKDAYS(C2347,TODAY())&gt;=5,"Risco Alto",IF(NETWORKDAYS(C2347,TODAY())&gt;=3,IF(NETWORKDAYS(C2347,TODAY())&lt;5,"Risco Médio",""),IF(NETWORKDAYS(C2347,TODAY())&lt;=2,"Risco Baixo",""))))</f>
        <v>Expedido</v>
      </c>
      <c r="P2347" s="5" t="s">
        <v>25</v>
      </c>
      <c r="Q2347" s="5" t="s">
        <v>793</v>
      </c>
      <c r="S2347" s="7">
        <f>IF(ISBLANK(M2347),"Aguardando Previsão/Data",NETWORKDAYS(L2347,M2347)-1)</f>
        <v>-4</v>
      </c>
      <c r="T2347" s="5" t="s">
        <v>942</v>
      </c>
    </row>
    <row r="2348" spans="1:20" x14ac:dyDescent="0.35">
      <c r="A2348" s="5">
        <v>8100279164</v>
      </c>
      <c r="B2348" s="5">
        <v>10862</v>
      </c>
      <c r="C2348" s="6">
        <v>45674</v>
      </c>
      <c r="D2348" s="5" t="s">
        <v>239</v>
      </c>
      <c r="E2348" s="5" t="s">
        <v>240</v>
      </c>
      <c r="F2348" s="5" t="s">
        <v>160</v>
      </c>
      <c r="G2348" s="5" t="s">
        <v>161</v>
      </c>
      <c r="H2348" s="5" t="s">
        <v>218</v>
      </c>
      <c r="I2348" s="5" t="s">
        <v>1100</v>
      </c>
      <c r="J2348" s="5" t="s">
        <v>161</v>
      </c>
      <c r="K2348" s="5" t="s">
        <v>241</v>
      </c>
      <c r="L2348" s="6">
        <v>45680</v>
      </c>
      <c r="M2348" s="6">
        <v>45678</v>
      </c>
      <c r="N2348" s="6" t="s">
        <v>811</v>
      </c>
      <c r="O2348" s="5" t="str">
        <f ca="1">IF(P2348&lt;&gt;"EXPEDIÇÃO","Expedido",IF(NETWORKDAYS(C2348,TODAY())&gt;=5,"Risco Alto",IF(NETWORKDAYS(C2348,TODAY())&gt;=3,IF(NETWORKDAYS(C2348,TODAY())&lt;5,"Risco Médio",""),IF(NETWORKDAYS(C2348,TODAY())&lt;=2,"Risco Baixo",""))))</f>
        <v>Expedido</v>
      </c>
      <c r="P2348" s="5" t="s">
        <v>25</v>
      </c>
      <c r="Q2348" s="5" t="s">
        <v>793</v>
      </c>
      <c r="S2348" s="7">
        <f>IF(ISBLANK(M2348),"Aguardando Previsão/Data",NETWORKDAYS(L2348,M2348)-1)</f>
        <v>-4</v>
      </c>
      <c r="T2348" s="5" t="s">
        <v>942</v>
      </c>
    </row>
    <row r="2349" spans="1:20" x14ac:dyDescent="0.35">
      <c r="A2349" s="5">
        <v>8100279195</v>
      </c>
      <c r="B2349" s="5">
        <v>10870</v>
      </c>
      <c r="C2349" s="6">
        <v>45674</v>
      </c>
      <c r="D2349" s="5" t="s">
        <v>239</v>
      </c>
      <c r="E2349" s="5" t="s">
        <v>240</v>
      </c>
      <c r="F2349" s="5" t="s">
        <v>176</v>
      </c>
      <c r="G2349" s="5" t="s">
        <v>177</v>
      </c>
      <c r="H2349" s="5" t="s">
        <v>218</v>
      </c>
      <c r="I2349" s="5" t="s">
        <v>247</v>
      </c>
      <c r="J2349" s="5" t="s">
        <v>248</v>
      </c>
      <c r="K2349" s="5" t="s">
        <v>241</v>
      </c>
      <c r="L2349" s="6">
        <v>45681</v>
      </c>
      <c r="M2349" s="6">
        <v>45680</v>
      </c>
      <c r="N2349" s="6" t="s">
        <v>811</v>
      </c>
      <c r="O2349" s="5" t="str">
        <f ca="1">IF(P2349&lt;&gt;"EXPEDIÇÃO","Expedido",IF(NETWORKDAYS(C2349,TODAY())&gt;=5,"Risco Alto",IF(NETWORKDAYS(C2349,TODAY())&gt;=3,IF(NETWORKDAYS(C2349,TODAY())&lt;5,"Risco Médio",""),IF(NETWORKDAYS(C2349,TODAY())&lt;=2,"Risco Baixo",""))))</f>
        <v>Expedido</v>
      </c>
      <c r="P2349" s="5" t="s">
        <v>25</v>
      </c>
      <c r="Q2349" s="5" t="s">
        <v>793</v>
      </c>
      <c r="S2349" s="7">
        <f>IF(ISBLANK(M2349),"Aguardando Previsão/Data",NETWORKDAYS(L2349,M2349)-1)</f>
        <v>-3</v>
      </c>
      <c r="T2349" s="5" t="s">
        <v>942</v>
      </c>
    </row>
    <row r="2350" spans="1:20" x14ac:dyDescent="0.35">
      <c r="A2350" s="5">
        <v>8100279196</v>
      </c>
      <c r="B2350" s="5">
        <v>10871</v>
      </c>
      <c r="C2350" s="6">
        <v>45674</v>
      </c>
      <c r="D2350" s="5" t="s">
        <v>239</v>
      </c>
      <c r="E2350" s="5" t="s">
        <v>240</v>
      </c>
      <c r="F2350" s="5" t="s">
        <v>176</v>
      </c>
      <c r="G2350" s="5" t="s">
        <v>177</v>
      </c>
      <c r="H2350" s="5" t="s">
        <v>218</v>
      </c>
      <c r="I2350" s="5" t="s">
        <v>247</v>
      </c>
      <c r="J2350" s="5" t="s">
        <v>248</v>
      </c>
      <c r="K2350" s="5" t="s">
        <v>241</v>
      </c>
      <c r="L2350" s="6">
        <v>45681</v>
      </c>
      <c r="M2350" s="6">
        <v>45680</v>
      </c>
      <c r="N2350" s="6" t="s">
        <v>811</v>
      </c>
      <c r="O2350" s="5" t="str">
        <f ca="1">IF(P2350&lt;&gt;"EXPEDIÇÃO","Expedido",IF(NETWORKDAYS(C2350,TODAY())&gt;=5,"Risco Alto",IF(NETWORKDAYS(C2350,TODAY())&gt;=3,IF(NETWORKDAYS(C2350,TODAY())&lt;5,"Risco Médio",""),IF(NETWORKDAYS(C2350,TODAY())&lt;=2,"Risco Baixo",""))))</f>
        <v>Expedido</v>
      </c>
      <c r="P2350" s="5" t="s">
        <v>25</v>
      </c>
      <c r="Q2350" s="5" t="s">
        <v>793</v>
      </c>
      <c r="S2350" s="7">
        <f>IF(ISBLANK(M2350),"Aguardando Previsão/Data",NETWORKDAYS(L2350,M2350)-1)</f>
        <v>-3</v>
      </c>
      <c r="T2350" s="5" t="s">
        <v>942</v>
      </c>
    </row>
    <row r="2351" spans="1:20" x14ac:dyDescent="0.35">
      <c r="A2351" s="5">
        <v>8100279197</v>
      </c>
      <c r="B2351" s="5">
        <v>10872</v>
      </c>
      <c r="C2351" s="6">
        <v>45674</v>
      </c>
      <c r="D2351" s="5" t="s">
        <v>239</v>
      </c>
      <c r="E2351" s="5" t="s">
        <v>240</v>
      </c>
      <c r="F2351" s="5" t="s">
        <v>176</v>
      </c>
      <c r="G2351" s="5" t="s">
        <v>177</v>
      </c>
      <c r="H2351" s="5" t="s">
        <v>218</v>
      </c>
      <c r="I2351" s="5" t="s">
        <v>247</v>
      </c>
      <c r="J2351" s="5" t="s">
        <v>248</v>
      </c>
      <c r="K2351" s="5" t="s">
        <v>241</v>
      </c>
      <c r="L2351" s="6">
        <v>45681</v>
      </c>
      <c r="M2351" s="6">
        <v>45680</v>
      </c>
      <c r="N2351" s="6" t="s">
        <v>811</v>
      </c>
      <c r="O2351" s="5" t="str">
        <f ca="1">IF(P2351&lt;&gt;"EXPEDIÇÃO","Expedido",IF(NETWORKDAYS(C2351,TODAY())&gt;=5,"Risco Alto",IF(NETWORKDAYS(C2351,TODAY())&gt;=3,IF(NETWORKDAYS(C2351,TODAY())&lt;5,"Risco Médio",""),IF(NETWORKDAYS(C2351,TODAY())&lt;=2,"Risco Baixo",""))))</f>
        <v>Expedido</v>
      </c>
      <c r="P2351" s="5" t="s">
        <v>25</v>
      </c>
      <c r="Q2351" s="5" t="s">
        <v>793</v>
      </c>
      <c r="S2351" s="7">
        <f>IF(ISBLANK(M2351),"Aguardando Previsão/Data",NETWORKDAYS(L2351,M2351)-1)</f>
        <v>-3</v>
      </c>
      <c r="T2351" s="5" t="s">
        <v>942</v>
      </c>
    </row>
    <row r="2352" spans="1:20" x14ac:dyDescent="0.35">
      <c r="A2352" s="5">
        <v>8100279218</v>
      </c>
      <c r="B2352" s="5">
        <v>10863</v>
      </c>
      <c r="C2352" s="6">
        <v>45674</v>
      </c>
      <c r="D2352" s="5" t="s">
        <v>239</v>
      </c>
      <c r="E2352" s="5" t="s">
        <v>240</v>
      </c>
      <c r="F2352" s="5" t="s">
        <v>176</v>
      </c>
      <c r="G2352" s="5" t="s">
        <v>177</v>
      </c>
      <c r="H2352" s="5" t="s">
        <v>218</v>
      </c>
      <c r="I2352" s="5" t="s">
        <v>1405</v>
      </c>
      <c r="J2352" s="5" t="s">
        <v>797</v>
      </c>
      <c r="K2352" s="5" t="s">
        <v>241</v>
      </c>
      <c r="L2352" s="6">
        <v>45681</v>
      </c>
      <c r="M2352" s="6">
        <v>45679</v>
      </c>
      <c r="N2352" s="6" t="s">
        <v>811</v>
      </c>
      <c r="O2352" s="5" t="str">
        <f ca="1">IF(P2352&lt;&gt;"EXPEDIÇÃO","Expedido",IF(NETWORKDAYS(C2352,TODAY())&gt;=5,"Risco Alto",IF(NETWORKDAYS(C2352,TODAY())&gt;=3,IF(NETWORKDAYS(C2352,TODAY())&lt;5,"Risco Médio",""),IF(NETWORKDAYS(C2352,TODAY())&lt;=2,"Risco Baixo",""))))</f>
        <v>Expedido</v>
      </c>
      <c r="P2352" s="5" t="s">
        <v>25</v>
      </c>
      <c r="Q2352" s="5" t="s">
        <v>793</v>
      </c>
      <c r="S2352" s="7">
        <f>IF(ISBLANK(M2352),"Aguardando Previsão/Data",NETWORKDAYS(L2352,M2352)-1)</f>
        <v>-4</v>
      </c>
      <c r="T2352" s="5" t="s">
        <v>942</v>
      </c>
    </row>
    <row r="2353" spans="1:20" x14ac:dyDescent="0.35">
      <c r="A2353" s="5">
        <v>8100279220</v>
      </c>
      <c r="B2353" s="5">
        <v>10864</v>
      </c>
      <c r="C2353" s="6">
        <v>45674</v>
      </c>
      <c r="D2353" s="5" t="s">
        <v>239</v>
      </c>
      <c r="E2353" s="5" t="s">
        <v>240</v>
      </c>
      <c r="F2353" s="5" t="s">
        <v>176</v>
      </c>
      <c r="G2353" s="5" t="s">
        <v>177</v>
      </c>
      <c r="H2353" s="5" t="s">
        <v>218</v>
      </c>
      <c r="I2353" s="5" t="s">
        <v>1405</v>
      </c>
      <c r="J2353" s="5" t="s">
        <v>797</v>
      </c>
      <c r="K2353" s="5" t="s">
        <v>241</v>
      </c>
      <c r="L2353" s="6">
        <v>45681</v>
      </c>
      <c r="M2353" s="6">
        <v>45679</v>
      </c>
      <c r="N2353" s="6" t="s">
        <v>811</v>
      </c>
      <c r="O2353" s="5" t="str">
        <f ca="1">IF(P2353&lt;&gt;"EXPEDIÇÃO","Expedido",IF(NETWORKDAYS(C2353,TODAY())&gt;=5,"Risco Alto",IF(NETWORKDAYS(C2353,TODAY())&gt;=3,IF(NETWORKDAYS(C2353,TODAY())&lt;5,"Risco Médio",""),IF(NETWORKDAYS(C2353,TODAY())&lt;=2,"Risco Baixo",""))))</f>
        <v>Expedido</v>
      </c>
      <c r="P2353" s="5" t="s">
        <v>25</v>
      </c>
      <c r="Q2353" s="5" t="s">
        <v>793</v>
      </c>
      <c r="S2353" s="7">
        <f>IF(ISBLANK(M2353),"Aguardando Previsão/Data",NETWORKDAYS(L2353,M2353)-1)</f>
        <v>-4</v>
      </c>
      <c r="T2353" s="5" t="s">
        <v>942</v>
      </c>
    </row>
    <row r="2354" spans="1:20" x14ac:dyDescent="0.35">
      <c r="A2354" s="5">
        <v>8100279221</v>
      </c>
      <c r="B2354" s="5">
        <v>10869</v>
      </c>
      <c r="C2354" s="6">
        <v>45674</v>
      </c>
      <c r="D2354" s="5" t="s">
        <v>239</v>
      </c>
      <c r="E2354" s="5" t="s">
        <v>240</v>
      </c>
      <c r="F2354" s="5" t="s">
        <v>176</v>
      </c>
      <c r="G2354" s="5" t="s">
        <v>177</v>
      </c>
      <c r="H2354" s="5" t="s">
        <v>218</v>
      </c>
      <c r="I2354" s="5" t="s">
        <v>354</v>
      </c>
      <c r="J2354" s="5" t="s">
        <v>355</v>
      </c>
      <c r="K2354" s="5" t="s">
        <v>241</v>
      </c>
      <c r="L2354" s="6">
        <v>45680</v>
      </c>
      <c r="M2354" s="6">
        <v>45678</v>
      </c>
      <c r="N2354" s="6" t="s">
        <v>811</v>
      </c>
      <c r="O2354" s="5" t="str">
        <f ca="1">IF(P2354&lt;&gt;"EXPEDIÇÃO","Expedido",IF(NETWORKDAYS(C2354,TODAY())&gt;=5,"Risco Alto",IF(NETWORKDAYS(C2354,TODAY())&gt;=3,IF(NETWORKDAYS(C2354,TODAY())&lt;5,"Risco Médio",""),IF(NETWORKDAYS(C2354,TODAY())&lt;=2,"Risco Baixo",""))))</f>
        <v>Expedido</v>
      </c>
      <c r="P2354" s="5" t="s">
        <v>25</v>
      </c>
      <c r="Q2354" s="5" t="s">
        <v>793</v>
      </c>
      <c r="S2354" s="7">
        <f>IF(ISBLANK(M2354),"Aguardando Previsão/Data",NETWORKDAYS(L2354,M2354)-1)</f>
        <v>-4</v>
      </c>
      <c r="T2354" s="5" t="s">
        <v>942</v>
      </c>
    </row>
    <row r="2355" spans="1:20" x14ac:dyDescent="0.35">
      <c r="A2355" s="5">
        <v>8100279224</v>
      </c>
      <c r="B2355" s="8">
        <v>10868</v>
      </c>
      <c r="C2355" s="6">
        <v>45674</v>
      </c>
      <c r="D2355" s="5" t="s">
        <v>239</v>
      </c>
      <c r="E2355" s="5" t="s">
        <v>240</v>
      </c>
      <c r="F2355" s="5" t="s">
        <v>242</v>
      </c>
      <c r="G2355" s="5" t="s">
        <v>243</v>
      </c>
      <c r="H2355" s="5" t="s">
        <v>218</v>
      </c>
      <c r="I2355" s="5" t="s">
        <v>458</v>
      </c>
      <c r="J2355" s="5" t="s">
        <v>459</v>
      </c>
      <c r="K2355" s="5" t="s">
        <v>241</v>
      </c>
      <c r="L2355" s="6">
        <v>45680</v>
      </c>
      <c r="M2355" s="6">
        <v>45679</v>
      </c>
      <c r="N2355" s="6" t="s">
        <v>811</v>
      </c>
      <c r="O2355" s="5" t="str">
        <f ca="1">IF(P2355&lt;&gt;"EXPEDIÇÃO","Expedido",IF(NETWORKDAYS(C2355,TODAY())&gt;=5,"Risco Alto",IF(NETWORKDAYS(C2355,TODAY())&gt;=3,IF(NETWORKDAYS(C2355,TODAY())&lt;5,"Risco Médio",""),IF(NETWORKDAYS(C2355,TODAY())&lt;=2,"Risco Baixo",""))))</f>
        <v>Expedido</v>
      </c>
      <c r="P2355" s="5" t="s">
        <v>25</v>
      </c>
      <c r="Q2355" s="5" t="s">
        <v>793</v>
      </c>
      <c r="S2355" s="7">
        <f>IF(ISBLANK(M2355),"Aguardando Previsão/Data",NETWORKDAYS(L2355,M2355)-1)</f>
        <v>-3</v>
      </c>
      <c r="T2355" s="5" t="s">
        <v>942</v>
      </c>
    </row>
    <row r="2356" spans="1:20" x14ac:dyDescent="0.35">
      <c r="A2356" s="5">
        <v>8100279225</v>
      </c>
      <c r="B2356" s="5">
        <v>10873</v>
      </c>
      <c r="C2356" s="6">
        <v>45674</v>
      </c>
      <c r="D2356" s="5" t="s">
        <v>239</v>
      </c>
      <c r="E2356" s="5" t="s">
        <v>240</v>
      </c>
      <c r="F2356" s="5" t="s">
        <v>176</v>
      </c>
      <c r="G2356" s="5" t="s">
        <v>177</v>
      </c>
      <c r="H2356" s="5" t="s">
        <v>218</v>
      </c>
      <c r="I2356" s="5" t="s">
        <v>324</v>
      </c>
      <c r="J2356" s="5" t="s">
        <v>325</v>
      </c>
      <c r="K2356" s="5" t="s">
        <v>241</v>
      </c>
      <c r="L2356" s="6">
        <v>45684</v>
      </c>
      <c r="M2356" s="6">
        <v>45681</v>
      </c>
      <c r="N2356" s="6" t="s">
        <v>811</v>
      </c>
      <c r="O2356" s="5" t="str">
        <f ca="1">IF(P2356&lt;&gt;"EXPEDIÇÃO","Expedido",IF(NETWORKDAYS(C2356,TODAY())&gt;=5,"Risco Alto",IF(NETWORKDAYS(C2356,TODAY())&gt;=3,IF(NETWORKDAYS(C2356,TODAY())&lt;5,"Risco Médio",""),IF(NETWORKDAYS(C2356,TODAY())&lt;=2,"Risco Baixo",""))))</f>
        <v>Expedido</v>
      </c>
      <c r="P2356" s="5" t="s">
        <v>25</v>
      </c>
      <c r="Q2356" s="5" t="s">
        <v>793</v>
      </c>
      <c r="S2356" s="7">
        <f>IF(ISBLANK(M2356),"Aguardando Previsão/Data",NETWORKDAYS(L2356,M2356)-1)</f>
        <v>-3</v>
      </c>
      <c r="T2356" s="5" t="s">
        <v>942</v>
      </c>
    </row>
    <row r="2357" spans="1:20" x14ac:dyDescent="0.35">
      <c r="A2357" s="5">
        <v>8100279262</v>
      </c>
      <c r="B2357" s="5">
        <v>10865</v>
      </c>
      <c r="C2357" s="6">
        <v>45674</v>
      </c>
      <c r="D2357" s="5" t="s">
        <v>239</v>
      </c>
      <c r="E2357" s="5" t="s">
        <v>240</v>
      </c>
      <c r="F2357" s="5" t="s">
        <v>176</v>
      </c>
      <c r="G2357" s="5" t="s">
        <v>177</v>
      </c>
      <c r="H2357" s="5" t="s">
        <v>218</v>
      </c>
      <c r="I2357" s="5" t="s">
        <v>429</v>
      </c>
      <c r="J2357" s="5" t="s">
        <v>430</v>
      </c>
      <c r="K2357" s="5" t="s">
        <v>241</v>
      </c>
      <c r="L2357" s="6">
        <v>45681</v>
      </c>
      <c r="M2357" s="6">
        <v>45684</v>
      </c>
      <c r="N2357" s="6" t="s">
        <v>811</v>
      </c>
      <c r="O2357" s="5" t="str">
        <f ca="1">IF(P2357&lt;&gt;"EXPEDIÇÃO","Expedido",IF(NETWORKDAYS(C2357,TODAY())&gt;=5,"Risco Alto",IF(NETWORKDAYS(C2357,TODAY())&gt;=3,IF(NETWORKDAYS(C2357,TODAY())&lt;5,"Risco Médio",""),IF(NETWORKDAYS(C2357,TODAY())&lt;=2,"Risco Baixo",""))))</f>
        <v>Expedido</v>
      </c>
      <c r="P2357" s="5" t="s">
        <v>25</v>
      </c>
      <c r="Q2357" s="5" t="s">
        <v>897</v>
      </c>
      <c r="S2357" s="7">
        <f>IF(ISBLANK(M2357),"Aguardando Previsão/Data",NETWORKDAYS(L2357,M2357)-1)</f>
        <v>1</v>
      </c>
      <c r="T2357" s="5" t="s">
        <v>942</v>
      </c>
    </row>
    <row r="2358" spans="1:20" x14ac:dyDescent="0.35">
      <c r="A2358" s="5">
        <v>8100279263</v>
      </c>
      <c r="B2358" s="5">
        <v>10866</v>
      </c>
      <c r="C2358" s="6">
        <v>45674</v>
      </c>
      <c r="D2358" s="5" t="s">
        <v>239</v>
      </c>
      <c r="E2358" s="5" t="s">
        <v>240</v>
      </c>
      <c r="F2358" s="5" t="s">
        <v>176</v>
      </c>
      <c r="G2358" s="5" t="s">
        <v>177</v>
      </c>
      <c r="H2358" s="5" t="s">
        <v>218</v>
      </c>
      <c r="I2358" s="5" t="s">
        <v>429</v>
      </c>
      <c r="J2358" s="5" t="s">
        <v>430</v>
      </c>
      <c r="K2358" s="5" t="s">
        <v>241</v>
      </c>
      <c r="L2358" s="6">
        <v>45681</v>
      </c>
      <c r="M2358" s="6">
        <v>45684</v>
      </c>
      <c r="N2358" s="6" t="s">
        <v>811</v>
      </c>
      <c r="O2358" s="5" t="str">
        <f ca="1">IF(P2358&lt;&gt;"EXPEDIÇÃO","Expedido",IF(NETWORKDAYS(C2358,TODAY())&gt;=5,"Risco Alto",IF(NETWORKDAYS(C2358,TODAY())&gt;=3,IF(NETWORKDAYS(C2358,TODAY())&lt;5,"Risco Médio",""),IF(NETWORKDAYS(C2358,TODAY())&lt;=2,"Risco Baixo",""))))</f>
        <v>Expedido</v>
      </c>
      <c r="P2358" s="5" t="s">
        <v>25</v>
      </c>
      <c r="Q2358" s="5" t="s">
        <v>897</v>
      </c>
      <c r="S2358" s="7">
        <f>IF(ISBLANK(M2358),"Aguardando Previsão/Data",NETWORKDAYS(L2358,M2358)-1)</f>
        <v>1</v>
      </c>
      <c r="T2358" s="5" t="s">
        <v>942</v>
      </c>
    </row>
    <row r="2359" spans="1:20" x14ac:dyDescent="0.35">
      <c r="A2359" s="5">
        <v>8100279279</v>
      </c>
      <c r="B2359" s="5">
        <v>10867</v>
      </c>
      <c r="C2359" s="6">
        <v>45674</v>
      </c>
      <c r="D2359" s="5" t="s">
        <v>239</v>
      </c>
      <c r="E2359" s="5" t="s">
        <v>240</v>
      </c>
      <c r="F2359" s="5" t="s">
        <v>176</v>
      </c>
      <c r="G2359" s="5" t="s">
        <v>177</v>
      </c>
      <c r="H2359" s="5" t="s">
        <v>218</v>
      </c>
      <c r="I2359" s="5" t="s">
        <v>429</v>
      </c>
      <c r="J2359" s="5" t="s">
        <v>430</v>
      </c>
      <c r="K2359" s="5" t="s">
        <v>241</v>
      </c>
      <c r="L2359" s="6">
        <v>45681</v>
      </c>
      <c r="M2359" s="6">
        <v>45684</v>
      </c>
      <c r="N2359" s="6" t="s">
        <v>811</v>
      </c>
      <c r="O2359" s="5" t="str">
        <f ca="1">IF(P2359&lt;&gt;"EXPEDIÇÃO","Expedido",IF(NETWORKDAYS(C2359,TODAY())&gt;=5,"Risco Alto",IF(NETWORKDAYS(C2359,TODAY())&gt;=3,IF(NETWORKDAYS(C2359,TODAY())&lt;5,"Risco Médio",""),IF(NETWORKDAYS(C2359,TODAY())&lt;=2,"Risco Baixo",""))))</f>
        <v>Expedido</v>
      </c>
      <c r="P2359" s="5" t="s">
        <v>25</v>
      </c>
      <c r="Q2359" s="5" t="s">
        <v>897</v>
      </c>
      <c r="S2359" s="7">
        <f>IF(ISBLANK(M2359),"Aguardando Previsão/Data",NETWORKDAYS(L2359,M2359)-1)</f>
        <v>1</v>
      </c>
      <c r="T2359" s="5" t="s">
        <v>942</v>
      </c>
    </row>
    <row r="2360" spans="1:20" x14ac:dyDescent="0.35">
      <c r="A2360" s="5">
        <v>8100274386</v>
      </c>
      <c r="B2360" s="5">
        <v>19437</v>
      </c>
      <c r="C2360" s="6">
        <v>45674</v>
      </c>
      <c r="D2360" s="5" t="s">
        <v>106</v>
      </c>
      <c r="E2360" s="5" t="s">
        <v>107</v>
      </c>
      <c r="F2360" s="5" t="s">
        <v>58</v>
      </c>
      <c r="G2360" s="5" t="s">
        <v>59</v>
      </c>
      <c r="H2360" s="5" t="s">
        <v>218</v>
      </c>
      <c r="I2360" s="5" t="s">
        <v>519</v>
      </c>
      <c r="J2360" s="5" t="s">
        <v>640</v>
      </c>
      <c r="K2360" s="5" t="s">
        <v>233</v>
      </c>
      <c r="L2360" s="6">
        <v>45693</v>
      </c>
      <c r="M2360" s="6">
        <v>45694</v>
      </c>
      <c r="N2360" s="6" t="s">
        <v>812</v>
      </c>
      <c r="O2360" s="5" t="str">
        <f ca="1">IF(P2360&lt;&gt;"EXPEDIÇÃO","Expedido",IF(NETWORKDAYS(C2360,TODAY())&gt;=5,"Risco Alto",IF(NETWORKDAYS(C2360,TODAY())&gt;=3,IF(NETWORKDAYS(C2360,TODAY())&lt;5,"Risco Médio",""),IF(NETWORKDAYS(C2360,TODAY())&lt;=2,"Risco Baixo",""))))</f>
        <v>Expedido</v>
      </c>
      <c r="P2360" s="5" t="s">
        <v>617</v>
      </c>
      <c r="S2360" s="7">
        <f>IF(ISBLANK(M2360),"Aguardando Previsão/Data",NETWORKDAYS(L2360,M2360)-1)</f>
        <v>1</v>
      </c>
    </row>
    <row r="2361" spans="1:20" x14ac:dyDescent="0.35">
      <c r="A2361" s="5">
        <v>8100277753</v>
      </c>
      <c r="B2361" s="5">
        <v>19438</v>
      </c>
      <c r="C2361" s="6">
        <v>45674</v>
      </c>
      <c r="D2361" s="5" t="s">
        <v>106</v>
      </c>
      <c r="E2361" s="5" t="s">
        <v>107</v>
      </c>
      <c r="F2361" s="5" t="s">
        <v>58</v>
      </c>
      <c r="G2361" s="5" t="s">
        <v>59</v>
      </c>
      <c r="H2361" s="5" t="s">
        <v>218</v>
      </c>
      <c r="I2361" s="5" t="s">
        <v>519</v>
      </c>
      <c r="J2361" s="5" t="s">
        <v>640</v>
      </c>
      <c r="K2361" s="5" t="s">
        <v>233</v>
      </c>
      <c r="L2361" s="6">
        <v>45693</v>
      </c>
      <c r="M2361" s="6">
        <v>45694</v>
      </c>
      <c r="N2361" s="6" t="s">
        <v>812</v>
      </c>
      <c r="O2361" s="5" t="str">
        <f ca="1">IF(P2361&lt;&gt;"EXPEDIÇÃO","Expedido",IF(NETWORKDAYS(C2361,TODAY())&gt;=5,"Risco Alto",IF(NETWORKDAYS(C2361,TODAY())&gt;=3,IF(NETWORKDAYS(C2361,TODAY())&lt;5,"Risco Médio",""),IF(NETWORKDAYS(C2361,TODAY())&lt;=2,"Risco Baixo",""))))</f>
        <v>Expedido</v>
      </c>
      <c r="P2361" s="5" t="s">
        <v>617</v>
      </c>
      <c r="S2361" s="7">
        <f>IF(ISBLANK(M2361),"Aguardando Previsão/Data",NETWORKDAYS(L2361,M2361)-1)</f>
        <v>1</v>
      </c>
    </row>
    <row r="2362" spans="1:20" x14ac:dyDescent="0.35">
      <c r="A2362" s="5">
        <v>8100278784</v>
      </c>
      <c r="B2362" s="5">
        <v>19398</v>
      </c>
      <c r="C2362" s="6">
        <v>45674</v>
      </c>
      <c r="D2362" s="5" t="s">
        <v>106</v>
      </c>
      <c r="E2362" s="5" t="s">
        <v>107</v>
      </c>
      <c r="F2362" s="5" t="s">
        <v>58</v>
      </c>
      <c r="G2362" s="5" t="s">
        <v>59</v>
      </c>
      <c r="H2362" s="5" t="s">
        <v>218</v>
      </c>
      <c r="I2362" s="5" t="s">
        <v>237</v>
      </c>
      <c r="J2362" s="5" t="s">
        <v>220</v>
      </c>
      <c r="K2362" s="5" t="s">
        <v>221</v>
      </c>
      <c r="L2362" s="6">
        <v>45691</v>
      </c>
      <c r="M2362" s="6">
        <v>45685</v>
      </c>
      <c r="N2362" s="6" t="s">
        <v>811</v>
      </c>
      <c r="O2362" s="5" t="str">
        <f ca="1">IF(P2362&lt;&gt;"EXPEDIÇÃO","Expedido",IF(NETWORKDAYS(C2362,TODAY())&gt;=5,"Risco Alto",IF(NETWORKDAYS(C2362,TODAY())&gt;=3,IF(NETWORKDAYS(C2362,TODAY())&lt;5,"Risco Médio",""),IF(NETWORKDAYS(C2362,TODAY())&lt;=2,"Risco Baixo",""))))</f>
        <v>Expedido</v>
      </c>
      <c r="P2362" s="5" t="s">
        <v>25</v>
      </c>
      <c r="S2362" s="7">
        <f>IF(ISBLANK(M2362),"Aguardando Previsão/Data",NETWORKDAYS(L2362,M2362)-1)</f>
        <v>-6</v>
      </c>
      <c r="T2362" s="5" t="s">
        <v>942</v>
      </c>
    </row>
    <row r="2363" spans="1:20" x14ac:dyDescent="0.35">
      <c r="A2363" s="5">
        <v>8100279036</v>
      </c>
      <c r="B2363" s="5">
        <v>19395</v>
      </c>
      <c r="C2363" s="6">
        <v>45674</v>
      </c>
      <c r="D2363" s="5" t="s">
        <v>106</v>
      </c>
      <c r="E2363" s="5" t="s">
        <v>107</v>
      </c>
      <c r="F2363" s="5" t="s">
        <v>58</v>
      </c>
      <c r="G2363" s="5" t="s">
        <v>59</v>
      </c>
      <c r="H2363" s="5" t="s">
        <v>218</v>
      </c>
      <c r="I2363" s="5" t="s">
        <v>384</v>
      </c>
      <c r="J2363" s="5" t="s">
        <v>487</v>
      </c>
      <c r="K2363" s="5" t="s">
        <v>226</v>
      </c>
      <c r="L2363" s="6">
        <v>45693</v>
      </c>
      <c r="M2363" s="6">
        <v>45686</v>
      </c>
      <c r="N2363" s="6" t="s">
        <v>811</v>
      </c>
      <c r="O2363" s="5" t="str">
        <f ca="1">IF(P2363&lt;&gt;"EXPEDIÇÃO","Expedido",IF(NETWORKDAYS(C2363,TODAY())&gt;=5,"Risco Alto",IF(NETWORKDAYS(C2363,TODAY())&gt;=3,IF(NETWORKDAYS(C2363,TODAY())&lt;5,"Risco Médio",""),IF(NETWORKDAYS(C2363,TODAY())&lt;=2,"Risco Baixo",""))))</f>
        <v>Expedido</v>
      </c>
      <c r="P2363" s="5" t="s">
        <v>25</v>
      </c>
      <c r="S2363" s="7">
        <f>IF(ISBLANK(M2363),"Aguardando Previsão/Data",NETWORKDAYS(L2363,M2363)-1)</f>
        <v>-7</v>
      </c>
      <c r="T2363" s="5" t="s">
        <v>942</v>
      </c>
    </row>
    <row r="2364" spans="1:20" x14ac:dyDescent="0.35">
      <c r="A2364" s="5">
        <v>8100279037</v>
      </c>
      <c r="B2364" s="5">
        <v>19399</v>
      </c>
      <c r="C2364" s="6">
        <v>45674</v>
      </c>
      <c r="D2364" s="5" t="s">
        <v>106</v>
      </c>
      <c r="E2364" s="5" t="s">
        <v>107</v>
      </c>
      <c r="F2364" s="5" t="s">
        <v>58</v>
      </c>
      <c r="G2364" s="5" t="s">
        <v>59</v>
      </c>
      <c r="H2364" s="5" t="s">
        <v>218</v>
      </c>
      <c r="I2364" s="5" t="s">
        <v>237</v>
      </c>
      <c r="J2364" s="5" t="s">
        <v>220</v>
      </c>
      <c r="K2364" s="5" t="s">
        <v>221</v>
      </c>
      <c r="L2364" s="6">
        <v>45691</v>
      </c>
      <c r="M2364" s="6">
        <v>45685</v>
      </c>
      <c r="N2364" s="6" t="s">
        <v>811</v>
      </c>
      <c r="O2364" s="5" t="str">
        <f ca="1">IF(P2364&lt;&gt;"EXPEDIÇÃO","Expedido",IF(NETWORKDAYS(C2364,TODAY())&gt;=5,"Risco Alto",IF(NETWORKDAYS(C2364,TODAY())&gt;=3,IF(NETWORKDAYS(C2364,TODAY())&lt;5,"Risco Médio",""),IF(NETWORKDAYS(C2364,TODAY())&lt;=2,"Risco Baixo",""))))</f>
        <v>Expedido</v>
      </c>
      <c r="P2364" s="5" t="s">
        <v>25</v>
      </c>
      <c r="S2364" s="7">
        <f>IF(ISBLANK(M2364),"Aguardando Previsão/Data",NETWORKDAYS(L2364,M2364)-1)</f>
        <v>-6</v>
      </c>
      <c r="T2364" s="5" t="s">
        <v>942</v>
      </c>
    </row>
    <row r="2365" spans="1:20" x14ac:dyDescent="0.35">
      <c r="A2365" s="5">
        <v>8100279038</v>
      </c>
      <c r="B2365" s="5">
        <v>19400</v>
      </c>
      <c r="C2365" s="6">
        <v>45674</v>
      </c>
      <c r="D2365" s="5" t="s">
        <v>106</v>
      </c>
      <c r="E2365" s="5" t="s">
        <v>107</v>
      </c>
      <c r="F2365" s="5" t="s">
        <v>58</v>
      </c>
      <c r="G2365" s="5" t="s">
        <v>59</v>
      </c>
      <c r="H2365" s="5" t="s">
        <v>218</v>
      </c>
      <c r="I2365" s="5" t="s">
        <v>237</v>
      </c>
      <c r="J2365" s="5" t="s">
        <v>220</v>
      </c>
      <c r="K2365" s="5" t="s">
        <v>221</v>
      </c>
      <c r="L2365" s="6">
        <v>45691</v>
      </c>
      <c r="M2365" s="6">
        <v>45685</v>
      </c>
      <c r="N2365" s="6" t="s">
        <v>811</v>
      </c>
      <c r="O2365" s="5" t="str">
        <f ca="1">IF(P2365&lt;&gt;"EXPEDIÇÃO","Expedido",IF(NETWORKDAYS(C2365,TODAY())&gt;=5,"Risco Alto",IF(NETWORKDAYS(C2365,TODAY())&gt;=3,IF(NETWORKDAYS(C2365,TODAY())&lt;5,"Risco Médio",""),IF(NETWORKDAYS(C2365,TODAY())&lt;=2,"Risco Baixo",""))))</f>
        <v>Expedido</v>
      </c>
      <c r="P2365" s="5" t="s">
        <v>25</v>
      </c>
      <c r="S2365" s="7">
        <f>IF(ISBLANK(M2365),"Aguardando Previsão/Data",NETWORKDAYS(L2365,M2365)-1)</f>
        <v>-6</v>
      </c>
      <c r="T2365" s="5" t="s">
        <v>942</v>
      </c>
    </row>
    <row r="2366" spans="1:20" x14ac:dyDescent="0.35">
      <c r="A2366" s="5">
        <v>8100279039</v>
      </c>
      <c r="B2366" s="5">
        <v>19401</v>
      </c>
      <c r="C2366" s="6">
        <v>45674</v>
      </c>
      <c r="D2366" s="5" t="s">
        <v>106</v>
      </c>
      <c r="E2366" s="5" t="s">
        <v>107</v>
      </c>
      <c r="F2366" s="5" t="s">
        <v>58</v>
      </c>
      <c r="G2366" s="5" t="s">
        <v>59</v>
      </c>
      <c r="H2366" s="5" t="s">
        <v>218</v>
      </c>
      <c r="I2366" s="5" t="s">
        <v>237</v>
      </c>
      <c r="J2366" s="5" t="s">
        <v>220</v>
      </c>
      <c r="K2366" s="5" t="s">
        <v>221</v>
      </c>
      <c r="L2366" s="6">
        <v>45691</v>
      </c>
      <c r="M2366" s="6">
        <v>45685</v>
      </c>
      <c r="N2366" s="6" t="s">
        <v>811</v>
      </c>
      <c r="O2366" s="5" t="str">
        <f ca="1">IF(P2366&lt;&gt;"EXPEDIÇÃO","Expedido",IF(NETWORKDAYS(C2366,TODAY())&gt;=5,"Risco Alto",IF(NETWORKDAYS(C2366,TODAY())&gt;=3,IF(NETWORKDAYS(C2366,TODAY())&lt;5,"Risco Médio",""),IF(NETWORKDAYS(C2366,TODAY())&lt;=2,"Risco Baixo",""))))</f>
        <v>Expedido</v>
      </c>
      <c r="P2366" s="5" t="s">
        <v>25</v>
      </c>
      <c r="S2366" s="7">
        <f>IF(ISBLANK(M2366),"Aguardando Previsão/Data",NETWORKDAYS(L2366,M2366)-1)</f>
        <v>-6</v>
      </c>
      <c r="T2366" s="5" t="s">
        <v>942</v>
      </c>
    </row>
    <row r="2367" spans="1:20" x14ac:dyDescent="0.35">
      <c r="A2367" s="5">
        <v>8100279043</v>
      </c>
      <c r="B2367" s="5">
        <v>19404</v>
      </c>
      <c r="C2367" s="6">
        <v>45674</v>
      </c>
      <c r="D2367" s="5" t="s">
        <v>106</v>
      </c>
      <c r="E2367" s="5" t="s">
        <v>107</v>
      </c>
      <c r="F2367" s="5" t="s">
        <v>58</v>
      </c>
      <c r="G2367" s="5" t="s">
        <v>59</v>
      </c>
      <c r="H2367" s="5" t="s">
        <v>218</v>
      </c>
      <c r="I2367" s="5" t="s">
        <v>225</v>
      </c>
      <c r="J2367" s="5" t="s">
        <v>518</v>
      </c>
      <c r="K2367" s="5" t="s">
        <v>233</v>
      </c>
      <c r="L2367" s="6">
        <v>45693</v>
      </c>
      <c r="M2367" s="6">
        <v>45694</v>
      </c>
      <c r="N2367" s="6" t="s">
        <v>812</v>
      </c>
      <c r="O2367" s="5" t="str">
        <f ca="1">IF(P2367&lt;&gt;"EXPEDIÇÃO","Expedido",IF(NETWORKDAYS(C2367,TODAY())&gt;=5,"Risco Alto",IF(NETWORKDAYS(C2367,TODAY())&gt;=3,IF(NETWORKDAYS(C2367,TODAY())&lt;5,"Risco Médio",""),IF(NETWORKDAYS(C2367,TODAY())&lt;=2,"Risco Baixo",""))))</f>
        <v>Expedido</v>
      </c>
      <c r="P2367" s="5" t="s">
        <v>617</v>
      </c>
      <c r="S2367" s="7">
        <f>IF(ISBLANK(M2367),"Aguardando Previsão/Data",NETWORKDAYS(L2367,M2367)-1)</f>
        <v>1</v>
      </c>
    </row>
    <row r="2368" spans="1:20" x14ac:dyDescent="0.35">
      <c r="A2368" s="5">
        <v>8100279046</v>
      </c>
      <c r="B2368" s="5">
        <v>19393</v>
      </c>
      <c r="C2368" s="6">
        <v>45674</v>
      </c>
      <c r="D2368" s="5" t="s">
        <v>106</v>
      </c>
      <c r="E2368" s="5" t="s">
        <v>107</v>
      </c>
      <c r="F2368" s="5" t="s">
        <v>58</v>
      </c>
      <c r="G2368" s="5" t="s">
        <v>59</v>
      </c>
      <c r="H2368" s="5" t="s">
        <v>218</v>
      </c>
      <c r="I2368" s="5" t="s">
        <v>222</v>
      </c>
      <c r="J2368" s="5" t="s">
        <v>220</v>
      </c>
      <c r="K2368" s="5" t="s">
        <v>221</v>
      </c>
      <c r="L2368" s="6">
        <v>45691</v>
      </c>
      <c r="M2368" s="6">
        <v>45686</v>
      </c>
      <c r="N2368" s="6" t="s">
        <v>811</v>
      </c>
      <c r="O2368" s="5" t="str">
        <f ca="1">IF(P2368&lt;&gt;"EXPEDIÇÃO","Expedido",IF(NETWORKDAYS(C2368,TODAY())&gt;=5,"Risco Alto",IF(NETWORKDAYS(C2368,TODAY())&gt;=3,IF(NETWORKDAYS(C2368,TODAY())&lt;5,"Risco Médio",""),IF(NETWORKDAYS(C2368,TODAY())&lt;=2,"Risco Baixo",""))))</f>
        <v>Expedido</v>
      </c>
      <c r="P2368" s="5" t="s">
        <v>25</v>
      </c>
      <c r="S2368" s="7">
        <f>IF(ISBLANK(M2368),"Aguardando Previsão/Data",NETWORKDAYS(L2368,M2368)-1)</f>
        <v>-5</v>
      </c>
      <c r="T2368" s="5" t="s">
        <v>942</v>
      </c>
    </row>
    <row r="2369" spans="1:20" x14ac:dyDescent="0.35">
      <c r="A2369" s="5">
        <v>8100279050</v>
      </c>
      <c r="B2369" s="5">
        <v>19403</v>
      </c>
      <c r="C2369" s="6">
        <v>45674</v>
      </c>
      <c r="D2369" s="5" t="s">
        <v>106</v>
      </c>
      <c r="E2369" s="5" t="s">
        <v>107</v>
      </c>
      <c r="F2369" s="5" t="s">
        <v>58</v>
      </c>
      <c r="G2369" s="5" t="s">
        <v>59</v>
      </c>
      <c r="H2369" s="5" t="s">
        <v>218</v>
      </c>
      <c r="I2369" s="5" t="s">
        <v>230</v>
      </c>
      <c r="J2369" s="5" t="s">
        <v>684</v>
      </c>
      <c r="K2369" s="5" t="s">
        <v>238</v>
      </c>
      <c r="L2369" s="6">
        <v>45693</v>
      </c>
      <c r="M2369" s="6">
        <v>45693</v>
      </c>
      <c r="N2369" s="6" t="s">
        <v>811</v>
      </c>
      <c r="O2369" s="5" t="str">
        <f ca="1">IF(P2369&lt;&gt;"EXPEDIÇÃO","Expedido",IF(NETWORKDAYS(C2369,TODAY())&gt;=5,"Risco Alto",IF(NETWORKDAYS(C2369,TODAY())&gt;=3,IF(NETWORKDAYS(C2369,TODAY())&lt;5,"Risco Médio",""),IF(NETWORKDAYS(C2369,TODAY())&lt;=2,"Risco Baixo",""))))</f>
        <v>Expedido</v>
      </c>
      <c r="P2369" s="5" t="s">
        <v>617</v>
      </c>
      <c r="S2369" s="7">
        <f>IF(ISBLANK(M2369),"Aguardando Previsão/Data",NETWORKDAYS(L2369,M2369)-1)</f>
        <v>0</v>
      </c>
    </row>
    <row r="2370" spans="1:20" x14ac:dyDescent="0.35">
      <c r="A2370" s="5">
        <v>8100279052</v>
      </c>
      <c r="B2370" s="5">
        <v>19396</v>
      </c>
      <c r="C2370" s="6">
        <v>45674</v>
      </c>
      <c r="D2370" s="5" t="s">
        <v>106</v>
      </c>
      <c r="E2370" s="5" t="s">
        <v>107</v>
      </c>
      <c r="F2370" s="5" t="s">
        <v>58</v>
      </c>
      <c r="G2370" s="5" t="s">
        <v>59</v>
      </c>
      <c r="H2370" s="5" t="s">
        <v>218</v>
      </c>
      <c r="I2370" s="5" t="s">
        <v>223</v>
      </c>
      <c r="J2370" s="5" t="s">
        <v>224</v>
      </c>
      <c r="K2370" s="5" t="s">
        <v>221</v>
      </c>
      <c r="L2370" s="6">
        <v>45692</v>
      </c>
      <c r="M2370" s="6">
        <v>45686</v>
      </c>
      <c r="N2370" s="6" t="s">
        <v>811</v>
      </c>
      <c r="O2370" s="5" t="str">
        <f ca="1">IF(P2370&lt;&gt;"EXPEDIÇÃO","Expedido",IF(NETWORKDAYS(C2370,TODAY())&gt;=5,"Risco Alto",IF(NETWORKDAYS(C2370,TODAY())&gt;=3,IF(NETWORKDAYS(C2370,TODAY())&lt;5,"Risco Médio",""),IF(NETWORKDAYS(C2370,TODAY())&lt;=2,"Risco Baixo",""))))</f>
        <v>Expedido</v>
      </c>
      <c r="P2370" s="5" t="s">
        <v>25</v>
      </c>
      <c r="S2370" s="7">
        <f>IF(ISBLANK(M2370),"Aguardando Previsão/Data",NETWORKDAYS(L2370,M2370)-1)</f>
        <v>-6</v>
      </c>
      <c r="T2370" s="5" t="s">
        <v>942</v>
      </c>
    </row>
    <row r="2371" spans="1:20" x14ac:dyDescent="0.35">
      <c r="A2371" s="5">
        <v>8100279053</v>
      </c>
      <c r="B2371" s="5">
        <v>19397</v>
      </c>
      <c r="C2371" s="6">
        <v>45674</v>
      </c>
      <c r="D2371" s="5" t="s">
        <v>106</v>
      </c>
      <c r="E2371" s="5" t="s">
        <v>107</v>
      </c>
      <c r="F2371" s="5" t="s">
        <v>58</v>
      </c>
      <c r="G2371" s="5" t="s">
        <v>59</v>
      </c>
      <c r="H2371" s="5" t="s">
        <v>218</v>
      </c>
      <c r="I2371" s="5" t="s">
        <v>223</v>
      </c>
      <c r="J2371" s="5" t="s">
        <v>224</v>
      </c>
      <c r="K2371" s="5" t="s">
        <v>221</v>
      </c>
      <c r="L2371" s="6">
        <v>45692</v>
      </c>
      <c r="M2371" s="6">
        <v>45686</v>
      </c>
      <c r="N2371" s="6" t="s">
        <v>811</v>
      </c>
      <c r="O2371" s="5" t="str">
        <f ca="1">IF(P2371&lt;&gt;"EXPEDIÇÃO","Expedido",IF(NETWORKDAYS(C2371,TODAY())&gt;=5,"Risco Alto",IF(NETWORKDAYS(C2371,TODAY())&gt;=3,IF(NETWORKDAYS(C2371,TODAY())&lt;5,"Risco Médio",""),IF(NETWORKDAYS(C2371,TODAY())&lt;=2,"Risco Baixo",""))))</f>
        <v>Expedido</v>
      </c>
      <c r="P2371" s="5" t="s">
        <v>25</v>
      </c>
      <c r="S2371" s="7">
        <f>IF(ISBLANK(M2371),"Aguardando Previsão/Data",NETWORKDAYS(L2371,M2371)-1)</f>
        <v>-6</v>
      </c>
      <c r="T2371" s="5" t="s">
        <v>942</v>
      </c>
    </row>
    <row r="2372" spans="1:20" x14ac:dyDescent="0.35">
      <c r="A2372" s="5">
        <v>8100279054</v>
      </c>
      <c r="B2372" s="5">
        <v>19410</v>
      </c>
      <c r="C2372" s="6">
        <v>45674</v>
      </c>
      <c r="D2372" s="5" t="s">
        <v>106</v>
      </c>
      <c r="E2372" s="5" t="s">
        <v>107</v>
      </c>
      <c r="F2372" s="5" t="s">
        <v>58</v>
      </c>
      <c r="G2372" s="5" t="s">
        <v>59</v>
      </c>
      <c r="H2372" s="5" t="s">
        <v>218</v>
      </c>
      <c r="I2372" s="5" t="s">
        <v>219</v>
      </c>
      <c r="J2372" s="5" t="s">
        <v>220</v>
      </c>
      <c r="K2372" s="5" t="s">
        <v>221</v>
      </c>
      <c r="L2372" s="6">
        <v>45691</v>
      </c>
      <c r="M2372" s="6">
        <v>45686</v>
      </c>
      <c r="N2372" s="6" t="s">
        <v>811</v>
      </c>
      <c r="O2372" s="5" t="str">
        <f ca="1">IF(P2372&lt;&gt;"EXPEDIÇÃO","Expedido",IF(NETWORKDAYS(C2372,TODAY())&gt;=5,"Risco Alto",IF(NETWORKDAYS(C2372,TODAY())&gt;=3,IF(NETWORKDAYS(C2372,TODAY())&lt;5,"Risco Médio",""),IF(NETWORKDAYS(C2372,TODAY())&lt;=2,"Risco Baixo",""))))</f>
        <v>Expedido</v>
      </c>
      <c r="P2372" s="5" t="s">
        <v>25</v>
      </c>
      <c r="S2372" s="7">
        <f>IF(ISBLANK(M2372),"Aguardando Previsão/Data",NETWORKDAYS(L2372,M2372)-1)</f>
        <v>-5</v>
      </c>
      <c r="T2372" s="5" t="s">
        <v>942</v>
      </c>
    </row>
    <row r="2373" spans="1:20" x14ac:dyDescent="0.35">
      <c r="A2373" s="5">
        <v>8100279055</v>
      </c>
      <c r="B2373" s="5">
        <v>19411</v>
      </c>
      <c r="C2373" s="6">
        <v>45674</v>
      </c>
      <c r="D2373" s="5" t="s">
        <v>106</v>
      </c>
      <c r="E2373" s="5" t="s">
        <v>107</v>
      </c>
      <c r="F2373" s="5" t="s">
        <v>58</v>
      </c>
      <c r="G2373" s="5" t="s">
        <v>59</v>
      </c>
      <c r="H2373" s="5" t="s">
        <v>218</v>
      </c>
      <c r="I2373" s="5" t="s">
        <v>520</v>
      </c>
      <c r="J2373" s="5" t="s">
        <v>684</v>
      </c>
      <c r="K2373" s="5" t="s">
        <v>238</v>
      </c>
      <c r="L2373" s="6">
        <v>45693</v>
      </c>
      <c r="M2373" s="6">
        <v>45693</v>
      </c>
      <c r="N2373" s="6" t="s">
        <v>811</v>
      </c>
      <c r="O2373" s="5" t="str">
        <f ca="1">IF(P2373&lt;&gt;"EXPEDIÇÃO","Expedido",IF(NETWORKDAYS(C2373,TODAY())&gt;=5,"Risco Alto",IF(NETWORKDAYS(C2373,TODAY())&gt;=3,IF(NETWORKDAYS(C2373,TODAY())&lt;5,"Risco Médio",""),IF(NETWORKDAYS(C2373,TODAY())&lt;=2,"Risco Baixo",""))))</f>
        <v>Expedido</v>
      </c>
      <c r="P2373" s="5" t="s">
        <v>617</v>
      </c>
      <c r="S2373" s="7">
        <f>IF(ISBLANK(M2373),"Aguardando Previsão/Data",NETWORKDAYS(L2373,M2373)-1)</f>
        <v>0</v>
      </c>
    </row>
    <row r="2374" spans="1:20" x14ac:dyDescent="0.35">
      <c r="A2374" s="5">
        <v>8100279056</v>
      </c>
      <c r="B2374" s="5">
        <v>19409</v>
      </c>
      <c r="C2374" s="6">
        <v>45674</v>
      </c>
      <c r="D2374" s="5" t="s">
        <v>106</v>
      </c>
      <c r="E2374" s="5" t="s">
        <v>107</v>
      </c>
      <c r="F2374" s="5" t="s">
        <v>58</v>
      </c>
      <c r="G2374" s="5" t="s">
        <v>59</v>
      </c>
      <c r="H2374" s="5" t="s">
        <v>218</v>
      </c>
      <c r="I2374" s="5" t="s">
        <v>317</v>
      </c>
      <c r="J2374" s="5" t="s">
        <v>770</v>
      </c>
      <c r="K2374" s="5" t="s">
        <v>238</v>
      </c>
      <c r="L2374" s="6">
        <v>45693</v>
      </c>
      <c r="M2374" s="6">
        <v>45693</v>
      </c>
      <c r="N2374" s="6" t="s">
        <v>811</v>
      </c>
      <c r="O2374" s="5" t="str">
        <f ca="1">IF(P2374&lt;&gt;"EXPEDIÇÃO","Expedido",IF(NETWORKDAYS(C2374,TODAY())&gt;=5,"Risco Alto",IF(NETWORKDAYS(C2374,TODAY())&gt;=3,IF(NETWORKDAYS(C2374,TODAY())&lt;5,"Risco Médio",""),IF(NETWORKDAYS(C2374,TODAY())&lt;=2,"Risco Baixo",""))))</f>
        <v>Expedido</v>
      </c>
      <c r="P2374" s="5" t="s">
        <v>617</v>
      </c>
      <c r="S2374" s="7">
        <f>IF(ISBLANK(M2374),"Aguardando Previsão/Data",NETWORKDAYS(L2374,M2374)-1)</f>
        <v>0</v>
      </c>
    </row>
    <row r="2375" spans="1:20" x14ac:dyDescent="0.35">
      <c r="A2375" s="5">
        <v>8100279057</v>
      </c>
      <c r="B2375" s="5">
        <v>19402</v>
      </c>
      <c r="C2375" s="6">
        <v>45674</v>
      </c>
      <c r="D2375" s="5" t="s">
        <v>106</v>
      </c>
      <c r="E2375" s="5" t="s">
        <v>107</v>
      </c>
      <c r="F2375" s="5" t="s">
        <v>58</v>
      </c>
      <c r="G2375" s="5" t="s">
        <v>59</v>
      </c>
      <c r="H2375" s="5" t="s">
        <v>218</v>
      </c>
      <c r="I2375" s="5" t="s">
        <v>412</v>
      </c>
      <c r="J2375" s="5" t="s">
        <v>413</v>
      </c>
      <c r="K2375" s="5" t="s">
        <v>238</v>
      </c>
      <c r="L2375" s="6">
        <v>45694</v>
      </c>
      <c r="M2375" s="6">
        <v>45695</v>
      </c>
      <c r="N2375" s="6" t="s">
        <v>812</v>
      </c>
      <c r="O2375" s="5" t="str">
        <f ca="1">IF(P2375&lt;&gt;"EXPEDIÇÃO","Expedido",IF(NETWORKDAYS(C2375,TODAY())&gt;=5,"Risco Alto",IF(NETWORKDAYS(C2375,TODAY())&gt;=3,IF(NETWORKDAYS(C2375,TODAY())&lt;5,"Risco Médio",""),IF(NETWORKDAYS(C2375,TODAY())&lt;=2,"Risco Baixo",""))))</f>
        <v>Expedido</v>
      </c>
      <c r="P2375" s="5" t="s">
        <v>617</v>
      </c>
      <c r="S2375" s="7">
        <f>IF(ISBLANK(M2375),"Aguardando Previsão/Data",NETWORKDAYS(L2375,M2375)-1)</f>
        <v>1</v>
      </c>
    </row>
    <row r="2376" spans="1:20" x14ac:dyDescent="0.35">
      <c r="A2376" s="5">
        <v>8100279060</v>
      </c>
      <c r="B2376" s="5">
        <v>19394</v>
      </c>
      <c r="C2376" s="6">
        <v>45674</v>
      </c>
      <c r="D2376" s="5" t="s">
        <v>106</v>
      </c>
      <c r="E2376" s="5" t="s">
        <v>107</v>
      </c>
      <c r="F2376" s="5" t="s">
        <v>199</v>
      </c>
      <c r="G2376" s="5" t="s">
        <v>200</v>
      </c>
      <c r="H2376" s="5" t="s">
        <v>218</v>
      </c>
      <c r="I2376" s="5" t="s">
        <v>720</v>
      </c>
      <c r="J2376" s="5" t="s">
        <v>721</v>
      </c>
      <c r="K2376" s="5" t="s">
        <v>722</v>
      </c>
      <c r="L2376" s="6">
        <v>45715</v>
      </c>
      <c r="M2376" s="6">
        <v>45715</v>
      </c>
      <c r="N2376" s="6" t="s">
        <v>811</v>
      </c>
      <c r="O2376" s="5" t="str">
        <f ca="1">IF(P2376&lt;&gt;"EXPEDIÇÃO","Expedido",IF(NETWORKDAYS(C2376,TODAY())&gt;=5,"Risco Alto",IF(NETWORKDAYS(C2376,TODAY())&gt;=3,IF(NETWORKDAYS(C2376,TODAY())&lt;5,"Risco Médio",""),IF(NETWORKDAYS(C2376,TODAY())&lt;=2,"Risco Baixo",""))))</f>
        <v>Expedido</v>
      </c>
      <c r="P2376" s="5" t="s">
        <v>617</v>
      </c>
      <c r="S2376" s="7">
        <f>IF(ISBLANK(M2376),"Aguardando Previsão/Data",NETWORKDAYS(L2376,M2376)-1)</f>
        <v>0</v>
      </c>
    </row>
    <row r="2377" spans="1:20" x14ac:dyDescent="0.35">
      <c r="A2377" s="5">
        <v>8100279066</v>
      </c>
      <c r="B2377" s="5">
        <v>19407</v>
      </c>
      <c r="C2377" s="6">
        <v>45674</v>
      </c>
      <c r="D2377" s="5" t="s">
        <v>106</v>
      </c>
      <c r="E2377" s="5" t="s">
        <v>107</v>
      </c>
      <c r="F2377" s="5" t="s">
        <v>58</v>
      </c>
      <c r="G2377" s="5" t="s">
        <v>59</v>
      </c>
      <c r="H2377" s="5" t="s">
        <v>218</v>
      </c>
      <c r="I2377" s="5" t="s">
        <v>412</v>
      </c>
      <c r="J2377" s="5" t="s">
        <v>413</v>
      </c>
      <c r="K2377" s="5" t="s">
        <v>238</v>
      </c>
      <c r="L2377" s="6">
        <v>45694</v>
      </c>
      <c r="M2377" s="6">
        <v>45695</v>
      </c>
      <c r="N2377" s="6" t="s">
        <v>812</v>
      </c>
      <c r="O2377" s="5" t="str">
        <f ca="1">IF(P2377&lt;&gt;"EXPEDIÇÃO","Expedido",IF(NETWORKDAYS(C2377,TODAY())&gt;=5,"Risco Alto",IF(NETWORKDAYS(C2377,TODAY())&gt;=3,IF(NETWORKDAYS(C2377,TODAY())&lt;5,"Risco Médio",""),IF(NETWORKDAYS(C2377,TODAY())&lt;=2,"Risco Baixo",""))))</f>
        <v>Expedido</v>
      </c>
      <c r="P2377" s="5" t="s">
        <v>617</v>
      </c>
      <c r="S2377" s="7">
        <f>IF(ISBLANK(M2377),"Aguardando Previsão/Data",NETWORKDAYS(L2377,M2377)-1)</f>
        <v>1</v>
      </c>
    </row>
    <row r="2378" spans="1:20" x14ac:dyDescent="0.35">
      <c r="A2378" s="5">
        <v>8100279070</v>
      </c>
      <c r="B2378" s="5">
        <v>19408</v>
      </c>
      <c r="C2378" s="6">
        <v>45674</v>
      </c>
      <c r="D2378" s="5" t="s">
        <v>106</v>
      </c>
      <c r="E2378" s="5" t="s">
        <v>107</v>
      </c>
      <c r="F2378" s="5" t="s">
        <v>58</v>
      </c>
      <c r="G2378" s="5" t="s">
        <v>59</v>
      </c>
      <c r="H2378" s="5" t="s">
        <v>218</v>
      </c>
      <c r="I2378" s="5" t="s">
        <v>384</v>
      </c>
      <c r="J2378" s="5" t="s">
        <v>220</v>
      </c>
      <c r="K2378" s="5" t="s">
        <v>221</v>
      </c>
      <c r="L2378" s="6">
        <v>45691</v>
      </c>
      <c r="M2378" s="6">
        <v>45686</v>
      </c>
      <c r="N2378" s="6" t="s">
        <v>811</v>
      </c>
      <c r="O2378" s="5" t="str">
        <f ca="1">IF(P2378&lt;&gt;"EXPEDIÇÃO","Expedido",IF(NETWORKDAYS(C2378,TODAY())&gt;=5,"Risco Alto",IF(NETWORKDAYS(C2378,TODAY())&gt;=3,IF(NETWORKDAYS(C2378,TODAY())&lt;5,"Risco Médio",""),IF(NETWORKDAYS(C2378,TODAY())&lt;=2,"Risco Baixo",""))))</f>
        <v>Expedido</v>
      </c>
      <c r="P2378" s="5" t="s">
        <v>25</v>
      </c>
      <c r="S2378" s="7">
        <f>IF(ISBLANK(M2378),"Aguardando Previsão/Data",NETWORKDAYS(L2378,M2378)-1)</f>
        <v>-5</v>
      </c>
      <c r="T2378" s="5" t="s">
        <v>942</v>
      </c>
    </row>
    <row r="2379" spans="1:20" x14ac:dyDescent="0.35">
      <c r="A2379" s="5">
        <v>8100279072</v>
      </c>
      <c r="B2379" s="5">
        <v>19405</v>
      </c>
      <c r="C2379" s="6">
        <v>45674</v>
      </c>
      <c r="D2379" s="5" t="s">
        <v>106</v>
      </c>
      <c r="E2379" s="5" t="s">
        <v>107</v>
      </c>
      <c r="F2379" s="5" t="s">
        <v>58</v>
      </c>
      <c r="G2379" s="5" t="s">
        <v>59</v>
      </c>
      <c r="H2379" s="5" t="s">
        <v>218</v>
      </c>
      <c r="I2379" s="5" t="s">
        <v>317</v>
      </c>
      <c r="J2379" s="5" t="s">
        <v>1099</v>
      </c>
      <c r="K2379" s="5" t="s">
        <v>233</v>
      </c>
      <c r="L2379" s="6">
        <v>45693</v>
      </c>
      <c r="M2379" s="6">
        <v>45693</v>
      </c>
      <c r="N2379" s="6" t="s">
        <v>811</v>
      </c>
      <c r="O2379" s="5" t="str">
        <f ca="1">IF(P2379&lt;&gt;"EXPEDIÇÃO","Expedido",IF(NETWORKDAYS(C2379,TODAY())&gt;=5,"Risco Alto",IF(NETWORKDAYS(C2379,TODAY())&gt;=3,IF(NETWORKDAYS(C2379,TODAY())&lt;5,"Risco Médio",""),IF(NETWORKDAYS(C2379,TODAY())&lt;=2,"Risco Baixo",""))))</f>
        <v>Expedido</v>
      </c>
      <c r="P2379" s="5" t="s">
        <v>617</v>
      </c>
      <c r="S2379" s="7">
        <f>IF(ISBLANK(M2379),"Aguardando Previsão/Data",NETWORKDAYS(L2379,M2379)-1)</f>
        <v>0</v>
      </c>
    </row>
    <row r="2380" spans="1:20" x14ac:dyDescent="0.35">
      <c r="A2380" s="5">
        <v>8100279084</v>
      </c>
      <c r="B2380" s="5">
        <v>19406</v>
      </c>
      <c r="C2380" s="6">
        <v>45674</v>
      </c>
      <c r="D2380" s="5" t="s">
        <v>106</v>
      </c>
      <c r="E2380" s="5" t="s">
        <v>107</v>
      </c>
      <c r="F2380" s="5" t="s">
        <v>58</v>
      </c>
      <c r="G2380" s="5" t="s">
        <v>59</v>
      </c>
      <c r="H2380" s="5" t="s">
        <v>218</v>
      </c>
      <c r="I2380" s="5" t="s">
        <v>223</v>
      </c>
      <c r="J2380" s="5" t="s">
        <v>224</v>
      </c>
      <c r="K2380" s="5" t="s">
        <v>221</v>
      </c>
      <c r="L2380" s="6">
        <v>45692</v>
      </c>
      <c r="M2380" s="6">
        <v>45686</v>
      </c>
      <c r="N2380" s="6" t="s">
        <v>811</v>
      </c>
      <c r="O2380" s="5" t="str">
        <f ca="1">IF(P2380&lt;&gt;"EXPEDIÇÃO","Expedido",IF(NETWORKDAYS(C2380,TODAY())&gt;=5,"Risco Alto",IF(NETWORKDAYS(C2380,TODAY())&gt;=3,IF(NETWORKDAYS(C2380,TODAY())&lt;5,"Risco Médio",""),IF(NETWORKDAYS(C2380,TODAY())&lt;=2,"Risco Baixo",""))))</f>
        <v>Expedido</v>
      </c>
      <c r="P2380" s="5" t="s">
        <v>25</v>
      </c>
      <c r="S2380" s="7">
        <f>IF(ISBLANK(M2380),"Aguardando Previsão/Data",NETWORKDAYS(L2380,M2380)-1)</f>
        <v>-6</v>
      </c>
      <c r="T2380" s="5" t="s">
        <v>942</v>
      </c>
    </row>
    <row r="2381" spans="1:20" x14ac:dyDescent="0.35">
      <c r="A2381" s="5">
        <v>8100278785</v>
      </c>
      <c r="B2381" s="5">
        <v>19374</v>
      </c>
      <c r="C2381" s="6">
        <v>45674</v>
      </c>
      <c r="D2381" s="5" t="s">
        <v>106</v>
      </c>
      <c r="E2381" s="5" t="s">
        <v>107</v>
      </c>
      <c r="F2381" s="5" t="s">
        <v>53</v>
      </c>
      <c r="G2381" s="5" t="s">
        <v>54</v>
      </c>
      <c r="H2381" s="5" t="s">
        <v>108</v>
      </c>
      <c r="I2381" s="5" t="s">
        <v>280</v>
      </c>
      <c r="J2381" s="5" t="s">
        <v>281</v>
      </c>
      <c r="K2381" s="5" t="s">
        <v>110</v>
      </c>
      <c r="L2381" s="6">
        <v>45681</v>
      </c>
      <c r="M2381" s="6">
        <v>45678</v>
      </c>
      <c r="N2381" s="5" t="s">
        <v>811</v>
      </c>
      <c r="O2381" s="5" t="str">
        <f ca="1">IF(P2381&lt;&gt;"EXPEDIÇÃO","Expedido",IF(NETWORKDAYS(C2381,TODAY())&gt;=5,"Risco Alto",IF(NETWORKDAYS(C2381,TODAY())&gt;=3,IF(NETWORKDAYS(C2381,TODAY())&lt;5,"Risco Médio",""),IF(NETWORKDAYS(C2381,TODAY())&lt;=2,"Risco Baixo",""))))</f>
        <v>Expedido</v>
      </c>
      <c r="P2381" s="5" t="s">
        <v>25</v>
      </c>
      <c r="S2381" s="7">
        <f>IF(ISBLANK(M2381),"Aguardando Previsão/Data",NETWORKDAYS(L2381,M2381)-1)</f>
        <v>-5</v>
      </c>
      <c r="T2381" s="5" t="s">
        <v>942</v>
      </c>
    </row>
    <row r="2382" spans="1:20" x14ac:dyDescent="0.35">
      <c r="A2382" s="5">
        <v>8100278795</v>
      </c>
      <c r="B2382" s="5">
        <v>19378</v>
      </c>
      <c r="C2382" s="6">
        <v>45674</v>
      </c>
      <c r="D2382" s="5" t="s">
        <v>106</v>
      </c>
      <c r="E2382" s="5" t="s">
        <v>107</v>
      </c>
      <c r="F2382" s="5" t="s">
        <v>53</v>
      </c>
      <c r="G2382" s="5" t="s">
        <v>54</v>
      </c>
      <c r="H2382" s="5" t="s">
        <v>108</v>
      </c>
      <c r="I2382" s="5" t="s">
        <v>341</v>
      </c>
      <c r="J2382" s="5" t="s">
        <v>109</v>
      </c>
      <c r="K2382" s="5" t="s">
        <v>110</v>
      </c>
      <c r="L2382" s="6">
        <v>45681</v>
      </c>
      <c r="M2382" s="6">
        <v>45677</v>
      </c>
      <c r="N2382" s="5" t="s">
        <v>811</v>
      </c>
      <c r="O2382" s="5" t="str">
        <f ca="1">IF(P2382&lt;&gt;"EXPEDIÇÃO","Expedido",IF(NETWORKDAYS(C2382,TODAY())&gt;=5,"Risco Alto",IF(NETWORKDAYS(C2382,TODAY())&gt;=3,IF(NETWORKDAYS(C2382,TODAY())&lt;5,"Risco Médio",""),IF(NETWORKDAYS(C2382,TODAY())&lt;=2,"Risco Baixo",""))))</f>
        <v>Expedido</v>
      </c>
      <c r="P2382" s="5" t="s">
        <v>25</v>
      </c>
      <c r="S2382" s="7">
        <f>IF(ISBLANK(M2382),"Aguardando Previsão/Data",NETWORKDAYS(L2382,M2382)-1)</f>
        <v>-6</v>
      </c>
      <c r="T2382" s="5" t="s">
        <v>942</v>
      </c>
    </row>
    <row r="2383" spans="1:20" x14ac:dyDescent="0.35">
      <c r="A2383" s="5">
        <v>8100278860</v>
      </c>
      <c r="B2383" s="5">
        <v>19373</v>
      </c>
      <c r="C2383" s="6">
        <v>45674</v>
      </c>
      <c r="D2383" s="5" t="s">
        <v>106</v>
      </c>
      <c r="E2383" s="5" t="s">
        <v>107</v>
      </c>
      <c r="F2383" s="5" t="s">
        <v>66</v>
      </c>
      <c r="G2383" s="5" t="s">
        <v>67</v>
      </c>
      <c r="H2383" s="5" t="s">
        <v>108</v>
      </c>
      <c r="I2383" s="5" t="s">
        <v>152</v>
      </c>
      <c r="J2383" s="5" t="s">
        <v>153</v>
      </c>
      <c r="K2383" s="5" t="s">
        <v>110</v>
      </c>
      <c r="L2383" s="6">
        <v>45681</v>
      </c>
      <c r="M2383" s="6">
        <v>45678</v>
      </c>
      <c r="N2383" s="5" t="s">
        <v>811</v>
      </c>
      <c r="O2383" s="5" t="str">
        <f ca="1">IF(P2383&lt;&gt;"EXPEDIÇÃO","Expedido",IF(NETWORKDAYS(C2383,TODAY())&gt;=5,"Risco Alto",IF(NETWORKDAYS(C2383,TODAY())&gt;=3,IF(NETWORKDAYS(C2383,TODAY())&lt;5,"Risco Médio",""),IF(NETWORKDAYS(C2383,TODAY())&lt;=2,"Risco Baixo",""))))</f>
        <v>Expedido</v>
      </c>
      <c r="P2383" s="5" t="s">
        <v>25</v>
      </c>
      <c r="S2383" s="7">
        <f>IF(ISBLANK(M2383),"Aguardando Previsão/Data",NETWORKDAYS(L2383,M2383)-1)</f>
        <v>-5</v>
      </c>
      <c r="T2383" s="5" t="s">
        <v>942</v>
      </c>
    </row>
    <row r="2384" spans="1:20" x14ac:dyDescent="0.35">
      <c r="A2384" s="5">
        <v>8100279040</v>
      </c>
      <c r="B2384" s="5">
        <v>19353</v>
      </c>
      <c r="C2384" s="6">
        <v>45674</v>
      </c>
      <c r="D2384" s="5" t="s">
        <v>106</v>
      </c>
      <c r="E2384" s="5" t="s">
        <v>107</v>
      </c>
      <c r="F2384" s="5" t="s">
        <v>58</v>
      </c>
      <c r="G2384" s="5" t="s">
        <v>59</v>
      </c>
      <c r="H2384" s="5" t="s">
        <v>108</v>
      </c>
      <c r="I2384" s="5" t="s">
        <v>1404</v>
      </c>
      <c r="J2384" s="5" t="s">
        <v>134</v>
      </c>
      <c r="K2384" s="5" t="s">
        <v>110</v>
      </c>
      <c r="L2384" s="6">
        <v>45680</v>
      </c>
      <c r="M2384" s="6">
        <v>45679</v>
      </c>
      <c r="N2384" s="6" t="s">
        <v>811</v>
      </c>
      <c r="O2384" s="5" t="str">
        <f ca="1">IF(P2384&lt;&gt;"EXPEDIÇÃO","Expedido",IF(NETWORKDAYS(C2384,TODAY())&gt;=5,"Risco Alto",IF(NETWORKDAYS(C2384,TODAY())&gt;=3,IF(NETWORKDAYS(C2384,TODAY())&lt;5,"Risco Médio",""),IF(NETWORKDAYS(C2384,TODAY())&lt;=2,"Risco Baixo",""))))</f>
        <v>Expedido</v>
      </c>
      <c r="P2384" s="5" t="s">
        <v>25</v>
      </c>
      <c r="S2384" s="7">
        <f>IF(ISBLANK(M2384),"Aguardando Previsão/Data",NETWORKDAYS(L2384,M2384)-1)</f>
        <v>-3</v>
      </c>
      <c r="T2384" s="5" t="s">
        <v>942</v>
      </c>
    </row>
    <row r="2385" spans="1:20" x14ac:dyDescent="0.35">
      <c r="A2385" s="5">
        <v>8100279047</v>
      </c>
      <c r="B2385" s="5">
        <v>19385</v>
      </c>
      <c r="C2385" s="6">
        <v>45674</v>
      </c>
      <c r="D2385" s="5" t="s">
        <v>106</v>
      </c>
      <c r="E2385" s="5" t="s">
        <v>107</v>
      </c>
      <c r="F2385" s="5" t="s">
        <v>58</v>
      </c>
      <c r="G2385" s="5" t="s">
        <v>59</v>
      </c>
      <c r="H2385" s="5" t="s">
        <v>108</v>
      </c>
      <c r="I2385" s="5" t="s">
        <v>126</v>
      </c>
      <c r="J2385" s="5" t="s">
        <v>127</v>
      </c>
      <c r="K2385" s="5" t="s">
        <v>110</v>
      </c>
      <c r="L2385" s="6">
        <v>45680</v>
      </c>
      <c r="M2385" s="6">
        <v>45678</v>
      </c>
      <c r="N2385" s="6" t="s">
        <v>811</v>
      </c>
      <c r="O2385" s="5" t="str">
        <f ca="1">IF(P2385&lt;&gt;"EXPEDIÇÃO","Expedido",IF(NETWORKDAYS(C2385,TODAY())&gt;=5,"Risco Alto",IF(NETWORKDAYS(C2385,TODAY())&gt;=3,IF(NETWORKDAYS(C2385,TODAY())&lt;5,"Risco Médio",""),IF(NETWORKDAYS(C2385,TODAY())&lt;=2,"Risco Baixo",""))))</f>
        <v>Expedido</v>
      </c>
      <c r="P2385" s="5" t="s">
        <v>25</v>
      </c>
      <c r="S2385" s="7">
        <f>IF(ISBLANK(M2385),"Aguardando Previsão/Data",NETWORKDAYS(L2385,M2385)-1)</f>
        <v>-4</v>
      </c>
      <c r="T2385" s="5" t="s">
        <v>942</v>
      </c>
    </row>
    <row r="2386" spans="1:20" x14ac:dyDescent="0.35">
      <c r="A2386" s="5">
        <v>8100279048</v>
      </c>
      <c r="B2386" s="5">
        <v>19386</v>
      </c>
      <c r="C2386" s="6">
        <v>45674</v>
      </c>
      <c r="D2386" s="5" t="s">
        <v>106</v>
      </c>
      <c r="E2386" s="5" t="s">
        <v>107</v>
      </c>
      <c r="F2386" s="5" t="s">
        <v>58</v>
      </c>
      <c r="G2386" s="5" t="s">
        <v>59</v>
      </c>
      <c r="H2386" s="5" t="s">
        <v>108</v>
      </c>
      <c r="I2386" s="5" t="s">
        <v>126</v>
      </c>
      <c r="J2386" s="5" t="s">
        <v>127</v>
      </c>
      <c r="K2386" s="5" t="s">
        <v>110</v>
      </c>
      <c r="L2386" s="6">
        <v>45680</v>
      </c>
      <c r="M2386" s="6">
        <v>45678</v>
      </c>
      <c r="N2386" s="6" t="s">
        <v>811</v>
      </c>
      <c r="O2386" s="5" t="str">
        <f ca="1">IF(P2386&lt;&gt;"EXPEDIÇÃO","Expedido",IF(NETWORKDAYS(C2386,TODAY())&gt;=5,"Risco Alto",IF(NETWORKDAYS(C2386,TODAY())&gt;=3,IF(NETWORKDAYS(C2386,TODAY())&lt;5,"Risco Médio",""),IF(NETWORKDAYS(C2386,TODAY())&lt;=2,"Risco Baixo",""))))</f>
        <v>Expedido</v>
      </c>
      <c r="P2386" s="5" t="s">
        <v>25</v>
      </c>
      <c r="S2386" s="7">
        <f>IF(ISBLANK(M2386),"Aguardando Previsão/Data",NETWORKDAYS(L2386,M2386)-1)</f>
        <v>-4</v>
      </c>
      <c r="T2386" s="5" t="s">
        <v>942</v>
      </c>
    </row>
    <row r="2387" spans="1:20" x14ac:dyDescent="0.35">
      <c r="A2387" s="5">
        <v>8100279049</v>
      </c>
      <c r="B2387" s="5">
        <v>19387</v>
      </c>
      <c r="C2387" s="6">
        <v>45674</v>
      </c>
      <c r="D2387" s="5" t="s">
        <v>106</v>
      </c>
      <c r="E2387" s="5" t="s">
        <v>107</v>
      </c>
      <c r="F2387" s="5" t="s">
        <v>58</v>
      </c>
      <c r="G2387" s="5" t="s">
        <v>59</v>
      </c>
      <c r="H2387" s="5" t="s">
        <v>108</v>
      </c>
      <c r="I2387" s="5" t="s">
        <v>126</v>
      </c>
      <c r="J2387" s="5" t="s">
        <v>127</v>
      </c>
      <c r="K2387" s="5" t="s">
        <v>110</v>
      </c>
      <c r="L2387" s="6">
        <v>45680</v>
      </c>
      <c r="M2387" s="6">
        <v>45678</v>
      </c>
      <c r="N2387" s="6" t="s">
        <v>811</v>
      </c>
      <c r="O2387" s="5" t="str">
        <f ca="1">IF(P2387&lt;&gt;"EXPEDIÇÃO","Expedido",IF(NETWORKDAYS(C2387,TODAY())&gt;=5,"Risco Alto",IF(NETWORKDAYS(C2387,TODAY())&gt;=3,IF(NETWORKDAYS(C2387,TODAY())&lt;5,"Risco Médio",""),IF(NETWORKDAYS(C2387,TODAY())&lt;=2,"Risco Baixo",""))))</f>
        <v>Expedido</v>
      </c>
      <c r="P2387" s="5" t="s">
        <v>25</v>
      </c>
      <c r="S2387" s="7">
        <f>IF(ISBLANK(M2387),"Aguardando Previsão/Data",NETWORKDAYS(L2387,M2387)-1)</f>
        <v>-4</v>
      </c>
      <c r="T2387" s="5" t="s">
        <v>942</v>
      </c>
    </row>
    <row r="2388" spans="1:20" x14ac:dyDescent="0.35">
      <c r="A2388" s="5">
        <v>8100279051</v>
      </c>
      <c r="B2388" s="5">
        <v>19388</v>
      </c>
      <c r="C2388" s="6">
        <v>45674</v>
      </c>
      <c r="D2388" s="5" t="s">
        <v>106</v>
      </c>
      <c r="E2388" s="5" t="s">
        <v>107</v>
      </c>
      <c r="F2388" s="5" t="s">
        <v>58</v>
      </c>
      <c r="G2388" s="5" t="s">
        <v>59</v>
      </c>
      <c r="H2388" s="5" t="s">
        <v>108</v>
      </c>
      <c r="I2388" s="5" t="s">
        <v>130</v>
      </c>
      <c r="J2388" s="5" t="s">
        <v>131</v>
      </c>
      <c r="K2388" s="5" t="s">
        <v>110</v>
      </c>
      <c r="L2388" s="6">
        <v>45680</v>
      </c>
      <c r="M2388" s="6">
        <v>45679</v>
      </c>
      <c r="N2388" s="6" t="s">
        <v>811</v>
      </c>
      <c r="O2388" s="5" t="str">
        <f ca="1">IF(P2388&lt;&gt;"EXPEDIÇÃO","Expedido",IF(NETWORKDAYS(C2388,TODAY())&gt;=5,"Risco Alto",IF(NETWORKDAYS(C2388,TODAY())&gt;=3,IF(NETWORKDAYS(C2388,TODAY())&lt;5,"Risco Médio",""),IF(NETWORKDAYS(C2388,TODAY())&lt;=2,"Risco Baixo",""))))</f>
        <v>Expedido</v>
      </c>
      <c r="P2388" s="5" t="s">
        <v>25</v>
      </c>
      <c r="S2388" s="7">
        <f>IF(ISBLANK(M2388),"Aguardando Previsão/Data",NETWORKDAYS(L2388,M2388)-1)</f>
        <v>-3</v>
      </c>
      <c r="T2388" s="5" t="s">
        <v>942</v>
      </c>
    </row>
    <row r="2389" spans="1:20" x14ac:dyDescent="0.35">
      <c r="A2389" s="5">
        <v>8100279058</v>
      </c>
      <c r="B2389" s="5">
        <v>19389</v>
      </c>
      <c r="C2389" s="6">
        <v>45674</v>
      </c>
      <c r="D2389" s="5" t="s">
        <v>106</v>
      </c>
      <c r="E2389" s="5" t="s">
        <v>107</v>
      </c>
      <c r="F2389" s="5" t="s">
        <v>58</v>
      </c>
      <c r="G2389" s="5" t="s">
        <v>59</v>
      </c>
      <c r="H2389" s="5" t="s">
        <v>108</v>
      </c>
      <c r="I2389" s="5" t="s">
        <v>130</v>
      </c>
      <c r="J2389" s="5" t="s">
        <v>131</v>
      </c>
      <c r="K2389" s="5" t="s">
        <v>110</v>
      </c>
      <c r="L2389" s="6">
        <v>45680</v>
      </c>
      <c r="M2389" s="6">
        <v>45679</v>
      </c>
      <c r="N2389" s="6" t="s">
        <v>811</v>
      </c>
      <c r="O2389" s="5" t="str">
        <f ca="1">IF(P2389&lt;&gt;"EXPEDIÇÃO","Expedido",IF(NETWORKDAYS(C2389,TODAY())&gt;=5,"Risco Alto",IF(NETWORKDAYS(C2389,TODAY())&gt;=3,IF(NETWORKDAYS(C2389,TODAY())&lt;5,"Risco Médio",""),IF(NETWORKDAYS(C2389,TODAY())&lt;=2,"Risco Baixo",""))))</f>
        <v>Expedido</v>
      </c>
      <c r="P2389" s="5" t="s">
        <v>25</v>
      </c>
      <c r="S2389" s="7">
        <f>IF(ISBLANK(M2389),"Aguardando Previsão/Data",NETWORKDAYS(L2389,M2389)-1)</f>
        <v>-3</v>
      </c>
      <c r="T2389" s="5" t="s">
        <v>942</v>
      </c>
    </row>
    <row r="2390" spans="1:20" x14ac:dyDescent="0.35">
      <c r="A2390" s="5">
        <v>8100279059</v>
      </c>
      <c r="B2390" s="5">
        <v>19390</v>
      </c>
      <c r="C2390" s="6">
        <v>45674</v>
      </c>
      <c r="D2390" s="5" t="s">
        <v>106</v>
      </c>
      <c r="E2390" s="5" t="s">
        <v>107</v>
      </c>
      <c r="F2390" s="5" t="s">
        <v>58</v>
      </c>
      <c r="G2390" s="5" t="s">
        <v>59</v>
      </c>
      <c r="H2390" s="5" t="s">
        <v>108</v>
      </c>
      <c r="I2390" s="5" t="s">
        <v>130</v>
      </c>
      <c r="J2390" s="5" t="s">
        <v>131</v>
      </c>
      <c r="K2390" s="5" t="s">
        <v>110</v>
      </c>
      <c r="L2390" s="6">
        <v>45680</v>
      </c>
      <c r="M2390" s="6">
        <v>45679</v>
      </c>
      <c r="N2390" s="6" t="s">
        <v>811</v>
      </c>
      <c r="O2390" s="5" t="str">
        <f ca="1">IF(P2390&lt;&gt;"EXPEDIÇÃO","Expedido",IF(NETWORKDAYS(C2390,TODAY())&gt;=5,"Risco Alto",IF(NETWORKDAYS(C2390,TODAY())&gt;=3,IF(NETWORKDAYS(C2390,TODAY())&lt;5,"Risco Médio",""),IF(NETWORKDAYS(C2390,TODAY())&lt;=2,"Risco Baixo",""))))</f>
        <v>Expedido</v>
      </c>
      <c r="P2390" s="5" t="s">
        <v>25</v>
      </c>
      <c r="S2390" s="7">
        <f>IF(ISBLANK(M2390),"Aguardando Previsão/Data",NETWORKDAYS(L2390,M2390)-1)</f>
        <v>-3</v>
      </c>
      <c r="T2390" s="5" t="s">
        <v>942</v>
      </c>
    </row>
    <row r="2391" spans="1:20" x14ac:dyDescent="0.35">
      <c r="A2391" s="5">
        <v>8100279061</v>
      </c>
      <c r="B2391" s="5">
        <v>19412</v>
      </c>
      <c r="C2391" s="6">
        <v>45674</v>
      </c>
      <c r="D2391" s="5" t="s">
        <v>106</v>
      </c>
      <c r="E2391" s="5" t="s">
        <v>107</v>
      </c>
      <c r="F2391" s="5" t="s">
        <v>58</v>
      </c>
      <c r="G2391" s="5" t="s">
        <v>59</v>
      </c>
      <c r="H2391" s="5" t="s">
        <v>108</v>
      </c>
      <c r="I2391" s="5" t="s">
        <v>140</v>
      </c>
      <c r="J2391" s="5" t="s">
        <v>141</v>
      </c>
      <c r="K2391" s="5" t="s">
        <v>110</v>
      </c>
      <c r="L2391" s="6">
        <v>45679</v>
      </c>
      <c r="M2391" s="6">
        <v>45674</v>
      </c>
      <c r="N2391" s="6" t="s">
        <v>811</v>
      </c>
      <c r="O2391" s="5" t="str">
        <f ca="1">IF(P2391&lt;&gt;"EXPEDIÇÃO","Expedido",IF(NETWORKDAYS(C2391,TODAY())&gt;=5,"Risco Alto",IF(NETWORKDAYS(C2391,TODAY())&gt;=3,IF(NETWORKDAYS(C2391,TODAY())&lt;5,"Risco Médio",""),IF(NETWORKDAYS(C2391,TODAY())&lt;=2,"Risco Baixo",""))))</f>
        <v>Expedido</v>
      </c>
      <c r="P2391" s="5" t="s">
        <v>25</v>
      </c>
      <c r="Q2391" s="5" t="s">
        <v>900</v>
      </c>
      <c r="S2391" s="7">
        <f>IF(ISBLANK(M2391),"Aguardando Previsão/Data",NETWORKDAYS(L2391,M2391)-1)</f>
        <v>-5</v>
      </c>
      <c r="T2391" s="5" t="s">
        <v>942</v>
      </c>
    </row>
    <row r="2392" spans="1:20" x14ac:dyDescent="0.35">
      <c r="A2392" s="5">
        <v>8100279062</v>
      </c>
      <c r="B2392" s="5">
        <v>19413</v>
      </c>
      <c r="C2392" s="6">
        <v>45674</v>
      </c>
      <c r="D2392" s="5" t="s">
        <v>106</v>
      </c>
      <c r="E2392" s="5" t="s">
        <v>107</v>
      </c>
      <c r="F2392" s="5" t="s">
        <v>58</v>
      </c>
      <c r="G2392" s="5" t="s">
        <v>59</v>
      </c>
      <c r="H2392" s="5" t="s">
        <v>108</v>
      </c>
      <c r="I2392" s="5" t="s">
        <v>140</v>
      </c>
      <c r="J2392" s="5" t="s">
        <v>141</v>
      </c>
      <c r="K2392" s="5" t="s">
        <v>110</v>
      </c>
      <c r="L2392" s="6">
        <v>45679</v>
      </c>
      <c r="M2392" s="6">
        <v>45674</v>
      </c>
      <c r="N2392" s="6" t="s">
        <v>811</v>
      </c>
      <c r="O2392" s="5" t="str">
        <f ca="1">IF(P2392&lt;&gt;"EXPEDIÇÃO","Expedido",IF(NETWORKDAYS(C2392,TODAY())&gt;=5,"Risco Alto",IF(NETWORKDAYS(C2392,TODAY())&gt;=3,IF(NETWORKDAYS(C2392,TODAY())&lt;5,"Risco Médio",""),IF(NETWORKDAYS(C2392,TODAY())&lt;=2,"Risco Baixo",""))))</f>
        <v>Expedido</v>
      </c>
      <c r="P2392" s="5" t="s">
        <v>25</v>
      </c>
      <c r="Q2392" s="5" t="s">
        <v>900</v>
      </c>
      <c r="S2392" s="7">
        <f>IF(ISBLANK(M2392),"Aguardando Previsão/Data",NETWORKDAYS(L2392,M2392)-1)</f>
        <v>-5</v>
      </c>
      <c r="T2392" s="5" t="s">
        <v>942</v>
      </c>
    </row>
    <row r="2393" spans="1:20" x14ac:dyDescent="0.35">
      <c r="A2393" s="5">
        <v>8100279063</v>
      </c>
      <c r="B2393" s="5">
        <v>19414</v>
      </c>
      <c r="C2393" s="6">
        <v>45674</v>
      </c>
      <c r="D2393" s="5" t="s">
        <v>106</v>
      </c>
      <c r="E2393" s="5" t="s">
        <v>107</v>
      </c>
      <c r="F2393" s="5" t="s">
        <v>58</v>
      </c>
      <c r="G2393" s="5" t="s">
        <v>59</v>
      </c>
      <c r="H2393" s="5" t="s">
        <v>108</v>
      </c>
      <c r="I2393" s="5" t="s">
        <v>140</v>
      </c>
      <c r="J2393" s="5" t="s">
        <v>141</v>
      </c>
      <c r="K2393" s="5" t="s">
        <v>110</v>
      </c>
      <c r="L2393" s="6">
        <v>45679</v>
      </c>
      <c r="M2393" s="6">
        <v>45674</v>
      </c>
      <c r="N2393" s="6" t="s">
        <v>811</v>
      </c>
      <c r="O2393" s="5" t="str">
        <f ca="1">IF(P2393&lt;&gt;"EXPEDIÇÃO","Expedido",IF(NETWORKDAYS(C2393,TODAY())&gt;=5,"Risco Alto",IF(NETWORKDAYS(C2393,TODAY())&gt;=3,IF(NETWORKDAYS(C2393,TODAY())&lt;5,"Risco Médio",""),IF(NETWORKDAYS(C2393,TODAY())&lt;=2,"Risco Baixo",""))))</f>
        <v>Expedido</v>
      </c>
      <c r="P2393" s="5" t="s">
        <v>25</v>
      </c>
      <c r="Q2393" s="5" t="s">
        <v>900</v>
      </c>
      <c r="S2393" s="7">
        <f>IF(ISBLANK(M2393),"Aguardando Previsão/Data",NETWORKDAYS(L2393,M2393)-1)</f>
        <v>-5</v>
      </c>
      <c r="T2393" s="5" t="s">
        <v>942</v>
      </c>
    </row>
    <row r="2394" spans="1:20" x14ac:dyDescent="0.35">
      <c r="A2394" s="5">
        <v>8100279064</v>
      </c>
      <c r="B2394" s="5">
        <v>19370</v>
      </c>
      <c r="C2394" s="6">
        <v>45674</v>
      </c>
      <c r="D2394" s="5" t="s">
        <v>106</v>
      </c>
      <c r="E2394" s="5" t="s">
        <v>107</v>
      </c>
      <c r="F2394" s="5" t="s">
        <v>58</v>
      </c>
      <c r="G2394" s="5" t="s">
        <v>59</v>
      </c>
      <c r="H2394" s="5" t="s">
        <v>108</v>
      </c>
      <c r="I2394" s="5" t="s">
        <v>501</v>
      </c>
      <c r="J2394" s="5" t="s">
        <v>502</v>
      </c>
      <c r="K2394" s="5" t="s">
        <v>110</v>
      </c>
      <c r="L2394" s="6">
        <v>45681</v>
      </c>
      <c r="M2394" s="6">
        <v>45679</v>
      </c>
      <c r="N2394" s="6" t="s">
        <v>811</v>
      </c>
      <c r="O2394" s="5" t="str">
        <f ca="1">IF(P2394&lt;&gt;"EXPEDIÇÃO","Expedido",IF(NETWORKDAYS(C2394,TODAY())&gt;=5,"Risco Alto",IF(NETWORKDAYS(C2394,TODAY())&gt;=3,IF(NETWORKDAYS(C2394,TODAY())&lt;5,"Risco Médio",""),IF(NETWORKDAYS(C2394,TODAY())&lt;=2,"Risco Baixo",""))))</f>
        <v>Expedido</v>
      </c>
      <c r="P2394" s="5" t="s">
        <v>25</v>
      </c>
      <c r="R2394" s="5" t="s">
        <v>1417</v>
      </c>
      <c r="S2394" s="7">
        <f>IF(ISBLANK(M2394),"Aguardando Previsão/Data",NETWORKDAYS(L2394,M2394)-1)</f>
        <v>-4</v>
      </c>
      <c r="T2394" s="5" t="s">
        <v>942</v>
      </c>
    </row>
    <row r="2395" spans="1:20" x14ac:dyDescent="0.35">
      <c r="A2395" s="5">
        <v>8100279067</v>
      </c>
      <c r="B2395" s="5">
        <v>19359</v>
      </c>
      <c r="C2395" s="6">
        <v>45674</v>
      </c>
      <c r="D2395" s="5" t="s">
        <v>106</v>
      </c>
      <c r="E2395" s="5" t="s">
        <v>107</v>
      </c>
      <c r="F2395" s="5" t="s">
        <v>58</v>
      </c>
      <c r="G2395" s="5" t="s">
        <v>59</v>
      </c>
      <c r="H2395" s="5" t="s">
        <v>108</v>
      </c>
      <c r="I2395" s="5" t="s">
        <v>1054</v>
      </c>
      <c r="J2395" s="5" t="s">
        <v>503</v>
      </c>
      <c r="K2395" s="5" t="s">
        <v>110</v>
      </c>
      <c r="L2395" s="6">
        <v>45681</v>
      </c>
      <c r="M2395" s="6">
        <v>45680</v>
      </c>
      <c r="N2395" s="6" t="s">
        <v>811</v>
      </c>
      <c r="O2395" s="5" t="str">
        <f ca="1">IF(P2395&lt;&gt;"EXPEDIÇÃO","Expedido",IF(NETWORKDAYS(C2395,TODAY())&gt;=5,"Risco Alto",IF(NETWORKDAYS(C2395,TODAY())&gt;=3,IF(NETWORKDAYS(C2395,TODAY())&lt;5,"Risco Médio",""),IF(NETWORKDAYS(C2395,TODAY())&lt;=2,"Risco Baixo",""))))</f>
        <v>Expedido</v>
      </c>
      <c r="P2395" s="5" t="s">
        <v>25</v>
      </c>
      <c r="S2395" s="7">
        <f>IF(ISBLANK(M2395),"Aguardando Previsão/Data",NETWORKDAYS(L2395,M2395)-1)</f>
        <v>-3</v>
      </c>
      <c r="T2395" s="5" t="s">
        <v>942</v>
      </c>
    </row>
    <row r="2396" spans="1:20" x14ac:dyDescent="0.35">
      <c r="A2396" s="5">
        <v>8100279068</v>
      </c>
      <c r="B2396" s="5">
        <v>19354</v>
      </c>
      <c r="C2396" s="6">
        <v>45674</v>
      </c>
      <c r="D2396" s="5" t="s">
        <v>106</v>
      </c>
      <c r="E2396" s="5" t="s">
        <v>107</v>
      </c>
      <c r="F2396" s="5" t="s">
        <v>58</v>
      </c>
      <c r="G2396" s="5" t="s">
        <v>59</v>
      </c>
      <c r="H2396" s="5" t="s">
        <v>108</v>
      </c>
      <c r="I2396" s="5" t="s">
        <v>115</v>
      </c>
      <c r="J2396" s="5" t="s">
        <v>125</v>
      </c>
      <c r="K2396" s="5" t="s">
        <v>110</v>
      </c>
      <c r="L2396" s="6">
        <v>45680</v>
      </c>
      <c r="M2396" s="6">
        <v>45679</v>
      </c>
      <c r="N2396" s="6" t="s">
        <v>811</v>
      </c>
      <c r="O2396" s="5" t="str">
        <f ca="1">IF(P2396&lt;&gt;"EXPEDIÇÃO","Expedido",IF(NETWORKDAYS(C2396,TODAY())&gt;=5,"Risco Alto",IF(NETWORKDAYS(C2396,TODAY())&gt;=3,IF(NETWORKDAYS(C2396,TODAY())&lt;5,"Risco Médio",""),IF(NETWORKDAYS(C2396,TODAY())&lt;=2,"Risco Baixo",""))))</f>
        <v>Expedido</v>
      </c>
      <c r="P2396" s="5" t="s">
        <v>25</v>
      </c>
      <c r="S2396" s="7">
        <f>IF(ISBLANK(M2396),"Aguardando Previsão/Data",NETWORKDAYS(L2396,M2396)-1)</f>
        <v>-3</v>
      </c>
      <c r="T2396" s="5" t="s">
        <v>942</v>
      </c>
    </row>
    <row r="2397" spans="1:20" x14ac:dyDescent="0.35">
      <c r="A2397" s="5">
        <v>8100279074</v>
      </c>
      <c r="B2397" s="5">
        <v>19357</v>
      </c>
      <c r="C2397" s="6">
        <v>45674</v>
      </c>
      <c r="D2397" s="5" t="s">
        <v>106</v>
      </c>
      <c r="E2397" s="5" t="s">
        <v>107</v>
      </c>
      <c r="F2397" s="5" t="s">
        <v>66</v>
      </c>
      <c r="G2397" s="5" t="s">
        <v>67</v>
      </c>
      <c r="H2397" s="5" t="s">
        <v>108</v>
      </c>
      <c r="I2397" s="5" t="s">
        <v>115</v>
      </c>
      <c r="J2397" s="5" t="s">
        <v>477</v>
      </c>
      <c r="K2397" s="5" t="s">
        <v>110</v>
      </c>
      <c r="L2397" s="6">
        <v>45681</v>
      </c>
      <c r="M2397" s="6">
        <v>45679</v>
      </c>
      <c r="N2397" s="6" t="s">
        <v>811</v>
      </c>
      <c r="O2397" s="5" t="str">
        <f ca="1">IF(P2397&lt;&gt;"EXPEDIÇÃO","Expedido",IF(NETWORKDAYS(C2397,TODAY())&gt;=5,"Risco Alto",IF(NETWORKDAYS(C2397,TODAY())&gt;=3,IF(NETWORKDAYS(C2397,TODAY())&lt;5,"Risco Médio",""),IF(NETWORKDAYS(C2397,TODAY())&lt;=2,"Risco Baixo",""))))</f>
        <v>Expedido</v>
      </c>
      <c r="P2397" s="5" t="s">
        <v>25</v>
      </c>
      <c r="S2397" s="7">
        <f>IF(ISBLANK(M2397),"Aguardando Previsão/Data",NETWORKDAYS(L2397,M2397)-1)</f>
        <v>-4</v>
      </c>
      <c r="T2397" s="5" t="s">
        <v>942</v>
      </c>
    </row>
    <row r="2398" spans="1:20" x14ac:dyDescent="0.35">
      <c r="A2398" s="5">
        <v>8100279081</v>
      </c>
      <c r="B2398" s="5">
        <v>19363</v>
      </c>
      <c r="C2398" s="6">
        <v>45674</v>
      </c>
      <c r="D2398" s="5" t="s">
        <v>106</v>
      </c>
      <c r="E2398" s="5" t="s">
        <v>107</v>
      </c>
      <c r="F2398" s="5" t="s">
        <v>66</v>
      </c>
      <c r="G2398" s="5" t="s">
        <v>67</v>
      </c>
      <c r="H2398" s="5" t="s">
        <v>108</v>
      </c>
      <c r="I2398" s="5" t="s">
        <v>115</v>
      </c>
      <c r="J2398" s="5" t="s">
        <v>946</v>
      </c>
      <c r="K2398" s="5" t="s">
        <v>110</v>
      </c>
      <c r="L2398" s="6">
        <v>45684</v>
      </c>
      <c r="M2398" s="6">
        <v>45679</v>
      </c>
      <c r="N2398" s="6" t="s">
        <v>811</v>
      </c>
      <c r="O2398" s="5" t="str">
        <f ca="1">IF(P2398&lt;&gt;"EXPEDIÇÃO","Expedido",IF(NETWORKDAYS(C2398,TODAY())&gt;=5,"Risco Alto",IF(NETWORKDAYS(C2398,TODAY())&gt;=3,IF(NETWORKDAYS(C2398,TODAY())&lt;5,"Risco Médio",""),IF(NETWORKDAYS(C2398,TODAY())&lt;=2,"Risco Baixo",""))))</f>
        <v>Expedido</v>
      </c>
      <c r="P2398" s="5" t="s">
        <v>25</v>
      </c>
      <c r="S2398" s="7">
        <f>IF(ISBLANK(M2398),"Aguardando Previsão/Data",NETWORKDAYS(L2398,M2398)-1)</f>
        <v>-5</v>
      </c>
      <c r="T2398" s="5" t="s">
        <v>942</v>
      </c>
    </row>
    <row r="2399" spans="1:20" x14ac:dyDescent="0.35">
      <c r="A2399" s="5">
        <v>8100279082</v>
      </c>
      <c r="B2399" s="5">
        <v>19391</v>
      </c>
      <c r="C2399" s="6">
        <v>45674</v>
      </c>
      <c r="D2399" s="5" t="s">
        <v>106</v>
      </c>
      <c r="E2399" s="5" t="s">
        <v>107</v>
      </c>
      <c r="F2399" s="5" t="s">
        <v>66</v>
      </c>
      <c r="G2399" s="5" t="s">
        <v>67</v>
      </c>
      <c r="H2399" s="5" t="s">
        <v>108</v>
      </c>
      <c r="I2399" s="5" t="s">
        <v>337</v>
      </c>
      <c r="J2399" s="5" t="s">
        <v>338</v>
      </c>
      <c r="K2399" s="5" t="s">
        <v>110</v>
      </c>
      <c r="L2399" s="6">
        <v>45684</v>
      </c>
      <c r="M2399" s="6">
        <v>45680</v>
      </c>
      <c r="N2399" s="6" t="s">
        <v>811</v>
      </c>
      <c r="O2399" s="5" t="str">
        <f ca="1">IF(P2399&lt;&gt;"EXPEDIÇÃO","Expedido",IF(NETWORKDAYS(C2399,TODAY())&gt;=5,"Risco Alto",IF(NETWORKDAYS(C2399,TODAY())&gt;=3,IF(NETWORKDAYS(C2399,TODAY())&lt;5,"Risco Médio",""),IF(NETWORKDAYS(C2399,TODAY())&lt;=2,"Risco Baixo",""))))</f>
        <v>Expedido</v>
      </c>
      <c r="P2399" s="5" t="s">
        <v>25</v>
      </c>
      <c r="S2399" s="7">
        <f>IF(ISBLANK(M2399),"Aguardando Previsão/Data",NETWORKDAYS(L2399,M2399)-1)</f>
        <v>-4</v>
      </c>
      <c r="T2399" s="5" t="s">
        <v>942</v>
      </c>
    </row>
    <row r="2400" spans="1:20" x14ac:dyDescent="0.35">
      <c r="A2400" s="5">
        <v>8100279083</v>
      </c>
      <c r="B2400" s="5">
        <v>19377</v>
      </c>
      <c r="C2400" s="6">
        <v>45674</v>
      </c>
      <c r="D2400" s="5" t="s">
        <v>106</v>
      </c>
      <c r="E2400" s="5" t="s">
        <v>107</v>
      </c>
      <c r="F2400" s="5" t="s">
        <v>66</v>
      </c>
      <c r="G2400" s="5" t="s">
        <v>67</v>
      </c>
      <c r="H2400" s="5" t="s">
        <v>108</v>
      </c>
      <c r="I2400" s="5" t="s">
        <v>508</v>
      </c>
      <c r="J2400" s="5" t="s">
        <v>153</v>
      </c>
      <c r="K2400" s="5" t="s">
        <v>110</v>
      </c>
      <c r="L2400" s="6">
        <v>45681</v>
      </c>
      <c r="M2400" s="6">
        <v>45678</v>
      </c>
      <c r="N2400" s="6" t="s">
        <v>811</v>
      </c>
      <c r="O2400" s="5" t="str">
        <f ca="1">IF(P2400&lt;&gt;"EXPEDIÇÃO","Expedido",IF(NETWORKDAYS(C2400,TODAY())&gt;=5,"Risco Alto",IF(NETWORKDAYS(C2400,TODAY())&gt;=3,IF(NETWORKDAYS(C2400,TODAY())&lt;5,"Risco Médio",""),IF(NETWORKDAYS(C2400,TODAY())&lt;=2,"Risco Baixo",""))))</f>
        <v>Expedido</v>
      </c>
      <c r="P2400" s="5" t="s">
        <v>25</v>
      </c>
      <c r="S2400" s="7">
        <f>IF(ISBLANK(M2400),"Aguardando Previsão/Data",NETWORKDAYS(L2400,M2400)-1)</f>
        <v>-5</v>
      </c>
      <c r="T2400" s="5" t="s">
        <v>942</v>
      </c>
    </row>
    <row r="2401" spans="1:20" x14ac:dyDescent="0.35">
      <c r="A2401" s="5">
        <v>8100279087</v>
      </c>
      <c r="B2401" s="5">
        <v>19361</v>
      </c>
      <c r="C2401" s="6">
        <v>45674</v>
      </c>
      <c r="D2401" s="5" t="s">
        <v>106</v>
      </c>
      <c r="E2401" s="5" t="s">
        <v>107</v>
      </c>
      <c r="F2401" s="5" t="s">
        <v>53</v>
      </c>
      <c r="G2401" s="5" t="s">
        <v>54</v>
      </c>
      <c r="H2401" s="5" t="s">
        <v>108</v>
      </c>
      <c r="I2401" s="5" t="s">
        <v>115</v>
      </c>
      <c r="J2401" s="5" t="s">
        <v>342</v>
      </c>
      <c r="K2401" s="5" t="s">
        <v>110</v>
      </c>
      <c r="L2401" s="6">
        <v>45681</v>
      </c>
      <c r="M2401" s="6">
        <v>45677</v>
      </c>
      <c r="N2401" s="6" t="s">
        <v>811</v>
      </c>
      <c r="O2401" s="5" t="str">
        <f ca="1">IF(P2401&lt;&gt;"EXPEDIÇÃO","Expedido",IF(NETWORKDAYS(C2401,TODAY())&gt;=5,"Risco Alto",IF(NETWORKDAYS(C2401,TODAY())&gt;=3,IF(NETWORKDAYS(C2401,TODAY())&lt;5,"Risco Médio",""),IF(NETWORKDAYS(C2401,TODAY())&lt;=2,"Risco Baixo",""))))</f>
        <v>Expedido</v>
      </c>
      <c r="P2401" s="5" t="s">
        <v>25</v>
      </c>
      <c r="S2401" s="7">
        <f>IF(ISBLANK(M2401),"Aguardando Previsão/Data",NETWORKDAYS(L2401,M2401)-1)</f>
        <v>-6</v>
      </c>
      <c r="T2401" s="5" t="s">
        <v>942</v>
      </c>
    </row>
    <row r="2402" spans="1:20" x14ac:dyDescent="0.35">
      <c r="A2402" s="5">
        <v>8100279088</v>
      </c>
      <c r="B2402" s="5">
        <v>19362</v>
      </c>
      <c r="C2402" s="6">
        <v>45674</v>
      </c>
      <c r="D2402" s="5" t="s">
        <v>106</v>
      </c>
      <c r="E2402" s="5" t="s">
        <v>107</v>
      </c>
      <c r="F2402" s="5" t="s">
        <v>53</v>
      </c>
      <c r="G2402" s="5" t="s">
        <v>54</v>
      </c>
      <c r="H2402" s="5" t="s">
        <v>108</v>
      </c>
      <c r="I2402" s="5" t="s">
        <v>115</v>
      </c>
      <c r="J2402" s="5" t="s">
        <v>342</v>
      </c>
      <c r="K2402" s="5" t="s">
        <v>110</v>
      </c>
      <c r="L2402" s="6">
        <v>45681</v>
      </c>
      <c r="M2402" s="6">
        <v>45677</v>
      </c>
      <c r="N2402" s="6" t="s">
        <v>811</v>
      </c>
      <c r="O2402" s="5" t="str">
        <f ca="1">IF(P2402&lt;&gt;"EXPEDIÇÃO","Expedido",IF(NETWORKDAYS(C2402,TODAY())&gt;=5,"Risco Alto",IF(NETWORKDAYS(C2402,TODAY())&gt;=3,IF(NETWORKDAYS(C2402,TODAY())&lt;5,"Risco Médio",""),IF(NETWORKDAYS(C2402,TODAY())&lt;=2,"Risco Baixo",""))))</f>
        <v>Expedido</v>
      </c>
      <c r="P2402" s="5" t="s">
        <v>25</v>
      </c>
      <c r="S2402" s="7">
        <f>IF(ISBLANK(M2402),"Aguardando Previsão/Data",NETWORKDAYS(L2402,M2402)-1)</f>
        <v>-6</v>
      </c>
      <c r="T2402" s="5" t="s">
        <v>942</v>
      </c>
    </row>
    <row r="2403" spans="1:20" x14ac:dyDescent="0.35">
      <c r="A2403" s="5">
        <v>8100279089</v>
      </c>
      <c r="B2403" s="5">
        <v>19371</v>
      </c>
      <c r="C2403" s="6">
        <v>45674</v>
      </c>
      <c r="D2403" s="5" t="s">
        <v>106</v>
      </c>
      <c r="E2403" s="5" t="s">
        <v>107</v>
      </c>
      <c r="F2403" s="5" t="s">
        <v>53</v>
      </c>
      <c r="G2403" s="5" t="s">
        <v>54</v>
      </c>
      <c r="H2403" s="5" t="s">
        <v>108</v>
      </c>
      <c r="I2403" s="5" t="s">
        <v>115</v>
      </c>
      <c r="J2403" s="5" t="s">
        <v>121</v>
      </c>
      <c r="K2403" s="5" t="s">
        <v>110</v>
      </c>
      <c r="L2403" s="6">
        <v>45681</v>
      </c>
      <c r="M2403" s="6">
        <v>45677</v>
      </c>
      <c r="N2403" s="6" t="s">
        <v>811</v>
      </c>
      <c r="O2403" s="5" t="str">
        <f ca="1">IF(P2403&lt;&gt;"EXPEDIÇÃO","Expedido",IF(NETWORKDAYS(C2403,TODAY())&gt;=5,"Risco Alto",IF(NETWORKDAYS(C2403,TODAY())&gt;=3,IF(NETWORKDAYS(C2403,TODAY())&lt;5,"Risco Médio",""),IF(NETWORKDAYS(C2403,TODAY())&lt;=2,"Risco Baixo",""))))</f>
        <v>Expedido</v>
      </c>
      <c r="P2403" s="5" t="s">
        <v>25</v>
      </c>
      <c r="S2403" s="7">
        <f>IF(ISBLANK(M2403),"Aguardando Previsão/Data",NETWORKDAYS(L2403,M2403)-1)</f>
        <v>-6</v>
      </c>
      <c r="T2403" s="5" t="s">
        <v>942</v>
      </c>
    </row>
    <row r="2404" spans="1:20" x14ac:dyDescent="0.35">
      <c r="A2404" s="5">
        <v>8100279097</v>
      </c>
      <c r="B2404" s="5">
        <v>19356</v>
      </c>
      <c r="C2404" s="6">
        <v>45674</v>
      </c>
      <c r="D2404" s="5" t="s">
        <v>106</v>
      </c>
      <c r="E2404" s="5" t="s">
        <v>107</v>
      </c>
      <c r="F2404" s="5" t="s">
        <v>111</v>
      </c>
      <c r="G2404" s="5" t="s">
        <v>112</v>
      </c>
      <c r="H2404" s="5" t="s">
        <v>108</v>
      </c>
      <c r="I2404" s="5" t="s">
        <v>115</v>
      </c>
      <c r="J2404" s="5" t="s">
        <v>344</v>
      </c>
      <c r="K2404" s="5" t="s">
        <v>110</v>
      </c>
      <c r="L2404" s="6">
        <v>45681</v>
      </c>
      <c r="M2404" s="6">
        <v>45677</v>
      </c>
      <c r="N2404" s="6" t="s">
        <v>811</v>
      </c>
      <c r="O2404" s="5" t="str">
        <f ca="1">IF(P2404&lt;&gt;"EXPEDIÇÃO","Expedido",IF(NETWORKDAYS(C2404,TODAY())&gt;=5,"Risco Alto",IF(NETWORKDAYS(C2404,TODAY())&gt;=3,IF(NETWORKDAYS(C2404,TODAY())&lt;5,"Risco Médio",""),IF(NETWORKDAYS(C2404,TODAY())&lt;=2,"Risco Baixo",""))))</f>
        <v>Expedido</v>
      </c>
      <c r="P2404" s="5" t="s">
        <v>25</v>
      </c>
      <c r="S2404" s="7">
        <f>IF(ISBLANK(M2404),"Aguardando Previsão/Data",NETWORKDAYS(L2404,M2404)-1)</f>
        <v>-6</v>
      </c>
      <c r="T2404" s="5" t="s">
        <v>942</v>
      </c>
    </row>
    <row r="2405" spans="1:20" x14ac:dyDescent="0.35">
      <c r="A2405" s="5">
        <v>8100279230</v>
      </c>
      <c r="B2405" s="5">
        <v>19435</v>
      </c>
      <c r="C2405" s="6">
        <v>45674</v>
      </c>
      <c r="D2405" s="5" t="s">
        <v>106</v>
      </c>
      <c r="E2405" s="5" t="s">
        <v>107</v>
      </c>
      <c r="F2405" s="5" t="s">
        <v>66</v>
      </c>
      <c r="G2405" s="5" t="s">
        <v>67</v>
      </c>
      <c r="H2405" s="5" t="s">
        <v>108</v>
      </c>
      <c r="I2405" s="5" t="s">
        <v>115</v>
      </c>
      <c r="J2405" s="5" t="s">
        <v>393</v>
      </c>
      <c r="K2405" s="5" t="s">
        <v>110</v>
      </c>
      <c r="L2405" s="6">
        <v>45684</v>
      </c>
      <c r="M2405" s="6">
        <v>45678</v>
      </c>
      <c r="N2405" s="6" t="s">
        <v>811</v>
      </c>
      <c r="O2405" s="5" t="str">
        <f ca="1">IF(P2405&lt;&gt;"EXPEDIÇÃO","Expedido",IF(NETWORKDAYS(C2405,TODAY())&gt;=5,"Risco Alto",IF(NETWORKDAYS(C2405,TODAY())&gt;=3,IF(NETWORKDAYS(C2405,TODAY())&lt;5,"Risco Médio",""),IF(NETWORKDAYS(C2405,TODAY())&lt;=2,"Risco Baixo",""))))</f>
        <v>Expedido</v>
      </c>
      <c r="P2405" s="5" t="s">
        <v>25</v>
      </c>
      <c r="S2405" s="7">
        <f>IF(ISBLANK(M2405),"Aguardando Previsão/Data",NETWORKDAYS(L2405,M2405)-1)</f>
        <v>-6</v>
      </c>
      <c r="T2405" s="5" t="s">
        <v>942</v>
      </c>
    </row>
    <row r="2406" spans="1:20" x14ac:dyDescent="0.35">
      <c r="A2406" s="5">
        <v>8100279231</v>
      </c>
      <c r="B2406" s="5">
        <v>19433</v>
      </c>
      <c r="C2406" s="6">
        <v>45674</v>
      </c>
      <c r="D2406" s="5" t="s">
        <v>106</v>
      </c>
      <c r="E2406" s="5" t="s">
        <v>107</v>
      </c>
      <c r="F2406" s="5" t="s">
        <v>53</v>
      </c>
      <c r="G2406" s="5" t="s">
        <v>54</v>
      </c>
      <c r="H2406" s="5" t="s">
        <v>108</v>
      </c>
      <c r="I2406" s="5" t="s">
        <v>561</v>
      </c>
      <c r="J2406" s="5" t="s">
        <v>121</v>
      </c>
      <c r="K2406" s="5" t="s">
        <v>110</v>
      </c>
      <c r="L2406" s="6">
        <v>45681</v>
      </c>
      <c r="M2406" s="6">
        <v>45677</v>
      </c>
      <c r="N2406" s="6" t="s">
        <v>811</v>
      </c>
      <c r="O2406" s="5" t="str">
        <f ca="1">IF(P2406&lt;&gt;"EXPEDIÇÃO","Expedido",IF(NETWORKDAYS(C2406,TODAY())&gt;=5,"Risco Alto",IF(NETWORKDAYS(C2406,TODAY())&gt;=3,IF(NETWORKDAYS(C2406,TODAY())&lt;5,"Risco Médio",""),IF(NETWORKDAYS(C2406,TODAY())&lt;=2,"Risco Baixo",""))))</f>
        <v>Expedido</v>
      </c>
      <c r="P2406" s="5" t="s">
        <v>25</v>
      </c>
      <c r="S2406" s="7">
        <f>IF(ISBLANK(M2406),"Aguardando Previsão/Data",NETWORKDAYS(L2406,M2406)-1)</f>
        <v>-6</v>
      </c>
      <c r="T2406" s="5" t="s">
        <v>942</v>
      </c>
    </row>
    <row r="2407" spans="1:20" x14ac:dyDescent="0.35">
      <c r="A2407" s="5">
        <v>8100279232</v>
      </c>
      <c r="B2407" s="5">
        <v>19434</v>
      </c>
      <c r="C2407" s="6">
        <v>45674</v>
      </c>
      <c r="D2407" s="5" t="s">
        <v>106</v>
      </c>
      <c r="E2407" s="5" t="s">
        <v>107</v>
      </c>
      <c r="F2407" s="5" t="s">
        <v>53</v>
      </c>
      <c r="G2407" s="5" t="s">
        <v>54</v>
      </c>
      <c r="H2407" s="5" t="s">
        <v>108</v>
      </c>
      <c r="I2407" s="5" t="s">
        <v>727</v>
      </c>
      <c r="J2407" s="5" t="s">
        <v>582</v>
      </c>
      <c r="K2407" s="5" t="s">
        <v>110</v>
      </c>
      <c r="L2407" s="6">
        <v>45684</v>
      </c>
      <c r="M2407" s="6">
        <v>45678</v>
      </c>
      <c r="N2407" s="6" t="s">
        <v>811</v>
      </c>
      <c r="O2407" s="5" t="str">
        <f ca="1">IF(P2407&lt;&gt;"EXPEDIÇÃO","Expedido",IF(NETWORKDAYS(C2407,TODAY())&gt;=5,"Risco Alto",IF(NETWORKDAYS(C2407,TODAY())&gt;=3,IF(NETWORKDAYS(C2407,TODAY())&lt;5,"Risco Médio",""),IF(NETWORKDAYS(C2407,TODAY())&lt;=2,"Risco Baixo",""))))</f>
        <v>Expedido</v>
      </c>
      <c r="P2407" s="5" t="s">
        <v>25</v>
      </c>
      <c r="S2407" s="7">
        <f>IF(ISBLANK(M2407),"Aguardando Previsão/Data",NETWORKDAYS(L2407,M2407)-1)</f>
        <v>-6</v>
      </c>
      <c r="T2407" s="5" t="s">
        <v>942</v>
      </c>
    </row>
    <row r="2408" spans="1:20" x14ac:dyDescent="0.35">
      <c r="A2408" s="5">
        <v>8100279044</v>
      </c>
      <c r="B2408" s="5">
        <v>19379</v>
      </c>
      <c r="C2408" s="6">
        <v>45674</v>
      </c>
      <c r="D2408" s="5" t="s">
        <v>106</v>
      </c>
      <c r="E2408" s="5" t="s">
        <v>107</v>
      </c>
      <c r="F2408" s="5" t="s">
        <v>53</v>
      </c>
      <c r="G2408" s="5" t="s">
        <v>54</v>
      </c>
      <c r="H2408" s="5" t="s">
        <v>108</v>
      </c>
      <c r="I2408" s="5" t="s">
        <v>341</v>
      </c>
      <c r="J2408" s="5" t="s">
        <v>109</v>
      </c>
      <c r="K2408" s="5" t="s">
        <v>110</v>
      </c>
      <c r="L2408" s="6">
        <v>45681</v>
      </c>
      <c r="M2408" s="6">
        <v>45682</v>
      </c>
      <c r="N2408" s="6" t="s">
        <v>811</v>
      </c>
      <c r="O2408" s="5" t="str">
        <f ca="1">IF(P2408&lt;&gt;"EXPEDIÇÃO","Expedido",IF(NETWORKDAYS(C2408,TODAY())&gt;=5,"Risco Alto",IF(NETWORKDAYS(C2408,TODAY())&gt;=3,IF(NETWORKDAYS(C2408,TODAY())&lt;5,"Risco Médio",""),IF(NETWORKDAYS(C2408,TODAY())&lt;=2,"Risco Baixo",""))))</f>
        <v>Expedido</v>
      </c>
      <c r="P2408" s="5" t="s">
        <v>25</v>
      </c>
      <c r="S2408" s="7">
        <f>IF(ISBLANK(M2408),"Aguardando Previsão/Data",NETWORKDAYS(L2408,M2408)-1)</f>
        <v>0</v>
      </c>
      <c r="T2408" s="5" t="s">
        <v>942</v>
      </c>
    </row>
    <row r="2409" spans="1:20" x14ac:dyDescent="0.35">
      <c r="A2409" s="5">
        <v>8100279065</v>
      </c>
      <c r="B2409" s="5">
        <v>19380</v>
      </c>
      <c r="C2409" s="6">
        <v>45674</v>
      </c>
      <c r="D2409" s="5" t="s">
        <v>106</v>
      </c>
      <c r="E2409" s="5" t="s">
        <v>107</v>
      </c>
      <c r="F2409" s="5" t="s">
        <v>53</v>
      </c>
      <c r="G2409" s="5" t="s">
        <v>54</v>
      </c>
      <c r="H2409" s="5" t="s">
        <v>108</v>
      </c>
      <c r="I2409" s="5" t="s">
        <v>341</v>
      </c>
      <c r="J2409" s="5" t="s">
        <v>109</v>
      </c>
      <c r="K2409" s="5" t="s">
        <v>110</v>
      </c>
      <c r="L2409" s="6">
        <v>45681</v>
      </c>
      <c r="M2409" s="6">
        <v>45682</v>
      </c>
      <c r="N2409" s="6" t="s">
        <v>811</v>
      </c>
      <c r="O2409" s="5" t="str">
        <f ca="1">IF(P2409&lt;&gt;"EXPEDIÇÃO","Expedido",IF(NETWORKDAYS(C2409,TODAY())&gt;=5,"Risco Alto",IF(NETWORKDAYS(C2409,TODAY())&gt;=3,IF(NETWORKDAYS(C2409,TODAY())&lt;5,"Risco Médio",""),IF(NETWORKDAYS(C2409,TODAY())&lt;=2,"Risco Baixo",""))))</f>
        <v>Expedido</v>
      </c>
      <c r="P2409" s="5" t="s">
        <v>25</v>
      </c>
      <c r="S2409" s="7">
        <f>IF(ISBLANK(M2409),"Aguardando Previsão/Data",NETWORKDAYS(L2409,M2409)-1)</f>
        <v>0</v>
      </c>
      <c r="T2409" s="5" t="s">
        <v>942</v>
      </c>
    </row>
    <row r="2410" spans="1:20" x14ac:dyDescent="0.35">
      <c r="A2410" s="5">
        <v>8100279073</v>
      </c>
      <c r="B2410" s="5">
        <v>19365</v>
      </c>
      <c r="C2410" s="6">
        <v>45674</v>
      </c>
      <c r="D2410" s="5" t="s">
        <v>106</v>
      </c>
      <c r="E2410" s="5" t="s">
        <v>107</v>
      </c>
      <c r="F2410" s="5" t="s">
        <v>66</v>
      </c>
      <c r="G2410" s="5" t="s">
        <v>67</v>
      </c>
      <c r="H2410" s="5" t="s">
        <v>108</v>
      </c>
      <c r="I2410" s="5" t="s">
        <v>475</v>
      </c>
      <c r="J2410" s="5" t="s">
        <v>476</v>
      </c>
      <c r="K2410" s="5" t="s">
        <v>110</v>
      </c>
      <c r="L2410" s="6">
        <v>45684</v>
      </c>
      <c r="M2410" s="6">
        <v>45684</v>
      </c>
      <c r="N2410" s="6" t="s">
        <v>811</v>
      </c>
      <c r="O2410" s="5" t="str">
        <f ca="1">IF(P2410&lt;&gt;"EXPEDIÇÃO","Expedido",IF(NETWORKDAYS(C2410,TODAY())&gt;=5,"Risco Alto",IF(NETWORKDAYS(C2410,TODAY())&gt;=3,IF(NETWORKDAYS(C2410,TODAY())&lt;5,"Risco Médio",""),IF(NETWORKDAYS(C2410,TODAY())&lt;=2,"Risco Baixo",""))))</f>
        <v>Expedido</v>
      </c>
      <c r="P2410" s="5" t="s">
        <v>25</v>
      </c>
      <c r="S2410" s="7">
        <f>IF(ISBLANK(M2410),"Aguardando Previsão/Data",NETWORKDAYS(L2410,M2410)-1)</f>
        <v>0</v>
      </c>
      <c r="T2410" s="5" t="s">
        <v>942</v>
      </c>
    </row>
    <row r="2411" spans="1:20" x14ac:dyDescent="0.35">
      <c r="A2411" s="5">
        <v>8100279075</v>
      </c>
      <c r="B2411" s="5">
        <v>19392</v>
      </c>
      <c r="C2411" s="6">
        <v>45674</v>
      </c>
      <c r="D2411" s="5" t="s">
        <v>106</v>
      </c>
      <c r="E2411" s="5" t="s">
        <v>107</v>
      </c>
      <c r="F2411" s="5" t="s">
        <v>66</v>
      </c>
      <c r="G2411" s="5" t="s">
        <v>67</v>
      </c>
      <c r="H2411" s="5" t="s">
        <v>108</v>
      </c>
      <c r="I2411" s="5" t="s">
        <v>396</v>
      </c>
      <c r="J2411" s="5" t="s">
        <v>397</v>
      </c>
      <c r="K2411" s="5" t="s">
        <v>110</v>
      </c>
      <c r="L2411" s="6">
        <v>45684</v>
      </c>
      <c r="M2411" s="6">
        <v>45680</v>
      </c>
      <c r="N2411" s="6" t="s">
        <v>811</v>
      </c>
      <c r="O2411" s="5" t="str">
        <f ca="1">IF(P2411&lt;&gt;"EXPEDIÇÃO","Expedido",IF(NETWORKDAYS(C2411,TODAY())&gt;=5,"Risco Alto",IF(NETWORKDAYS(C2411,TODAY())&gt;=3,IF(NETWORKDAYS(C2411,TODAY())&lt;5,"Risco Médio",""),IF(NETWORKDAYS(C2411,TODAY())&lt;=2,"Risco Baixo",""))))</f>
        <v>Expedido</v>
      </c>
      <c r="P2411" s="5" t="s">
        <v>25</v>
      </c>
      <c r="S2411" s="7">
        <f>IF(ISBLANK(M2411),"Aguardando Previsão/Data",NETWORKDAYS(L2411,M2411)-1)</f>
        <v>-4</v>
      </c>
      <c r="T2411" s="5" t="s">
        <v>942</v>
      </c>
    </row>
    <row r="2412" spans="1:20" x14ac:dyDescent="0.35">
      <c r="A2412" s="5">
        <v>8100279076</v>
      </c>
      <c r="B2412" s="5">
        <v>19381</v>
      </c>
      <c r="C2412" s="6">
        <v>45674</v>
      </c>
      <c r="D2412" s="5" t="s">
        <v>106</v>
      </c>
      <c r="E2412" s="5" t="s">
        <v>107</v>
      </c>
      <c r="F2412" s="5" t="s">
        <v>111</v>
      </c>
      <c r="G2412" s="5" t="s">
        <v>112</v>
      </c>
      <c r="H2412" s="5" t="s">
        <v>108</v>
      </c>
      <c r="I2412" s="5" t="s">
        <v>115</v>
      </c>
      <c r="J2412" s="5" t="s">
        <v>143</v>
      </c>
      <c r="K2412" s="5" t="s">
        <v>110</v>
      </c>
      <c r="L2412" s="6">
        <v>45681</v>
      </c>
      <c r="M2412" s="6">
        <v>45681</v>
      </c>
      <c r="N2412" s="6" t="s">
        <v>811</v>
      </c>
      <c r="O2412" s="5" t="str">
        <f ca="1">IF(P2412&lt;&gt;"EXPEDIÇÃO","Expedido",IF(NETWORKDAYS(C2412,TODAY())&gt;=5,"Risco Alto",IF(NETWORKDAYS(C2412,TODAY())&gt;=3,IF(NETWORKDAYS(C2412,TODAY())&lt;5,"Risco Médio",""),IF(NETWORKDAYS(C2412,TODAY())&lt;=2,"Risco Baixo",""))))</f>
        <v>Expedido</v>
      </c>
      <c r="P2412" s="5" t="s">
        <v>25</v>
      </c>
      <c r="Q2412" s="5" t="s">
        <v>897</v>
      </c>
      <c r="S2412" s="7">
        <f>IF(ISBLANK(M2412),"Aguardando Previsão/Data",NETWORKDAYS(L2412,M2412)-1)</f>
        <v>0</v>
      </c>
      <c r="T2412" s="5" t="s">
        <v>942</v>
      </c>
    </row>
    <row r="2413" spans="1:20" x14ac:dyDescent="0.35">
      <c r="A2413" s="5">
        <v>8100279077</v>
      </c>
      <c r="B2413" s="5">
        <v>19367</v>
      </c>
      <c r="C2413" s="6">
        <v>45674</v>
      </c>
      <c r="D2413" s="5" t="s">
        <v>106</v>
      </c>
      <c r="E2413" s="5" t="s">
        <v>107</v>
      </c>
      <c r="F2413" s="5" t="s">
        <v>111</v>
      </c>
      <c r="G2413" s="5" t="s">
        <v>112</v>
      </c>
      <c r="H2413" s="5" t="s">
        <v>108</v>
      </c>
      <c r="I2413" s="5" t="s">
        <v>115</v>
      </c>
      <c r="J2413" s="5" t="s">
        <v>133</v>
      </c>
      <c r="K2413" s="5" t="s">
        <v>110</v>
      </c>
      <c r="L2413" s="6">
        <v>45684</v>
      </c>
      <c r="M2413" s="6">
        <v>45681</v>
      </c>
      <c r="N2413" s="6" t="s">
        <v>811</v>
      </c>
      <c r="O2413" s="5" t="str">
        <f ca="1">IF(P2413&lt;&gt;"EXPEDIÇÃO","Expedido",IF(NETWORKDAYS(C2413,TODAY())&gt;=5,"Risco Alto",IF(NETWORKDAYS(C2413,TODAY())&gt;=3,IF(NETWORKDAYS(C2413,TODAY())&lt;5,"Risco Médio",""),IF(NETWORKDAYS(C2413,TODAY())&lt;=2,"Risco Baixo",""))))</f>
        <v>Expedido</v>
      </c>
      <c r="P2413" s="5" t="s">
        <v>25</v>
      </c>
      <c r="S2413" s="7">
        <f>IF(ISBLANK(M2413),"Aguardando Previsão/Data",NETWORKDAYS(L2413,M2413)-1)</f>
        <v>-3</v>
      </c>
      <c r="T2413" s="5" t="s">
        <v>942</v>
      </c>
    </row>
    <row r="2414" spans="1:20" x14ac:dyDescent="0.35">
      <c r="A2414" s="5">
        <v>8100279078</v>
      </c>
      <c r="B2414" s="5">
        <v>19375</v>
      </c>
      <c r="C2414" s="6">
        <v>45674</v>
      </c>
      <c r="D2414" s="5" t="s">
        <v>106</v>
      </c>
      <c r="E2414" s="5" t="s">
        <v>107</v>
      </c>
      <c r="F2414" s="5" t="s">
        <v>111</v>
      </c>
      <c r="G2414" s="5" t="s">
        <v>112</v>
      </c>
      <c r="H2414" s="5" t="s">
        <v>108</v>
      </c>
      <c r="I2414" s="5" t="s">
        <v>115</v>
      </c>
      <c r="J2414" s="5" t="s">
        <v>391</v>
      </c>
      <c r="K2414" s="5" t="s">
        <v>110</v>
      </c>
      <c r="L2414" s="6">
        <v>45684</v>
      </c>
      <c r="M2414" s="6">
        <v>45681</v>
      </c>
      <c r="N2414" s="6" t="s">
        <v>811</v>
      </c>
      <c r="O2414" s="5" t="str">
        <f ca="1">IF(P2414&lt;&gt;"EXPEDIÇÃO","Expedido",IF(NETWORKDAYS(C2414,TODAY())&gt;=5,"Risco Alto",IF(NETWORKDAYS(C2414,TODAY())&gt;=3,IF(NETWORKDAYS(C2414,TODAY())&lt;5,"Risco Médio",""),IF(NETWORKDAYS(C2414,TODAY())&lt;=2,"Risco Baixo",""))))</f>
        <v>Expedido</v>
      </c>
      <c r="P2414" s="5" t="s">
        <v>25</v>
      </c>
      <c r="S2414" s="7">
        <f>IF(ISBLANK(M2414),"Aguardando Previsão/Data",NETWORKDAYS(L2414,M2414)-1)</f>
        <v>-3</v>
      </c>
      <c r="T2414" s="5" t="s">
        <v>942</v>
      </c>
    </row>
    <row r="2415" spans="1:20" x14ac:dyDescent="0.35">
      <c r="A2415" s="5">
        <v>8100279079</v>
      </c>
      <c r="B2415" s="5">
        <v>19355</v>
      </c>
      <c r="C2415" s="6">
        <v>45674</v>
      </c>
      <c r="D2415" s="5" t="s">
        <v>106</v>
      </c>
      <c r="E2415" s="5" t="s">
        <v>107</v>
      </c>
      <c r="F2415" s="5" t="s">
        <v>111</v>
      </c>
      <c r="G2415" s="5" t="s">
        <v>112</v>
      </c>
      <c r="H2415" s="5" t="s">
        <v>108</v>
      </c>
      <c r="I2415" s="5" t="s">
        <v>115</v>
      </c>
      <c r="J2415" s="5" t="s">
        <v>143</v>
      </c>
      <c r="K2415" s="5" t="s">
        <v>110</v>
      </c>
      <c r="L2415" s="6">
        <v>45681</v>
      </c>
      <c r="M2415" s="6">
        <v>45681</v>
      </c>
      <c r="N2415" s="6" t="s">
        <v>811</v>
      </c>
      <c r="O2415" s="5" t="str">
        <f ca="1">IF(P2415&lt;&gt;"EXPEDIÇÃO","Expedido",IF(NETWORKDAYS(C2415,TODAY())&gt;=5,"Risco Alto",IF(NETWORKDAYS(C2415,TODAY())&gt;=3,IF(NETWORKDAYS(C2415,TODAY())&lt;5,"Risco Médio",""),IF(NETWORKDAYS(C2415,TODAY())&lt;=2,"Risco Baixo",""))))</f>
        <v>Expedido</v>
      </c>
      <c r="P2415" s="5" t="s">
        <v>25</v>
      </c>
      <c r="Q2415" s="5" t="s">
        <v>897</v>
      </c>
      <c r="S2415" s="7">
        <f>IF(ISBLANK(M2415),"Aguardando Previsão/Data",NETWORKDAYS(L2415,M2415)-1)</f>
        <v>0</v>
      </c>
      <c r="T2415" s="5" t="s">
        <v>942</v>
      </c>
    </row>
    <row r="2416" spans="1:20" x14ac:dyDescent="0.35">
      <c r="A2416" s="5">
        <v>8100279080</v>
      </c>
      <c r="B2416" s="5">
        <v>19382</v>
      </c>
      <c r="C2416" s="6">
        <v>45674</v>
      </c>
      <c r="D2416" s="5" t="s">
        <v>106</v>
      </c>
      <c r="E2416" s="5" t="s">
        <v>107</v>
      </c>
      <c r="F2416" s="5" t="s">
        <v>111</v>
      </c>
      <c r="G2416" s="5" t="s">
        <v>112</v>
      </c>
      <c r="H2416" s="5" t="s">
        <v>108</v>
      </c>
      <c r="I2416" s="5" t="s">
        <v>115</v>
      </c>
      <c r="J2416" s="5" t="s">
        <v>143</v>
      </c>
      <c r="K2416" s="5" t="s">
        <v>110</v>
      </c>
      <c r="L2416" s="6">
        <v>45681</v>
      </c>
      <c r="M2416" s="6">
        <v>45681</v>
      </c>
      <c r="N2416" s="6" t="s">
        <v>811</v>
      </c>
      <c r="O2416" s="5" t="str">
        <f ca="1">IF(P2416&lt;&gt;"EXPEDIÇÃO","Expedido",IF(NETWORKDAYS(C2416,TODAY())&gt;=5,"Risco Alto",IF(NETWORKDAYS(C2416,TODAY())&gt;=3,IF(NETWORKDAYS(C2416,TODAY())&lt;5,"Risco Médio",""),IF(NETWORKDAYS(C2416,TODAY())&lt;=2,"Risco Baixo",""))))</f>
        <v>Expedido</v>
      </c>
      <c r="P2416" s="5" t="s">
        <v>25</v>
      </c>
      <c r="Q2416" s="5" t="s">
        <v>897</v>
      </c>
      <c r="S2416" s="7">
        <f>IF(ISBLANK(M2416),"Aguardando Previsão/Data",NETWORKDAYS(L2416,M2416)-1)</f>
        <v>0</v>
      </c>
      <c r="T2416" s="5" t="s">
        <v>942</v>
      </c>
    </row>
    <row r="2417" spans="1:20" x14ac:dyDescent="0.35">
      <c r="A2417" s="5">
        <v>8100279085</v>
      </c>
      <c r="B2417" s="5">
        <v>19366</v>
      </c>
      <c r="C2417" s="6">
        <v>45674</v>
      </c>
      <c r="D2417" s="5" t="s">
        <v>106</v>
      </c>
      <c r="E2417" s="5" t="s">
        <v>107</v>
      </c>
      <c r="F2417" s="5" t="s">
        <v>66</v>
      </c>
      <c r="G2417" s="5" t="s">
        <v>67</v>
      </c>
      <c r="H2417" s="5" t="s">
        <v>108</v>
      </c>
      <c r="I2417" s="5" t="s">
        <v>475</v>
      </c>
      <c r="J2417" s="5" t="s">
        <v>476</v>
      </c>
      <c r="K2417" s="5" t="s">
        <v>110</v>
      </c>
      <c r="L2417" s="6">
        <v>45684</v>
      </c>
      <c r="M2417" s="6">
        <v>45684</v>
      </c>
      <c r="N2417" s="6" t="s">
        <v>811</v>
      </c>
      <c r="O2417" s="5" t="str">
        <f ca="1">IF(P2417&lt;&gt;"EXPEDIÇÃO","Expedido",IF(NETWORKDAYS(C2417,TODAY())&gt;=5,"Risco Alto",IF(NETWORKDAYS(C2417,TODAY())&gt;=3,IF(NETWORKDAYS(C2417,TODAY())&lt;5,"Risco Médio",""),IF(NETWORKDAYS(C2417,TODAY())&lt;=2,"Risco Baixo",""))))</f>
        <v>Expedido</v>
      </c>
      <c r="P2417" s="5" t="s">
        <v>25</v>
      </c>
      <c r="S2417" s="7">
        <f>IF(ISBLANK(M2417),"Aguardando Previsão/Data",NETWORKDAYS(L2417,M2417)-1)</f>
        <v>0</v>
      </c>
      <c r="T2417" s="5" t="s">
        <v>942</v>
      </c>
    </row>
    <row r="2418" spans="1:20" x14ac:dyDescent="0.35">
      <c r="A2418" s="5">
        <v>8100279086</v>
      </c>
      <c r="B2418" s="5">
        <v>19364</v>
      </c>
      <c r="C2418" s="6">
        <v>45674</v>
      </c>
      <c r="D2418" s="5" t="s">
        <v>106</v>
      </c>
      <c r="E2418" s="5" t="s">
        <v>107</v>
      </c>
      <c r="F2418" s="5" t="s">
        <v>66</v>
      </c>
      <c r="G2418" s="5" t="s">
        <v>67</v>
      </c>
      <c r="H2418" s="5" t="s">
        <v>108</v>
      </c>
      <c r="I2418" s="5" t="s">
        <v>82</v>
      </c>
      <c r="J2418" s="5" t="s">
        <v>282</v>
      </c>
      <c r="K2418" s="5" t="s">
        <v>110</v>
      </c>
      <c r="L2418" s="6">
        <v>45684</v>
      </c>
      <c r="M2418" s="6">
        <v>45681</v>
      </c>
      <c r="N2418" s="6" t="s">
        <v>811</v>
      </c>
      <c r="O2418" s="5" t="str">
        <f ca="1">IF(P2418&lt;&gt;"EXPEDIÇÃO","Expedido",IF(NETWORKDAYS(C2418,TODAY())&gt;=5,"Risco Alto",IF(NETWORKDAYS(C2418,TODAY())&gt;=3,IF(NETWORKDAYS(C2418,TODAY())&lt;5,"Risco Médio",""),IF(NETWORKDAYS(C2418,TODAY())&lt;=2,"Risco Baixo",""))))</f>
        <v>Expedido</v>
      </c>
      <c r="P2418" s="5" t="s">
        <v>25</v>
      </c>
      <c r="S2418" s="7">
        <f>IF(ISBLANK(M2418),"Aguardando Previsão/Data",NETWORKDAYS(L2418,M2418)-1)</f>
        <v>-3</v>
      </c>
      <c r="T2418" s="5" t="s">
        <v>942</v>
      </c>
    </row>
    <row r="2419" spans="1:20" x14ac:dyDescent="0.35">
      <c r="A2419" s="5">
        <v>8100279090</v>
      </c>
      <c r="B2419" s="5">
        <v>19372</v>
      </c>
      <c r="C2419" s="6">
        <v>45674</v>
      </c>
      <c r="D2419" s="5" t="s">
        <v>106</v>
      </c>
      <c r="E2419" s="5" t="s">
        <v>107</v>
      </c>
      <c r="F2419" s="5" t="s">
        <v>53</v>
      </c>
      <c r="G2419" s="5" t="s">
        <v>54</v>
      </c>
      <c r="H2419" s="5" t="s">
        <v>108</v>
      </c>
      <c r="I2419" s="5" t="s">
        <v>115</v>
      </c>
      <c r="J2419" s="5" t="s">
        <v>288</v>
      </c>
      <c r="K2419" s="5" t="s">
        <v>110</v>
      </c>
      <c r="L2419" s="6">
        <v>45684</v>
      </c>
      <c r="M2419" s="6">
        <v>45681</v>
      </c>
      <c r="N2419" s="6" t="s">
        <v>811</v>
      </c>
      <c r="O2419" s="5" t="str">
        <f ca="1">IF(P2419&lt;&gt;"EXPEDIÇÃO","Expedido",IF(NETWORKDAYS(C2419,TODAY())&gt;=5,"Risco Alto",IF(NETWORKDAYS(C2419,TODAY())&gt;=3,IF(NETWORKDAYS(C2419,TODAY())&lt;5,"Risco Médio",""),IF(NETWORKDAYS(C2419,TODAY())&lt;=2,"Risco Baixo",""))))</f>
        <v>Expedido</v>
      </c>
      <c r="P2419" s="5" t="s">
        <v>25</v>
      </c>
      <c r="S2419" s="7">
        <f>IF(ISBLANK(M2419),"Aguardando Previsão/Data",NETWORKDAYS(L2419,M2419)-1)</f>
        <v>-3</v>
      </c>
      <c r="T2419" s="5" t="s">
        <v>942</v>
      </c>
    </row>
    <row r="2420" spans="1:20" x14ac:dyDescent="0.35">
      <c r="A2420" s="5">
        <v>8100279091</v>
      </c>
      <c r="B2420" s="5">
        <v>19376</v>
      </c>
      <c r="C2420" s="6">
        <v>45674</v>
      </c>
      <c r="D2420" s="5" t="s">
        <v>106</v>
      </c>
      <c r="E2420" s="5" t="s">
        <v>107</v>
      </c>
      <c r="F2420" s="5" t="s">
        <v>111</v>
      </c>
      <c r="G2420" s="5" t="s">
        <v>112</v>
      </c>
      <c r="H2420" s="5" t="s">
        <v>108</v>
      </c>
      <c r="I2420" s="5" t="s">
        <v>115</v>
      </c>
      <c r="J2420" s="5" t="s">
        <v>391</v>
      </c>
      <c r="K2420" s="5" t="s">
        <v>110</v>
      </c>
      <c r="L2420" s="6">
        <v>45684</v>
      </c>
      <c r="M2420" s="6">
        <v>45681</v>
      </c>
      <c r="N2420" s="6" t="s">
        <v>811</v>
      </c>
      <c r="O2420" s="5" t="str">
        <f ca="1">IF(P2420&lt;&gt;"EXPEDIÇÃO","Expedido",IF(NETWORKDAYS(C2420,TODAY())&gt;=5,"Risco Alto",IF(NETWORKDAYS(C2420,TODAY())&gt;=3,IF(NETWORKDAYS(C2420,TODAY())&lt;5,"Risco Médio",""),IF(NETWORKDAYS(C2420,TODAY())&lt;=2,"Risco Baixo",""))))</f>
        <v>Expedido</v>
      </c>
      <c r="P2420" s="5" t="s">
        <v>25</v>
      </c>
      <c r="S2420" s="7">
        <f>IF(ISBLANK(M2420),"Aguardando Previsão/Data",NETWORKDAYS(L2420,M2420)-1)</f>
        <v>-3</v>
      </c>
      <c r="T2420" s="5" t="s">
        <v>942</v>
      </c>
    </row>
    <row r="2421" spans="1:20" x14ac:dyDescent="0.35">
      <c r="A2421" s="5">
        <v>8100279092</v>
      </c>
      <c r="B2421" s="5">
        <v>19383</v>
      </c>
      <c r="C2421" s="6">
        <v>45674</v>
      </c>
      <c r="D2421" s="5" t="s">
        <v>106</v>
      </c>
      <c r="E2421" s="5" t="s">
        <v>107</v>
      </c>
      <c r="F2421" s="5" t="s">
        <v>111</v>
      </c>
      <c r="G2421" s="5" t="s">
        <v>112</v>
      </c>
      <c r="H2421" s="5" t="s">
        <v>108</v>
      </c>
      <c r="I2421" s="5" t="s">
        <v>115</v>
      </c>
      <c r="J2421" s="5" t="s">
        <v>143</v>
      </c>
      <c r="K2421" s="5" t="s">
        <v>110</v>
      </c>
      <c r="L2421" s="6">
        <v>45681</v>
      </c>
      <c r="M2421" s="6">
        <v>45681</v>
      </c>
      <c r="N2421" s="6" t="s">
        <v>811</v>
      </c>
      <c r="O2421" s="5" t="str">
        <f ca="1">IF(P2421&lt;&gt;"EXPEDIÇÃO","Expedido",IF(NETWORKDAYS(C2421,TODAY())&gt;=5,"Risco Alto",IF(NETWORKDAYS(C2421,TODAY())&gt;=3,IF(NETWORKDAYS(C2421,TODAY())&lt;5,"Risco Médio",""),IF(NETWORKDAYS(C2421,TODAY())&lt;=2,"Risco Baixo",""))))</f>
        <v>Expedido</v>
      </c>
      <c r="P2421" s="5" t="s">
        <v>25</v>
      </c>
      <c r="Q2421" s="5" t="s">
        <v>897</v>
      </c>
      <c r="S2421" s="7">
        <f>IF(ISBLANK(M2421),"Aguardando Previsão/Data",NETWORKDAYS(L2421,M2421)-1)</f>
        <v>0</v>
      </c>
      <c r="T2421" s="5" t="s">
        <v>942</v>
      </c>
    </row>
    <row r="2422" spans="1:20" x14ac:dyDescent="0.35">
      <c r="A2422" s="5">
        <v>8100279093</v>
      </c>
      <c r="B2422" s="5">
        <v>19358</v>
      </c>
      <c r="C2422" s="6">
        <v>45674</v>
      </c>
      <c r="D2422" s="5" t="s">
        <v>106</v>
      </c>
      <c r="E2422" s="5" t="s">
        <v>107</v>
      </c>
      <c r="F2422" s="5" t="s">
        <v>111</v>
      </c>
      <c r="G2422" s="5" t="s">
        <v>112</v>
      </c>
      <c r="H2422" s="5" t="s">
        <v>108</v>
      </c>
      <c r="I2422" s="5" t="s">
        <v>115</v>
      </c>
      <c r="J2422" s="5" t="s">
        <v>122</v>
      </c>
      <c r="K2422" s="5" t="s">
        <v>110</v>
      </c>
      <c r="L2422" s="6">
        <v>45681</v>
      </c>
      <c r="M2422" s="6">
        <v>45680</v>
      </c>
      <c r="N2422" s="6" t="s">
        <v>811</v>
      </c>
      <c r="O2422" s="5" t="str">
        <f ca="1">IF(P2422&lt;&gt;"EXPEDIÇÃO","Expedido",IF(NETWORKDAYS(C2422,TODAY())&gt;=5,"Risco Alto",IF(NETWORKDAYS(C2422,TODAY())&gt;=3,IF(NETWORKDAYS(C2422,TODAY())&lt;5,"Risco Médio",""),IF(NETWORKDAYS(C2422,TODAY())&lt;=2,"Risco Baixo",""))))</f>
        <v>Expedido</v>
      </c>
      <c r="P2422" s="5" t="s">
        <v>25</v>
      </c>
      <c r="S2422" s="7">
        <f>IF(ISBLANK(M2422),"Aguardando Previsão/Data",NETWORKDAYS(L2422,M2422)-1)</f>
        <v>-3</v>
      </c>
      <c r="T2422" s="5" t="s">
        <v>942</v>
      </c>
    </row>
    <row r="2423" spans="1:20" x14ac:dyDescent="0.35">
      <c r="A2423" s="5">
        <v>8100279094</v>
      </c>
      <c r="B2423" s="5">
        <v>19360</v>
      </c>
      <c r="C2423" s="6">
        <v>45674</v>
      </c>
      <c r="D2423" s="5" t="s">
        <v>106</v>
      </c>
      <c r="E2423" s="5" t="s">
        <v>107</v>
      </c>
      <c r="F2423" s="5" t="s">
        <v>111</v>
      </c>
      <c r="G2423" s="5" t="s">
        <v>112</v>
      </c>
      <c r="H2423" s="5" t="s">
        <v>108</v>
      </c>
      <c r="I2423" s="5" t="s">
        <v>115</v>
      </c>
      <c r="J2423" s="5" t="s">
        <v>346</v>
      </c>
      <c r="K2423" s="5" t="s">
        <v>110</v>
      </c>
      <c r="L2423" s="6">
        <v>45681</v>
      </c>
      <c r="M2423" s="6">
        <v>45681</v>
      </c>
      <c r="N2423" s="6" t="s">
        <v>811</v>
      </c>
      <c r="O2423" s="5" t="str">
        <f ca="1">IF(P2423&lt;&gt;"EXPEDIÇÃO","Expedido",IF(NETWORKDAYS(C2423,TODAY())&gt;=5,"Risco Alto",IF(NETWORKDAYS(C2423,TODAY())&gt;=3,IF(NETWORKDAYS(C2423,TODAY())&lt;5,"Risco Médio",""),IF(NETWORKDAYS(C2423,TODAY())&lt;=2,"Risco Baixo",""))))</f>
        <v>Expedido</v>
      </c>
      <c r="P2423" s="5" t="s">
        <v>25</v>
      </c>
      <c r="S2423" s="7">
        <f>IF(ISBLANK(M2423),"Aguardando Previsão/Data",NETWORKDAYS(L2423,M2423)-1)</f>
        <v>0</v>
      </c>
      <c r="T2423" s="5" t="s">
        <v>942</v>
      </c>
    </row>
    <row r="2424" spans="1:20" x14ac:dyDescent="0.35">
      <c r="A2424" s="5">
        <v>8100279095</v>
      </c>
      <c r="B2424" s="5">
        <v>19369</v>
      </c>
      <c r="C2424" s="6">
        <v>45674</v>
      </c>
      <c r="D2424" s="5" t="s">
        <v>106</v>
      </c>
      <c r="E2424" s="5" t="s">
        <v>107</v>
      </c>
      <c r="F2424" s="5" t="s">
        <v>111</v>
      </c>
      <c r="G2424" s="5" t="s">
        <v>112</v>
      </c>
      <c r="H2424" s="5" t="s">
        <v>108</v>
      </c>
      <c r="I2424" s="5" t="s">
        <v>115</v>
      </c>
      <c r="J2424" s="5" t="s">
        <v>117</v>
      </c>
      <c r="K2424" s="5" t="s">
        <v>110</v>
      </c>
      <c r="L2424" s="6">
        <v>45681</v>
      </c>
      <c r="M2424" s="6">
        <v>45680</v>
      </c>
      <c r="N2424" s="6" t="s">
        <v>811</v>
      </c>
      <c r="O2424" s="5" t="str">
        <f ca="1">IF(P2424&lt;&gt;"EXPEDIÇÃO","Expedido",IF(NETWORKDAYS(C2424,TODAY())&gt;=5,"Risco Alto",IF(NETWORKDAYS(C2424,TODAY())&gt;=3,IF(NETWORKDAYS(C2424,TODAY())&lt;5,"Risco Médio",""),IF(NETWORKDAYS(C2424,TODAY())&lt;=2,"Risco Baixo",""))))</f>
        <v>Expedido</v>
      </c>
      <c r="P2424" s="5" t="s">
        <v>25</v>
      </c>
      <c r="S2424" s="7">
        <f>IF(ISBLANK(M2424),"Aguardando Previsão/Data",NETWORKDAYS(L2424,M2424)-1)</f>
        <v>-3</v>
      </c>
      <c r="T2424" s="5" t="s">
        <v>942</v>
      </c>
    </row>
    <row r="2425" spans="1:20" x14ac:dyDescent="0.35">
      <c r="A2425" s="5">
        <v>8100279096</v>
      </c>
      <c r="B2425" s="5">
        <v>19368</v>
      </c>
      <c r="C2425" s="6">
        <v>45674</v>
      </c>
      <c r="D2425" s="5" t="s">
        <v>106</v>
      </c>
      <c r="E2425" s="5" t="s">
        <v>107</v>
      </c>
      <c r="F2425" s="5" t="s">
        <v>111</v>
      </c>
      <c r="G2425" s="5" t="s">
        <v>112</v>
      </c>
      <c r="H2425" s="5" t="s">
        <v>108</v>
      </c>
      <c r="I2425" s="5" t="s">
        <v>115</v>
      </c>
      <c r="J2425" s="5" t="s">
        <v>133</v>
      </c>
      <c r="K2425" s="5" t="s">
        <v>110</v>
      </c>
      <c r="L2425" s="6">
        <v>45684</v>
      </c>
      <c r="M2425" s="6">
        <v>45681</v>
      </c>
      <c r="N2425" s="6" t="s">
        <v>811</v>
      </c>
      <c r="O2425" s="5" t="str">
        <f ca="1">IF(P2425&lt;&gt;"EXPEDIÇÃO","Expedido",IF(NETWORKDAYS(C2425,TODAY())&gt;=5,"Risco Alto",IF(NETWORKDAYS(C2425,TODAY())&gt;=3,IF(NETWORKDAYS(C2425,TODAY())&lt;5,"Risco Médio",""),IF(NETWORKDAYS(C2425,TODAY())&lt;=2,"Risco Baixo",""))))</f>
        <v>Expedido</v>
      </c>
      <c r="P2425" s="5" t="s">
        <v>25</v>
      </c>
      <c r="S2425" s="7">
        <f>IF(ISBLANK(M2425),"Aguardando Previsão/Data",NETWORKDAYS(L2425,M2425)-1)</f>
        <v>-3</v>
      </c>
      <c r="T2425" s="5" t="s">
        <v>942</v>
      </c>
    </row>
    <row r="2426" spans="1:20" x14ac:dyDescent="0.35">
      <c r="A2426" s="5">
        <v>8100279098</v>
      </c>
      <c r="B2426" s="5">
        <v>19384</v>
      </c>
      <c r="C2426" s="6">
        <v>45674</v>
      </c>
      <c r="D2426" s="5" t="s">
        <v>106</v>
      </c>
      <c r="E2426" s="5" t="s">
        <v>107</v>
      </c>
      <c r="F2426" s="5" t="s">
        <v>111</v>
      </c>
      <c r="G2426" s="5" t="s">
        <v>112</v>
      </c>
      <c r="H2426" s="5" t="s">
        <v>108</v>
      </c>
      <c r="I2426" s="5" t="s">
        <v>115</v>
      </c>
      <c r="J2426" s="5" t="s">
        <v>143</v>
      </c>
      <c r="K2426" s="5" t="s">
        <v>110</v>
      </c>
      <c r="L2426" s="6">
        <v>45681</v>
      </c>
      <c r="M2426" s="6">
        <v>45681</v>
      </c>
      <c r="N2426" s="6" t="s">
        <v>811</v>
      </c>
      <c r="O2426" s="5" t="str">
        <f ca="1">IF(P2426&lt;&gt;"EXPEDIÇÃO","Expedido",IF(NETWORKDAYS(C2426,TODAY())&gt;=5,"Risco Alto",IF(NETWORKDAYS(C2426,TODAY())&gt;=3,IF(NETWORKDAYS(C2426,TODAY())&lt;5,"Risco Médio",""),IF(NETWORKDAYS(C2426,TODAY())&lt;=2,"Risco Baixo",""))))</f>
        <v>Expedido</v>
      </c>
      <c r="P2426" s="5" t="s">
        <v>25</v>
      </c>
      <c r="Q2426" s="5" t="s">
        <v>897</v>
      </c>
      <c r="S2426" s="7">
        <f>IF(ISBLANK(M2426),"Aguardando Previsão/Data",NETWORKDAYS(L2426,M2426)-1)</f>
        <v>0</v>
      </c>
      <c r="T2426" s="5" t="s">
        <v>942</v>
      </c>
    </row>
    <row r="2427" spans="1:20" x14ac:dyDescent="0.35">
      <c r="A2427" s="5">
        <v>8100279229</v>
      </c>
      <c r="B2427" s="5">
        <v>19431</v>
      </c>
      <c r="C2427" s="6">
        <v>45674</v>
      </c>
      <c r="D2427" s="5" t="s">
        <v>106</v>
      </c>
      <c r="E2427" s="5" t="s">
        <v>107</v>
      </c>
      <c r="F2427" s="5" t="s">
        <v>66</v>
      </c>
      <c r="G2427" s="5" t="s">
        <v>67</v>
      </c>
      <c r="H2427" s="5" t="s">
        <v>108</v>
      </c>
      <c r="I2427" s="5" t="s">
        <v>269</v>
      </c>
      <c r="J2427" s="5" t="s">
        <v>316</v>
      </c>
      <c r="K2427" s="5" t="s">
        <v>156</v>
      </c>
      <c r="L2427" s="6">
        <v>45688</v>
      </c>
      <c r="M2427" s="6">
        <v>45681</v>
      </c>
      <c r="N2427" s="6" t="s">
        <v>811</v>
      </c>
      <c r="O2427" s="5" t="str">
        <f ca="1">IF(P2427&lt;&gt;"EXPEDIÇÃO","Expedido",IF(NETWORKDAYS(C2427,TODAY())&gt;=5,"Risco Alto",IF(NETWORKDAYS(C2427,TODAY())&gt;=3,IF(NETWORKDAYS(C2427,TODAY())&lt;5,"Risco Médio",""),IF(NETWORKDAYS(C2427,TODAY())&lt;=2,"Risco Baixo",""))))</f>
        <v>Expedido</v>
      </c>
      <c r="P2427" s="5" t="s">
        <v>25</v>
      </c>
      <c r="R2427" s="5" t="s">
        <v>1490</v>
      </c>
      <c r="S2427" s="7">
        <f>IF(ISBLANK(M2427),"Aguardando Previsão/Data",NETWORKDAYS(L2427,M2427)-1)</f>
        <v>-7</v>
      </c>
      <c r="T2427" s="5" t="s">
        <v>942</v>
      </c>
    </row>
    <row r="2428" spans="1:20" x14ac:dyDescent="0.35">
      <c r="A2428" s="5">
        <v>8100279283</v>
      </c>
      <c r="B2428" s="5">
        <v>19432</v>
      </c>
      <c r="C2428" s="6">
        <v>45674</v>
      </c>
      <c r="D2428" s="5" t="s">
        <v>106</v>
      </c>
      <c r="E2428" s="5" t="s">
        <v>107</v>
      </c>
      <c r="F2428" s="5" t="s">
        <v>171</v>
      </c>
      <c r="G2428" s="5" t="s">
        <v>172</v>
      </c>
      <c r="H2428" s="5" t="s">
        <v>108</v>
      </c>
      <c r="I2428" s="5" t="s">
        <v>1406</v>
      </c>
      <c r="J2428" s="5" t="s">
        <v>349</v>
      </c>
      <c r="K2428" s="5" t="s">
        <v>170</v>
      </c>
      <c r="L2428" s="6">
        <v>45684</v>
      </c>
      <c r="M2428" s="6">
        <v>45685</v>
      </c>
      <c r="N2428" s="6" t="s">
        <v>811</v>
      </c>
      <c r="O2428" s="5" t="str">
        <f ca="1">IF(P2428&lt;&gt;"EXPEDIÇÃO","Expedido",IF(NETWORKDAYS(C2428,TODAY())&gt;=5,"Risco Alto",IF(NETWORKDAYS(C2428,TODAY())&gt;=3,IF(NETWORKDAYS(C2428,TODAY())&lt;5,"Risco Médio",""),IF(NETWORKDAYS(C2428,TODAY())&lt;=2,"Risco Baixo",""))))</f>
        <v>Expedido</v>
      </c>
      <c r="P2428" s="5" t="s">
        <v>25</v>
      </c>
      <c r="Q2428" s="5" t="s">
        <v>897</v>
      </c>
      <c r="S2428" s="7">
        <f>IF(ISBLANK(M2428),"Aguardando Previsão/Data",NETWORKDAYS(L2428,M2428)-1)</f>
        <v>1</v>
      </c>
      <c r="T2428" s="5" t="s">
        <v>942</v>
      </c>
    </row>
    <row r="2429" spans="1:20" x14ac:dyDescent="0.35">
      <c r="A2429" s="5">
        <v>8100278935</v>
      </c>
      <c r="B2429" s="5">
        <v>7233</v>
      </c>
      <c r="C2429" s="6">
        <v>45674</v>
      </c>
      <c r="D2429" s="5" t="s">
        <v>194</v>
      </c>
      <c r="E2429" s="5" t="s">
        <v>195</v>
      </c>
      <c r="F2429" s="5" t="s">
        <v>19</v>
      </c>
      <c r="G2429" s="5" t="s">
        <v>20</v>
      </c>
      <c r="H2429" s="5" t="s">
        <v>108</v>
      </c>
      <c r="I2429" s="5" t="s">
        <v>612</v>
      </c>
      <c r="J2429" s="5" t="s">
        <v>205</v>
      </c>
      <c r="K2429" s="5" t="s">
        <v>198</v>
      </c>
      <c r="L2429" s="6">
        <v>45684</v>
      </c>
      <c r="M2429" s="6">
        <v>45684</v>
      </c>
      <c r="N2429" s="5" t="s">
        <v>811</v>
      </c>
      <c r="O2429" s="5" t="str">
        <f ca="1">IF(P2429&lt;&gt;"EXPEDIÇÃO","Expedido",IF(NETWORKDAYS(C2429,TODAY())&gt;=5,"Risco Alto",IF(NETWORKDAYS(C2429,TODAY())&gt;=3,IF(NETWORKDAYS(C2429,TODAY())&lt;5,"Risco Médio",""),IF(NETWORKDAYS(C2429,TODAY())&lt;=2,"Risco Baixo",""))))</f>
        <v>Expedido</v>
      </c>
      <c r="P2429" s="5" t="s">
        <v>25</v>
      </c>
      <c r="Q2429" s="5" t="s">
        <v>899</v>
      </c>
      <c r="S2429" s="7">
        <f>IF(ISBLANK(M2429),"Aguardando Previsão/Data",NETWORKDAYS(L2429,M2429)-1)</f>
        <v>0</v>
      </c>
      <c r="T2429" s="5" t="s">
        <v>942</v>
      </c>
    </row>
    <row r="2430" spans="1:20" x14ac:dyDescent="0.35">
      <c r="A2430" s="5">
        <v>8100278937</v>
      </c>
      <c r="B2430" s="5">
        <v>7226</v>
      </c>
      <c r="C2430" s="6">
        <v>45674</v>
      </c>
      <c r="D2430" s="5" t="s">
        <v>194</v>
      </c>
      <c r="E2430" s="5" t="s">
        <v>195</v>
      </c>
      <c r="F2430" s="5" t="s">
        <v>406</v>
      </c>
      <c r="G2430" s="5" t="s">
        <v>407</v>
      </c>
      <c r="H2430" s="5" t="s">
        <v>108</v>
      </c>
      <c r="I2430" s="5" t="s">
        <v>731</v>
      </c>
      <c r="J2430" s="5" t="s">
        <v>200</v>
      </c>
      <c r="K2430" s="5" t="s">
        <v>198</v>
      </c>
      <c r="L2430" s="6">
        <v>45681</v>
      </c>
      <c r="M2430" s="6">
        <v>45681</v>
      </c>
      <c r="N2430" s="5" t="s">
        <v>811</v>
      </c>
      <c r="O2430" s="5" t="str">
        <f ca="1">IF(P2430&lt;&gt;"EXPEDIÇÃO","Expedido",IF(NETWORKDAYS(C2430,TODAY())&gt;=5,"Risco Alto",IF(NETWORKDAYS(C2430,TODAY())&gt;=3,IF(NETWORKDAYS(C2430,TODAY())&lt;5,"Risco Médio",""),IF(NETWORKDAYS(C2430,TODAY())&lt;=2,"Risco Baixo",""))))</f>
        <v>Expedido</v>
      </c>
      <c r="P2430" s="5" t="s">
        <v>25</v>
      </c>
      <c r="Q2430" s="5" t="s">
        <v>1494</v>
      </c>
      <c r="S2430" s="7">
        <f>IF(ISBLANK(M2430),"Aguardando Previsão/Data",NETWORKDAYS(L2430,M2430)-1)</f>
        <v>0</v>
      </c>
      <c r="T2430" s="5" t="s">
        <v>942</v>
      </c>
    </row>
    <row r="2431" spans="1:20" x14ac:dyDescent="0.35">
      <c r="A2431" s="5">
        <v>8100278939</v>
      </c>
      <c r="B2431" s="5">
        <v>7232</v>
      </c>
      <c r="C2431" s="6">
        <v>45674</v>
      </c>
      <c r="D2431" s="5" t="s">
        <v>194</v>
      </c>
      <c r="E2431" s="5" t="s">
        <v>195</v>
      </c>
      <c r="F2431" s="5" t="s">
        <v>199</v>
      </c>
      <c r="G2431" s="5" t="s">
        <v>200</v>
      </c>
      <c r="H2431" s="5" t="s">
        <v>108</v>
      </c>
      <c r="I2431" s="5" t="s">
        <v>1401</v>
      </c>
      <c r="J2431" s="5" t="s">
        <v>205</v>
      </c>
      <c r="K2431" s="5" t="s">
        <v>198</v>
      </c>
      <c r="L2431" s="6">
        <v>45684</v>
      </c>
      <c r="M2431" s="6">
        <v>45685</v>
      </c>
      <c r="N2431" s="5" t="s">
        <v>812</v>
      </c>
      <c r="O2431" s="5" t="str">
        <f ca="1">IF(P2431&lt;&gt;"EXPEDIÇÃO","Expedido",IF(NETWORKDAYS(C2431,TODAY())&gt;=5,"Risco Alto",IF(NETWORKDAYS(C2431,TODAY())&gt;=3,IF(NETWORKDAYS(C2431,TODAY())&lt;5,"Risco Médio",""),IF(NETWORKDAYS(C2431,TODAY())&lt;=2,"Risco Baixo",""))))</f>
        <v>Expedido</v>
      </c>
      <c r="P2431" s="5" t="s">
        <v>25</v>
      </c>
      <c r="Q2431" s="5" t="s">
        <v>1571</v>
      </c>
      <c r="S2431" s="7">
        <f>IF(ISBLANK(M2431),"Aguardando Previsão/Data",NETWORKDAYS(L2431,M2431)-1)</f>
        <v>1</v>
      </c>
      <c r="T2431" s="5" t="s">
        <v>942</v>
      </c>
    </row>
    <row r="2432" spans="1:20" x14ac:dyDescent="0.35">
      <c r="A2432" s="5">
        <v>8100278942</v>
      </c>
      <c r="B2432" s="5">
        <v>7231</v>
      </c>
      <c r="C2432" s="6">
        <v>45674</v>
      </c>
      <c r="D2432" s="5" t="s">
        <v>194</v>
      </c>
      <c r="E2432" s="5" t="s">
        <v>195</v>
      </c>
      <c r="F2432" s="5" t="s">
        <v>199</v>
      </c>
      <c r="G2432" s="5" t="s">
        <v>200</v>
      </c>
      <c r="H2432" s="5" t="s">
        <v>108</v>
      </c>
      <c r="I2432" s="5" t="s">
        <v>201</v>
      </c>
      <c r="J2432" s="5" t="s">
        <v>202</v>
      </c>
      <c r="K2432" s="5" t="s">
        <v>198</v>
      </c>
      <c r="L2432" s="6">
        <v>45681</v>
      </c>
      <c r="M2432" s="6">
        <v>45681</v>
      </c>
      <c r="N2432" s="5" t="s">
        <v>811</v>
      </c>
      <c r="O2432" s="5" t="str">
        <f ca="1">IF(P2432&lt;&gt;"EXPEDIÇÃO","Expedido",IF(NETWORKDAYS(C2432,TODAY())&gt;=5,"Risco Alto",IF(NETWORKDAYS(C2432,TODAY())&gt;=3,IF(NETWORKDAYS(C2432,TODAY())&lt;5,"Risco Médio",""),IF(NETWORKDAYS(C2432,TODAY())&lt;=2,"Risco Baixo",""))))</f>
        <v>Expedido</v>
      </c>
      <c r="P2432" s="5" t="s">
        <v>25</v>
      </c>
      <c r="Q2432" s="5" t="s">
        <v>1495</v>
      </c>
      <c r="S2432" s="7">
        <f>IF(ISBLANK(M2432),"Aguardando Previsão/Data",NETWORKDAYS(L2432,M2432)-1)</f>
        <v>0</v>
      </c>
      <c r="T2432" s="5" t="s">
        <v>942</v>
      </c>
    </row>
    <row r="2433" spans="1:20" x14ac:dyDescent="0.35">
      <c r="A2433" s="5">
        <v>8100279185</v>
      </c>
      <c r="B2433" s="5">
        <v>7223</v>
      </c>
      <c r="C2433" s="6">
        <v>45674</v>
      </c>
      <c r="D2433" s="5" t="s">
        <v>194</v>
      </c>
      <c r="E2433" s="5" t="s">
        <v>195</v>
      </c>
      <c r="F2433" s="5" t="s">
        <v>69</v>
      </c>
      <c r="G2433" s="5" t="s">
        <v>70</v>
      </c>
      <c r="H2433" s="5" t="s">
        <v>108</v>
      </c>
      <c r="I2433" s="5" t="s">
        <v>509</v>
      </c>
      <c r="J2433" s="5" t="s">
        <v>291</v>
      </c>
      <c r="K2433" s="5" t="s">
        <v>198</v>
      </c>
      <c r="L2433" s="6">
        <v>45681</v>
      </c>
      <c r="M2433" s="6">
        <v>45681</v>
      </c>
      <c r="N2433" s="6" t="s">
        <v>811</v>
      </c>
      <c r="O2433" s="5" t="str">
        <f ca="1">IF(P2433&lt;&gt;"EXPEDIÇÃO","Expedido",IF(NETWORKDAYS(C2433,TODAY())&gt;=5,"Risco Alto",IF(NETWORKDAYS(C2433,TODAY())&gt;=3,IF(NETWORKDAYS(C2433,TODAY())&lt;5,"Risco Médio",""),IF(NETWORKDAYS(C2433,TODAY())&lt;=2,"Risco Baixo",""))))</f>
        <v>Expedido</v>
      </c>
      <c r="P2433" s="5" t="s">
        <v>25</v>
      </c>
      <c r="S2433" s="7">
        <f>IF(ISBLANK(M2433),"Aguardando Previsão/Data",NETWORKDAYS(L2433,M2433)-1)</f>
        <v>0</v>
      </c>
      <c r="T2433" s="5" t="s">
        <v>942</v>
      </c>
    </row>
    <row r="2434" spans="1:20" x14ac:dyDescent="0.35">
      <c r="A2434" s="5">
        <v>8100278511</v>
      </c>
      <c r="B2434" s="5">
        <v>7227</v>
      </c>
      <c r="C2434" s="6">
        <v>45674</v>
      </c>
      <c r="D2434" s="5" t="s">
        <v>194</v>
      </c>
      <c r="E2434" s="5" t="s">
        <v>195</v>
      </c>
      <c r="F2434" s="5" t="s">
        <v>199</v>
      </c>
      <c r="G2434" s="5" t="s">
        <v>200</v>
      </c>
      <c r="H2434" s="5" t="s">
        <v>108</v>
      </c>
      <c r="I2434" s="5" t="s">
        <v>665</v>
      </c>
      <c r="J2434" s="5" t="s">
        <v>666</v>
      </c>
      <c r="K2434" s="5" t="s">
        <v>198</v>
      </c>
      <c r="L2434" s="6">
        <v>45681</v>
      </c>
      <c r="M2434" s="6">
        <v>45677</v>
      </c>
      <c r="N2434" s="5" t="s">
        <v>811</v>
      </c>
      <c r="O2434" s="5" t="str">
        <f ca="1">IF(P2434&lt;&gt;"EXPEDIÇÃO","Expedido",IF(NETWORKDAYS(C2434,TODAY())&gt;=5,"Risco Alto",IF(NETWORKDAYS(C2434,TODAY())&gt;=3,IF(NETWORKDAYS(C2434,TODAY())&lt;5,"Risco Médio",""),IF(NETWORKDAYS(C2434,TODAY())&lt;=2,"Risco Baixo",""))))</f>
        <v>Expedido</v>
      </c>
      <c r="P2434" s="5" t="s">
        <v>25</v>
      </c>
      <c r="S2434" s="7">
        <f>IF(ISBLANK(M2434),"Aguardando Previsão/Data",NETWORKDAYS(L2434,M2434)-1)</f>
        <v>-6</v>
      </c>
      <c r="T2434" s="5" t="s">
        <v>942</v>
      </c>
    </row>
    <row r="2435" spans="1:20" x14ac:dyDescent="0.35">
      <c r="A2435" s="5">
        <v>8100278512</v>
      </c>
      <c r="B2435" s="5">
        <v>7228</v>
      </c>
      <c r="C2435" s="6">
        <v>45674</v>
      </c>
      <c r="D2435" s="5" t="s">
        <v>194</v>
      </c>
      <c r="E2435" s="5" t="s">
        <v>195</v>
      </c>
      <c r="F2435" s="5" t="s">
        <v>199</v>
      </c>
      <c r="G2435" s="5" t="s">
        <v>200</v>
      </c>
      <c r="H2435" s="5" t="s">
        <v>108</v>
      </c>
      <c r="I2435" s="5" t="s">
        <v>665</v>
      </c>
      <c r="J2435" s="5" t="s">
        <v>666</v>
      </c>
      <c r="K2435" s="5" t="s">
        <v>198</v>
      </c>
      <c r="L2435" s="6">
        <v>45681</v>
      </c>
      <c r="M2435" s="6">
        <v>45677</v>
      </c>
      <c r="N2435" s="5" t="s">
        <v>811</v>
      </c>
      <c r="O2435" s="5" t="str">
        <f ca="1">IF(P2435&lt;&gt;"EXPEDIÇÃO","Expedido",IF(NETWORKDAYS(C2435,TODAY())&gt;=5,"Risco Alto",IF(NETWORKDAYS(C2435,TODAY())&gt;=3,IF(NETWORKDAYS(C2435,TODAY())&lt;5,"Risco Médio",""),IF(NETWORKDAYS(C2435,TODAY())&lt;=2,"Risco Baixo",""))))</f>
        <v>Expedido</v>
      </c>
      <c r="P2435" s="5" t="s">
        <v>25</v>
      </c>
      <c r="S2435" s="7">
        <f>IF(ISBLANK(M2435),"Aguardando Previsão/Data",NETWORKDAYS(L2435,M2435)-1)</f>
        <v>-6</v>
      </c>
      <c r="T2435" s="5" t="s">
        <v>942</v>
      </c>
    </row>
    <row r="2436" spans="1:20" x14ac:dyDescent="0.35">
      <c r="A2436" s="5">
        <v>8100278623</v>
      </c>
      <c r="B2436" s="5">
        <v>7222</v>
      </c>
      <c r="C2436" s="6">
        <v>45674</v>
      </c>
      <c r="D2436" s="5" t="s">
        <v>194</v>
      </c>
      <c r="E2436" s="5" t="s">
        <v>195</v>
      </c>
      <c r="F2436" s="5" t="s">
        <v>69</v>
      </c>
      <c r="G2436" s="5" t="s">
        <v>70</v>
      </c>
      <c r="H2436" s="5" t="s">
        <v>108</v>
      </c>
      <c r="I2436" s="5" t="s">
        <v>284</v>
      </c>
      <c r="J2436" s="5" t="s">
        <v>286</v>
      </c>
      <c r="K2436" s="5" t="s">
        <v>110</v>
      </c>
      <c r="L2436" s="6">
        <v>45686</v>
      </c>
      <c r="M2436" s="6">
        <v>45677</v>
      </c>
      <c r="N2436" s="5" t="s">
        <v>811</v>
      </c>
      <c r="O2436" s="5" t="str">
        <f ca="1">IF(P2436&lt;&gt;"EXPEDIÇÃO","Expedido",IF(NETWORKDAYS(C2436,TODAY())&gt;=5,"Risco Alto",IF(NETWORKDAYS(C2436,TODAY())&gt;=3,IF(NETWORKDAYS(C2436,TODAY())&lt;5,"Risco Médio",""),IF(NETWORKDAYS(C2436,TODAY())&lt;=2,"Risco Baixo",""))))</f>
        <v>Expedido</v>
      </c>
      <c r="P2436" s="5" t="s">
        <v>25</v>
      </c>
      <c r="S2436" s="7">
        <f>IF(ISBLANK(M2436),"Aguardando Previsão/Data",NETWORKDAYS(L2436,M2436)-1)</f>
        <v>-9</v>
      </c>
      <c r="T2436" s="5" t="s">
        <v>942</v>
      </c>
    </row>
    <row r="2437" spans="1:20" x14ac:dyDescent="0.35">
      <c r="A2437" s="5">
        <v>8100278706</v>
      </c>
      <c r="B2437" s="5">
        <v>7220</v>
      </c>
      <c r="C2437" s="6">
        <v>45674</v>
      </c>
      <c r="D2437" s="5" t="s">
        <v>723</v>
      </c>
      <c r="E2437" s="5" t="s">
        <v>195</v>
      </c>
      <c r="F2437" s="5" t="s">
        <v>724</v>
      </c>
      <c r="G2437" s="5" t="s">
        <v>725</v>
      </c>
      <c r="H2437" s="5" t="s">
        <v>108</v>
      </c>
      <c r="I2437" s="5" t="s">
        <v>868</v>
      </c>
      <c r="J2437" s="5" t="s">
        <v>691</v>
      </c>
      <c r="K2437" s="5" t="s">
        <v>198</v>
      </c>
      <c r="L2437" s="6">
        <v>45681</v>
      </c>
      <c r="M2437" s="6">
        <v>45674</v>
      </c>
      <c r="N2437" s="5" t="s">
        <v>811</v>
      </c>
      <c r="O2437" s="5" t="str">
        <f ca="1">IF(P2437&lt;&gt;"EXPEDIÇÃO","Expedido",IF(NETWORKDAYS(C2437,TODAY())&gt;=5,"Risco Alto",IF(NETWORKDAYS(C2437,TODAY())&gt;=3,IF(NETWORKDAYS(C2437,TODAY())&lt;5,"Risco Médio",""),IF(NETWORKDAYS(C2437,TODAY())&lt;=2,"Risco Baixo",""))))</f>
        <v>Expedido</v>
      </c>
      <c r="P2437" s="5" t="s">
        <v>25</v>
      </c>
      <c r="S2437" s="7">
        <f>IF(ISBLANK(M2437),"Aguardando Previsão/Data",NETWORKDAYS(L2437,M2437)-1)</f>
        <v>-7</v>
      </c>
      <c r="T2437" s="5" t="s">
        <v>942</v>
      </c>
    </row>
    <row r="2438" spans="1:20" x14ac:dyDescent="0.35">
      <c r="A2438" s="5">
        <v>8100278707</v>
      </c>
      <c r="B2438" s="5">
        <v>7221</v>
      </c>
      <c r="C2438" s="6">
        <v>45674</v>
      </c>
      <c r="D2438" s="5" t="s">
        <v>723</v>
      </c>
      <c r="E2438" s="5" t="s">
        <v>195</v>
      </c>
      <c r="F2438" s="5" t="s">
        <v>724</v>
      </c>
      <c r="G2438" s="5" t="s">
        <v>725</v>
      </c>
      <c r="H2438" s="5" t="s">
        <v>108</v>
      </c>
      <c r="I2438" s="5" t="s">
        <v>868</v>
      </c>
      <c r="J2438" s="5" t="s">
        <v>691</v>
      </c>
      <c r="K2438" s="5" t="s">
        <v>198</v>
      </c>
      <c r="L2438" s="6">
        <v>45681</v>
      </c>
      <c r="M2438" s="6">
        <v>45674</v>
      </c>
      <c r="N2438" s="5" t="s">
        <v>811</v>
      </c>
      <c r="O2438" s="5" t="str">
        <f ca="1">IF(P2438&lt;&gt;"EXPEDIÇÃO","Expedido",IF(NETWORKDAYS(C2438,TODAY())&gt;=5,"Risco Alto",IF(NETWORKDAYS(C2438,TODAY())&gt;=3,IF(NETWORKDAYS(C2438,TODAY())&lt;5,"Risco Médio",""),IF(NETWORKDAYS(C2438,TODAY())&lt;=2,"Risco Baixo",""))))</f>
        <v>Expedido</v>
      </c>
      <c r="P2438" s="5" t="s">
        <v>25</v>
      </c>
      <c r="S2438" s="7">
        <f>IF(ISBLANK(M2438),"Aguardando Previsão/Data",NETWORKDAYS(L2438,M2438)-1)</f>
        <v>-7</v>
      </c>
      <c r="T2438" s="5" t="s">
        <v>942</v>
      </c>
    </row>
    <row r="2439" spans="1:20" x14ac:dyDescent="0.35">
      <c r="A2439" s="5">
        <v>8100278936</v>
      </c>
      <c r="B2439" s="5">
        <v>7224</v>
      </c>
      <c r="C2439" s="6">
        <v>45674</v>
      </c>
      <c r="D2439" s="5" t="s">
        <v>194</v>
      </c>
      <c r="E2439" s="5" t="s">
        <v>195</v>
      </c>
      <c r="F2439" s="5" t="s">
        <v>199</v>
      </c>
      <c r="G2439" s="5" t="s">
        <v>200</v>
      </c>
      <c r="H2439" s="5" t="s">
        <v>108</v>
      </c>
      <c r="I2439" s="5" t="s">
        <v>409</v>
      </c>
      <c r="J2439" s="5" t="s">
        <v>717</v>
      </c>
      <c r="K2439" s="5" t="s">
        <v>207</v>
      </c>
      <c r="L2439" s="6">
        <v>45685</v>
      </c>
      <c r="M2439" s="6">
        <v>45678</v>
      </c>
      <c r="N2439" s="5" t="s">
        <v>811</v>
      </c>
      <c r="O2439" s="5" t="str">
        <f ca="1">IF(P2439&lt;&gt;"EXPEDIÇÃO","Expedido",IF(NETWORKDAYS(C2439,TODAY())&gt;=5,"Risco Alto",IF(NETWORKDAYS(C2439,TODAY())&gt;=3,IF(NETWORKDAYS(C2439,TODAY())&lt;5,"Risco Médio",""),IF(NETWORKDAYS(C2439,TODAY())&lt;=2,"Risco Baixo",""))))</f>
        <v>Expedido</v>
      </c>
      <c r="P2439" s="5" t="s">
        <v>25</v>
      </c>
      <c r="Q2439" s="5" t="s">
        <v>1415</v>
      </c>
      <c r="R2439" s="5">
        <v>3097043</v>
      </c>
      <c r="S2439" s="7">
        <f>IF(ISBLANK(M2439),"Aguardando Previsão/Data",NETWORKDAYS(L2439,M2439)-1)</f>
        <v>-7</v>
      </c>
      <c r="T2439" s="5" t="s">
        <v>942</v>
      </c>
    </row>
    <row r="2440" spans="1:20" x14ac:dyDescent="0.35">
      <c r="A2440" s="5">
        <v>8100278938</v>
      </c>
      <c r="B2440" s="5">
        <v>7225</v>
      </c>
      <c r="C2440" s="6">
        <v>45674</v>
      </c>
      <c r="D2440" s="5" t="s">
        <v>194</v>
      </c>
      <c r="E2440" s="5" t="s">
        <v>195</v>
      </c>
      <c r="F2440" s="5" t="s">
        <v>406</v>
      </c>
      <c r="G2440" s="5" t="s">
        <v>407</v>
      </c>
      <c r="H2440" s="5" t="s">
        <v>108</v>
      </c>
      <c r="I2440" s="5" t="s">
        <v>689</v>
      </c>
      <c r="J2440" s="5" t="s">
        <v>204</v>
      </c>
      <c r="K2440" s="5" t="s">
        <v>198</v>
      </c>
      <c r="L2440" s="6">
        <v>45681</v>
      </c>
      <c r="M2440" s="6">
        <v>45679</v>
      </c>
      <c r="N2440" s="5" t="s">
        <v>811</v>
      </c>
      <c r="O2440" s="5" t="str">
        <f ca="1">IF(P2440&lt;&gt;"EXPEDIÇÃO","Expedido",IF(NETWORKDAYS(C2440,TODAY())&gt;=5,"Risco Alto",IF(NETWORKDAYS(C2440,TODAY())&gt;=3,IF(NETWORKDAYS(C2440,TODAY())&lt;5,"Risco Médio",""),IF(NETWORKDAYS(C2440,TODAY())&lt;=2,"Risco Baixo",""))))</f>
        <v>Expedido</v>
      </c>
      <c r="P2440" s="5" t="s">
        <v>25</v>
      </c>
      <c r="S2440" s="7">
        <f>IF(ISBLANK(M2440),"Aguardando Previsão/Data",NETWORKDAYS(L2440,M2440)-1)</f>
        <v>-4</v>
      </c>
      <c r="T2440" s="5" t="s">
        <v>942</v>
      </c>
    </row>
    <row r="2441" spans="1:20" x14ac:dyDescent="0.35">
      <c r="A2441" s="5">
        <v>8100278940</v>
      </c>
      <c r="B2441" s="5">
        <v>7229</v>
      </c>
      <c r="C2441" s="6">
        <v>45674</v>
      </c>
      <c r="D2441" s="5" t="s">
        <v>194</v>
      </c>
      <c r="E2441" s="5" t="s">
        <v>195</v>
      </c>
      <c r="F2441" s="5" t="s">
        <v>406</v>
      </c>
      <c r="G2441" s="5" t="s">
        <v>407</v>
      </c>
      <c r="H2441" s="5" t="s">
        <v>108</v>
      </c>
      <c r="I2441" s="5" t="s">
        <v>817</v>
      </c>
      <c r="J2441" s="5" t="s">
        <v>407</v>
      </c>
      <c r="K2441" s="5" t="s">
        <v>198</v>
      </c>
      <c r="L2441" s="6">
        <v>45680</v>
      </c>
      <c r="M2441" s="6">
        <v>45677</v>
      </c>
      <c r="N2441" s="5" t="s">
        <v>811</v>
      </c>
      <c r="O2441" s="5" t="str">
        <f ca="1">IF(P2441&lt;&gt;"EXPEDIÇÃO","Expedido",IF(NETWORKDAYS(C2441,TODAY())&gt;=5,"Risco Alto",IF(NETWORKDAYS(C2441,TODAY())&gt;=3,IF(NETWORKDAYS(C2441,TODAY())&lt;5,"Risco Médio",""),IF(NETWORKDAYS(C2441,TODAY())&lt;=2,"Risco Baixo",""))))</f>
        <v>Expedido</v>
      </c>
      <c r="P2441" s="5" t="s">
        <v>25</v>
      </c>
      <c r="S2441" s="7">
        <f>IF(ISBLANK(M2441),"Aguardando Previsão/Data",NETWORKDAYS(L2441,M2441)-1)</f>
        <v>-5</v>
      </c>
      <c r="T2441" s="5" t="s">
        <v>942</v>
      </c>
    </row>
    <row r="2442" spans="1:20" x14ac:dyDescent="0.35">
      <c r="A2442" s="5">
        <v>8100278941</v>
      </c>
      <c r="B2442" s="5">
        <v>7230</v>
      </c>
      <c r="C2442" s="6">
        <v>45674</v>
      </c>
      <c r="D2442" s="5" t="s">
        <v>194</v>
      </c>
      <c r="E2442" s="5" t="s">
        <v>195</v>
      </c>
      <c r="F2442" s="5" t="s">
        <v>199</v>
      </c>
      <c r="G2442" s="5" t="s">
        <v>200</v>
      </c>
      <c r="H2442" s="5" t="s">
        <v>108</v>
      </c>
      <c r="I2442" s="5" t="s">
        <v>1402</v>
      </c>
      <c r="J2442" s="5" t="s">
        <v>1403</v>
      </c>
      <c r="K2442" s="5" t="s">
        <v>198</v>
      </c>
      <c r="L2442" s="6">
        <v>45684</v>
      </c>
      <c r="M2442" s="6">
        <v>45680</v>
      </c>
      <c r="N2442" s="5" t="s">
        <v>811</v>
      </c>
      <c r="O2442" s="5" t="str">
        <f ca="1">IF(P2442&lt;&gt;"EXPEDIÇÃO","Expedido",IF(NETWORKDAYS(C2442,TODAY())&gt;=5,"Risco Alto",IF(NETWORKDAYS(C2442,TODAY())&gt;=3,IF(NETWORKDAYS(C2442,TODAY())&lt;5,"Risco Médio",""),IF(NETWORKDAYS(C2442,TODAY())&lt;=2,"Risco Baixo",""))))</f>
        <v>Expedido</v>
      </c>
      <c r="P2442" s="5" t="s">
        <v>25</v>
      </c>
      <c r="S2442" s="7">
        <f>IF(ISBLANK(M2442),"Aguardando Previsão/Data",NETWORKDAYS(L2442,M2442)-1)</f>
        <v>-4</v>
      </c>
      <c r="T2442" s="5" t="s">
        <v>942</v>
      </c>
    </row>
    <row r="2443" spans="1:20" x14ac:dyDescent="0.35">
      <c r="A2443" s="5">
        <v>8100279028</v>
      </c>
      <c r="B2443" s="5">
        <v>14511</v>
      </c>
      <c r="C2443" s="6">
        <v>45674</v>
      </c>
      <c r="D2443" s="5" t="s">
        <v>211</v>
      </c>
      <c r="E2443" s="5" t="s">
        <v>212</v>
      </c>
      <c r="F2443" s="5" t="s">
        <v>66</v>
      </c>
      <c r="G2443" s="5" t="s">
        <v>67</v>
      </c>
      <c r="H2443" s="5" t="s">
        <v>108</v>
      </c>
      <c r="I2443" s="5" t="s">
        <v>1389</v>
      </c>
      <c r="J2443" s="5" t="s">
        <v>399</v>
      </c>
      <c r="K2443" s="5" t="s">
        <v>156</v>
      </c>
      <c r="L2443" s="6">
        <v>45686</v>
      </c>
      <c r="M2443" s="6">
        <v>45687</v>
      </c>
      <c r="N2443" s="6" t="s">
        <v>812</v>
      </c>
      <c r="O2443" s="5" t="str">
        <f ca="1">IF(P2443&lt;&gt;"EXPEDIÇÃO","Expedido",IF(NETWORKDAYS(C2443,TODAY())&gt;=5,"Risco Alto",IF(NETWORKDAYS(C2443,TODAY())&gt;=3,IF(NETWORKDAYS(C2443,TODAY())&lt;5,"Risco Médio",""),IF(NETWORKDAYS(C2443,TODAY())&lt;=2,"Risco Baixo",""))))</f>
        <v>Expedido</v>
      </c>
      <c r="P2443" s="5" t="s">
        <v>617</v>
      </c>
      <c r="S2443" s="7">
        <f>IF(ISBLANK(M2443),"Aguardando Previsão/Data",NETWORKDAYS(L2443,M2443)-1)</f>
        <v>1</v>
      </c>
    </row>
    <row r="2444" spans="1:20" x14ac:dyDescent="0.35">
      <c r="A2444" s="5">
        <v>8100279029</v>
      </c>
      <c r="B2444" s="5">
        <v>14512</v>
      </c>
      <c r="C2444" s="6">
        <v>45674</v>
      </c>
      <c r="D2444" s="5" t="s">
        <v>211</v>
      </c>
      <c r="E2444" s="5" t="s">
        <v>212</v>
      </c>
      <c r="F2444" s="5" t="s">
        <v>66</v>
      </c>
      <c r="G2444" s="5" t="s">
        <v>67</v>
      </c>
      <c r="H2444" s="5" t="s">
        <v>108</v>
      </c>
      <c r="I2444" s="5" t="s">
        <v>1389</v>
      </c>
      <c r="J2444" s="5" t="s">
        <v>399</v>
      </c>
      <c r="K2444" s="5" t="s">
        <v>156</v>
      </c>
      <c r="L2444" s="6">
        <v>45686</v>
      </c>
      <c r="M2444" s="6">
        <v>45687</v>
      </c>
      <c r="N2444" s="6" t="s">
        <v>812</v>
      </c>
      <c r="O2444" s="5" t="str">
        <f ca="1">IF(P2444&lt;&gt;"EXPEDIÇÃO","Expedido",IF(NETWORKDAYS(C2444,TODAY())&gt;=5,"Risco Alto",IF(NETWORKDAYS(C2444,TODAY())&gt;=3,IF(NETWORKDAYS(C2444,TODAY())&lt;5,"Risco Médio",""),IF(NETWORKDAYS(C2444,TODAY())&lt;=2,"Risco Baixo",""))))</f>
        <v>Expedido</v>
      </c>
      <c r="P2444" s="5" t="s">
        <v>617</v>
      </c>
      <c r="S2444" s="7">
        <f>IF(ISBLANK(M2444),"Aguardando Previsão/Data",NETWORKDAYS(L2444,M2444)-1)</f>
        <v>1</v>
      </c>
    </row>
    <row r="2445" spans="1:20" x14ac:dyDescent="0.35">
      <c r="A2445" s="5">
        <v>8100278477</v>
      </c>
      <c r="B2445" s="5">
        <v>12315</v>
      </c>
      <c r="C2445" s="6">
        <v>45674</v>
      </c>
      <c r="D2445" s="5" t="s">
        <v>158</v>
      </c>
      <c r="E2445" s="5" t="s">
        <v>159</v>
      </c>
      <c r="F2445" s="5" t="s">
        <v>167</v>
      </c>
      <c r="G2445" s="5" t="s">
        <v>168</v>
      </c>
      <c r="H2445" s="5" t="s">
        <v>108</v>
      </c>
      <c r="I2445" s="5" t="s">
        <v>164</v>
      </c>
      <c r="J2445" s="5" t="s">
        <v>193</v>
      </c>
      <c r="K2445" s="5" t="s">
        <v>170</v>
      </c>
      <c r="L2445" s="6">
        <v>45681</v>
      </c>
      <c r="M2445" s="6">
        <v>45680</v>
      </c>
      <c r="N2445" s="5" t="s">
        <v>811</v>
      </c>
      <c r="O2445" s="5" t="str">
        <f ca="1">IF(P2445&lt;&gt;"EXPEDIÇÃO","Expedido",IF(NETWORKDAYS(C2445,TODAY())&gt;=5,"Risco Alto",IF(NETWORKDAYS(C2445,TODAY())&gt;=3,IF(NETWORKDAYS(C2445,TODAY())&lt;5,"Risco Médio",""),IF(NETWORKDAYS(C2445,TODAY())&lt;=2,"Risco Baixo",""))))</f>
        <v>Expedido</v>
      </c>
      <c r="P2445" s="5" t="s">
        <v>25</v>
      </c>
      <c r="Q2445" s="5" t="s">
        <v>897</v>
      </c>
      <c r="S2445" s="7">
        <f>IF(ISBLANK(M2445),"Aguardando Previsão/Data",NETWORKDAYS(L2445,M2445)-1)</f>
        <v>-3</v>
      </c>
      <c r="T2445" s="5" t="s">
        <v>942</v>
      </c>
    </row>
    <row r="2446" spans="1:20" x14ac:dyDescent="0.35">
      <c r="A2446" s="5">
        <v>8100278957</v>
      </c>
      <c r="B2446" s="5">
        <v>12311</v>
      </c>
      <c r="C2446" s="6">
        <v>45674</v>
      </c>
      <c r="D2446" s="5" t="s">
        <v>158</v>
      </c>
      <c r="E2446" s="5" t="s">
        <v>159</v>
      </c>
      <c r="F2446" s="5" t="s">
        <v>79</v>
      </c>
      <c r="G2446" s="5" t="s">
        <v>80</v>
      </c>
      <c r="H2446" s="5" t="s">
        <v>108</v>
      </c>
      <c r="I2446" s="5" t="s">
        <v>164</v>
      </c>
      <c r="J2446" s="5" t="s">
        <v>660</v>
      </c>
      <c r="K2446" s="5" t="s">
        <v>80</v>
      </c>
      <c r="L2446" s="6">
        <v>45684</v>
      </c>
      <c r="M2446" s="6">
        <v>45681</v>
      </c>
      <c r="N2446" s="5" t="s">
        <v>811</v>
      </c>
      <c r="O2446" s="5" t="str">
        <f ca="1">IF(P2446&lt;&gt;"EXPEDIÇÃO","Expedido",IF(NETWORKDAYS(C2446,TODAY())&gt;=5,"Risco Alto",IF(NETWORKDAYS(C2446,TODAY())&gt;=3,IF(NETWORKDAYS(C2446,TODAY())&lt;5,"Risco Médio",""),IF(NETWORKDAYS(C2446,TODAY())&lt;=2,"Risco Baixo",""))))</f>
        <v>Expedido</v>
      </c>
      <c r="P2446" s="5" t="s">
        <v>25</v>
      </c>
      <c r="S2446" s="7">
        <f>IF(ISBLANK(M2446),"Aguardando Previsão/Data",NETWORKDAYS(L2446,M2446)-1)</f>
        <v>-3</v>
      </c>
      <c r="T2446" s="5" t="s">
        <v>942</v>
      </c>
    </row>
    <row r="2447" spans="1:20" x14ac:dyDescent="0.35">
      <c r="A2447" s="5">
        <v>8100278373</v>
      </c>
      <c r="B2447" s="5">
        <v>12308</v>
      </c>
      <c r="C2447" s="6">
        <v>45674</v>
      </c>
      <c r="D2447" s="5" t="s">
        <v>158</v>
      </c>
      <c r="E2447" s="5" t="s">
        <v>159</v>
      </c>
      <c r="F2447" s="5" t="s">
        <v>167</v>
      </c>
      <c r="G2447" s="5" t="s">
        <v>168</v>
      </c>
      <c r="H2447" s="5" t="s">
        <v>108</v>
      </c>
      <c r="I2447" s="5" t="s">
        <v>510</v>
      </c>
      <c r="J2447" s="5" t="s">
        <v>172</v>
      </c>
      <c r="K2447" s="5" t="s">
        <v>170</v>
      </c>
      <c r="L2447" s="6">
        <v>45681</v>
      </c>
      <c r="M2447" s="6">
        <v>45677</v>
      </c>
      <c r="N2447" s="5" t="s">
        <v>811</v>
      </c>
      <c r="O2447" s="5" t="str">
        <f ca="1">IF(P2447&lt;&gt;"EXPEDIÇÃO","Expedido",IF(NETWORKDAYS(C2447,TODAY())&gt;=5,"Risco Alto",IF(NETWORKDAYS(C2447,TODAY())&gt;=3,IF(NETWORKDAYS(C2447,TODAY())&lt;5,"Risco Médio",""),IF(NETWORKDAYS(C2447,TODAY())&lt;=2,"Risco Baixo",""))))</f>
        <v>Expedido</v>
      </c>
      <c r="P2447" s="5" t="s">
        <v>25</v>
      </c>
      <c r="S2447" s="7">
        <f>IF(ISBLANK(M2447),"Aguardando Previsão/Data",NETWORKDAYS(L2447,M2447)-1)</f>
        <v>-6</v>
      </c>
      <c r="T2447" s="5" t="s">
        <v>942</v>
      </c>
    </row>
    <row r="2448" spans="1:20" x14ac:dyDescent="0.35">
      <c r="A2448" s="5">
        <v>8100278629</v>
      </c>
      <c r="B2448" s="5">
        <v>12312</v>
      </c>
      <c r="C2448" s="6">
        <v>45674</v>
      </c>
      <c r="D2448" s="5" t="s">
        <v>158</v>
      </c>
      <c r="E2448" s="5" t="s">
        <v>159</v>
      </c>
      <c r="F2448" s="5" t="s">
        <v>136</v>
      </c>
      <c r="G2448" s="5" t="s">
        <v>137</v>
      </c>
      <c r="H2448" s="5" t="s">
        <v>108</v>
      </c>
      <c r="I2448" s="5" t="s">
        <v>404</v>
      </c>
      <c r="J2448" s="5" t="s">
        <v>405</v>
      </c>
      <c r="K2448" s="5" t="s">
        <v>170</v>
      </c>
      <c r="L2448" s="6">
        <v>45681</v>
      </c>
      <c r="M2448" s="6">
        <v>45677</v>
      </c>
      <c r="N2448" s="5" t="s">
        <v>811</v>
      </c>
      <c r="O2448" s="5" t="str">
        <f ca="1">IF(P2448&lt;&gt;"EXPEDIÇÃO","Expedido",IF(NETWORKDAYS(C2448,TODAY())&gt;=5,"Risco Alto",IF(NETWORKDAYS(C2448,TODAY())&gt;=3,IF(NETWORKDAYS(C2448,TODAY())&lt;5,"Risco Médio",""),IF(NETWORKDAYS(C2448,TODAY())&lt;=2,"Risco Baixo",""))))</f>
        <v>Expedido</v>
      </c>
      <c r="P2448" s="5" t="s">
        <v>25</v>
      </c>
      <c r="S2448" s="7">
        <f>IF(ISBLANK(M2448),"Aguardando Previsão/Data",NETWORKDAYS(L2448,M2448)-1)</f>
        <v>-6</v>
      </c>
      <c r="T2448" s="5" t="s">
        <v>942</v>
      </c>
    </row>
    <row r="2449" spans="1:20" x14ac:dyDescent="0.35">
      <c r="A2449" s="5">
        <v>8100278958</v>
      </c>
      <c r="B2449" s="5">
        <v>12306</v>
      </c>
      <c r="C2449" s="6">
        <v>45674</v>
      </c>
      <c r="D2449" s="5" t="s">
        <v>158</v>
      </c>
      <c r="E2449" s="5" t="s">
        <v>159</v>
      </c>
      <c r="F2449" s="5" t="s">
        <v>79</v>
      </c>
      <c r="G2449" s="5" t="s">
        <v>80</v>
      </c>
      <c r="H2449" s="5" t="s">
        <v>108</v>
      </c>
      <c r="I2449" s="5" t="s">
        <v>164</v>
      </c>
      <c r="J2449" s="5" t="s">
        <v>165</v>
      </c>
      <c r="K2449" s="5" t="s">
        <v>80</v>
      </c>
      <c r="L2449" s="6">
        <v>45684</v>
      </c>
      <c r="M2449" s="6">
        <v>45678</v>
      </c>
      <c r="N2449" s="5" t="s">
        <v>811</v>
      </c>
      <c r="O2449" s="5" t="str">
        <f ca="1">IF(P2449&lt;&gt;"EXPEDIÇÃO","Expedido",IF(NETWORKDAYS(C2449,TODAY())&gt;=5,"Risco Alto",IF(NETWORKDAYS(C2449,TODAY())&gt;=3,IF(NETWORKDAYS(C2449,TODAY())&lt;5,"Risco Médio",""),IF(NETWORKDAYS(C2449,TODAY())&lt;=2,"Risco Baixo",""))))</f>
        <v>Expedido</v>
      </c>
      <c r="P2449" s="5" t="s">
        <v>25</v>
      </c>
      <c r="S2449" s="7">
        <f>IF(ISBLANK(M2449),"Aguardando Previsão/Data",NETWORKDAYS(L2449,M2449)-1)</f>
        <v>-6</v>
      </c>
      <c r="T2449" s="5" t="s">
        <v>942</v>
      </c>
    </row>
    <row r="2450" spans="1:20" x14ac:dyDescent="0.35">
      <c r="A2450" s="5">
        <v>8100278959</v>
      </c>
      <c r="B2450" s="5">
        <v>12307</v>
      </c>
      <c r="C2450" s="6">
        <v>45674</v>
      </c>
      <c r="D2450" s="5" t="s">
        <v>158</v>
      </c>
      <c r="E2450" s="5" t="s">
        <v>159</v>
      </c>
      <c r="F2450" s="5" t="s">
        <v>79</v>
      </c>
      <c r="G2450" s="5" t="s">
        <v>80</v>
      </c>
      <c r="H2450" s="5" t="s">
        <v>108</v>
      </c>
      <c r="I2450" s="5" t="s">
        <v>164</v>
      </c>
      <c r="J2450" s="5" t="s">
        <v>163</v>
      </c>
      <c r="K2450" s="5" t="s">
        <v>80</v>
      </c>
      <c r="L2450" s="6">
        <v>45684</v>
      </c>
      <c r="M2450" s="6">
        <v>45678</v>
      </c>
      <c r="N2450" s="5" t="s">
        <v>811</v>
      </c>
      <c r="O2450" s="5" t="str">
        <f ca="1">IF(P2450&lt;&gt;"EXPEDIÇÃO","Expedido",IF(NETWORKDAYS(C2450,TODAY())&gt;=5,"Risco Alto",IF(NETWORKDAYS(C2450,TODAY())&gt;=3,IF(NETWORKDAYS(C2450,TODAY())&lt;5,"Risco Médio",""),IF(NETWORKDAYS(C2450,TODAY())&lt;=2,"Risco Baixo",""))))</f>
        <v>Expedido</v>
      </c>
      <c r="P2450" s="5" t="s">
        <v>25</v>
      </c>
      <c r="S2450" s="7">
        <f>IF(ISBLANK(M2450),"Aguardando Previsão/Data",NETWORKDAYS(L2450,M2450)-1)</f>
        <v>-6</v>
      </c>
      <c r="T2450" s="5" t="s">
        <v>942</v>
      </c>
    </row>
    <row r="2451" spans="1:20" x14ac:dyDescent="0.35">
      <c r="A2451" s="5">
        <v>8100278960</v>
      </c>
      <c r="B2451" s="5">
        <v>12322</v>
      </c>
      <c r="C2451" s="6">
        <v>45674</v>
      </c>
      <c r="D2451" s="5" t="s">
        <v>158</v>
      </c>
      <c r="E2451" s="5" t="s">
        <v>159</v>
      </c>
      <c r="F2451" s="5" t="s">
        <v>160</v>
      </c>
      <c r="G2451" s="5" t="s">
        <v>161</v>
      </c>
      <c r="H2451" s="5" t="s">
        <v>108</v>
      </c>
      <c r="I2451" s="5" t="s">
        <v>162</v>
      </c>
      <c r="J2451" s="5" t="s">
        <v>1050</v>
      </c>
      <c r="K2451" s="5" t="s">
        <v>175</v>
      </c>
      <c r="L2451" s="6">
        <v>45684</v>
      </c>
      <c r="M2451" s="6">
        <v>45677</v>
      </c>
      <c r="N2451" s="5" t="s">
        <v>811</v>
      </c>
      <c r="O2451" s="5" t="str">
        <f ca="1">IF(P2451&lt;&gt;"EXPEDIÇÃO","Expedido",IF(NETWORKDAYS(C2451,TODAY())&gt;=5,"Risco Alto",IF(NETWORKDAYS(C2451,TODAY())&gt;=3,IF(NETWORKDAYS(C2451,TODAY())&lt;5,"Risco Médio",""),IF(NETWORKDAYS(C2451,TODAY())&lt;=2,"Risco Baixo",""))))</f>
        <v>Expedido</v>
      </c>
      <c r="P2451" s="5" t="s">
        <v>25</v>
      </c>
      <c r="S2451" s="7">
        <f>IF(ISBLANK(M2451),"Aguardando Previsão/Data",NETWORKDAYS(L2451,M2451)-1)</f>
        <v>-7</v>
      </c>
      <c r="T2451" s="5" t="s">
        <v>942</v>
      </c>
    </row>
    <row r="2452" spans="1:20" x14ac:dyDescent="0.35">
      <c r="A2452" s="5">
        <v>8100278961</v>
      </c>
      <c r="B2452" s="5">
        <v>12309</v>
      </c>
      <c r="C2452" s="6">
        <v>45674</v>
      </c>
      <c r="D2452" s="5" t="s">
        <v>158</v>
      </c>
      <c r="E2452" s="5" t="s">
        <v>159</v>
      </c>
      <c r="F2452" s="5" t="s">
        <v>79</v>
      </c>
      <c r="G2452" s="5" t="s">
        <v>80</v>
      </c>
      <c r="H2452" s="5" t="s">
        <v>108</v>
      </c>
      <c r="I2452" s="5" t="s">
        <v>180</v>
      </c>
      <c r="J2452" s="5" t="s">
        <v>181</v>
      </c>
      <c r="K2452" s="5" t="s">
        <v>80</v>
      </c>
      <c r="L2452" s="6">
        <v>45684</v>
      </c>
      <c r="M2452" s="6">
        <v>45678</v>
      </c>
      <c r="N2452" s="5" t="s">
        <v>811</v>
      </c>
      <c r="O2452" s="5" t="str">
        <f ca="1">IF(P2452&lt;&gt;"EXPEDIÇÃO","Expedido",IF(NETWORKDAYS(C2452,TODAY())&gt;=5,"Risco Alto",IF(NETWORKDAYS(C2452,TODAY())&gt;=3,IF(NETWORKDAYS(C2452,TODAY())&lt;5,"Risco Médio",""),IF(NETWORKDAYS(C2452,TODAY())&lt;=2,"Risco Baixo",""))))</f>
        <v>Expedido</v>
      </c>
      <c r="P2452" s="5" t="s">
        <v>25</v>
      </c>
      <c r="S2452" s="7">
        <f>IF(ISBLANK(M2452),"Aguardando Previsão/Data",NETWORKDAYS(L2452,M2452)-1)</f>
        <v>-6</v>
      </c>
      <c r="T2452" s="5" t="s">
        <v>942</v>
      </c>
    </row>
    <row r="2453" spans="1:20" x14ac:dyDescent="0.35">
      <c r="A2453" s="5">
        <v>8100278962</v>
      </c>
      <c r="B2453" s="5">
        <v>12310</v>
      </c>
      <c r="C2453" s="6">
        <v>45674</v>
      </c>
      <c r="D2453" s="5" t="s">
        <v>158</v>
      </c>
      <c r="E2453" s="5" t="s">
        <v>159</v>
      </c>
      <c r="F2453" s="5" t="s">
        <v>79</v>
      </c>
      <c r="G2453" s="5" t="s">
        <v>80</v>
      </c>
      <c r="H2453" s="5" t="s">
        <v>108</v>
      </c>
      <c r="I2453" s="5" t="s">
        <v>180</v>
      </c>
      <c r="J2453" s="5" t="s">
        <v>181</v>
      </c>
      <c r="K2453" s="5" t="s">
        <v>80</v>
      </c>
      <c r="L2453" s="6">
        <v>45684</v>
      </c>
      <c r="M2453" s="6">
        <v>45678</v>
      </c>
      <c r="N2453" s="5" t="s">
        <v>811</v>
      </c>
      <c r="O2453" s="5" t="str">
        <f ca="1">IF(P2453&lt;&gt;"EXPEDIÇÃO","Expedido",IF(NETWORKDAYS(C2453,TODAY())&gt;=5,"Risco Alto",IF(NETWORKDAYS(C2453,TODAY())&gt;=3,IF(NETWORKDAYS(C2453,TODAY())&lt;5,"Risco Médio",""),IF(NETWORKDAYS(C2453,TODAY())&lt;=2,"Risco Baixo",""))))</f>
        <v>Expedido</v>
      </c>
      <c r="P2453" s="5" t="s">
        <v>25</v>
      </c>
      <c r="S2453" s="7">
        <f>IF(ISBLANK(M2453),"Aguardando Previsão/Data",NETWORKDAYS(L2453,M2453)-1)</f>
        <v>-6</v>
      </c>
      <c r="T2453" s="5" t="s">
        <v>942</v>
      </c>
    </row>
    <row r="2454" spans="1:20" x14ac:dyDescent="0.35">
      <c r="A2454" s="5">
        <v>8100278964</v>
      </c>
      <c r="B2454" s="5">
        <v>12319</v>
      </c>
      <c r="C2454" s="6">
        <v>45674</v>
      </c>
      <c r="D2454" s="5" t="s">
        <v>158</v>
      </c>
      <c r="E2454" s="5" t="s">
        <v>159</v>
      </c>
      <c r="F2454" s="5" t="s">
        <v>136</v>
      </c>
      <c r="G2454" s="5" t="s">
        <v>137</v>
      </c>
      <c r="H2454" s="5" t="s">
        <v>108</v>
      </c>
      <c r="I2454" s="5" t="s">
        <v>178</v>
      </c>
      <c r="J2454" s="5" t="s">
        <v>179</v>
      </c>
      <c r="K2454" s="5" t="s">
        <v>175</v>
      </c>
      <c r="L2454" s="6">
        <v>45684</v>
      </c>
      <c r="M2454" s="6">
        <v>45677</v>
      </c>
      <c r="N2454" s="5" t="s">
        <v>811</v>
      </c>
      <c r="O2454" s="5" t="str">
        <f ca="1">IF(P2454&lt;&gt;"EXPEDIÇÃO","Expedido",IF(NETWORKDAYS(C2454,TODAY())&gt;=5,"Risco Alto",IF(NETWORKDAYS(C2454,TODAY())&gt;=3,IF(NETWORKDAYS(C2454,TODAY())&lt;5,"Risco Médio",""),IF(NETWORKDAYS(C2454,TODAY())&lt;=2,"Risco Baixo",""))))</f>
        <v>Expedido</v>
      </c>
      <c r="P2454" s="5" t="s">
        <v>25</v>
      </c>
      <c r="S2454" s="7">
        <f>IF(ISBLANK(M2454),"Aguardando Previsão/Data",NETWORKDAYS(L2454,M2454)-1)</f>
        <v>-7</v>
      </c>
      <c r="T2454" s="5" t="s">
        <v>942</v>
      </c>
    </row>
    <row r="2455" spans="1:20" x14ac:dyDescent="0.35">
      <c r="A2455" s="5">
        <v>8100278965</v>
      </c>
      <c r="B2455" s="5">
        <v>12324</v>
      </c>
      <c r="C2455" s="6">
        <v>45674</v>
      </c>
      <c r="D2455" s="5" t="s">
        <v>158</v>
      </c>
      <c r="E2455" s="5" t="s">
        <v>159</v>
      </c>
      <c r="F2455" s="5" t="s">
        <v>176</v>
      </c>
      <c r="G2455" s="5" t="s">
        <v>177</v>
      </c>
      <c r="H2455" s="5" t="s">
        <v>108</v>
      </c>
      <c r="I2455" s="5" t="s">
        <v>187</v>
      </c>
      <c r="J2455" s="5" t="s">
        <v>301</v>
      </c>
      <c r="K2455" s="5" t="s">
        <v>175</v>
      </c>
      <c r="L2455" s="6">
        <v>45684</v>
      </c>
      <c r="M2455" s="6">
        <v>45678</v>
      </c>
      <c r="N2455" s="5" t="s">
        <v>811</v>
      </c>
      <c r="O2455" s="5" t="str">
        <f ca="1">IF(P2455&lt;&gt;"EXPEDIÇÃO","Expedido",IF(NETWORKDAYS(C2455,TODAY())&gt;=5,"Risco Alto",IF(NETWORKDAYS(C2455,TODAY())&gt;=3,IF(NETWORKDAYS(C2455,TODAY())&lt;5,"Risco Médio",""),IF(NETWORKDAYS(C2455,TODAY())&lt;=2,"Risco Baixo",""))))</f>
        <v>Expedido</v>
      </c>
      <c r="P2455" s="5" t="s">
        <v>25</v>
      </c>
      <c r="S2455" s="7">
        <f>IF(ISBLANK(M2455),"Aguardando Previsão/Data",NETWORKDAYS(L2455,M2455)-1)</f>
        <v>-6</v>
      </c>
      <c r="T2455" s="5" t="s">
        <v>942</v>
      </c>
    </row>
    <row r="2456" spans="1:20" x14ac:dyDescent="0.35">
      <c r="A2456" s="5">
        <v>8100278966</v>
      </c>
      <c r="B2456" s="5">
        <v>12318</v>
      </c>
      <c r="C2456" s="6">
        <v>45674</v>
      </c>
      <c r="D2456" s="5" t="s">
        <v>158</v>
      </c>
      <c r="E2456" s="5" t="s">
        <v>159</v>
      </c>
      <c r="F2456" s="5" t="s">
        <v>176</v>
      </c>
      <c r="G2456" s="5" t="s">
        <v>177</v>
      </c>
      <c r="H2456" s="5" t="s">
        <v>108</v>
      </c>
      <c r="I2456" s="5" t="s">
        <v>187</v>
      </c>
      <c r="J2456" s="5" t="s">
        <v>188</v>
      </c>
      <c r="K2456" s="5" t="s">
        <v>175</v>
      </c>
      <c r="L2456" s="6">
        <v>45685</v>
      </c>
      <c r="M2456" s="6">
        <v>45678</v>
      </c>
      <c r="N2456" s="5" t="s">
        <v>811</v>
      </c>
      <c r="O2456" s="5" t="str">
        <f ca="1">IF(P2456&lt;&gt;"EXPEDIÇÃO","Expedido",IF(NETWORKDAYS(C2456,TODAY())&gt;=5,"Risco Alto",IF(NETWORKDAYS(C2456,TODAY())&gt;=3,IF(NETWORKDAYS(C2456,TODAY())&lt;5,"Risco Médio",""),IF(NETWORKDAYS(C2456,TODAY())&lt;=2,"Risco Baixo",""))))</f>
        <v>Expedido</v>
      </c>
      <c r="P2456" s="5" t="s">
        <v>25</v>
      </c>
      <c r="S2456" s="7">
        <f>IF(ISBLANK(M2456),"Aguardando Previsão/Data",NETWORKDAYS(L2456,M2456)-1)</f>
        <v>-7</v>
      </c>
      <c r="T2456" s="5" t="s">
        <v>942</v>
      </c>
    </row>
    <row r="2457" spans="1:20" x14ac:dyDescent="0.35">
      <c r="A2457" s="5">
        <v>8100278967</v>
      </c>
      <c r="B2457" s="5">
        <v>12323</v>
      </c>
      <c r="C2457" s="6">
        <v>45674</v>
      </c>
      <c r="D2457" s="5" t="s">
        <v>158</v>
      </c>
      <c r="E2457" s="5" t="s">
        <v>159</v>
      </c>
      <c r="F2457" s="5" t="s">
        <v>160</v>
      </c>
      <c r="G2457" s="5" t="s">
        <v>161</v>
      </c>
      <c r="H2457" s="5" t="s">
        <v>108</v>
      </c>
      <c r="I2457" s="5" t="s">
        <v>162</v>
      </c>
      <c r="J2457" s="5" t="s">
        <v>1050</v>
      </c>
      <c r="K2457" s="5" t="s">
        <v>175</v>
      </c>
      <c r="L2457" s="6">
        <v>45684</v>
      </c>
      <c r="M2457" s="6">
        <v>45677</v>
      </c>
      <c r="N2457" s="5" t="s">
        <v>811</v>
      </c>
      <c r="O2457" s="5" t="str">
        <f ca="1">IF(P2457&lt;&gt;"EXPEDIÇÃO","Expedido",IF(NETWORKDAYS(C2457,TODAY())&gt;=5,"Risco Alto",IF(NETWORKDAYS(C2457,TODAY())&gt;=3,IF(NETWORKDAYS(C2457,TODAY())&lt;5,"Risco Médio",""),IF(NETWORKDAYS(C2457,TODAY())&lt;=2,"Risco Baixo",""))))</f>
        <v>Expedido</v>
      </c>
      <c r="P2457" s="5" t="s">
        <v>25</v>
      </c>
      <c r="S2457" s="7">
        <f>IF(ISBLANK(M2457),"Aguardando Previsão/Data",NETWORKDAYS(L2457,M2457)-1)</f>
        <v>-7</v>
      </c>
      <c r="T2457" s="5" t="s">
        <v>942</v>
      </c>
    </row>
    <row r="2458" spans="1:20" x14ac:dyDescent="0.35">
      <c r="A2458" s="5">
        <v>8100278968</v>
      </c>
      <c r="B2458" s="5">
        <v>12320</v>
      </c>
      <c r="C2458" s="6">
        <v>45674</v>
      </c>
      <c r="D2458" s="5" t="s">
        <v>158</v>
      </c>
      <c r="E2458" s="5" t="s">
        <v>159</v>
      </c>
      <c r="F2458" s="5" t="s">
        <v>176</v>
      </c>
      <c r="G2458" s="5" t="s">
        <v>177</v>
      </c>
      <c r="H2458" s="5" t="s">
        <v>108</v>
      </c>
      <c r="I2458" s="5" t="s">
        <v>178</v>
      </c>
      <c r="J2458" s="5" t="s">
        <v>179</v>
      </c>
      <c r="K2458" s="5" t="s">
        <v>175</v>
      </c>
      <c r="L2458" s="6">
        <v>45684</v>
      </c>
      <c r="M2458" s="6">
        <v>45677</v>
      </c>
      <c r="N2458" s="5" t="s">
        <v>811</v>
      </c>
      <c r="O2458" s="5" t="str">
        <f ca="1">IF(P2458&lt;&gt;"EXPEDIÇÃO","Expedido",IF(NETWORKDAYS(C2458,TODAY())&gt;=5,"Risco Alto",IF(NETWORKDAYS(C2458,TODAY())&gt;=3,IF(NETWORKDAYS(C2458,TODAY())&lt;5,"Risco Médio",""),IF(NETWORKDAYS(C2458,TODAY())&lt;=2,"Risco Baixo",""))))</f>
        <v>Expedido</v>
      </c>
      <c r="P2458" s="5" t="s">
        <v>25</v>
      </c>
      <c r="S2458" s="7">
        <f>IF(ISBLANK(M2458),"Aguardando Previsão/Data",NETWORKDAYS(L2458,M2458)-1)</f>
        <v>-7</v>
      </c>
      <c r="T2458" s="5" t="s">
        <v>942</v>
      </c>
    </row>
    <row r="2459" spans="1:20" x14ac:dyDescent="0.35">
      <c r="A2459" s="5">
        <v>8100278969</v>
      </c>
      <c r="B2459" s="5">
        <v>12321</v>
      </c>
      <c r="C2459" s="6">
        <v>45674</v>
      </c>
      <c r="D2459" s="5" t="s">
        <v>158</v>
      </c>
      <c r="E2459" s="5" t="s">
        <v>159</v>
      </c>
      <c r="F2459" s="5" t="s">
        <v>176</v>
      </c>
      <c r="G2459" s="5" t="s">
        <v>177</v>
      </c>
      <c r="H2459" s="5" t="s">
        <v>108</v>
      </c>
      <c r="I2459" s="5" t="s">
        <v>654</v>
      </c>
      <c r="J2459" s="5" t="s">
        <v>627</v>
      </c>
      <c r="K2459" s="5" t="s">
        <v>175</v>
      </c>
      <c r="L2459" s="6">
        <v>45685</v>
      </c>
      <c r="M2459" s="6">
        <v>45678</v>
      </c>
      <c r="N2459" s="5" t="s">
        <v>811</v>
      </c>
      <c r="O2459" s="5" t="str">
        <f ca="1">IF(P2459&lt;&gt;"EXPEDIÇÃO","Expedido",IF(NETWORKDAYS(C2459,TODAY())&gt;=5,"Risco Alto",IF(NETWORKDAYS(C2459,TODAY())&gt;=3,IF(NETWORKDAYS(C2459,TODAY())&lt;5,"Risco Médio",""),IF(NETWORKDAYS(C2459,TODAY())&lt;=2,"Risco Baixo",""))))</f>
        <v>Expedido</v>
      </c>
      <c r="P2459" s="5" t="s">
        <v>25</v>
      </c>
      <c r="S2459" s="7">
        <f>IF(ISBLANK(M2459),"Aguardando Previsão/Data",NETWORKDAYS(L2459,M2459)-1)</f>
        <v>-7</v>
      </c>
      <c r="T2459" s="5" t="s">
        <v>942</v>
      </c>
    </row>
    <row r="2460" spans="1:20" x14ac:dyDescent="0.35">
      <c r="A2460" s="5">
        <v>8100278971</v>
      </c>
      <c r="B2460" s="5">
        <v>12316</v>
      </c>
      <c r="C2460" s="6">
        <v>45674</v>
      </c>
      <c r="D2460" s="5" t="s">
        <v>158</v>
      </c>
      <c r="E2460" s="5" t="s">
        <v>159</v>
      </c>
      <c r="F2460" s="5" t="s">
        <v>176</v>
      </c>
      <c r="G2460" s="5" t="s">
        <v>177</v>
      </c>
      <c r="H2460" s="5" t="s">
        <v>108</v>
      </c>
      <c r="I2460" s="5" t="s">
        <v>1272</v>
      </c>
      <c r="J2460" s="5" t="s">
        <v>455</v>
      </c>
      <c r="K2460" s="5" t="s">
        <v>175</v>
      </c>
      <c r="L2460" s="6">
        <v>45685</v>
      </c>
      <c r="M2460" s="6">
        <v>45678</v>
      </c>
      <c r="N2460" s="5" t="s">
        <v>811</v>
      </c>
      <c r="O2460" s="5" t="str">
        <f ca="1">IF(P2460&lt;&gt;"EXPEDIÇÃO","Expedido",IF(NETWORKDAYS(C2460,TODAY())&gt;=5,"Risco Alto",IF(NETWORKDAYS(C2460,TODAY())&gt;=3,IF(NETWORKDAYS(C2460,TODAY())&lt;5,"Risco Médio",""),IF(NETWORKDAYS(C2460,TODAY())&lt;=2,"Risco Baixo",""))))</f>
        <v>Expedido</v>
      </c>
      <c r="P2460" s="5" t="s">
        <v>25</v>
      </c>
      <c r="S2460" s="7">
        <f>IF(ISBLANK(M2460),"Aguardando Previsão/Data",NETWORKDAYS(L2460,M2460)-1)</f>
        <v>-7</v>
      </c>
      <c r="T2460" s="5" t="s">
        <v>942</v>
      </c>
    </row>
    <row r="2461" spans="1:20" x14ac:dyDescent="0.35">
      <c r="A2461" s="5">
        <v>8100278972</v>
      </c>
      <c r="B2461" s="5">
        <v>12313</v>
      </c>
      <c r="C2461" s="6">
        <v>45674</v>
      </c>
      <c r="D2461" s="5" t="s">
        <v>158</v>
      </c>
      <c r="E2461" s="5" t="s">
        <v>159</v>
      </c>
      <c r="F2461" s="5" t="s">
        <v>79</v>
      </c>
      <c r="G2461" s="5" t="s">
        <v>80</v>
      </c>
      <c r="H2461" s="5" t="s">
        <v>108</v>
      </c>
      <c r="I2461" s="5" t="s">
        <v>541</v>
      </c>
      <c r="J2461" s="5" t="s">
        <v>163</v>
      </c>
      <c r="K2461" s="5" t="s">
        <v>80</v>
      </c>
      <c r="L2461" s="6">
        <v>45684</v>
      </c>
      <c r="M2461" s="6">
        <v>45678</v>
      </c>
      <c r="N2461" s="5" t="s">
        <v>811</v>
      </c>
      <c r="O2461" s="5" t="str">
        <f ca="1">IF(P2461&lt;&gt;"EXPEDIÇÃO","Expedido",IF(NETWORKDAYS(C2461,TODAY())&gt;=5,"Risco Alto",IF(NETWORKDAYS(C2461,TODAY())&gt;=3,IF(NETWORKDAYS(C2461,TODAY())&lt;5,"Risco Médio",""),IF(NETWORKDAYS(C2461,TODAY())&lt;=2,"Risco Baixo",""))))</f>
        <v>Expedido</v>
      </c>
      <c r="P2461" s="5" t="s">
        <v>25</v>
      </c>
      <c r="S2461" s="7">
        <f>IF(ISBLANK(M2461),"Aguardando Previsão/Data",NETWORKDAYS(L2461,M2461)-1)</f>
        <v>-6</v>
      </c>
      <c r="T2461" s="5" t="s">
        <v>942</v>
      </c>
    </row>
    <row r="2462" spans="1:20" x14ac:dyDescent="0.35">
      <c r="A2462" s="5">
        <v>8100278973</v>
      </c>
      <c r="B2462" s="5">
        <v>12314</v>
      </c>
      <c r="C2462" s="6">
        <v>45674</v>
      </c>
      <c r="D2462" s="5" t="s">
        <v>158</v>
      </c>
      <c r="E2462" s="5" t="s">
        <v>159</v>
      </c>
      <c r="F2462" s="5" t="s">
        <v>79</v>
      </c>
      <c r="G2462" s="5" t="s">
        <v>80</v>
      </c>
      <c r="H2462" s="5" t="s">
        <v>108</v>
      </c>
      <c r="I2462" s="5" t="s">
        <v>541</v>
      </c>
      <c r="J2462" s="5" t="s">
        <v>163</v>
      </c>
      <c r="K2462" s="5" t="s">
        <v>80</v>
      </c>
      <c r="L2462" s="6">
        <v>45684</v>
      </c>
      <c r="M2462" s="6">
        <v>45678</v>
      </c>
      <c r="N2462" s="5" t="s">
        <v>811</v>
      </c>
      <c r="O2462" s="5" t="str">
        <f ca="1">IF(P2462&lt;&gt;"EXPEDIÇÃO","Expedido",IF(NETWORKDAYS(C2462,TODAY())&gt;=5,"Risco Alto",IF(NETWORKDAYS(C2462,TODAY())&gt;=3,IF(NETWORKDAYS(C2462,TODAY())&lt;5,"Risco Médio",""),IF(NETWORKDAYS(C2462,TODAY())&lt;=2,"Risco Baixo",""))))</f>
        <v>Expedido</v>
      </c>
      <c r="P2462" s="5" t="s">
        <v>25</v>
      </c>
      <c r="S2462" s="7">
        <f>IF(ISBLANK(M2462),"Aguardando Previsão/Data",NETWORKDAYS(L2462,M2462)-1)</f>
        <v>-6</v>
      </c>
      <c r="T2462" s="5" t="s">
        <v>942</v>
      </c>
    </row>
    <row r="2463" spans="1:20" x14ac:dyDescent="0.35">
      <c r="A2463" s="5">
        <v>8100278990</v>
      </c>
      <c r="B2463" s="5">
        <v>12305</v>
      </c>
      <c r="C2463" s="6">
        <v>45674</v>
      </c>
      <c r="D2463" s="5" t="s">
        <v>158</v>
      </c>
      <c r="E2463" s="5" t="s">
        <v>159</v>
      </c>
      <c r="F2463" s="5" t="s">
        <v>79</v>
      </c>
      <c r="G2463" s="5" t="s">
        <v>80</v>
      </c>
      <c r="H2463" s="5" t="s">
        <v>108</v>
      </c>
      <c r="I2463" s="5" t="s">
        <v>162</v>
      </c>
      <c r="J2463" s="5" t="s">
        <v>163</v>
      </c>
      <c r="K2463" s="5" t="s">
        <v>80</v>
      </c>
      <c r="L2463" s="6">
        <v>45684</v>
      </c>
      <c r="M2463" s="6">
        <v>45678</v>
      </c>
      <c r="N2463" s="5" t="s">
        <v>811</v>
      </c>
      <c r="O2463" s="5" t="str">
        <f ca="1">IF(P2463&lt;&gt;"EXPEDIÇÃO","Expedido",IF(NETWORKDAYS(C2463,TODAY())&gt;=5,"Risco Alto",IF(NETWORKDAYS(C2463,TODAY())&gt;=3,IF(NETWORKDAYS(C2463,TODAY())&lt;5,"Risco Médio",""),IF(NETWORKDAYS(C2463,TODAY())&lt;=2,"Risco Baixo",""))))</f>
        <v>Expedido</v>
      </c>
      <c r="P2463" s="5" t="s">
        <v>25</v>
      </c>
      <c r="S2463" s="7">
        <f>IF(ISBLANK(M2463),"Aguardando Previsão/Data",NETWORKDAYS(L2463,M2463)-1)</f>
        <v>-6</v>
      </c>
      <c r="T2463" s="5" t="s">
        <v>942</v>
      </c>
    </row>
    <row r="2464" spans="1:20" x14ac:dyDescent="0.35">
      <c r="A2464" s="5">
        <v>8100279107</v>
      </c>
      <c r="B2464" s="5">
        <v>12317</v>
      </c>
      <c r="C2464" s="6">
        <v>45674</v>
      </c>
      <c r="D2464" s="5" t="s">
        <v>158</v>
      </c>
      <c r="E2464" s="5" t="s">
        <v>159</v>
      </c>
      <c r="F2464" s="5" t="s">
        <v>171</v>
      </c>
      <c r="G2464" s="5" t="s">
        <v>172</v>
      </c>
      <c r="H2464" s="5" t="s">
        <v>108</v>
      </c>
      <c r="I2464" s="5" t="s">
        <v>173</v>
      </c>
      <c r="J2464" s="5" t="s">
        <v>174</v>
      </c>
      <c r="K2464" s="5" t="s">
        <v>175</v>
      </c>
      <c r="L2464" s="6">
        <v>45684</v>
      </c>
      <c r="M2464" s="6">
        <v>45677</v>
      </c>
      <c r="N2464" s="6" t="s">
        <v>811</v>
      </c>
      <c r="O2464" s="5" t="str">
        <f ca="1">IF(P2464&lt;&gt;"EXPEDIÇÃO","Expedido",IF(NETWORKDAYS(C2464,TODAY())&gt;=5,"Risco Alto",IF(NETWORKDAYS(C2464,TODAY())&gt;=3,IF(NETWORKDAYS(C2464,TODAY())&lt;5,"Risco Médio",""),IF(NETWORKDAYS(C2464,TODAY())&lt;=2,"Risco Baixo",""))))</f>
        <v>Expedido</v>
      </c>
      <c r="P2464" s="5" t="s">
        <v>25</v>
      </c>
      <c r="S2464" s="7">
        <f>IF(ISBLANK(M2464),"Aguardando Previsão/Data",NETWORKDAYS(L2464,M2464)-1)</f>
        <v>-7</v>
      </c>
      <c r="T2464" s="5" t="s">
        <v>942</v>
      </c>
    </row>
    <row r="2465" spans="1:20" x14ac:dyDescent="0.35">
      <c r="A2465" s="5">
        <v>8100279877</v>
      </c>
      <c r="B2465" s="5">
        <v>17500</v>
      </c>
      <c r="C2465" s="6">
        <v>45677</v>
      </c>
      <c r="D2465" s="5" t="s">
        <v>51</v>
      </c>
      <c r="E2465" s="5" t="s">
        <v>52</v>
      </c>
      <c r="F2465" s="5" t="s">
        <v>53</v>
      </c>
      <c r="G2465" s="5" t="s">
        <v>54</v>
      </c>
      <c r="H2465" s="5" t="s">
        <v>21</v>
      </c>
      <c r="I2465" s="5" t="s">
        <v>983</v>
      </c>
      <c r="J2465" s="5" t="s">
        <v>56</v>
      </c>
      <c r="K2465" s="5" t="s">
        <v>57</v>
      </c>
      <c r="L2465" s="6">
        <v>45684</v>
      </c>
      <c r="M2465" s="6">
        <v>45685</v>
      </c>
      <c r="N2465" s="6" t="s">
        <v>812</v>
      </c>
      <c r="O2465" s="5" t="str">
        <f ca="1">IF(P2465&lt;&gt;"EXPEDIÇÃO","Expedido",IF(NETWORKDAYS(C2465,TODAY())&gt;=5,"Risco Alto",IF(NETWORKDAYS(C2465,TODAY())&gt;=3,IF(NETWORKDAYS(C2465,TODAY())&lt;5,"Risco Médio",""),IF(NETWORKDAYS(C2465,TODAY())&lt;=2,"Risco Baixo",""))))</f>
        <v>Expedido</v>
      </c>
      <c r="P2465" s="5" t="s">
        <v>25</v>
      </c>
      <c r="Q2465" s="5" t="s">
        <v>937</v>
      </c>
      <c r="S2465" s="7">
        <f>IF(ISBLANK(M2465),"Aguardando Previsão/Data",NETWORKDAYS(L2465,M2465)-1)</f>
        <v>1</v>
      </c>
      <c r="T2465" s="5" t="s">
        <v>942</v>
      </c>
    </row>
    <row r="2466" spans="1:20" x14ac:dyDescent="0.35">
      <c r="A2466" s="5">
        <v>8100279878</v>
      </c>
      <c r="B2466" s="5">
        <v>17501</v>
      </c>
      <c r="C2466" s="6">
        <v>45677</v>
      </c>
      <c r="D2466" s="5" t="s">
        <v>51</v>
      </c>
      <c r="E2466" s="5" t="s">
        <v>52</v>
      </c>
      <c r="F2466" s="5" t="s">
        <v>53</v>
      </c>
      <c r="G2466" s="5" t="s">
        <v>54</v>
      </c>
      <c r="H2466" s="5" t="s">
        <v>21</v>
      </c>
      <c r="I2466" s="5" t="s">
        <v>983</v>
      </c>
      <c r="J2466" s="5" t="s">
        <v>56</v>
      </c>
      <c r="K2466" s="5" t="s">
        <v>57</v>
      </c>
      <c r="L2466" s="6">
        <v>45684</v>
      </c>
      <c r="M2466" s="6">
        <v>45685</v>
      </c>
      <c r="N2466" s="6" t="s">
        <v>812</v>
      </c>
      <c r="O2466" s="5" t="str">
        <f ca="1">IF(P2466&lt;&gt;"EXPEDIÇÃO","Expedido",IF(NETWORKDAYS(C2466,TODAY())&gt;=5,"Risco Alto",IF(NETWORKDAYS(C2466,TODAY())&gt;=3,IF(NETWORKDAYS(C2466,TODAY())&lt;5,"Risco Médio",""),IF(NETWORKDAYS(C2466,TODAY())&lt;=2,"Risco Baixo",""))))</f>
        <v>Expedido</v>
      </c>
      <c r="P2466" s="5" t="s">
        <v>25</v>
      </c>
      <c r="Q2466" s="5" t="s">
        <v>937</v>
      </c>
      <c r="S2466" s="7">
        <f>IF(ISBLANK(M2466),"Aguardando Previsão/Data",NETWORKDAYS(L2466,M2466)-1)</f>
        <v>1</v>
      </c>
      <c r="T2466" s="5" t="s">
        <v>942</v>
      </c>
    </row>
    <row r="2467" spans="1:20" x14ac:dyDescent="0.35">
      <c r="A2467" s="5">
        <v>8100279879</v>
      </c>
      <c r="B2467" s="5">
        <v>17502</v>
      </c>
      <c r="C2467" s="6">
        <v>45677</v>
      </c>
      <c r="D2467" s="5" t="s">
        <v>51</v>
      </c>
      <c r="E2467" s="5" t="s">
        <v>52</v>
      </c>
      <c r="F2467" s="5" t="s">
        <v>53</v>
      </c>
      <c r="G2467" s="5" t="s">
        <v>54</v>
      </c>
      <c r="H2467" s="5" t="s">
        <v>21</v>
      </c>
      <c r="I2467" s="5" t="s">
        <v>552</v>
      </c>
      <c r="J2467" s="5" t="s">
        <v>553</v>
      </c>
      <c r="K2467" s="5" t="s">
        <v>57</v>
      </c>
      <c r="L2467" s="6">
        <v>45685</v>
      </c>
      <c r="M2467" s="6">
        <v>45684</v>
      </c>
      <c r="N2467" s="6" t="s">
        <v>811</v>
      </c>
      <c r="O2467" s="5" t="str">
        <f ca="1">IF(P2467&lt;&gt;"EXPEDIÇÃO","Expedido",IF(NETWORKDAYS(C2467,TODAY())&gt;=5,"Risco Alto",IF(NETWORKDAYS(C2467,TODAY())&gt;=3,IF(NETWORKDAYS(C2467,TODAY())&lt;5,"Risco Médio",""),IF(NETWORKDAYS(C2467,TODAY())&lt;=2,"Risco Baixo",""))))</f>
        <v>Expedido</v>
      </c>
      <c r="P2467" s="5" t="s">
        <v>25</v>
      </c>
      <c r="S2467" s="7">
        <f>IF(ISBLANK(M2467),"Aguardando Previsão/Data",NETWORKDAYS(L2467,M2467)-1)</f>
        <v>-3</v>
      </c>
      <c r="T2467" s="5" t="s">
        <v>942</v>
      </c>
    </row>
    <row r="2468" spans="1:20" x14ac:dyDescent="0.35">
      <c r="A2468" s="5">
        <v>8100279882</v>
      </c>
      <c r="B2468" s="5">
        <v>17504</v>
      </c>
      <c r="C2468" s="6">
        <v>45677</v>
      </c>
      <c r="D2468" s="5" t="s">
        <v>51</v>
      </c>
      <c r="E2468" s="5" t="s">
        <v>52</v>
      </c>
      <c r="F2468" s="5" t="s">
        <v>58</v>
      </c>
      <c r="G2468" s="5" t="s">
        <v>59</v>
      </c>
      <c r="H2468" s="5" t="s">
        <v>21</v>
      </c>
      <c r="I2468" s="5" t="s">
        <v>1038</v>
      </c>
      <c r="J2468" s="5" t="s">
        <v>1039</v>
      </c>
      <c r="K2468" s="5" t="s">
        <v>57</v>
      </c>
      <c r="L2468" s="6">
        <v>45681</v>
      </c>
      <c r="M2468" s="6">
        <v>45680</v>
      </c>
      <c r="N2468" s="6" t="s">
        <v>811</v>
      </c>
      <c r="O2468" s="5" t="str">
        <f ca="1">IF(P2468&lt;&gt;"EXPEDIÇÃO","Expedido",IF(NETWORKDAYS(C2468,TODAY())&gt;=5,"Risco Alto",IF(NETWORKDAYS(C2468,TODAY())&gt;=3,IF(NETWORKDAYS(C2468,TODAY())&lt;5,"Risco Médio",""),IF(NETWORKDAYS(C2468,TODAY())&lt;=2,"Risco Baixo",""))))</f>
        <v>Expedido</v>
      </c>
      <c r="P2468" s="5" t="s">
        <v>25</v>
      </c>
      <c r="S2468" s="7">
        <f>IF(ISBLANK(M2468),"Aguardando Previsão/Data",NETWORKDAYS(L2468,M2468)-1)</f>
        <v>-3</v>
      </c>
      <c r="T2468" s="5" t="s">
        <v>942</v>
      </c>
    </row>
    <row r="2469" spans="1:20" x14ac:dyDescent="0.35">
      <c r="A2469" s="5">
        <v>8100280181</v>
      </c>
      <c r="B2469" s="5">
        <v>17505</v>
      </c>
      <c r="C2469" s="6">
        <v>45677</v>
      </c>
      <c r="D2469" s="5" t="s">
        <v>51</v>
      </c>
      <c r="E2469" s="5" t="s">
        <v>52</v>
      </c>
      <c r="F2469" s="5" t="s">
        <v>66</v>
      </c>
      <c r="G2469" s="5" t="s">
        <v>67</v>
      </c>
      <c r="H2469" s="5" t="s">
        <v>21</v>
      </c>
      <c r="I2469" s="5" t="s">
        <v>73</v>
      </c>
      <c r="J2469" s="5" t="s">
        <v>268</v>
      </c>
      <c r="K2469" s="5" t="s">
        <v>57</v>
      </c>
      <c r="L2469" s="6">
        <v>45685</v>
      </c>
      <c r="M2469" s="6">
        <v>45684</v>
      </c>
      <c r="N2469" s="6" t="s">
        <v>811</v>
      </c>
      <c r="O2469" s="5" t="str">
        <f ca="1">IF(P2469&lt;&gt;"EXPEDIÇÃO","Expedido",IF(NETWORKDAYS(C2469,TODAY())&gt;=5,"Risco Alto",IF(NETWORKDAYS(C2469,TODAY())&gt;=3,IF(NETWORKDAYS(C2469,TODAY())&lt;5,"Risco Médio",""),IF(NETWORKDAYS(C2469,TODAY())&lt;=2,"Risco Baixo",""))))</f>
        <v>Expedido</v>
      </c>
      <c r="P2469" s="5" t="s">
        <v>25</v>
      </c>
      <c r="S2469" s="7">
        <f>IF(ISBLANK(M2469),"Aguardando Previsão/Data",NETWORKDAYS(L2469,M2469)-1)</f>
        <v>-3</v>
      </c>
      <c r="T2469" s="5" t="s">
        <v>942</v>
      </c>
    </row>
    <row r="2470" spans="1:20" x14ac:dyDescent="0.35">
      <c r="A2470" s="5">
        <v>8100280182</v>
      </c>
      <c r="B2470" s="5">
        <v>17503</v>
      </c>
      <c r="C2470" s="6">
        <v>45677</v>
      </c>
      <c r="D2470" s="5" t="s">
        <v>382</v>
      </c>
      <c r="E2470" s="5" t="s">
        <v>52</v>
      </c>
      <c r="F2470" s="5" t="s">
        <v>199</v>
      </c>
      <c r="G2470" s="5" t="s">
        <v>200</v>
      </c>
      <c r="H2470" s="5" t="s">
        <v>21</v>
      </c>
      <c r="I2470" s="5" t="s">
        <v>1348</v>
      </c>
      <c r="J2470" s="5" t="s">
        <v>568</v>
      </c>
      <c r="K2470" s="5" t="s">
        <v>57</v>
      </c>
      <c r="L2470" s="6">
        <v>45684</v>
      </c>
      <c r="M2470" s="6">
        <v>45682</v>
      </c>
      <c r="N2470" s="6" t="s">
        <v>811</v>
      </c>
      <c r="O2470" s="5" t="str">
        <f ca="1">IF(P2470&lt;&gt;"EXPEDIÇÃO","Expedido",IF(NETWORKDAYS(C2470,TODAY())&gt;=5,"Risco Alto",IF(NETWORKDAYS(C2470,TODAY())&gt;=3,IF(NETWORKDAYS(C2470,TODAY())&lt;5,"Risco Médio",""),IF(NETWORKDAYS(C2470,TODAY())&lt;=2,"Risco Baixo",""))))</f>
        <v>Expedido</v>
      </c>
      <c r="P2470" s="5" t="s">
        <v>25</v>
      </c>
      <c r="S2470" s="7">
        <f>IF(ISBLANK(M2470),"Aguardando Previsão/Data",NETWORKDAYS(L2470,M2470)-1)</f>
        <v>-2</v>
      </c>
      <c r="T2470" s="5" t="s">
        <v>942</v>
      </c>
    </row>
    <row r="2471" spans="1:20" x14ac:dyDescent="0.35">
      <c r="A2471" s="5">
        <v>8100280411</v>
      </c>
      <c r="B2471" s="5">
        <v>17508</v>
      </c>
      <c r="C2471" s="6">
        <v>45677</v>
      </c>
      <c r="D2471" s="5" t="s">
        <v>51</v>
      </c>
      <c r="E2471" s="5" t="s">
        <v>52</v>
      </c>
      <c r="F2471" s="5" t="s">
        <v>329</v>
      </c>
      <c r="G2471" s="5" t="s">
        <v>330</v>
      </c>
      <c r="H2471" s="5" t="s">
        <v>21</v>
      </c>
      <c r="I2471" s="5" t="s">
        <v>64</v>
      </c>
      <c r="J2471" s="5" t="s">
        <v>65</v>
      </c>
      <c r="K2471" s="5" t="s">
        <v>57</v>
      </c>
      <c r="L2471" s="6">
        <v>45680</v>
      </c>
      <c r="M2471" s="6">
        <v>45677</v>
      </c>
      <c r="N2471" s="6" t="s">
        <v>811</v>
      </c>
      <c r="O2471" s="5" t="str">
        <f ca="1">IF(P2471&lt;&gt;"EXPEDIÇÃO","Expedido",IF(NETWORKDAYS(C2471,TODAY())&gt;=5,"Risco Alto",IF(NETWORKDAYS(C2471,TODAY())&gt;=3,IF(NETWORKDAYS(C2471,TODAY())&lt;5,"Risco Médio",""),IF(NETWORKDAYS(C2471,TODAY())&lt;=2,"Risco Baixo",""))))</f>
        <v>Expedido</v>
      </c>
      <c r="P2471" s="5" t="s">
        <v>25</v>
      </c>
      <c r="Q2471" s="5" t="s">
        <v>900</v>
      </c>
      <c r="S2471" s="7">
        <f>IF(ISBLANK(M2471),"Aguardando Previsão/Data",NETWORKDAYS(L2471,M2471)-1)</f>
        <v>-5</v>
      </c>
      <c r="T2471" s="5" t="s">
        <v>942</v>
      </c>
    </row>
    <row r="2472" spans="1:20" x14ac:dyDescent="0.35">
      <c r="A2472" s="5">
        <v>8100280412</v>
      </c>
      <c r="B2472" s="5">
        <v>17509</v>
      </c>
      <c r="C2472" s="6">
        <v>45677</v>
      </c>
      <c r="D2472" s="5" t="s">
        <v>51</v>
      </c>
      <c r="E2472" s="5" t="s">
        <v>52</v>
      </c>
      <c r="F2472" s="5" t="s">
        <v>329</v>
      </c>
      <c r="G2472" s="5" t="s">
        <v>330</v>
      </c>
      <c r="H2472" s="5" t="s">
        <v>21</v>
      </c>
      <c r="I2472" s="5" t="s">
        <v>22</v>
      </c>
      <c r="J2472" s="5" t="s">
        <v>65</v>
      </c>
      <c r="K2472" s="5" t="s">
        <v>57</v>
      </c>
      <c r="L2472" s="6">
        <v>45680</v>
      </c>
      <c r="M2472" s="6">
        <v>45677</v>
      </c>
      <c r="N2472" s="6" t="s">
        <v>811</v>
      </c>
      <c r="O2472" s="5" t="str">
        <f ca="1">IF(P2472&lt;&gt;"EXPEDIÇÃO","Expedido",IF(NETWORKDAYS(C2472,TODAY())&gt;=5,"Risco Alto",IF(NETWORKDAYS(C2472,TODAY())&gt;=3,IF(NETWORKDAYS(C2472,TODAY())&lt;5,"Risco Médio",""),IF(NETWORKDAYS(C2472,TODAY())&lt;=2,"Risco Baixo",""))))</f>
        <v>Expedido</v>
      </c>
      <c r="P2472" s="5" t="s">
        <v>25</v>
      </c>
      <c r="Q2472" s="5" t="s">
        <v>900</v>
      </c>
      <c r="S2472" s="7">
        <f>IF(ISBLANK(M2472),"Aguardando Previsão/Data",NETWORKDAYS(L2472,M2472)-1)</f>
        <v>-5</v>
      </c>
      <c r="T2472" s="5" t="s">
        <v>942</v>
      </c>
    </row>
    <row r="2473" spans="1:20" x14ac:dyDescent="0.35">
      <c r="A2473" s="5">
        <v>8100280413</v>
      </c>
      <c r="B2473" s="5">
        <v>17510</v>
      </c>
      <c r="C2473" s="6">
        <v>45677</v>
      </c>
      <c r="D2473" s="5" t="s">
        <v>51</v>
      </c>
      <c r="E2473" s="5" t="s">
        <v>52</v>
      </c>
      <c r="F2473" s="5" t="s">
        <v>58</v>
      </c>
      <c r="G2473" s="5" t="s">
        <v>59</v>
      </c>
      <c r="H2473" s="5" t="s">
        <v>21</v>
      </c>
      <c r="I2473" s="5" t="s">
        <v>555</v>
      </c>
      <c r="J2473" s="5" t="s">
        <v>556</v>
      </c>
      <c r="K2473" s="5" t="s">
        <v>57</v>
      </c>
      <c r="L2473" s="6">
        <v>45685</v>
      </c>
      <c r="M2473" s="6">
        <v>45684</v>
      </c>
      <c r="N2473" s="6" t="s">
        <v>811</v>
      </c>
      <c r="O2473" s="5" t="str">
        <f ca="1">IF(P2473&lt;&gt;"EXPEDIÇÃO","Expedido",IF(NETWORKDAYS(C2473,TODAY())&gt;=5,"Risco Alto",IF(NETWORKDAYS(C2473,TODAY())&gt;=3,IF(NETWORKDAYS(C2473,TODAY())&lt;5,"Risco Médio",""),IF(NETWORKDAYS(C2473,TODAY())&lt;=2,"Risco Baixo",""))))</f>
        <v>Expedido</v>
      </c>
      <c r="P2473" s="5" t="s">
        <v>25</v>
      </c>
      <c r="S2473" s="7">
        <f>IF(ISBLANK(M2473),"Aguardando Previsão/Data",NETWORKDAYS(L2473,M2473)-1)</f>
        <v>-3</v>
      </c>
      <c r="T2473" s="5" t="s">
        <v>942</v>
      </c>
    </row>
    <row r="2474" spans="1:20" x14ac:dyDescent="0.35">
      <c r="A2474" s="5">
        <v>8100277378</v>
      </c>
      <c r="B2474" s="5">
        <v>21478</v>
      </c>
      <c r="C2474" s="6">
        <v>45677</v>
      </c>
      <c r="D2474" s="5" t="s">
        <v>17</v>
      </c>
      <c r="E2474" s="5" t="s">
        <v>18</v>
      </c>
      <c r="F2474" s="5" t="s">
        <v>44</v>
      </c>
      <c r="G2474" s="5" t="s">
        <v>45</v>
      </c>
      <c r="H2474" s="5" t="s">
        <v>21</v>
      </c>
      <c r="I2474" s="5" t="s">
        <v>1387</v>
      </c>
      <c r="J2474" s="5" t="s">
        <v>47</v>
      </c>
      <c r="K2474" s="5" t="s">
        <v>24</v>
      </c>
      <c r="L2474" s="6">
        <v>45684</v>
      </c>
      <c r="M2474" s="6">
        <v>45681</v>
      </c>
      <c r="N2474" s="5" t="s">
        <v>811</v>
      </c>
      <c r="O2474" s="5" t="str">
        <f ca="1">IF(P2474&lt;&gt;"EXPEDIÇÃO","Expedido",IF(NETWORKDAYS(C2474,TODAY())&gt;=5,"Risco Alto",IF(NETWORKDAYS(C2474,TODAY())&gt;=3,IF(NETWORKDAYS(C2474,TODAY())&lt;5,"Risco Médio",""),IF(NETWORKDAYS(C2474,TODAY())&lt;=2,"Risco Baixo",""))))</f>
        <v>Expedido</v>
      </c>
      <c r="P2474" s="5" t="s">
        <v>25</v>
      </c>
      <c r="S2474" s="7">
        <f>IF(ISBLANK(M2474),"Aguardando Previsão/Data",NETWORKDAYS(L2474,M2474)-1)</f>
        <v>-3</v>
      </c>
      <c r="T2474" s="5" t="s">
        <v>942</v>
      </c>
    </row>
    <row r="2475" spans="1:20" x14ac:dyDescent="0.35">
      <c r="A2475" s="5">
        <v>8100279008</v>
      </c>
      <c r="B2475" s="5">
        <v>21474</v>
      </c>
      <c r="C2475" s="6">
        <v>45677</v>
      </c>
      <c r="D2475" s="5" t="s">
        <v>17</v>
      </c>
      <c r="E2475" s="5" t="s">
        <v>18</v>
      </c>
      <c r="F2475" s="5" t="s">
        <v>19</v>
      </c>
      <c r="G2475" s="5" t="s">
        <v>20</v>
      </c>
      <c r="H2475" s="5" t="s">
        <v>21</v>
      </c>
      <c r="I2475" s="5" t="s">
        <v>1407</v>
      </c>
      <c r="J2475" s="5" t="s">
        <v>598</v>
      </c>
      <c r="K2475" s="5" t="s">
        <v>24</v>
      </c>
      <c r="L2475" s="6">
        <v>45686</v>
      </c>
      <c r="M2475" s="6">
        <v>45684</v>
      </c>
      <c r="N2475" s="6" t="s">
        <v>811</v>
      </c>
      <c r="O2475" s="5" t="str">
        <f ca="1">IF(P2475&lt;&gt;"EXPEDIÇÃO","Expedido",IF(NETWORKDAYS(C2475,TODAY())&gt;=5,"Risco Alto",IF(NETWORKDAYS(C2475,TODAY())&gt;=3,IF(NETWORKDAYS(C2475,TODAY())&lt;5,"Risco Médio",""),IF(NETWORKDAYS(C2475,TODAY())&lt;=2,"Risco Baixo",""))))</f>
        <v>Expedido</v>
      </c>
      <c r="P2475" s="5" t="s">
        <v>25</v>
      </c>
      <c r="S2475" s="7">
        <f>IF(ISBLANK(M2475),"Aguardando Previsão/Data",NETWORKDAYS(L2475,M2475)-1)</f>
        <v>-4</v>
      </c>
      <c r="T2475" s="5" t="s">
        <v>942</v>
      </c>
    </row>
    <row r="2476" spans="1:20" x14ac:dyDescent="0.35">
      <c r="A2476" s="5">
        <v>8100279690</v>
      </c>
      <c r="B2476" s="5">
        <v>21469</v>
      </c>
      <c r="C2476" s="6">
        <v>45677</v>
      </c>
      <c r="D2476" s="5" t="s">
        <v>17</v>
      </c>
      <c r="E2476" s="5" t="s">
        <v>18</v>
      </c>
      <c r="F2476" s="5" t="s">
        <v>32</v>
      </c>
      <c r="G2476" s="5" t="s">
        <v>33</v>
      </c>
      <c r="H2476" s="5" t="s">
        <v>21</v>
      </c>
      <c r="I2476" s="5" t="s">
        <v>366</v>
      </c>
      <c r="J2476" s="5" t="s">
        <v>23</v>
      </c>
      <c r="K2476" s="5" t="s">
        <v>24</v>
      </c>
      <c r="L2476" s="6">
        <v>45681</v>
      </c>
      <c r="M2476" s="6">
        <v>45679</v>
      </c>
      <c r="N2476" s="6" t="s">
        <v>811</v>
      </c>
      <c r="O2476" s="5" t="str">
        <f ca="1">IF(P2476&lt;&gt;"EXPEDIÇÃO","Expedido",IF(NETWORKDAYS(C2476,TODAY())&gt;=5,"Risco Alto",IF(NETWORKDAYS(C2476,TODAY())&gt;=3,IF(NETWORKDAYS(C2476,TODAY())&lt;5,"Risco Médio",""),IF(NETWORKDAYS(C2476,TODAY())&lt;=2,"Risco Baixo",""))))</f>
        <v>Expedido</v>
      </c>
      <c r="P2476" s="5" t="s">
        <v>25</v>
      </c>
      <c r="S2476" s="7">
        <f>IF(ISBLANK(M2476),"Aguardando Previsão/Data",NETWORKDAYS(L2476,M2476)-1)</f>
        <v>-4</v>
      </c>
      <c r="T2476" s="5" t="s">
        <v>942</v>
      </c>
    </row>
    <row r="2477" spans="1:20" x14ac:dyDescent="0.35">
      <c r="A2477" s="5">
        <v>8100279691</v>
      </c>
      <c r="B2477" s="5">
        <v>21481</v>
      </c>
      <c r="C2477" s="6">
        <v>45677</v>
      </c>
      <c r="D2477" s="5" t="s">
        <v>17</v>
      </c>
      <c r="E2477" s="5" t="s">
        <v>18</v>
      </c>
      <c r="F2477" s="5" t="s">
        <v>84</v>
      </c>
      <c r="G2477" s="5" t="s">
        <v>85</v>
      </c>
      <c r="H2477" s="5" t="s">
        <v>21</v>
      </c>
      <c r="I2477" s="5" t="s">
        <v>744</v>
      </c>
      <c r="J2477" s="5" t="s">
        <v>256</v>
      </c>
      <c r="K2477" s="5" t="s">
        <v>24</v>
      </c>
      <c r="L2477" s="6">
        <v>45684</v>
      </c>
      <c r="M2477" s="6">
        <v>45681</v>
      </c>
      <c r="N2477" s="6" t="s">
        <v>811</v>
      </c>
      <c r="O2477" s="5" t="str">
        <f ca="1">IF(P2477&lt;&gt;"EXPEDIÇÃO","Expedido",IF(NETWORKDAYS(C2477,TODAY())&gt;=5,"Risco Alto",IF(NETWORKDAYS(C2477,TODAY())&gt;=3,IF(NETWORKDAYS(C2477,TODAY())&lt;5,"Risco Médio",""),IF(NETWORKDAYS(C2477,TODAY())&lt;=2,"Risco Baixo",""))))</f>
        <v>Expedido</v>
      </c>
      <c r="P2477" s="5" t="s">
        <v>25</v>
      </c>
      <c r="S2477" s="7">
        <f>IF(ISBLANK(M2477),"Aguardando Previsão/Data",NETWORKDAYS(L2477,M2477)-1)</f>
        <v>-3</v>
      </c>
      <c r="T2477" s="5" t="s">
        <v>942</v>
      </c>
    </row>
    <row r="2478" spans="1:20" x14ac:dyDescent="0.35">
      <c r="A2478" s="5">
        <v>8100279692</v>
      </c>
      <c r="B2478" s="5">
        <v>21470</v>
      </c>
      <c r="C2478" s="6">
        <v>45677</v>
      </c>
      <c r="D2478" s="5" t="s">
        <v>17</v>
      </c>
      <c r="E2478" s="5" t="s">
        <v>18</v>
      </c>
      <c r="F2478" s="5" t="s">
        <v>44</v>
      </c>
      <c r="G2478" s="5" t="s">
        <v>45</v>
      </c>
      <c r="H2478" s="5" t="s">
        <v>21</v>
      </c>
      <c r="I2478" s="5" t="s">
        <v>494</v>
      </c>
      <c r="J2478" s="5" t="s">
        <v>370</v>
      </c>
      <c r="K2478" s="5" t="s">
        <v>24</v>
      </c>
      <c r="L2478" s="6">
        <v>45687</v>
      </c>
      <c r="M2478" s="6">
        <v>45681</v>
      </c>
      <c r="N2478" s="6" t="s">
        <v>811</v>
      </c>
      <c r="O2478" s="5" t="str">
        <f ca="1">IF(P2478&lt;&gt;"EXPEDIÇÃO","Expedido",IF(NETWORKDAYS(C2478,TODAY())&gt;=5,"Risco Alto",IF(NETWORKDAYS(C2478,TODAY())&gt;=3,IF(NETWORKDAYS(C2478,TODAY())&lt;5,"Risco Médio",""),IF(NETWORKDAYS(C2478,TODAY())&lt;=2,"Risco Baixo",""))))</f>
        <v>Expedido</v>
      </c>
      <c r="P2478" s="5" t="s">
        <v>25</v>
      </c>
      <c r="S2478" s="7">
        <f>IF(ISBLANK(M2478),"Aguardando Previsão/Data",NETWORKDAYS(L2478,M2478)-1)</f>
        <v>-6</v>
      </c>
      <c r="T2478" s="5" t="s">
        <v>942</v>
      </c>
    </row>
    <row r="2479" spans="1:20" x14ac:dyDescent="0.35">
      <c r="A2479" s="5">
        <v>8100279693</v>
      </c>
      <c r="B2479" s="5">
        <v>21476</v>
      </c>
      <c r="C2479" s="6">
        <v>45677</v>
      </c>
      <c r="D2479" s="5" t="s">
        <v>17</v>
      </c>
      <c r="E2479" s="5" t="s">
        <v>18</v>
      </c>
      <c r="F2479" s="5" t="s">
        <v>27</v>
      </c>
      <c r="G2479" s="5" t="s">
        <v>28</v>
      </c>
      <c r="H2479" s="5" t="s">
        <v>21</v>
      </c>
      <c r="I2479" s="5" t="s">
        <v>1022</v>
      </c>
      <c r="J2479" s="5" t="s">
        <v>566</v>
      </c>
      <c r="K2479" s="5" t="s">
        <v>24</v>
      </c>
      <c r="L2479" s="6">
        <v>45685</v>
      </c>
      <c r="M2479" s="6">
        <v>45680</v>
      </c>
      <c r="N2479" s="6" t="s">
        <v>811</v>
      </c>
      <c r="O2479" s="5" t="str">
        <f ca="1">IF(P2479&lt;&gt;"EXPEDIÇÃO","Expedido",IF(NETWORKDAYS(C2479,TODAY())&gt;=5,"Risco Alto",IF(NETWORKDAYS(C2479,TODAY())&gt;=3,IF(NETWORKDAYS(C2479,TODAY())&lt;5,"Risco Médio",""),IF(NETWORKDAYS(C2479,TODAY())&lt;=2,"Risco Baixo",""))))</f>
        <v>Expedido</v>
      </c>
      <c r="P2479" s="5" t="s">
        <v>25</v>
      </c>
      <c r="S2479" s="7">
        <f>IF(ISBLANK(M2479),"Aguardando Previsão/Data",NETWORKDAYS(L2479,M2479)-1)</f>
        <v>-5</v>
      </c>
      <c r="T2479" s="5" t="s">
        <v>942</v>
      </c>
    </row>
    <row r="2480" spans="1:20" x14ac:dyDescent="0.35">
      <c r="A2480" s="5">
        <v>8100279696</v>
      </c>
      <c r="B2480" s="5">
        <v>21468</v>
      </c>
      <c r="C2480" s="6">
        <v>45677</v>
      </c>
      <c r="D2480" s="5" t="s">
        <v>17</v>
      </c>
      <c r="E2480" s="5" t="s">
        <v>18</v>
      </c>
      <c r="F2480" s="5" t="s">
        <v>27</v>
      </c>
      <c r="G2480" s="5" t="s">
        <v>28</v>
      </c>
      <c r="H2480" s="5" t="s">
        <v>21</v>
      </c>
      <c r="I2480" s="5" t="s">
        <v>64</v>
      </c>
      <c r="J2480" s="5" t="s">
        <v>28</v>
      </c>
      <c r="K2480" s="5" t="s">
        <v>24</v>
      </c>
      <c r="L2480" s="6">
        <v>45684</v>
      </c>
      <c r="M2480" s="6">
        <v>45682</v>
      </c>
      <c r="N2480" s="6" t="s">
        <v>811</v>
      </c>
      <c r="O2480" s="5" t="str">
        <f ca="1">IF(P2480&lt;&gt;"EXPEDIÇÃO","Expedido",IF(NETWORKDAYS(C2480,TODAY())&gt;=5,"Risco Alto",IF(NETWORKDAYS(C2480,TODAY())&gt;=3,IF(NETWORKDAYS(C2480,TODAY())&lt;5,"Risco Médio",""),IF(NETWORKDAYS(C2480,TODAY())&lt;=2,"Risco Baixo",""))))</f>
        <v>Expedido</v>
      </c>
      <c r="P2480" s="5" t="s">
        <v>25</v>
      </c>
      <c r="Q2480" s="5" t="s">
        <v>897</v>
      </c>
      <c r="S2480" s="7">
        <f>IF(ISBLANK(M2480),"Aguardando Previsão/Data",NETWORKDAYS(L2480,M2480)-1)</f>
        <v>-2</v>
      </c>
      <c r="T2480" s="5" t="s">
        <v>942</v>
      </c>
    </row>
    <row r="2481" spans="1:20" x14ac:dyDescent="0.35">
      <c r="A2481" s="5">
        <v>8100279699</v>
      </c>
      <c r="B2481" s="5">
        <v>21466</v>
      </c>
      <c r="C2481" s="6">
        <v>45677</v>
      </c>
      <c r="D2481" s="5" t="s">
        <v>17</v>
      </c>
      <c r="E2481" s="5" t="s">
        <v>18</v>
      </c>
      <c r="F2481" s="5" t="s">
        <v>147</v>
      </c>
      <c r="G2481" s="5" t="s">
        <v>148</v>
      </c>
      <c r="H2481" s="5" t="s">
        <v>21</v>
      </c>
      <c r="I2481" s="5" t="s">
        <v>263</v>
      </c>
      <c r="J2481" s="5" t="s">
        <v>264</v>
      </c>
      <c r="K2481" s="5" t="s">
        <v>24</v>
      </c>
      <c r="L2481" s="6">
        <v>45684</v>
      </c>
      <c r="M2481" s="6">
        <v>45681</v>
      </c>
      <c r="N2481" s="6" t="s">
        <v>811</v>
      </c>
      <c r="O2481" s="5" t="str">
        <f ca="1">IF(P2481&lt;&gt;"EXPEDIÇÃO","Expedido",IF(NETWORKDAYS(C2481,TODAY())&gt;=5,"Risco Alto",IF(NETWORKDAYS(C2481,TODAY())&gt;=3,IF(NETWORKDAYS(C2481,TODAY())&lt;5,"Risco Médio",""),IF(NETWORKDAYS(C2481,TODAY())&lt;=2,"Risco Baixo",""))))</f>
        <v>Expedido</v>
      </c>
      <c r="P2481" s="5" t="s">
        <v>25</v>
      </c>
      <c r="Q2481" s="5" t="s">
        <v>897</v>
      </c>
      <c r="S2481" s="7">
        <f>IF(ISBLANK(M2481),"Aguardando Previsão/Data",NETWORKDAYS(L2481,M2481)-1)</f>
        <v>-3</v>
      </c>
      <c r="T2481" s="5" t="s">
        <v>942</v>
      </c>
    </row>
    <row r="2482" spans="1:20" x14ac:dyDescent="0.35">
      <c r="A2482" s="5">
        <v>8100279700</v>
      </c>
      <c r="B2482" s="5">
        <v>21467</v>
      </c>
      <c r="C2482" s="6">
        <v>45677</v>
      </c>
      <c r="D2482" s="5" t="s">
        <v>17</v>
      </c>
      <c r="E2482" s="5" t="s">
        <v>18</v>
      </c>
      <c r="F2482" s="5" t="s">
        <v>147</v>
      </c>
      <c r="G2482" s="5" t="s">
        <v>148</v>
      </c>
      <c r="H2482" s="5" t="s">
        <v>21</v>
      </c>
      <c r="I2482" s="5" t="s">
        <v>263</v>
      </c>
      <c r="J2482" s="5" t="s">
        <v>264</v>
      </c>
      <c r="K2482" s="5" t="s">
        <v>24</v>
      </c>
      <c r="L2482" s="6">
        <v>45684</v>
      </c>
      <c r="M2482" s="6">
        <v>45681</v>
      </c>
      <c r="N2482" s="6" t="s">
        <v>811</v>
      </c>
      <c r="O2482" s="5" t="str">
        <f ca="1">IF(P2482&lt;&gt;"EXPEDIÇÃO","Expedido",IF(NETWORKDAYS(C2482,TODAY())&gt;=5,"Risco Alto",IF(NETWORKDAYS(C2482,TODAY())&gt;=3,IF(NETWORKDAYS(C2482,TODAY())&lt;5,"Risco Médio",""),IF(NETWORKDAYS(C2482,TODAY())&lt;=2,"Risco Baixo",""))))</f>
        <v>Expedido</v>
      </c>
      <c r="P2482" s="5" t="s">
        <v>25</v>
      </c>
      <c r="Q2482" s="5" t="s">
        <v>897</v>
      </c>
      <c r="S2482" s="7">
        <f>IF(ISBLANK(M2482),"Aguardando Previsão/Data",NETWORKDAYS(L2482,M2482)-1)</f>
        <v>-3</v>
      </c>
      <c r="T2482" s="5" t="s">
        <v>942</v>
      </c>
    </row>
    <row r="2483" spans="1:20" x14ac:dyDescent="0.35">
      <c r="A2483" s="5">
        <v>8100279704</v>
      </c>
      <c r="B2483" s="5">
        <v>21471</v>
      </c>
      <c r="C2483" s="6">
        <v>45677</v>
      </c>
      <c r="D2483" s="5" t="s">
        <v>17</v>
      </c>
      <c r="E2483" s="5" t="s">
        <v>18</v>
      </c>
      <c r="F2483" s="5" t="s">
        <v>32</v>
      </c>
      <c r="G2483" s="5" t="s">
        <v>33</v>
      </c>
      <c r="H2483" s="5" t="s">
        <v>21</v>
      </c>
      <c r="I2483" s="5" t="s">
        <v>367</v>
      </c>
      <c r="J2483" s="5" t="s">
        <v>368</v>
      </c>
      <c r="K2483" s="5" t="s">
        <v>24</v>
      </c>
      <c r="L2483" s="6">
        <v>45685</v>
      </c>
      <c r="M2483" s="6">
        <v>45684</v>
      </c>
      <c r="N2483" s="6" t="s">
        <v>811</v>
      </c>
      <c r="O2483" s="5" t="str">
        <f ca="1">IF(P2483&lt;&gt;"EXPEDIÇÃO","Expedido",IF(NETWORKDAYS(C2483,TODAY())&gt;=5,"Risco Alto",IF(NETWORKDAYS(C2483,TODAY())&gt;=3,IF(NETWORKDAYS(C2483,TODAY())&lt;5,"Risco Médio",""),IF(NETWORKDAYS(C2483,TODAY())&lt;=2,"Risco Baixo",""))))</f>
        <v>Expedido</v>
      </c>
      <c r="P2483" s="5" t="s">
        <v>25</v>
      </c>
      <c r="S2483" s="7">
        <f>IF(ISBLANK(M2483),"Aguardando Previsão/Data",NETWORKDAYS(L2483,M2483)-1)</f>
        <v>-3</v>
      </c>
      <c r="T2483" s="5" t="s">
        <v>942</v>
      </c>
    </row>
    <row r="2484" spans="1:20" x14ac:dyDescent="0.35">
      <c r="A2484" s="5">
        <v>8100279707</v>
      </c>
      <c r="B2484" s="5">
        <v>21472</v>
      </c>
      <c r="C2484" s="6">
        <v>45677</v>
      </c>
      <c r="D2484" s="5" t="s">
        <v>17</v>
      </c>
      <c r="E2484" s="5" t="s">
        <v>18</v>
      </c>
      <c r="F2484" s="5" t="s">
        <v>27</v>
      </c>
      <c r="G2484" s="5" t="s">
        <v>28</v>
      </c>
      <c r="H2484" s="5" t="s">
        <v>21</v>
      </c>
      <c r="I2484" s="5" t="s">
        <v>328</v>
      </c>
      <c r="J2484" s="5" t="s">
        <v>28</v>
      </c>
      <c r="K2484" s="5" t="s">
        <v>24</v>
      </c>
      <c r="L2484" s="6">
        <v>45684</v>
      </c>
      <c r="M2484" s="6">
        <v>45679</v>
      </c>
      <c r="N2484" s="6" t="s">
        <v>811</v>
      </c>
      <c r="O2484" s="5" t="str">
        <f ca="1">IF(P2484&lt;&gt;"EXPEDIÇÃO","Expedido",IF(NETWORKDAYS(C2484,TODAY())&gt;=5,"Risco Alto",IF(NETWORKDAYS(C2484,TODAY())&gt;=3,IF(NETWORKDAYS(C2484,TODAY())&lt;5,"Risco Médio",""),IF(NETWORKDAYS(C2484,TODAY())&lt;=2,"Risco Baixo",""))))</f>
        <v>Expedido</v>
      </c>
      <c r="P2484" s="5" t="s">
        <v>25</v>
      </c>
      <c r="S2484" s="7">
        <f>IF(ISBLANK(M2484),"Aguardando Previsão/Data",NETWORKDAYS(L2484,M2484)-1)</f>
        <v>-5</v>
      </c>
      <c r="T2484" s="5" t="s">
        <v>942</v>
      </c>
    </row>
    <row r="2485" spans="1:20" x14ac:dyDescent="0.35">
      <c r="A2485" s="5">
        <v>8100279708</v>
      </c>
      <c r="B2485" s="5">
        <v>21477</v>
      </c>
      <c r="C2485" s="6">
        <v>45677</v>
      </c>
      <c r="D2485" s="5" t="s">
        <v>17</v>
      </c>
      <c r="E2485" s="5" t="s">
        <v>18</v>
      </c>
      <c r="F2485" s="5" t="s">
        <v>39</v>
      </c>
      <c r="G2485" s="5" t="s">
        <v>40</v>
      </c>
      <c r="H2485" s="5" t="s">
        <v>21</v>
      </c>
      <c r="I2485" s="5" t="s">
        <v>1413</v>
      </c>
      <c r="J2485" s="5" t="s">
        <v>420</v>
      </c>
      <c r="K2485" s="5" t="s">
        <v>24</v>
      </c>
      <c r="L2485" s="6">
        <v>45688</v>
      </c>
      <c r="M2485" s="6">
        <v>45686</v>
      </c>
      <c r="N2485" s="6" t="s">
        <v>811</v>
      </c>
      <c r="O2485" s="5" t="str">
        <f ca="1">IF(P2485&lt;&gt;"EXPEDIÇÃO","Expedido",IF(NETWORKDAYS(C2485,TODAY())&gt;=5,"Risco Alto",IF(NETWORKDAYS(C2485,TODAY())&gt;=3,IF(NETWORKDAYS(C2485,TODAY())&lt;5,"Risco Médio",""),IF(NETWORKDAYS(C2485,TODAY())&lt;=2,"Risco Baixo",""))))</f>
        <v>Expedido</v>
      </c>
      <c r="P2485" s="5" t="s">
        <v>25</v>
      </c>
      <c r="S2485" s="7">
        <f>IF(ISBLANK(M2485),"Aguardando Previsão/Data",NETWORKDAYS(L2485,M2485)-1)</f>
        <v>-4</v>
      </c>
      <c r="T2485" s="5" t="s">
        <v>942</v>
      </c>
    </row>
    <row r="2486" spans="1:20" x14ac:dyDescent="0.35">
      <c r="A2486" s="5">
        <v>8100279709</v>
      </c>
      <c r="B2486" s="5">
        <v>21473</v>
      </c>
      <c r="C2486" s="6">
        <v>45677</v>
      </c>
      <c r="D2486" s="5" t="s">
        <v>17</v>
      </c>
      <c r="E2486" s="5" t="s">
        <v>18</v>
      </c>
      <c r="F2486" s="5" t="s">
        <v>27</v>
      </c>
      <c r="G2486" s="5" t="s">
        <v>28</v>
      </c>
      <c r="H2486" s="5" t="s">
        <v>21</v>
      </c>
      <c r="I2486" s="5" t="s">
        <v>645</v>
      </c>
      <c r="J2486" s="5" t="s">
        <v>364</v>
      </c>
      <c r="K2486" s="5" t="s">
        <v>24</v>
      </c>
      <c r="L2486" s="6">
        <v>45684</v>
      </c>
      <c r="M2486" s="6">
        <v>45681</v>
      </c>
      <c r="N2486" s="6" t="s">
        <v>811</v>
      </c>
      <c r="O2486" s="5" t="str">
        <f ca="1">IF(P2486&lt;&gt;"EXPEDIÇÃO","Expedido",IF(NETWORKDAYS(C2486,TODAY())&gt;=5,"Risco Alto",IF(NETWORKDAYS(C2486,TODAY())&gt;=3,IF(NETWORKDAYS(C2486,TODAY())&lt;5,"Risco Médio",""),IF(NETWORKDAYS(C2486,TODAY())&lt;=2,"Risco Baixo",""))))</f>
        <v>Expedido</v>
      </c>
      <c r="P2486" s="5" t="s">
        <v>25</v>
      </c>
      <c r="S2486" s="7">
        <f>IF(ISBLANK(M2486),"Aguardando Previsão/Data",NETWORKDAYS(L2486,M2486)-1)</f>
        <v>-3</v>
      </c>
      <c r="T2486" s="5" t="s">
        <v>942</v>
      </c>
    </row>
    <row r="2487" spans="1:20" x14ac:dyDescent="0.35">
      <c r="A2487" s="5">
        <v>8100279710</v>
      </c>
      <c r="B2487" s="5">
        <v>21480</v>
      </c>
      <c r="C2487" s="6">
        <v>45677</v>
      </c>
      <c r="D2487" s="5" t="s">
        <v>17</v>
      </c>
      <c r="E2487" s="5" t="s">
        <v>18</v>
      </c>
      <c r="F2487" s="5" t="s">
        <v>19</v>
      </c>
      <c r="G2487" s="5" t="s">
        <v>20</v>
      </c>
      <c r="H2487" s="5" t="s">
        <v>21</v>
      </c>
      <c r="I2487" s="5" t="s">
        <v>1407</v>
      </c>
      <c r="J2487" s="5" t="s">
        <v>598</v>
      </c>
      <c r="K2487" s="5" t="s">
        <v>24</v>
      </c>
      <c r="L2487" s="6">
        <v>45686</v>
      </c>
      <c r="M2487" s="6">
        <v>45685</v>
      </c>
      <c r="N2487" s="6" t="s">
        <v>811</v>
      </c>
      <c r="O2487" s="5" t="str">
        <f ca="1">IF(P2487&lt;&gt;"EXPEDIÇÃO","Expedido",IF(NETWORKDAYS(C2487,TODAY())&gt;=5,"Risco Alto",IF(NETWORKDAYS(C2487,TODAY())&gt;=3,IF(NETWORKDAYS(C2487,TODAY())&lt;5,"Risco Médio",""),IF(NETWORKDAYS(C2487,TODAY())&lt;=2,"Risco Baixo",""))))</f>
        <v>Expedido</v>
      </c>
      <c r="P2487" s="5" t="s">
        <v>25</v>
      </c>
      <c r="S2487" s="7">
        <f>IF(ISBLANK(M2487),"Aguardando Previsão/Data",NETWORKDAYS(L2487,M2487)-1)</f>
        <v>-3</v>
      </c>
      <c r="T2487" s="5" t="s">
        <v>942</v>
      </c>
    </row>
    <row r="2488" spans="1:20" x14ac:dyDescent="0.35">
      <c r="A2488" s="5">
        <v>8100279889</v>
      </c>
      <c r="B2488" s="5">
        <v>21482</v>
      </c>
      <c r="C2488" s="6">
        <v>45677</v>
      </c>
      <c r="D2488" s="5" t="s">
        <v>17</v>
      </c>
      <c r="E2488" s="5" t="s">
        <v>18</v>
      </c>
      <c r="F2488" s="5" t="s">
        <v>39</v>
      </c>
      <c r="G2488" s="5" t="s">
        <v>40</v>
      </c>
      <c r="H2488" s="5" t="s">
        <v>21</v>
      </c>
      <c r="I2488" s="5" t="s">
        <v>938</v>
      </c>
      <c r="J2488" s="5" t="s">
        <v>465</v>
      </c>
      <c r="K2488" s="5" t="s">
        <v>24</v>
      </c>
      <c r="L2488" s="6">
        <v>45687</v>
      </c>
      <c r="M2488" s="6">
        <v>45688</v>
      </c>
      <c r="N2488" s="6" t="s">
        <v>812</v>
      </c>
      <c r="O2488" s="5" t="str">
        <f ca="1">IF(P2488&lt;&gt;"EXPEDIÇÃO","Expedido",IF(NETWORKDAYS(C2488,TODAY())&gt;=5,"Risco Alto",IF(NETWORKDAYS(C2488,TODAY())&gt;=3,IF(NETWORKDAYS(C2488,TODAY())&lt;5,"Risco Médio",""),IF(NETWORKDAYS(C2488,TODAY())&lt;=2,"Risco Baixo",""))))</f>
        <v>Expedido</v>
      </c>
      <c r="P2488" s="5" t="s">
        <v>617</v>
      </c>
      <c r="S2488" s="7">
        <f>IF(ISBLANK(M2488),"Aguardando Previsão/Data",NETWORKDAYS(L2488,M2488)-1)</f>
        <v>1</v>
      </c>
    </row>
    <row r="2489" spans="1:20" x14ac:dyDescent="0.35">
      <c r="A2489" s="5">
        <v>8100280161</v>
      </c>
      <c r="B2489" s="5">
        <v>21483</v>
      </c>
      <c r="C2489" s="6">
        <v>45677</v>
      </c>
      <c r="D2489" s="5" t="s">
        <v>17</v>
      </c>
      <c r="E2489" s="5" t="s">
        <v>18</v>
      </c>
      <c r="F2489" s="5" t="s">
        <v>32</v>
      </c>
      <c r="G2489" s="5" t="s">
        <v>33</v>
      </c>
      <c r="H2489" s="5" t="s">
        <v>21</v>
      </c>
      <c r="I2489" s="5" t="s">
        <v>936</v>
      </c>
      <c r="J2489" s="5" t="s">
        <v>38</v>
      </c>
      <c r="K2489" s="5" t="s">
        <v>24</v>
      </c>
      <c r="L2489" s="6">
        <v>45685</v>
      </c>
      <c r="M2489" s="6">
        <v>45678</v>
      </c>
      <c r="N2489" s="6" t="s">
        <v>811</v>
      </c>
      <c r="O2489" s="5" t="str">
        <f ca="1">IF(P2489&lt;&gt;"EXPEDIÇÃO","Expedido",IF(NETWORKDAYS(C2489,TODAY())&gt;=5,"Risco Alto",IF(NETWORKDAYS(C2489,TODAY())&gt;=3,IF(NETWORKDAYS(C2489,TODAY())&lt;5,"Risco Médio",""),IF(NETWORKDAYS(C2489,TODAY())&lt;=2,"Risco Baixo",""))))</f>
        <v>Expedido</v>
      </c>
      <c r="P2489" s="5" t="s">
        <v>25</v>
      </c>
      <c r="Q2489" s="5" t="s">
        <v>824</v>
      </c>
      <c r="S2489" s="7">
        <f>IF(ISBLANK(M2489),"Aguardando Previsão/Data",NETWORKDAYS(L2489,M2489)-1)</f>
        <v>-7</v>
      </c>
      <c r="T2489" s="5" t="s">
        <v>942</v>
      </c>
    </row>
    <row r="2490" spans="1:20" x14ac:dyDescent="0.35">
      <c r="A2490" s="5">
        <v>8100280162</v>
      </c>
      <c r="B2490" s="5">
        <v>21479</v>
      </c>
      <c r="C2490" s="6">
        <v>45677</v>
      </c>
      <c r="D2490" s="5" t="s">
        <v>17</v>
      </c>
      <c r="E2490" s="5" t="s">
        <v>18</v>
      </c>
      <c r="F2490" s="5" t="s">
        <v>27</v>
      </c>
      <c r="G2490" s="5" t="s">
        <v>28</v>
      </c>
      <c r="H2490" s="5" t="s">
        <v>21</v>
      </c>
      <c r="I2490" s="5" t="s">
        <v>328</v>
      </c>
      <c r="J2490" s="5" t="s">
        <v>28</v>
      </c>
      <c r="K2490" s="5" t="s">
        <v>24</v>
      </c>
      <c r="L2490" s="6">
        <v>45684</v>
      </c>
      <c r="M2490" s="6">
        <v>45681</v>
      </c>
      <c r="N2490" s="6" t="s">
        <v>811</v>
      </c>
      <c r="O2490" s="5" t="str">
        <f ca="1">IF(P2490&lt;&gt;"EXPEDIÇÃO","Expedido",IF(NETWORKDAYS(C2490,TODAY())&gt;=5,"Risco Alto",IF(NETWORKDAYS(C2490,TODAY())&gt;=3,IF(NETWORKDAYS(C2490,TODAY())&lt;5,"Risco Médio",""),IF(NETWORKDAYS(C2490,TODAY())&lt;=2,"Risco Baixo",""))))</f>
        <v>Expedido</v>
      </c>
      <c r="P2490" s="5" t="s">
        <v>25</v>
      </c>
      <c r="S2490" s="7">
        <f>IF(ISBLANK(M2490),"Aguardando Previsão/Data",NETWORKDAYS(L2490,M2490)-1)</f>
        <v>-3</v>
      </c>
      <c r="T2490" s="5" t="s">
        <v>942</v>
      </c>
    </row>
    <row r="2491" spans="1:20" x14ac:dyDescent="0.35">
      <c r="A2491" s="5">
        <v>8100276294</v>
      </c>
      <c r="B2491" s="5">
        <v>13356</v>
      </c>
      <c r="C2491" s="6">
        <v>45677</v>
      </c>
      <c r="D2491" s="5" t="s">
        <v>91</v>
      </c>
      <c r="E2491" s="5" t="s">
        <v>92</v>
      </c>
      <c r="F2491" s="5" t="s">
        <v>103</v>
      </c>
      <c r="G2491" s="5" t="s">
        <v>104</v>
      </c>
      <c r="H2491" s="5" t="s">
        <v>21</v>
      </c>
      <c r="I2491" s="5" t="s">
        <v>863</v>
      </c>
      <c r="J2491" s="5" t="s">
        <v>637</v>
      </c>
      <c r="K2491" s="5" t="s">
        <v>423</v>
      </c>
      <c r="L2491" s="6">
        <v>45686</v>
      </c>
      <c r="M2491" s="6">
        <v>45685</v>
      </c>
      <c r="N2491" s="5" t="s">
        <v>811</v>
      </c>
      <c r="O2491" s="5" t="str">
        <f ca="1">IF(P2491&lt;&gt;"EXPEDIÇÃO","Expedido",IF(NETWORKDAYS(C2491,TODAY())&gt;=5,"Risco Alto",IF(NETWORKDAYS(C2491,TODAY())&gt;=3,IF(NETWORKDAYS(C2491,TODAY())&lt;5,"Risco Médio",""),IF(NETWORKDAYS(C2491,TODAY())&lt;=2,"Risco Baixo",""))))</f>
        <v>Expedido</v>
      </c>
      <c r="P2491" s="5" t="s">
        <v>25</v>
      </c>
      <c r="S2491" s="7">
        <f>IF(ISBLANK(M2491),"Aguardando Previsão/Data",NETWORKDAYS(L2491,M2491)-1)</f>
        <v>-3</v>
      </c>
      <c r="T2491" s="5" t="s">
        <v>942</v>
      </c>
    </row>
    <row r="2492" spans="1:20" x14ac:dyDescent="0.35">
      <c r="A2492" s="5">
        <v>8100278836</v>
      </c>
      <c r="B2492" s="5">
        <v>13332</v>
      </c>
      <c r="C2492" s="6">
        <v>45677</v>
      </c>
      <c r="D2492" s="5" t="s">
        <v>91</v>
      </c>
      <c r="E2492" s="5" t="s">
        <v>92</v>
      </c>
      <c r="F2492" s="5" t="s">
        <v>96</v>
      </c>
      <c r="G2492" s="5" t="s">
        <v>97</v>
      </c>
      <c r="H2492" s="5" t="s">
        <v>21</v>
      </c>
      <c r="I2492" s="5" t="s">
        <v>901</v>
      </c>
      <c r="J2492" s="5" t="s">
        <v>874</v>
      </c>
      <c r="K2492" s="5" t="s">
        <v>101</v>
      </c>
      <c r="L2492" s="6">
        <v>45686</v>
      </c>
      <c r="M2492" s="6">
        <v>45685</v>
      </c>
      <c r="N2492" s="5" t="s">
        <v>811</v>
      </c>
      <c r="O2492" s="5" t="str">
        <f ca="1">IF(P2492&lt;&gt;"EXPEDIÇÃO","Expedido",IF(NETWORKDAYS(C2492,TODAY())&gt;=5,"Risco Alto",IF(NETWORKDAYS(C2492,TODAY())&gt;=3,IF(NETWORKDAYS(C2492,TODAY())&lt;5,"Risco Médio",""),IF(NETWORKDAYS(C2492,TODAY())&lt;=2,"Risco Baixo",""))))</f>
        <v>Expedido</v>
      </c>
      <c r="P2492" s="5" t="s">
        <v>25</v>
      </c>
      <c r="S2492" s="7">
        <f>IF(ISBLANK(M2492),"Aguardando Previsão/Data",NETWORKDAYS(L2492,M2492)-1)</f>
        <v>-3</v>
      </c>
      <c r="T2492" s="5" t="s">
        <v>942</v>
      </c>
    </row>
    <row r="2493" spans="1:20" x14ac:dyDescent="0.35">
      <c r="A2493" s="5">
        <v>8100278991</v>
      </c>
      <c r="B2493" s="5">
        <v>13343</v>
      </c>
      <c r="C2493" s="6">
        <v>45677</v>
      </c>
      <c r="D2493" s="5" t="s">
        <v>91</v>
      </c>
      <c r="E2493" s="5" t="s">
        <v>92</v>
      </c>
      <c r="F2493" s="5" t="s">
        <v>19</v>
      </c>
      <c r="G2493" s="5" t="s">
        <v>20</v>
      </c>
      <c r="H2493" s="5" t="s">
        <v>21</v>
      </c>
      <c r="I2493" s="5" t="s">
        <v>203</v>
      </c>
      <c r="J2493" s="5" t="s">
        <v>578</v>
      </c>
      <c r="K2493" s="5" t="s">
        <v>274</v>
      </c>
      <c r="L2493" s="6">
        <v>45686</v>
      </c>
      <c r="M2493" s="6">
        <v>45685</v>
      </c>
      <c r="N2493" s="5" t="s">
        <v>811</v>
      </c>
      <c r="O2493" s="5" t="str">
        <f ca="1">IF(P2493&lt;&gt;"EXPEDIÇÃO","Expedido",IF(NETWORKDAYS(C2493,TODAY())&gt;=5,"Risco Alto",IF(NETWORKDAYS(C2493,TODAY())&gt;=3,IF(NETWORKDAYS(C2493,TODAY())&lt;5,"Risco Médio",""),IF(NETWORKDAYS(C2493,TODAY())&lt;=2,"Risco Baixo",""))))</f>
        <v>Expedido</v>
      </c>
      <c r="P2493" s="5" t="s">
        <v>25</v>
      </c>
      <c r="S2493" s="7">
        <f>IF(ISBLANK(M2493),"Aguardando Previsão/Data",NETWORKDAYS(L2493,M2493)-1)</f>
        <v>-3</v>
      </c>
      <c r="T2493" s="5" t="s">
        <v>942</v>
      </c>
    </row>
    <row r="2494" spans="1:20" x14ac:dyDescent="0.35">
      <c r="A2494" s="5">
        <v>8100278992</v>
      </c>
      <c r="B2494" s="5">
        <v>13340</v>
      </c>
      <c r="C2494" s="6">
        <v>45677</v>
      </c>
      <c r="D2494" s="5" t="s">
        <v>91</v>
      </c>
      <c r="E2494" s="5" t="s">
        <v>92</v>
      </c>
      <c r="F2494" s="5" t="s">
        <v>96</v>
      </c>
      <c r="G2494" s="5" t="s">
        <v>97</v>
      </c>
      <c r="H2494" s="5" t="s">
        <v>21</v>
      </c>
      <c r="I2494" s="5" t="s">
        <v>871</v>
      </c>
      <c r="J2494" s="5" t="s">
        <v>99</v>
      </c>
      <c r="K2494" s="5" t="s">
        <v>95</v>
      </c>
      <c r="L2494" s="6">
        <v>45681</v>
      </c>
      <c r="M2494" s="6">
        <v>45679</v>
      </c>
      <c r="N2494" s="5" t="s">
        <v>811</v>
      </c>
      <c r="O2494" s="5" t="str">
        <f ca="1">IF(P2494&lt;&gt;"EXPEDIÇÃO","Expedido",IF(NETWORKDAYS(C2494,TODAY())&gt;=5,"Risco Alto",IF(NETWORKDAYS(C2494,TODAY())&gt;=3,IF(NETWORKDAYS(C2494,TODAY())&lt;5,"Risco Médio",""),IF(NETWORKDAYS(C2494,TODAY())&lt;=2,"Risco Baixo",""))))</f>
        <v>Expedido</v>
      </c>
      <c r="P2494" s="5" t="s">
        <v>25</v>
      </c>
      <c r="S2494" s="7">
        <f>IF(ISBLANK(M2494),"Aguardando Previsão/Data",NETWORKDAYS(L2494,M2494)-1)</f>
        <v>-4</v>
      </c>
      <c r="T2494" s="5" t="s">
        <v>942</v>
      </c>
    </row>
    <row r="2495" spans="1:20" x14ac:dyDescent="0.35">
      <c r="A2495" s="5">
        <v>8100278993</v>
      </c>
      <c r="B2495" s="5">
        <v>13337</v>
      </c>
      <c r="C2495" s="6">
        <v>45677</v>
      </c>
      <c r="D2495" s="5" t="s">
        <v>91</v>
      </c>
      <c r="E2495" s="5" t="s">
        <v>92</v>
      </c>
      <c r="F2495" s="5" t="s">
        <v>199</v>
      </c>
      <c r="G2495" s="5" t="s">
        <v>200</v>
      </c>
      <c r="H2495" s="5" t="s">
        <v>21</v>
      </c>
      <c r="I2495" s="5" t="s">
        <v>827</v>
      </c>
      <c r="J2495" s="5" t="s">
        <v>828</v>
      </c>
      <c r="K2495" s="5" t="s">
        <v>101</v>
      </c>
      <c r="L2495" s="6">
        <v>45686</v>
      </c>
      <c r="M2495" s="6">
        <v>45685</v>
      </c>
      <c r="N2495" s="6" t="s">
        <v>811</v>
      </c>
      <c r="O2495" s="5" t="str">
        <f ca="1">IF(P2495&lt;&gt;"EXPEDIÇÃO","Expedido",IF(NETWORKDAYS(C2495,TODAY())&gt;=5,"Risco Alto",IF(NETWORKDAYS(C2495,TODAY())&gt;=3,IF(NETWORKDAYS(C2495,TODAY())&lt;5,"Risco Médio",""),IF(NETWORKDAYS(C2495,TODAY())&lt;=2,"Risco Baixo",""))))</f>
        <v>Expedido</v>
      </c>
      <c r="P2495" s="5" t="s">
        <v>25</v>
      </c>
      <c r="S2495" s="7">
        <f>IF(ISBLANK(M2495),"Aguardando Previsão/Data",NETWORKDAYS(L2495,M2495)-1)</f>
        <v>-3</v>
      </c>
      <c r="T2495" s="5" t="s">
        <v>942</v>
      </c>
    </row>
    <row r="2496" spans="1:20" x14ac:dyDescent="0.35">
      <c r="A2496" s="5">
        <v>8100278994</v>
      </c>
      <c r="B2496" s="5">
        <v>13338</v>
      </c>
      <c r="C2496" s="6">
        <v>45677</v>
      </c>
      <c r="D2496" s="5" t="s">
        <v>91</v>
      </c>
      <c r="E2496" s="5" t="s">
        <v>92</v>
      </c>
      <c r="F2496" s="5" t="s">
        <v>103</v>
      </c>
      <c r="G2496" s="5" t="s">
        <v>104</v>
      </c>
      <c r="H2496" s="5" t="s">
        <v>21</v>
      </c>
      <c r="I2496" s="5" t="s">
        <v>911</v>
      </c>
      <c r="J2496" s="5" t="s">
        <v>831</v>
      </c>
      <c r="K2496" s="5" t="s">
        <v>423</v>
      </c>
      <c r="L2496" s="6">
        <v>45687</v>
      </c>
      <c r="M2496" s="6">
        <v>45680</v>
      </c>
      <c r="N2496" s="5" t="s">
        <v>811</v>
      </c>
      <c r="O2496" s="5" t="str">
        <f ca="1">IF(P2496&lt;&gt;"EXPEDIÇÃO","Expedido",IF(NETWORKDAYS(C2496,TODAY())&gt;=5,"Risco Alto",IF(NETWORKDAYS(C2496,TODAY())&gt;=3,IF(NETWORKDAYS(C2496,TODAY())&lt;5,"Risco Médio",""),IF(NETWORKDAYS(C2496,TODAY())&lt;=2,"Risco Baixo",""))))</f>
        <v>Expedido</v>
      </c>
      <c r="P2496" s="5" t="s">
        <v>25</v>
      </c>
      <c r="S2496" s="7">
        <f>IF(ISBLANK(M2496),"Aguardando Previsão/Data",NETWORKDAYS(L2496,M2496)-1)</f>
        <v>-7</v>
      </c>
      <c r="T2496" s="5" t="s">
        <v>942</v>
      </c>
    </row>
    <row r="2497" spans="1:20" x14ac:dyDescent="0.35">
      <c r="A2497" s="5">
        <v>8100279000</v>
      </c>
      <c r="B2497" s="5">
        <v>13339</v>
      </c>
      <c r="C2497" s="6">
        <v>45677</v>
      </c>
      <c r="D2497" s="5" t="s">
        <v>91</v>
      </c>
      <c r="E2497" s="5" t="s">
        <v>92</v>
      </c>
      <c r="F2497" s="5" t="s">
        <v>19</v>
      </c>
      <c r="G2497" s="5" t="s">
        <v>20</v>
      </c>
      <c r="H2497" s="5" t="s">
        <v>21</v>
      </c>
      <c r="I2497" s="5" t="s">
        <v>659</v>
      </c>
      <c r="J2497" s="5" t="s">
        <v>426</v>
      </c>
      <c r="K2497" s="5" t="s">
        <v>95</v>
      </c>
      <c r="L2497" s="6">
        <v>45684</v>
      </c>
      <c r="M2497" s="6">
        <v>45681</v>
      </c>
      <c r="N2497" s="6" t="s">
        <v>811</v>
      </c>
      <c r="O2497" s="5" t="str">
        <f ca="1">IF(P2497&lt;&gt;"EXPEDIÇÃO","Expedido",IF(NETWORKDAYS(C2497,TODAY())&gt;=5,"Risco Alto",IF(NETWORKDAYS(C2497,TODAY())&gt;=3,IF(NETWORKDAYS(C2497,TODAY())&lt;5,"Risco Médio",""),IF(NETWORKDAYS(C2497,TODAY())&lt;=2,"Risco Baixo",""))))</f>
        <v>Expedido</v>
      </c>
      <c r="P2497" s="5" t="s">
        <v>25</v>
      </c>
      <c r="S2497" s="7">
        <f>IF(ISBLANK(M2497),"Aguardando Previsão/Data",NETWORKDAYS(L2497,M2497)-1)</f>
        <v>-3</v>
      </c>
      <c r="T2497" s="5" t="s">
        <v>942</v>
      </c>
    </row>
    <row r="2498" spans="1:20" x14ac:dyDescent="0.35">
      <c r="A2498" s="5">
        <v>8100279001</v>
      </c>
      <c r="B2498" s="5">
        <v>13342</v>
      </c>
      <c r="C2498" s="6">
        <v>45677</v>
      </c>
      <c r="D2498" s="5" t="s">
        <v>91</v>
      </c>
      <c r="E2498" s="5" t="s">
        <v>92</v>
      </c>
      <c r="F2498" s="5" t="s">
        <v>19</v>
      </c>
      <c r="G2498" s="5" t="s">
        <v>20</v>
      </c>
      <c r="H2498" s="5" t="s">
        <v>21</v>
      </c>
      <c r="I2498" s="5" t="s">
        <v>576</v>
      </c>
      <c r="J2498" s="5" t="s">
        <v>426</v>
      </c>
      <c r="K2498" s="5" t="s">
        <v>95</v>
      </c>
      <c r="L2498" s="6">
        <v>45684</v>
      </c>
      <c r="M2498" s="6">
        <v>45681</v>
      </c>
      <c r="N2498" s="6" t="s">
        <v>811</v>
      </c>
      <c r="O2498" s="5" t="str">
        <f ca="1">IF(P2498&lt;&gt;"EXPEDIÇÃO","Expedido",IF(NETWORKDAYS(C2498,TODAY())&gt;=5,"Risco Alto",IF(NETWORKDAYS(C2498,TODAY())&gt;=3,IF(NETWORKDAYS(C2498,TODAY())&lt;5,"Risco Médio",""),IF(NETWORKDAYS(C2498,TODAY())&lt;=2,"Risco Baixo",""))))</f>
        <v>Expedido</v>
      </c>
      <c r="P2498" s="5" t="s">
        <v>25</v>
      </c>
      <c r="S2498" s="7">
        <f>IF(ISBLANK(M2498),"Aguardando Previsão/Data",NETWORKDAYS(L2498,M2498)-1)</f>
        <v>-3</v>
      </c>
      <c r="T2498" s="5" t="s">
        <v>942</v>
      </c>
    </row>
    <row r="2499" spans="1:20" x14ac:dyDescent="0.35">
      <c r="A2499" s="5">
        <v>8100279003</v>
      </c>
      <c r="B2499" s="5">
        <v>13341</v>
      </c>
      <c r="C2499" s="6">
        <v>45677</v>
      </c>
      <c r="D2499" s="5" t="s">
        <v>91</v>
      </c>
      <c r="E2499" s="5" t="s">
        <v>92</v>
      </c>
      <c r="F2499" s="5" t="s">
        <v>96</v>
      </c>
      <c r="G2499" s="5" t="s">
        <v>97</v>
      </c>
      <c r="H2499" s="5" t="s">
        <v>21</v>
      </c>
      <c r="I2499" s="5" t="s">
        <v>1071</v>
      </c>
      <c r="J2499" s="5" t="s">
        <v>472</v>
      </c>
      <c r="K2499" s="5" t="s">
        <v>95</v>
      </c>
      <c r="L2499" s="6">
        <v>45684</v>
      </c>
      <c r="M2499" s="6">
        <v>45681</v>
      </c>
      <c r="N2499" s="6" t="s">
        <v>811</v>
      </c>
      <c r="O2499" s="5" t="str">
        <f ca="1">IF(P2499&lt;&gt;"EXPEDIÇÃO","Expedido",IF(NETWORKDAYS(C2499,TODAY())&gt;=5,"Risco Alto",IF(NETWORKDAYS(C2499,TODAY())&gt;=3,IF(NETWORKDAYS(C2499,TODAY())&lt;5,"Risco Médio",""),IF(NETWORKDAYS(C2499,TODAY())&lt;=2,"Risco Baixo",""))))</f>
        <v>Expedido</v>
      </c>
      <c r="P2499" s="5" t="s">
        <v>25</v>
      </c>
      <c r="S2499" s="7">
        <f>IF(ISBLANK(M2499),"Aguardando Previsão/Data",NETWORKDAYS(L2499,M2499)-1)</f>
        <v>-3</v>
      </c>
      <c r="T2499" s="5" t="s">
        <v>942</v>
      </c>
    </row>
    <row r="2500" spans="1:20" x14ac:dyDescent="0.35">
      <c r="A2500" s="5">
        <v>8100279246</v>
      </c>
      <c r="B2500" s="5">
        <v>13333</v>
      </c>
      <c r="C2500" s="6">
        <v>45677</v>
      </c>
      <c r="D2500" s="5" t="s">
        <v>91</v>
      </c>
      <c r="E2500" s="5" t="s">
        <v>92</v>
      </c>
      <c r="F2500" s="5" t="s">
        <v>103</v>
      </c>
      <c r="G2500" s="5" t="s">
        <v>104</v>
      </c>
      <c r="H2500" s="5" t="s">
        <v>21</v>
      </c>
      <c r="I2500" s="5" t="s">
        <v>964</v>
      </c>
      <c r="J2500" s="5" t="s">
        <v>575</v>
      </c>
      <c r="K2500" s="5" t="s">
        <v>423</v>
      </c>
      <c r="L2500" s="6">
        <v>45686</v>
      </c>
      <c r="M2500" s="6">
        <v>45681</v>
      </c>
      <c r="N2500" s="6" t="s">
        <v>811</v>
      </c>
      <c r="O2500" s="5" t="str">
        <f ca="1">IF(P2500&lt;&gt;"EXPEDIÇÃO","Expedido",IF(NETWORKDAYS(C2500,TODAY())&gt;=5,"Risco Alto",IF(NETWORKDAYS(C2500,TODAY())&gt;=3,IF(NETWORKDAYS(C2500,TODAY())&lt;5,"Risco Médio",""),IF(NETWORKDAYS(C2500,TODAY())&lt;=2,"Risco Baixo",""))))</f>
        <v>Expedido</v>
      </c>
      <c r="P2500" s="5" t="s">
        <v>25</v>
      </c>
      <c r="S2500" s="7">
        <f>IF(ISBLANK(M2500),"Aguardando Previsão/Data",NETWORKDAYS(L2500,M2500)-1)</f>
        <v>-5</v>
      </c>
      <c r="T2500" s="5" t="s">
        <v>942</v>
      </c>
    </row>
    <row r="2501" spans="1:20" x14ac:dyDescent="0.35">
      <c r="A2501" s="5">
        <v>8100279268</v>
      </c>
      <c r="B2501" s="5">
        <v>13336</v>
      </c>
      <c r="C2501" s="6">
        <v>45677</v>
      </c>
      <c r="D2501" s="5" t="s">
        <v>91</v>
      </c>
      <c r="E2501" s="5" t="s">
        <v>92</v>
      </c>
      <c r="F2501" s="5" t="s">
        <v>103</v>
      </c>
      <c r="G2501" s="5" t="s">
        <v>104</v>
      </c>
      <c r="H2501" s="5" t="s">
        <v>21</v>
      </c>
      <c r="I2501" s="5" t="s">
        <v>743</v>
      </c>
      <c r="J2501" s="5" t="s">
        <v>422</v>
      </c>
      <c r="K2501" s="5" t="s">
        <v>423</v>
      </c>
      <c r="L2501" s="6">
        <v>45686</v>
      </c>
      <c r="M2501" s="6">
        <v>45684</v>
      </c>
      <c r="N2501" s="6" t="s">
        <v>811</v>
      </c>
      <c r="O2501" s="5" t="str">
        <f ca="1">IF(P2501&lt;&gt;"EXPEDIÇÃO","Expedido",IF(NETWORKDAYS(C2501,TODAY())&gt;=5,"Risco Alto",IF(NETWORKDAYS(C2501,TODAY())&gt;=3,IF(NETWORKDAYS(C2501,TODAY())&lt;5,"Risco Médio",""),IF(NETWORKDAYS(C2501,TODAY())&lt;=2,"Risco Baixo",""))))</f>
        <v>Expedido</v>
      </c>
      <c r="P2501" s="5" t="s">
        <v>25</v>
      </c>
      <c r="S2501" s="7">
        <f>IF(ISBLANK(M2501),"Aguardando Previsão/Data",NETWORKDAYS(L2501,M2501)-1)</f>
        <v>-4</v>
      </c>
      <c r="T2501" s="5" t="s">
        <v>942</v>
      </c>
    </row>
    <row r="2502" spans="1:20" x14ac:dyDescent="0.35">
      <c r="A2502" s="5">
        <v>8100279840</v>
      </c>
      <c r="B2502" s="5">
        <v>13345</v>
      </c>
      <c r="C2502" s="6">
        <v>45677</v>
      </c>
      <c r="D2502" s="5" t="s">
        <v>91</v>
      </c>
      <c r="E2502" s="5" t="s">
        <v>92</v>
      </c>
      <c r="F2502" s="5" t="s">
        <v>69</v>
      </c>
      <c r="G2502" s="5" t="s">
        <v>70</v>
      </c>
      <c r="H2502" s="5" t="s">
        <v>21</v>
      </c>
      <c r="I2502" s="5" t="s">
        <v>1293</v>
      </c>
      <c r="J2502" s="5" t="s">
        <v>1294</v>
      </c>
      <c r="K2502" s="5" t="s">
        <v>274</v>
      </c>
      <c r="L2502" s="6">
        <v>45688</v>
      </c>
      <c r="M2502" s="6">
        <v>45685</v>
      </c>
      <c r="N2502" s="6" t="s">
        <v>811</v>
      </c>
      <c r="O2502" s="5" t="str">
        <f ca="1">IF(P2502&lt;&gt;"EXPEDIÇÃO","Expedido",IF(NETWORKDAYS(C2502,TODAY())&gt;=5,"Risco Alto",IF(NETWORKDAYS(C2502,TODAY())&gt;=3,IF(NETWORKDAYS(C2502,TODAY())&lt;5,"Risco Médio",""),IF(NETWORKDAYS(C2502,TODAY())&lt;=2,"Risco Baixo",""))))</f>
        <v>Expedido</v>
      </c>
      <c r="P2502" s="5" t="s">
        <v>25</v>
      </c>
      <c r="S2502" s="7">
        <f>IF(ISBLANK(M2502),"Aguardando Previsão/Data",NETWORKDAYS(L2502,M2502)-1)</f>
        <v>-5</v>
      </c>
      <c r="T2502" s="5" t="s">
        <v>942</v>
      </c>
    </row>
    <row r="2503" spans="1:20" x14ac:dyDescent="0.35">
      <c r="A2503" s="5">
        <v>8100279841</v>
      </c>
      <c r="B2503" s="5">
        <v>13359</v>
      </c>
      <c r="C2503" s="6">
        <v>45677</v>
      </c>
      <c r="D2503" s="5" t="s">
        <v>91</v>
      </c>
      <c r="E2503" s="5" t="s">
        <v>92</v>
      </c>
      <c r="F2503" s="5" t="s">
        <v>58</v>
      </c>
      <c r="G2503" s="5" t="s">
        <v>59</v>
      </c>
      <c r="H2503" s="5" t="s">
        <v>21</v>
      </c>
      <c r="I2503" s="5" t="s">
        <v>997</v>
      </c>
      <c r="J2503" s="5" t="s">
        <v>471</v>
      </c>
      <c r="K2503" s="5" t="s">
        <v>95</v>
      </c>
      <c r="L2503" s="6">
        <v>45688</v>
      </c>
      <c r="M2503" s="6">
        <v>45686</v>
      </c>
      <c r="N2503" s="6" t="s">
        <v>811</v>
      </c>
      <c r="O2503" s="5" t="str">
        <f ca="1">IF(P2503&lt;&gt;"EXPEDIÇÃO","Expedido",IF(NETWORKDAYS(C2503,TODAY())&gt;=5,"Risco Alto",IF(NETWORKDAYS(C2503,TODAY())&gt;=3,IF(NETWORKDAYS(C2503,TODAY())&lt;5,"Risco Médio",""),IF(NETWORKDAYS(C2503,TODAY())&lt;=2,"Risco Baixo",""))))</f>
        <v>Expedido</v>
      </c>
      <c r="P2503" s="5" t="s">
        <v>25</v>
      </c>
      <c r="S2503" s="7">
        <f>IF(ISBLANK(M2503),"Aguardando Previsão/Data",NETWORKDAYS(L2503,M2503)-1)</f>
        <v>-4</v>
      </c>
      <c r="T2503" s="5" t="s">
        <v>942</v>
      </c>
    </row>
    <row r="2504" spans="1:20" x14ac:dyDescent="0.35">
      <c r="A2504" s="5">
        <v>8100279844</v>
      </c>
      <c r="B2504" s="5">
        <v>13355</v>
      </c>
      <c r="C2504" s="6">
        <v>45677</v>
      </c>
      <c r="D2504" s="5" t="s">
        <v>91</v>
      </c>
      <c r="E2504" s="5" t="s">
        <v>92</v>
      </c>
      <c r="F2504" s="5" t="s">
        <v>96</v>
      </c>
      <c r="G2504" s="5" t="s">
        <v>97</v>
      </c>
      <c r="H2504" s="5" t="s">
        <v>21</v>
      </c>
      <c r="I2504" s="5" t="s">
        <v>745</v>
      </c>
      <c r="J2504" s="5" t="s">
        <v>746</v>
      </c>
      <c r="K2504" s="5" t="s">
        <v>101</v>
      </c>
      <c r="L2504" s="6">
        <v>45687</v>
      </c>
      <c r="M2504" s="6">
        <v>45684</v>
      </c>
      <c r="N2504" s="6" t="s">
        <v>811</v>
      </c>
      <c r="O2504" s="5" t="str">
        <f ca="1">IF(P2504&lt;&gt;"EXPEDIÇÃO","Expedido",IF(NETWORKDAYS(C2504,TODAY())&gt;=5,"Risco Alto",IF(NETWORKDAYS(C2504,TODAY())&gt;=3,IF(NETWORKDAYS(C2504,TODAY())&lt;5,"Risco Médio",""),IF(NETWORKDAYS(C2504,TODAY())&lt;=2,"Risco Baixo",""))))</f>
        <v>Expedido</v>
      </c>
      <c r="P2504" s="5" t="s">
        <v>25</v>
      </c>
      <c r="S2504" s="7">
        <f>IF(ISBLANK(M2504),"Aguardando Previsão/Data",NETWORKDAYS(L2504,M2504)-1)</f>
        <v>-5</v>
      </c>
      <c r="T2504" s="5" t="s">
        <v>942</v>
      </c>
    </row>
    <row r="2505" spans="1:20" x14ac:dyDescent="0.35">
      <c r="A2505" s="5">
        <v>8100279846</v>
      </c>
      <c r="B2505" s="5">
        <v>13348</v>
      </c>
      <c r="C2505" s="6">
        <v>45677</v>
      </c>
      <c r="D2505" s="5" t="s">
        <v>91</v>
      </c>
      <c r="E2505" s="5" t="s">
        <v>92</v>
      </c>
      <c r="F2505" s="5" t="s">
        <v>66</v>
      </c>
      <c r="G2505" s="5" t="s">
        <v>67</v>
      </c>
      <c r="H2505" s="5" t="s">
        <v>21</v>
      </c>
      <c r="I2505" s="5" t="s">
        <v>388</v>
      </c>
      <c r="J2505" s="5" t="s">
        <v>389</v>
      </c>
      <c r="K2505" s="5" t="s">
        <v>95</v>
      </c>
      <c r="L2505" s="6">
        <v>45688</v>
      </c>
      <c r="M2505" s="6">
        <v>45687</v>
      </c>
      <c r="N2505" s="6" t="s">
        <v>811</v>
      </c>
      <c r="O2505" s="5" t="str">
        <f ca="1">IF(P2505&lt;&gt;"EXPEDIÇÃO","Expedido",IF(NETWORKDAYS(C2505,TODAY())&gt;=5,"Risco Alto",IF(NETWORKDAYS(C2505,TODAY())&gt;=3,IF(NETWORKDAYS(C2505,TODAY())&lt;5,"Risco Médio",""),IF(NETWORKDAYS(C2505,TODAY())&lt;=2,"Risco Baixo",""))))</f>
        <v>Expedido</v>
      </c>
      <c r="P2505" s="5" t="s">
        <v>617</v>
      </c>
      <c r="S2505" s="7">
        <f>IF(ISBLANK(M2505),"Aguardando Previsão/Data",NETWORKDAYS(L2505,M2505)-1)</f>
        <v>-3</v>
      </c>
    </row>
    <row r="2506" spans="1:20" x14ac:dyDescent="0.35">
      <c r="A2506" s="5">
        <v>8100279847</v>
      </c>
      <c r="B2506" s="5">
        <v>13349</v>
      </c>
      <c r="C2506" s="6">
        <v>45677</v>
      </c>
      <c r="D2506" s="5" t="s">
        <v>91</v>
      </c>
      <c r="E2506" s="5" t="s">
        <v>92</v>
      </c>
      <c r="F2506" s="5" t="s">
        <v>66</v>
      </c>
      <c r="G2506" s="5" t="s">
        <v>67</v>
      </c>
      <c r="H2506" s="5" t="s">
        <v>21</v>
      </c>
      <c r="I2506" s="5" t="s">
        <v>388</v>
      </c>
      <c r="J2506" s="5" t="s">
        <v>389</v>
      </c>
      <c r="K2506" s="5" t="s">
        <v>95</v>
      </c>
      <c r="L2506" s="6">
        <v>45688</v>
      </c>
      <c r="M2506" s="6">
        <v>45687</v>
      </c>
      <c r="N2506" s="6" t="s">
        <v>811</v>
      </c>
      <c r="O2506" s="5" t="str">
        <f ca="1">IF(P2506&lt;&gt;"EXPEDIÇÃO","Expedido",IF(NETWORKDAYS(C2506,TODAY())&gt;=5,"Risco Alto",IF(NETWORKDAYS(C2506,TODAY())&gt;=3,IF(NETWORKDAYS(C2506,TODAY())&lt;5,"Risco Médio",""),IF(NETWORKDAYS(C2506,TODAY())&lt;=2,"Risco Baixo",""))))</f>
        <v>Expedido</v>
      </c>
      <c r="P2506" s="5" t="s">
        <v>617</v>
      </c>
      <c r="S2506" s="7">
        <f>IF(ISBLANK(M2506),"Aguardando Previsão/Data",NETWORKDAYS(L2506,M2506)-1)</f>
        <v>-3</v>
      </c>
    </row>
    <row r="2507" spans="1:20" x14ac:dyDescent="0.35">
      <c r="A2507" s="5">
        <v>8100279848</v>
      </c>
      <c r="B2507" s="5">
        <v>13346</v>
      </c>
      <c r="C2507" s="6">
        <v>45677</v>
      </c>
      <c r="D2507" s="5" t="s">
        <v>91</v>
      </c>
      <c r="E2507" s="5" t="s">
        <v>92</v>
      </c>
      <c r="F2507" s="5" t="s">
        <v>66</v>
      </c>
      <c r="G2507" s="5" t="s">
        <v>67</v>
      </c>
      <c r="H2507" s="5" t="s">
        <v>21</v>
      </c>
      <c r="I2507" s="5" t="s">
        <v>559</v>
      </c>
      <c r="J2507" s="5" t="s">
        <v>385</v>
      </c>
      <c r="K2507" s="5" t="s">
        <v>95</v>
      </c>
      <c r="L2507" s="6">
        <v>45688</v>
      </c>
      <c r="M2507" s="6">
        <v>45687</v>
      </c>
      <c r="N2507" s="6" t="s">
        <v>811</v>
      </c>
      <c r="O2507" s="5" t="str">
        <f ca="1">IF(P2507&lt;&gt;"EXPEDIÇÃO","Expedido",IF(NETWORKDAYS(C2507,TODAY())&gt;=5,"Risco Alto",IF(NETWORKDAYS(C2507,TODAY())&gt;=3,IF(NETWORKDAYS(C2507,TODAY())&lt;5,"Risco Médio",""),IF(NETWORKDAYS(C2507,TODAY())&lt;=2,"Risco Baixo",""))))</f>
        <v>Expedido</v>
      </c>
      <c r="P2507" s="5" t="s">
        <v>617</v>
      </c>
      <c r="S2507" s="7">
        <f>IF(ISBLANK(M2507),"Aguardando Previsão/Data",NETWORKDAYS(L2507,M2507)-1)</f>
        <v>-3</v>
      </c>
    </row>
    <row r="2508" spans="1:20" x14ac:dyDescent="0.35">
      <c r="A2508" s="5">
        <v>8100279849</v>
      </c>
      <c r="B2508" s="5">
        <v>13344</v>
      </c>
      <c r="C2508" s="6">
        <v>45677</v>
      </c>
      <c r="D2508" s="5" t="s">
        <v>91</v>
      </c>
      <c r="E2508" s="5" t="s">
        <v>92</v>
      </c>
      <c r="F2508" s="5" t="s">
        <v>66</v>
      </c>
      <c r="G2508" s="5" t="s">
        <v>67</v>
      </c>
      <c r="H2508" s="5" t="s">
        <v>21</v>
      </c>
      <c r="I2508" s="5" t="s">
        <v>384</v>
      </c>
      <c r="J2508" s="5" t="s">
        <v>385</v>
      </c>
      <c r="K2508" s="5" t="s">
        <v>95</v>
      </c>
      <c r="L2508" s="6">
        <v>45688</v>
      </c>
      <c r="M2508" s="6">
        <v>45687</v>
      </c>
      <c r="N2508" s="6" t="s">
        <v>811</v>
      </c>
      <c r="O2508" s="5" t="str">
        <f ca="1">IF(P2508&lt;&gt;"EXPEDIÇÃO","Expedido",IF(NETWORKDAYS(C2508,TODAY())&gt;=5,"Risco Alto",IF(NETWORKDAYS(C2508,TODAY())&gt;=3,IF(NETWORKDAYS(C2508,TODAY())&lt;5,"Risco Médio",""),IF(NETWORKDAYS(C2508,TODAY())&lt;=2,"Risco Baixo",""))))</f>
        <v>Expedido</v>
      </c>
      <c r="P2508" s="5" t="s">
        <v>617</v>
      </c>
      <c r="S2508" s="7">
        <f>IF(ISBLANK(M2508),"Aguardando Previsão/Data",NETWORKDAYS(L2508,M2508)-1)</f>
        <v>-3</v>
      </c>
    </row>
    <row r="2509" spans="1:20" x14ac:dyDescent="0.35">
      <c r="A2509" s="5">
        <v>8100279850</v>
      </c>
      <c r="B2509" s="5">
        <v>13350</v>
      </c>
      <c r="C2509" s="6">
        <v>45677</v>
      </c>
      <c r="D2509" s="5" t="s">
        <v>91</v>
      </c>
      <c r="E2509" s="5" t="s">
        <v>92</v>
      </c>
      <c r="F2509" s="5" t="s">
        <v>96</v>
      </c>
      <c r="G2509" s="5" t="s">
        <v>97</v>
      </c>
      <c r="H2509" s="5" t="s">
        <v>21</v>
      </c>
      <c r="I2509" s="5" t="s">
        <v>201</v>
      </c>
      <c r="J2509" s="5" t="s">
        <v>387</v>
      </c>
      <c r="K2509" s="5" t="s">
        <v>101</v>
      </c>
      <c r="L2509" s="6">
        <v>45686</v>
      </c>
      <c r="M2509" s="6">
        <v>45686</v>
      </c>
      <c r="N2509" s="6" t="s">
        <v>811</v>
      </c>
      <c r="O2509" s="5" t="str">
        <f ca="1">IF(P2509&lt;&gt;"EXPEDIÇÃO","Expedido",IF(NETWORKDAYS(C2509,TODAY())&gt;=5,"Risco Alto",IF(NETWORKDAYS(C2509,TODAY())&gt;=3,IF(NETWORKDAYS(C2509,TODAY())&lt;5,"Risco Médio",""),IF(NETWORKDAYS(C2509,TODAY())&lt;=2,"Risco Baixo",""))))</f>
        <v>Expedido</v>
      </c>
      <c r="P2509" s="5" t="s">
        <v>25</v>
      </c>
      <c r="S2509" s="7">
        <f>IF(ISBLANK(M2509),"Aguardando Previsão/Data",NETWORKDAYS(L2509,M2509)-1)</f>
        <v>0</v>
      </c>
      <c r="T2509" s="5" t="s">
        <v>942</v>
      </c>
    </row>
    <row r="2510" spans="1:20" x14ac:dyDescent="0.35">
      <c r="A2510" s="5">
        <v>8100279851</v>
      </c>
      <c r="B2510" s="5">
        <v>13351</v>
      </c>
      <c r="C2510" s="6">
        <v>45677</v>
      </c>
      <c r="D2510" s="5" t="s">
        <v>91</v>
      </c>
      <c r="E2510" s="5" t="s">
        <v>92</v>
      </c>
      <c r="F2510" s="5" t="s">
        <v>96</v>
      </c>
      <c r="G2510" s="5" t="s">
        <v>97</v>
      </c>
      <c r="H2510" s="5" t="s">
        <v>21</v>
      </c>
      <c r="I2510" s="5" t="s">
        <v>201</v>
      </c>
      <c r="J2510" s="5" t="s">
        <v>387</v>
      </c>
      <c r="K2510" s="5" t="s">
        <v>101</v>
      </c>
      <c r="L2510" s="6">
        <v>45686</v>
      </c>
      <c r="M2510" s="6">
        <v>45686</v>
      </c>
      <c r="N2510" s="6" t="s">
        <v>811</v>
      </c>
      <c r="O2510" s="5" t="str">
        <f ca="1">IF(P2510&lt;&gt;"EXPEDIÇÃO","Expedido",IF(NETWORKDAYS(C2510,TODAY())&gt;=5,"Risco Alto",IF(NETWORKDAYS(C2510,TODAY())&gt;=3,IF(NETWORKDAYS(C2510,TODAY())&lt;5,"Risco Médio",""),IF(NETWORKDAYS(C2510,TODAY())&lt;=2,"Risco Baixo",""))))</f>
        <v>Expedido</v>
      </c>
      <c r="P2510" s="5" t="s">
        <v>25</v>
      </c>
      <c r="S2510" s="7">
        <f>IF(ISBLANK(M2510),"Aguardando Previsão/Data",NETWORKDAYS(L2510,M2510)-1)</f>
        <v>0</v>
      </c>
      <c r="T2510" s="5" t="s">
        <v>942</v>
      </c>
    </row>
    <row r="2511" spans="1:20" x14ac:dyDescent="0.35">
      <c r="A2511" s="5">
        <v>8100279863</v>
      </c>
      <c r="B2511" s="5">
        <v>13360</v>
      </c>
      <c r="C2511" s="6">
        <v>45677</v>
      </c>
      <c r="D2511" s="5" t="s">
        <v>91</v>
      </c>
      <c r="E2511" s="5" t="s">
        <v>92</v>
      </c>
      <c r="F2511" s="5" t="s">
        <v>58</v>
      </c>
      <c r="G2511" s="5" t="s">
        <v>59</v>
      </c>
      <c r="H2511" s="5" t="s">
        <v>21</v>
      </c>
      <c r="I2511" s="5" t="s">
        <v>997</v>
      </c>
      <c r="J2511" s="5" t="s">
        <v>471</v>
      </c>
      <c r="K2511" s="5" t="s">
        <v>95</v>
      </c>
      <c r="L2511" s="6">
        <v>45688</v>
      </c>
      <c r="M2511" s="6">
        <v>45686</v>
      </c>
      <c r="N2511" s="6" t="s">
        <v>811</v>
      </c>
      <c r="O2511" s="5" t="str">
        <f ca="1">IF(P2511&lt;&gt;"EXPEDIÇÃO","Expedido",IF(NETWORKDAYS(C2511,TODAY())&gt;=5,"Risco Alto",IF(NETWORKDAYS(C2511,TODAY())&gt;=3,IF(NETWORKDAYS(C2511,TODAY())&lt;5,"Risco Médio",""),IF(NETWORKDAYS(C2511,TODAY())&lt;=2,"Risco Baixo",""))))</f>
        <v>Expedido</v>
      </c>
      <c r="P2511" s="5" t="s">
        <v>25</v>
      </c>
      <c r="S2511" s="7">
        <f>IF(ISBLANK(M2511),"Aguardando Previsão/Data",NETWORKDAYS(L2511,M2511)-1)</f>
        <v>-4</v>
      </c>
      <c r="T2511" s="5" t="s">
        <v>942</v>
      </c>
    </row>
    <row r="2512" spans="1:20" x14ac:dyDescent="0.35">
      <c r="A2512" s="5">
        <v>8100279864</v>
      </c>
      <c r="B2512" s="5">
        <v>13358</v>
      </c>
      <c r="C2512" s="6">
        <v>45677</v>
      </c>
      <c r="D2512" s="5" t="s">
        <v>91</v>
      </c>
      <c r="E2512" s="5" t="s">
        <v>92</v>
      </c>
      <c r="F2512" s="5" t="s">
        <v>58</v>
      </c>
      <c r="G2512" s="5" t="s">
        <v>59</v>
      </c>
      <c r="H2512" s="5" t="s">
        <v>21</v>
      </c>
      <c r="I2512" s="5" t="s">
        <v>559</v>
      </c>
      <c r="J2512" s="5" t="s">
        <v>560</v>
      </c>
      <c r="K2512" s="5" t="s">
        <v>95</v>
      </c>
      <c r="L2512" s="6">
        <v>45688</v>
      </c>
      <c r="M2512" s="6">
        <v>45685</v>
      </c>
      <c r="N2512" s="6" t="s">
        <v>811</v>
      </c>
      <c r="O2512" s="5" t="str">
        <f ca="1">IF(P2512&lt;&gt;"EXPEDIÇÃO","Expedido",IF(NETWORKDAYS(C2512,TODAY())&gt;=5,"Risco Alto",IF(NETWORKDAYS(C2512,TODAY())&gt;=3,IF(NETWORKDAYS(C2512,TODAY())&lt;5,"Risco Médio",""),IF(NETWORKDAYS(C2512,TODAY())&lt;=2,"Risco Baixo",""))))</f>
        <v>Expedido</v>
      </c>
      <c r="P2512" s="5" t="s">
        <v>25</v>
      </c>
      <c r="S2512" s="7">
        <f>IF(ISBLANK(M2512),"Aguardando Previsão/Data",NETWORKDAYS(L2512,M2512)-1)</f>
        <v>-5</v>
      </c>
      <c r="T2512" s="5" t="s">
        <v>942</v>
      </c>
    </row>
    <row r="2513" spans="1:20" x14ac:dyDescent="0.35">
      <c r="A2513" s="5">
        <v>8100279867</v>
      </c>
      <c r="B2513" s="5">
        <v>13347</v>
      </c>
      <c r="C2513" s="6">
        <v>45677</v>
      </c>
      <c r="D2513" s="5" t="s">
        <v>91</v>
      </c>
      <c r="E2513" s="5" t="s">
        <v>92</v>
      </c>
      <c r="F2513" s="5" t="s">
        <v>103</v>
      </c>
      <c r="G2513" s="5" t="s">
        <v>104</v>
      </c>
      <c r="H2513" s="5" t="s">
        <v>21</v>
      </c>
      <c r="I2513" s="5" t="s">
        <v>1075</v>
      </c>
      <c r="J2513" s="5" t="s">
        <v>1066</v>
      </c>
      <c r="K2513" s="5" t="s">
        <v>274</v>
      </c>
      <c r="L2513" s="6">
        <v>45688</v>
      </c>
      <c r="M2513" s="6">
        <v>45686</v>
      </c>
      <c r="N2513" s="6" t="s">
        <v>811</v>
      </c>
      <c r="O2513" s="5" t="str">
        <f ca="1">IF(P2513&lt;&gt;"EXPEDIÇÃO","Expedido",IF(NETWORKDAYS(C2513,TODAY())&gt;=5,"Risco Alto",IF(NETWORKDAYS(C2513,TODAY())&gt;=3,IF(NETWORKDAYS(C2513,TODAY())&lt;5,"Risco Médio",""),IF(NETWORKDAYS(C2513,TODAY())&lt;=2,"Risco Baixo",""))))</f>
        <v>Expedido</v>
      </c>
      <c r="P2513" s="5" t="s">
        <v>25</v>
      </c>
      <c r="S2513" s="7">
        <f>IF(ISBLANK(M2513),"Aguardando Previsão/Data",NETWORKDAYS(L2513,M2513)-1)</f>
        <v>-4</v>
      </c>
      <c r="T2513" s="5" t="s">
        <v>942</v>
      </c>
    </row>
    <row r="2514" spans="1:20" x14ac:dyDescent="0.35">
      <c r="A2514" s="5">
        <v>8100280127</v>
      </c>
      <c r="B2514" s="5">
        <v>13352</v>
      </c>
      <c r="C2514" s="6">
        <v>45677</v>
      </c>
      <c r="D2514" s="5" t="s">
        <v>91</v>
      </c>
      <c r="E2514" s="5" t="s">
        <v>92</v>
      </c>
      <c r="F2514" s="5" t="s">
        <v>96</v>
      </c>
      <c r="G2514" s="5" t="s">
        <v>97</v>
      </c>
      <c r="H2514" s="5" t="s">
        <v>21</v>
      </c>
      <c r="I2514" s="5" t="s">
        <v>1008</v>
      </c>
      <c r="J2514" s="5" t="s">
        <v>1009</v>
      </c>
      <c r="K2514" s="5" t="s">
        <v>101</v>
      </c>
      <c r="L2514" s="6">
        <v>45687</v>
      </c>
      <c r="M2514" s="6">
        <v>45687</v>
      </c>
      <c r="N2514" s="6" t="s">
        <v>811</v>
      </c>
      <c r="O2514" s="5" t="str">
        <f ca="1">IF(P2514&lt;&gt;"EXPEDIÇÃO","Expedido",IF(NETWORKDAYS(C2514,TODAY())&gt;=5,"Risco Alto",IF(NETWORKDAYS(C2514,TODAY())&gt;=3,IF(NETWORKDAYS(C2514,TODAY())&lt;5,"Risco Médio",""),IF(NETWORKDAYS(C2514,TODAY())&lt;=2,"Risco Baixo",""))))</f>
        <v>Expedido</v>
      </c>
      <c r="P2514" s="5" t="s">
        <v>617</v>
      </c>
      <c r="Q2514" s="5" t="s">
        <v>898</v>
      </c>
      <c r="S2514" s="7">
        <f>IF(ISBLANK(M2514),"Aguardando Previsão/Data",NETWORKDAYS(L2514,M2514)-1)</f>
        <v>0</v>
      </c>
    </row>
    <row r="2515" spans="1:20" x14ac:dyDescent="0.35">
      <c r="A2515" s="5">
        <v>8100280128</v>
      </c>
      <c r="B2515" s="5">
        <v>13353</v>
      </c>
      <c r="C2515" s="6">
        <v>45677</v>
      </c>
      <c r="D2515" s="5" t="s">
        <v>91</v>
      </c>
      <c r="E2515" s="5" t="s">
        <v>92</v>
      </c>
      <c r="F2515" s="5" t="s">
        <v>96</v>
      </c>
      <c r="G2515" s="5" t="s">
        <v>97</v>
      </c>
      <c r="H2515" s="5" t="s">
        <v>21</v>
      </c>
      <c r="I2515" s="5" t="s">
        <v>1013</v>
      </c>
      <c r="J2515" s="5" t="s">
        <v>1014</v>
      </c>
      <c r="K2515" s="5" t="s">
        <v>101</v>
      </c>
      <c r="L2515" s="6">
        <v>45687</v>
      </c>
      <c r="M2515" s="6">
        <v>45687</v>
      </c>
      <c r="N2515" s="6" t="s">
        <v>811</v>
      </c>
      <c r="O2515" s="5" t="str">
        <f ca="1">IF(P2515&lt;&gt;"EXPEDIÇÃO","Expedido",IF(NETWORKDAYS(C2515,TODAY())&gt;=5,"Risco Alto",IF(NETWORKDAYS(C2515,TODAY())&gt;=3,IF(NETWORKDAYS(C2515,TODAY())&lt;5,"Risco Médio",""),IF(NETWORKDAYS(C2515,TODAY())&lt;=2,"Risco Baixo",""))))</f>
        <v>Expedido</v>
      </c>
      <c r="P2515" s="5" t="s">
        <v>617</v>
      </c>
      <c r="Q2515" s="5" t="s">
        <v>898</v>
      </c>
      <c r="S2515" s="7">
        <f>IF(ISBLANK(M2515),"Aguardando Previsão/Data",NETWORKDAYS(L2515,M2515)-1)</f>
        <v>0</v>
      </c>
    </row>
    <row r="2516" spans="1:20" x14ac:dyDescent="0.35">
      <c r="A2516" s="5">
        <v>8100280131</v>
      </c>
      <c r="B2516" s="5">
        <v>13362</v>
      </c>
      <c r="C2516" s="6">
        <v>45677</v>
      </c>
      <c r="D2516" s="5" t="s">
        <v>91</v>
      </c>
      <c r="E2516" s="5" t="s">
        <v>92</v>
      </c>
      <c r="F2516" s="5" t="s">
        <v>176</v>
      </c>
      <c r="G2516" s="5" t="s">
        <v>177</v>
      </c>
      <c r="H2516" s="5" t="s">
        <v>21</v>
      </c>
      <c r="I2516" s="5" t="s">
        <v>499</v>
      </c>
      <c r="J2516" s="5" t="s">
        <v>500</v>
      </c>
      <c r="K2516" s="5" t="s">
        <v>95</v>
      </c>
      <c r="L2516" s="6">
        <v>45685</v>
      </c>
      <c r="M2516" s="6">
        <v>45681</v>
      </c>
      <c r="N2516" s="6" t="s">
        <v>811</v>
      </c>
      <c r="O2516" s="5" t="str">
        <f ca="1">IF(P2516&lt;&gt;"EXPEDIÇÃO","Expedido",IF(NETWORKDAYS(C2516,TODAY())&gt;=5,"Risco Alto",IF(NETWORKDAYS(C2516,TODAY())&gt;=3,IF(NETWORKDAYS(C2516,TODAY())&lt;5,"Risco Médio",""),IF(NETWORKDAYS(C2516,TODAY())&lt;=2,"Risco Baixo",""))))</f>
        <v>Expedido</v>
      </c>
      <c r="P2516" s="5" t="s">
        <v>25</v>
      </c>
      <c r="S2516" s="7">
        <f>IF(ISBLANK(M2516),"Aguardando Previsão/Data",NETWORKDAYS(L2516,M2516)-1)</f>
        <v>-4</v>
      </c>
      <c r="T2516" s="5" t="s">
        <v>942</v>
      </c>
    </row>
    <row r="2517" spans="1:20" x14ac:dyDescent="0.35">
      <c r="A2517" s="5">
        <v>8100280132</v>
      </c>
      <c r="B2517" s="5">
        <v>13363</v>
      </c>
      <c r="C2517" s="6">
        <v>45677</v>
      </c>
      <c r="D2517" s="5" t="s">
        <v>91</v>
      </c>
      <c r="E2517" s="5" t="s">
        <v>92</v>
      </c>
      <c r="F2517" s="5" t="s">
        <v>176</v>
      </c>
      <c r="G2517" s="5" t="s">
        <v>177</v>
      </c>
      <c r="H2517" s="5" t="s">
        <v>21</v>
      </c>
      <c r="I2517" s="5" t="s">
        <v>499</v>
      </c>
      <c r="J2517" s="5" t="s">
        <v>500</v>
      </c>
      <c r="K2517" s="5" t="s">
        <v>95</v>
      </c>
      <c r="L2517" s="6">
        <v>45685</v>
      </c>
      <c r="M2517" s="6">
        <v>45681</v>
      </c>
      <c r="N2517" s="6" t="s">
        <v>811</v>
      </c>
      <c r="O2517" s="5" t="str">
        <f ca="1">IF(P2517&lt;&gt;"EXPEDIÇÃO","Expedido",IF(NETWORKDAYS(C2517,TODAY())&gt;=5,"Risco Alto",IF(NETWORKDAYS(C2517,TODAY())&gt;=3,IF(NETWORKDAYS(C2517,TODAY())&lt;5,"Risco Médio",""),IF(NETWORKDAYS(C2517,TODAY())&lt;=2,"Risco Baixo",""))))</f>
        <v>Expedido</v>
      </c>
      <c r="P2517" s="5" t="s">
        <v>25</v>
      </c>
      <c r="S2517" s="7">
        <f>IF(ISBLANK(M2517),"Aguardando Previsão/Data",NETWORKDAYS(L2517,M2517)-1)</f>
        <v>-4</v>
      </c>
      <c r="T2517" s="5" t="s">
        <v>942</v>
      </c>
    </row>
    <row r="2518" spans="1:20" x14ac:dyDescent="0.35">
      <c r="A2518" s="5">
        <v>8100280133</v>
      </c>
      <c r="B2518" s="5">
        <v>13361</v>
      </c>
      <c r="C2518" s="6">
        <v>45677</v>
      </c>
      <c r="D2518" s="5" t="s">
        <v>91</v>
      </c>
      <c r="E2518" s="5" t="s">
        <v>92</v>
      </c>
      <c r="F2518" s="5" t="s">
        <v>58</v>
      </c>
      <c r="G2518" s="5" t="s">
        <v>59</v>
      </c>
      <c r="H2518" s="5" t="s">
        <v>21</v>
      </c>
      <c r="I2518" s="5" t="s">
        <v>997</v>
      </c>
      <c r="J2518" s="5" t="s">
        <v>471</v>
      </c>
      <c r="K2518" s="5" t="s">
        <v>95</v>
      </c>
      <c r="L2518" s="6">
        <v>45688</v>
      </c>
      <c r="M2518" s="6">
        <v>45686</v>
      </c>
      <c r="N2518" s="6" t="s">
        <v>811</v>
      </c>
      <c r="O2518" s="5" t="str">
        <f ca="1">IF(P2518&lt;&gt;"EXPEDIÇÃO","Expedido",IF(NETWORKDAYS(C2518,TODAY())&gt;=5,"Risco Alto",IF(NETWORKDAYS(C2518,TODAY())&gt;=3,IF(NETWORKDAYS(C2518,TODAY())&lt;5,"Risco Médio",""),IF(NETWORKDAYS(C2518,TODAY())&lt;=2,"Risco Baixo",""))))</f>
        <v>Expedido</v>
      </c>
      <c r="P2518" s="5" t="s">
        <v>25</v>
      </c>
      <c r="S2518" s="7">
        <f>IF(ISBLANK(M2518),"Aguardando Previsão/Data",NETWORKDAYS(L2518,M2518)-1)</f>
        <v>-4</v>
      </c>
      <c r="T2518" s="5" t="s">
        <v>942</v>
      </c>
    </row>
    <row r="2519" spans="1:20" x14ac:dyDescent="0.35">
      <c r="A2519" s="5">
        <v>8100280134</v>
      </c>
      <c r="B2519" s="5">
        <v>13357</v>
      </c>
      <c r="C2519" s="6">
        <v>45677</v>
      </c>
      <c r="D2519" s="5" t="s">
        <v>91</v>
      </c>
      <c r="E2519" s="5" t="s">
        <v>92</v>
      </c>
      <c r="F2519" s="5" t="s">
        <v>96</v>
      </c>
      <c r="G2519" s="5" t="s">
        <v>97</v>
      </c>
      <c r="H2519" s="5" t="s">
        <v>21</v>
      </c>
      <c r="I2519" s="5" t="s">
        <v>532</v>
      </c>
      <c r="J2519" s="5" t="s">
        <v>533</v>
      </c>
      <c r="K2519" s="5" t="s">
        <v>101</v>
      </c>
      <c r="L2519" s="6">
        <v>45686</v>
      </c>
      <c r="M2519" s="6">
        <v>45686</v>
      </c>
      <c r="N2519" s="6" t="s">
        <v>811</v>
      </c>
      <c r="O2519" s="5" t="str">
        <f ca="1">IF(P2519&lt;&gt;"EXPEDIÇÃO","Expedido",IF(NETWORKDAYS(C2519,TODAY())&gt;=5,"Risco Alto",IF(NETWORKDAYS(C2519,TODAY())&gt;=3,IF(NETWORKDAYS(C2519,TODAY())&lt;5,"Risco Médio",""),IF(NETWORKDAYS(C2519,TODAY())&lt;=2,"Risco Baixo",""))))</f>
        <v>Expedido</v>
      </c>
      <c r="P2519" s="5" t="s">
        <v>25</v>
      </c>
      <c r="S2519" s="7">
        <f>IF(ISBLANK(M2519),"Aguardando Previsão/Data",NETWORKDAYS(L2519,M2519)-1)</f>
        <v>0</v>
      </c>
      <c r="T2519" s="5" t="s">
        <v>942</v>
      </c>
    </row>
    <row r="2520" spans="1:20" x14ac:dyDescent="0.35">
      <c r="A2520" s="5">
        <v>8100280135</v>
      </c>
      <c r="B2520" s="5">
        <v>13354</v>
      </c>
      <c r="C2520" s="6">
        <v>45677</v>
      </c>
      <c r="D2520" s="5" t="s">
        <v>91</v>
      </c>
      <c r="E2520" s="5" t="s">
        <v>92</v>
      </c>
      <c r="F2520" s="5" t="s">
        <v>96</v>
      </c>
      <c r="G2520" s="5" t="s">
        <v>97</v>
      </c>
      <c r="H2520" s="5" t="s">
        <v>21</v>
      </c>
      <c r="I2520" s="5" t="s">
        <v>425</v>
      </c>
      <c r="J2520" s="5" t="s">
        <v>426</v>
      </c>
      <c r="K2520" s="5" t="s">
        <v>95</v>
      </c>
      <c r="L2520" s="6">
        <v>45684</v>
      </c>
      <c r="M2520" s="6">
        <v>45681</v>
      </c>
      <c r="N2520" s="6" t="s">
        <v>811</v>
      </c>
      <c r="O2520" s="5" t="str">
        <f ca="1">IF(P2520&lt;&gt;"EXPEDIÇÃO","Expedido",IF(NETWORKDAYS(C2520,TODAY())&gt;=5,"Risco Alto",IF(NETWORKDAYS(C2520,TODAY())&gt;=3,IF(NETWORKDAYS(C2520,TODAY())&lt;5,"Risco Médio",""),IF(NETWORKDAYS(C2520,TODAY())&lt;=2,"Risco Baixo",""))))</f>
        <v>Expedido</v>
      </c>
      <c r="P2520" s="5" t="s">
        <v>25</v>
      </c>
      <c r="S2520" s="7">
        <f>IF(ISBLANK(M2520),"Aguardando Previsão/Data",NETWORKDAYS(L2520,M2520)-1)</f>
        <v>-3</v>
      </c>
      <c r="T2520" s="5" t="s">
        <v>942</v>
      </c>
    </row>
    <row r="2521" spans="1:20" x14ac:dyDescent="0.35">
      <c r="A2521" s="5">
        <v>8100280315</v>
      </c>
      <c r="B2521" s="5">
        <v>13364</v>
      </c>
      <c r="C2521" s="6">
        <v>45677</v>
      </c>
      <c r="D2521" s="5" t="s">
        <v>91</v>
      </c>
      <c r="E2521" s="5" t="s">
        <v>92</v>
      </c>
      <c r="F2521" s="5" t="s">
        <v>66</v>
      </c>
      <c r="G2521" s="5" t="s">
        <v>67</v>
      </c>
      <c r="H2521" s="5" t="s">
        <v>21</v>
      </c>
      <c r="I2521" s="5" t="s">
        <v>388</v>
      </c>
      <c r="J2521" s="5" t="s">
        <v>389</v>
      </c>
      <c r="K2521" s="5" t="s">
        <v>95</v>
      </c>
      <c r="L2521" s="6">
        <v>45688</v>
      </c>
      <c r="M2521" s="6">
        <v>45687</v>
      </c>
      <c r="N2521" s="6" t="s">
        <v>811</v>
      </c>
      <c r="O2521" s="5" t="str">
        <f ca="1">IF(P2521&lt;&gt;"EXPEDIÇÃO","Expedido",IF(NETWORKDAYS(C2521,TODAY())&gt;=5,"Risco Alto",IF(NETWORKDAYS(C2521,TODAY())&gt;=3,IF(NETWORKDAYS(C2521,TODAY())&lt;5,"Risco Médio",""),IF(NETWORKDAYS(C2521,TODAY())&lt;=2,"Risco Baixo",""))))</f>
        <v>Expedido</v>
      </c>
      <c r="P2521" s="5" t="s">
        <v>617</v>
      </c>
      <c r="S2521" s="7">
        <f>IF(ISBLANK(M2521),"Aguardando Previsão/Data",NETWORKDAYS(L2521,M2521)-1)</f>
        <v>-3</v>
      </c>
    </row>
    <row r="2522" spans="1:20" x14ac:dyDescent="0.35">
      <c r="A2522" s="5">
        <v>8100280316</v>
      </c>
      <c r="B2522" s="5">
        <v>13365</v>
      </c>
      <c r="C2522" s="6">
        <v>45677</v>
      </c>
      <c r="D2522" s="5" t="s">
        <v>91</v>
      </c>
      <c r="E2522" s="5" t="s">
        <v>92</v>
      </c>
      <c r="F2522" s="5" t="s">
        <v>66</v>
      </c>
      <c r="G2522" s="5" t="s">
        <v>67</v>
      </c>
      <c r="H2522" s="5" t="s">
        <v>21</v>
      </c>
      <c r="I2522" s="5" t="s">
        <v>388</v>
      </c>
      <c r="J2522" s="5" t="s">
        <v>389</v>
      </c>
      <c r="K2522" s="5" t="s">
        <v>95</v>
      </c>
      <c r="L2522" s="6">
        <v>45688</v>
      </c>
      <c r="M2522" s="6">
        <v>45687</v>
      </c>
      <c r="N2522" s="6" t="s">
        <v>811</v>
      </c>
      <c r="O2522" s="5" t="str">
        <f ca="1">IF(P2522&lt;&gt;"EXPEDIÇÃO","Expedido",IF(NETWORKDAYS(C2522,TODAY())&gt;=5,"Risco Alto",IF(NETWORKDAYS(C2522,TODAY())&gt;=3,IF(NETWORKDAYS(C2522,TODAY())&lt;5,"Risco Médio",""),IF(NETWORKDAYS(C2522,TODAY())&lt;=2,"Risco Baixo",""))))</f>
        <v>Expedido</v>
      </c>
      <c r="P2522" s="5" t="s">
        <v>617</v>
      </c>
      <c r="S2522" s="7">
        <f>IF(ISBLANK(M2522),"Aguardando Previsão/Data",NETWORKDAYS(L2522,M2522)-1)</f>
        <v>-3</v>
      </c>
    </row>
    <row r="2523" spans="1:20" x14ac:dyDescent="0.35">
      <c r="A2523" s="5">
        <v>8100279830</v>
      </c>
      <c r="B2523" s="5">
        <v>21484</v>
      </c>
      <c r="C2523" s="6">
        <v>45677</v>
      </c>
      <c r="D2523" s="5" t="s">
        <v>836</v>
      </c>
      <c r="E2523" s="5" t="s">
        <v>837</v>
      </c>
      <c r="F2523" s="5" t="s">
        <v>39</v>
      </c>
      <c r="G2523" s="5" t="s">
        <v>40</v>
      </c>
      <c r="H2523" s="5" t="s">
        <v>21</v>
      </c>
      <c r="I2523" s="5" t="s">
        <v>948</v>
      </c>
      <c r="J2523" s="5" t="s">
        <v>736</v>
      </c>
      <c r="K2523" s="5" t="s">
        <v>24</v>
      </c>
      <c r="L2523" s="6">
        <v>45685</v>
      </c>
      <c r="M2523" s="6">
        <v>45687</v>
      </c>
      <c r="N2523" s="6" t="s">
        <v>811</v>
      </c>
      <c r="O2523" s="5" t="str">
        <f ca="1">IF(P2523&lt;&gt;"EXPEDIÇÃO","Expedido",IF(NETWORKDAYS(C2523,TODAY())&gt;=5,"Risco Alto",IF(NETWORKDAYS(C2523,TODAY())&gt;=3,IF(NETWORKDAYS(C2523,TODAY())&lt;5,"Risco Médio",""),IF(NETWORKDAYS(C2523,TODAY())&lt;=2,"Risco Baixo",""))))</f>
        <v>Expedido</v>
      </c>
      <c r="P2523" s="5" t="s">
        <v>617</v>
      </c>
      <c r="Q2523" s="5" t="s">
        <v>897</v>
      </c>
      <c r="S2523" s="7">
        <f>IF(ISBLANK(M2523),"Aguardando Previsão/Data",NETWORKDAYS(L2523,M2523)-1)</f>
        <v>2</v>
      </c>
    </row>
    <row r="2524" spans="1:20" x14ac:dyDescent="0.35">
      <c r="A2524" s="5">
        <v>8100280166</v>
      </c>
      <c r="B2524" s="5">
        <v>21485</v>
      </c>
      <c r="C2524" s="6">
        <v>45677</v>
      </c>
      <c r="D2524" s="5" t="s">
        <v>836</v>
      </c>
      <c r="E2524" s="5" t="s">
        <v>837</v>
      </c>
      <c r="F2524" s="5" t="s">
        <v>39</v>
      </c>
      <c r="G2524" s="5" t="s">
        <v>40</v>
      </c>
      <c r="H2524" s="5" t="s">
        <v>21</v>
      </c>
      <c r="I2524" s="5" t="s">
        <v>948</v>
      </c>
      <c r="J2524" s="5" t="s">
        <v>736</v>
      </c>
      <c r="K2524" s="5" t="s">
        <v>24</v>
      </c>
      <c r="L2524" s="6">
        <v>45685</v>
      </c>
      <c r="M2524" s="6">
        <v>45687</v>
      </c>
      <c r="N2524" s="6" t="s">
        <v>811</v>
      </c>
      <c r="O2524" s="5" t="str">
        <f ca="1">IF(P2524&lt;&gt;"EXPEDIÇÃO","Expedido",IF(NETWORKDAYS(C2524,TODAY())&gt;=5,"Risco Alto",IF(NETWORKDAYS(C2524,TODAY())&gt;=3,IF(NETWORKDAYS(C2524,TODAY())&lt;5,"Risco Médio",""),IF(NETWORKDAYS(C2524,TODAY())&lt;=2,"Risco Baixo",""))))</f>
        <v>Expedido</v>
      </c>
      <c r="P2524" s="5" t="s">
        <v>617</v>
      </c>
      <c r="Q2524" s="5" t="s">
        <v>897</v>
      </c>
      <c r="S2524" s="7">
        <f>IF(ISBLANK(M2524),"Aguardando Previsão/Data",NETWORKDAYS(L2524,M2524)-1)</f>
        <v>2</v>
      </c>
    </row>
    <row r="2525" spans="1:20" x14ac:dyDescent="0.35">
      <c r="A2525" s="5">
        <v>8100279163</v>
      </c>
      <c r="B2525" s="5">
        <v>10893</v>
      </c>
      <c r="C2525" s="6">
        <v>45677</v>
      </c>
      <c r="D2525" s="5" t="s">
        <v>239</v>
      </c>
      <c r="E2525" s="5" t="s">
        <v>240</v>
      </c>
      <c r="F2525" s="5" t="s">
        <v>242</v>
      </c>
      <c r="G2525" s="5" t="s">
        <v>243</v>
      </c>
      <c r="H2525" s="5" t="s">
        <v>218</v>
      </c>
      <c r="I2525" s="5" t="s">
        <v>488</v>
      </c>
      <c r="J2525" s="5" t="s">
        <v>489</v>
      </c>
      <c r="K2525" s="5" t="s">
        <v>241</v>
      </c>
      <c r="L2525" s="6">
        <v>45681</v>
      </c>
      <c r="M2525" s="6">
        <v>45680</v>
      </c>
      <c r="N2525" s="6" t="s">
        <v>811</v>
      </c>
      <c r="O2525" s="5" t="str">
        <f ca="1">IF(P2525&lt;&gt;"EXPEDIÇÃO","Expedido",IF(NETWORKDAYS(C2525,TODAY())&gt;=5,"Risco Alto",IF(NETWORKDAYS(C2525,TODAY())&gt;=3,IF(NETWORKDAYS(C2525,TODAY())&lt;5,"Risco Médio",""),IF(NETWORKDAYS(C2525,TODAY())&lt;=2,"Risco Baixo",""))))</f>
        <v>Expedido</v>
      </c>
      <c r="P2525" s="5" t="s">
        <v>25</v>
      </c>
      <c r="Q2525" s="5" t="s">
        <v>793</v>
      </c>
      <c r="S2525" s="7">
        <f>IF(ISBLANK(M2525),"Aguardando Previsão/Data",NETWORKDAYS(L2525,M2525)-1)</f>
        <v>-3</v>
      </c>
      <c r="T2525" s="5" t="s">
        <v>942</v>
      </c>
    </row>
    <row r="2526" spans="1:20" x14ac:dyDescent="0.35">
      <c r="A2526" s="5">
        <v>8100279222</v>
      </c>
      <c r="B2526" s="5">
        <v>10894</v>
      </c>
      <c r="C2526" s="6">
        <v>45677</v>
      </c>
      <c r="D2526" s="5" t="s">
        <v>239</v>
      </c>
      <c r="E2526" s="5" t="s">
        <v>240</v>
      </c>
      <c r="F2526" s="5" t="s">
        <v>242</v>
      </c>
      <c r="G2526" s="5" t="s">
        <v>243</v>
      </c>
      <c r="H2526" s="5" t="s">
        <v>218</v>
      </c>
      <c r="I2526" s="5" t="s">
        <v>488</v>
      </c>
      <c r="J2526" s="5" t="s">
        <v>489</v>
      </c>
      <c r="K2526" s="5" t="s">
        <v>241</v>
      </c>
      <c r="L2526" s="6">
        <v>45681</v>
      </c>
      <c r="M2526" s="6">
        <v>45680</v>
      </c>
      <c r="N2526" s="6" t="s">
        <v>811</v>
      </c>
      <c r="O2526" s="5" t="str">
        <f ca="1">IF(P2526&lt;&gt;"EXPEDIÇÃO","Expedido",IF(NETWORKDAYS(C2526,TODAY())&gt;=5,"Risco Alto",IF(NETWORKDAYS(C2526,TODAY())&gt;=3,IF(NETWORKDAYS(C2526,TODAY())&lt;5,"Risco Médio",""),IF(NETWORKDAYS(C2526,TODAY())&lt;=2,"Risco Baixo",""))))</f>
        <v>Expedido</v>
      </c>
      <c r="P2526" s="5" t="s">
        <v>25</v>
      </c>
      <c r="Q2526" s="5" t="s">
        <v>793</v>
      </c>
      <c r="S2526" s="7">
        <f>IF(ISBLANK(M2526),"Aguardando Previsão/Data",NETWORKDAYS(L2526,M2526)-1)</f>
        <v>-3</v>
      </c>
      <c r="T2526" s="5" t="s">
        <v>942</v>
      </c>
    </row>
    <row r="2527" spans="1:20" x14ac:dyDescent="0.35">
      <c r="A2527" s="5">
        <v>8100279227</v>
      </c>
      <c r="B2527" s="5">
        <v>10884</v>
      </c>
      <c r="C2527" s="6">
        <v>45677</v>
      </c>
      <c r="D2527" s="5" t="s">
        <v>239</v>
      </c>
      <c r="E2527" s="5" t="s">
        <v>240</v>
      </c>
      <c r="F2527" s="5" t="s">
        <v>160</v>
      </c>
      <c r="G2527" s="5" t="s">
        <v>161</v>
      </c>
      <c r="H2527" s="5" t="s">
        <v>218</v>
      </c>
      <c r="I2527" s="5" t="s">
        <v>320</v>
      </c>
      <c r="J2527" s="5" t="s">
        <v>321</v>
      </c>
      <c r="K2527" s="5" t="s">
        <v>241</v>
      </c>
      <c r="L2527" s="6">
        <v>45681</v>
      </c>
      <c r="M2527" s="6">
        <v>45680</v>
      </c>
      <c r="N2527" s="6" t="s">
        <v>811</v>
      </c>
      <c r="O2527" s="5" t="str">
        <f ca="1">IF(P2527&lt;&gt;"EXPEDIÇÃO","Expedido",IF(NETWORKDAYS(C2527,TODAY())&gt;=5,"Risco Alto",IF(NETWORKDAYS(C2527,TODAY())&gt;=3,IF(NETWORKDAYS(C2527,TODAY())&lt;5,"Risco Médio",""),IF(NETWORKDAYS(C2527,TODAY())&lt;=2,"Risco Baixo",""))))</f>
        <v>Expedido</v>
      </c>
      <c r="P2527" s="5" t="s">
        <v>25</v>
      </c>
      <c r="Q2527" s="5" t="s">
        <v>793</v>
      </c>
      <c r="S2527" s="7">
        <f>IF(ISBLANK(M2527),"Aguardando Previsão/Data",NETWORKDAYS(L2527,M2527)-1)</f>
        <v>-3</v>
      </c>
      <c r="T2527" s="5" t="s">
        <v>942</v>
      </c>
    </row>
    <row r="2528" spans="1:20" x14ac:dyDescent="0.35">
      <c r="A2528" s="5">
        <v>8100279592</v>
      </c>
      <c r="B2528" s="5">
        <v>10874</v>
      </c>
      <c r="C2528" s="6">
        <v>45677</v>
      </c>
      <c r="D2528" s="5" t="s">
        <v>239</v>
      </c>
      <c r="E2528" s="5" t="s">
        <v>240</v>
      </c>
      <c r="F2528" s="5" t="s">
        <v>160</v>
      </c>
      <c r="G2528" s="5" t="s">
        <v>161</v>
      </c>
      <c r="H2528" s="5" t="s">
        <v>218</v>
      </c>
      <c r="I2528" s="5" t="s">
        <v>462</v>
      </c>
      <c r="J2528" s="5" t="s">
        <v>244</v>
      </c>
      <c r="K2528" s="5" t="s">
        <v>241</v>
      </c>
      <c r="L2528" s="6">
        <v>45681</v>
      </c>
      <c r="M2528" s="6">
        <v>45680</v>
      </c>
      <c r="N2528" s="6" t="s">
        <v>811</v>
      </c>
      <c r="O2528" s="5" t="str">
        <f ca="1">IF(P2528&lt;&gt;"EXPEDIÇÃO","Expedido",IF(NETWORKDAYS(C2528,TODAY())&gt;=5,"Risco Alto",IF(NETWORKDAYS(C2528,TODAY())&gt;=3,IF(NETWORKDAYS(C2528,TODAY())&lt;5,"Risco Médio",""),IF(NETWORKDAYS(C2528,TODAY())&lt;=2,"Risco Baixo",""))))</f>
        <v>Expedido</v>
      </c>
      <c r="P2528" s="5" t="s">
        <v>25</v>
      </c>
      <c r="Q2528" s="5" t="s">
        <v>793</v>
      </c>
      <c r="S2528" s="7">
        <f>IF(ISBLANK(M2528),"Aguardando Previsão/Data",NETWORKDAYS(L2528,M2528)-1)</f>
        <v>-3</v>
      </c>
      <c r="T2528" s="5" t="s">
        <v>942</v>
      </c>
    </row>
    <row r="2529" spans="1:20" x14ac:dyDescent="0.35">
      <c r="A2529" s="5">
        <v>8100279593</v>
      </c>
      <c r="B2529" s="5">
        <v>10911</v>
      </c>
      <c r="C2529" s="6">
        <v>45677</v>
      </c>
      <c r="D2529" s="5" t="s">
        <v>239</v>
      </c>
      <c r="E2529" s="5" t="s">
        <v>240</v>
      </c>
      <c r="F2529" s="5" t="s">
        <v>160</v>
      </c>
      <c r="G2529" s="5" t="s">
        <v>161</v>
      </c>
      <c r="H2529" s="5" t="s">
        <v>218</v>
      </c>
      <c r="I2529" s="5" t="s">
        <v>320</v>
      </c>
      <c r="J2529" s="5" t="s">
        <v>321</v>
      </c>
      <c r="K2529" s="5" t="s">
        <v>241</v>
      </c>
      <c r="L2529" s="6">
        <v>45681</v>
      </c>
      <c r="M2529" s="6">
        <v>45680</v>
      </c>
      <c r="N2529" s="6" t="s">
        <v>811</v>
      </c>
      <c r="O2529" s="5" t="str">
        <f ca="1">IF(P2529&lt;&gt;"EXPEDIÇÃO","Expedido",IF(NETWORKDAYS(C2529,TODAY())&gt;=5,"Risco Alto",IF(NETWORKDAYS(C2529,TODAY())&gt;=3,IF(NETWORKDAYS(C2529,TODAY())&lt;5,"Risco Médio",""),IF(NETWORKDAYS(C2529,TODAY())&lt;=2,"Risco Baixo",""))))</f>
        <v>Expedido</v>
      </c>
      <c r="P2529" s="5" t="s">
        <v>25</v>
      </c>
      <c r="Q2529" s="5" t="s">
        <v>793</v>
      </c>
      <c r="S2529" s="7">
        <f>IF(ISBLANK(M2529),"Aguardando Previsão/Data",NETWORKDAYS(L2529,M2529)-1)</f>
        <v>-3</v>
      </c>
      <c r="T2529" s="5" t="s">
        <v>942</v>
      </c>
    </row>
    <row r="2530" spans="1:20" x14ac:dyDescent="0.35">
      <c r="A2530" s="5">
        <v>8100279594</v>
      </c>
      <c r="B2530" s="5">
        <v>10883</v>
      </c>
      <c r="C2530" s="6">
        <v>45677</v>
      </c>
      <c r="D2530" s="5" t="s">
        <v>239</v>
      </c>
      <c r="E2530" s="5" t="s">
        <v>240</v>
      </c>
      <c r="F2530" s="5" t="s">
        <v>160</v>
      </c>
      <c r="G2530" s="5" t="s">
        <v>161</v>
      </c>
      <c r="H2530" s="5" t="s">
        <v>218</v>
      </c>
      <c r="I2530" s="5" t="s">
        <v>354</v>
      </c>
      <c r="J2530" s="5" t="s">
        <v>355</v>
      </c>
      <c r="K2530" s="5" t="s">
        <v>241</v>
      </c>
      <c r="L2530" s="6">
        <v>45681</v>
      </c>
      <c r="M2530" s="6">
        <v>45678</v>
      </c>
      <c r="N2530" s="6" t="s">
        <v>811</v>
      </c>
      <c r="O2530" s="5" t="str">
        <f ca="1">IF(P2530&lt;&gt;"EXPEDIÇÃO","Expedido",IF(NETWORKDAYS(C2530,TODAY())&gt;=5,"Risco Alto",IF(NETWORKDAYS(C2530,TODAY())&gt;=3,IF(NETWORKDAYS(C2530,TODAY())&lt;5,"Risco Médio",""),IF(NETWORKDAYS(C2530,TODAY())&lt;=2,"Risco Baixo",""))))</f>
        <v>Expedido</v>
      </c>
      <c r="P2530" s="5" t="s">
        <v>25</v>
      </c>
      <c r="Q2530" s="5" t="s">
        <v>793</v>
      </c>
      <c r="S2530" s="7">
        <f>IF(ISBLANK(M2530),"Aguardando Previsão/Data",NETWORKDAYS(L2530,M2530)-1)</f>
        <v>-5</v>
      </c>
      <c r="T2530" s="5" t="s">
        <v>942</v>
      </c>
    </row>
    <row r="2531" spans="1:20" x14ac:dyDescent="0.35">
      <c r="A2531" s="5">
        <v>8100279602</v>
      </c>
      <c r="B2531" s="5">
        <v>10881</v>
      </c>
      <c r="C2531" s="6">
        <v>45677</v>
      </c>
      <c r="D2531" s="5" t="s">
        <v>239</v>
      </c>
      <c r="E2531" s="5" t="s">
        <v>240</v>
      </c>
      <c r="F2531" s="5" t="s">
        <v>176</v>
      </c>
      <c r="G2531" s="5" t="s">
        <v>177</v>
      </c>
      <c r="H2531" s="5" t="s">
        <v>218</v>
      </c>
      <c r="I2531" s="5" t="s">
        <v>1341</v>
      </c>
      <c r="J2531" s="5" t="s">
        <v>797</v>
      </c>
      <c r="K2531" s="5" t="s">
        <v>241</v>
      </c>
      <c r="L2531" s="6">
        <v>45684</v>
      </c>
      <c r="M2531" s="6">
        <v>45679</v>
      </c>
      <c r="N2531" s="6" t="s">
        <v>811</v>
      </c>
      <c r="O2531" s="5" t="str">
        <f ca="1">IF(P2531&lt;&gt;"EXPEDIÇÃO","Expedido",IF(NETWORKDAYS(C2531,TODAY())&gt;=5,"Risco Alto",IF(NETWORKDAYS(C2531,TODAY())&gt;=3,IF(NETWORKDAYS(C2531,TODAY())&lt;5,"Risco Médio",""),IF(NETWORKDAYS(C2531,TODAY())&lt;=2,"Risco Baixo",""))))</f>
        <v>Expedido</v>
      </c>
      <c r="P2531" s="5" t="s">
        <v>25</v>
      </c>
      <c r="Q2531" s="5" t="s">
        <v>793</v>
      </c>
      <c r="S2531" s="7">
        <f>IF(ISBLANK(M2531),"Aguardando Previsão/Data",NETWORKDAYS(L2531,M2531)-1)</f>
        <v>-5</v>
      </c>
      <c r="T2531" s="5" t="s">
        <v>942</v>
      </c>
    </row>
    <row r="2532" spans="1:20" x14ac:dyDescent="0.35">
      <c r="A2532" s="5">
        <v>8100279603</v>
      </c>
      <c r="B2532" s="5">
        <v>10896</v>
      </c>
      <c r="C2532" s="6">
        <v>45677</v>
      </c>
      <c r="D2532" s="5" t="s">
        <v>239</v>
      </c>
      <c r="E2532" s="5" t="s">
        <v>240</v>
      </c>
      <c r="F2532" s="5" t="s">
        <v>160</v>
      </c>
      <c r="G2532" s="5" t="s">
        <v>161</v>
      </c>
      <c r="H2532" s="5" t="s">
        <v>218</v>
      </c>
      <c r="I2532" s="5" t="s">
        <v>326</v>
      </c>
      <c r="J2532" s="5" t="s">
        <v>244</v>
      </c>
      <c r="K2532" s="5" t="s">
        <v>241</v>
      </c>
      <c r="L2532" s="6">
        <v>45681</v>
      </c>
      <c r="M2532" s="6">
        <v>45680</v>
      </c>
      <c r="N2532" s="6" t="s">
        <v>811</v>
      </c>
      <c r="O2532" s="5" t="str">
        <f ca="1">IF(P2532&lt;&gt;"EXPEDIÇÃO","Expedido",IF(NETWORKDAYS(C2532,TODAY())&gt;=5,"Risco Alto",IF(NETWORKDAYS(C2532,TODAY())&gt;=3,IF(NETWORKDAYS(C2532,TODAY())&lt;5,"Risco Médio",""),IF(NETWORKDAYS(C2532,TODAY())&lt;=2,"Risco Baixo",""))))</f>
        <v>Expedido</v>
      </c>
      <c r="P2532" s="5" t="s">
        <v>25</v>
      </c>
      <c r="Q2532" s="5" t="s">
        <v>793</v>
      </c>
      <c r="S2532" s="7">
        <f>IF(ISBLANK(M2532),"Aguardando Previsão/Data",NETWORKDAYS(L2532,M2532)-1)</f>
        <v>-3</v>
      </c>
      <c r="T2532" s="5" t="s">
        <v>942</v>
      </c>
    </row>
    <row r="2533" spans="1:20" x14ac:dyDescent="0.35">
      <c r="A2533" s="5">
        <v>8100279663</v>
      </c>
      <c r="B2533" s="5">
        <v>10897</v>
      </c>
      <c r="C2533" s="6">
        <v>45677</v>
      </c>
      <c r="D2533" s="5" t="s">
        <v>239</v>
      </c>
      <c r="E2533" s="5" t="s">
        <v>240</v>
      </c>
      <c r="F2533" s="5" t="s">
        <v>242</v>
      </c>
      <c r="G2533" s="5" t="s">
        <v>243</v>
      </c>
      <c r="H2533" s="5" t="s">
        <v>218</v>
      </c>
      <c r="I2533" s="5" t="s">
        <v>546</v>
      </c>
      <c r="J2533" s="5" t="s">
        <v>355</v>
      </c>
      <c r="K2533" s="5" t="s">
        <v>241</v>
      </c>
      <c r="L2533" s="6">
        <v>45681</v>
      </c>
      <c r="M2533" s="6">
        <v>45677</v>
      </c>
      <c r="N2533" s="6" t="s">
        <v>811</v>
      </c>
      <c r="O2533" s="5" t="str">
        <f ca="1">IF(P2533&lt;&gt;"EXPEDIÇÃO","Expedido",IF(NETWORKDAYS(C2533,TODAY())&gt;=5,"Risco Alto",IF(NETWORKDAYS(C2533,TODAY())&gt;=3,IF(NETWORKDAYS(C2533,TODAY())&lt;5,"Risco Médio",""),IF(NETWORKDAYS(C2533,TODAY())&lt;=2,"Risco Baixo",""))))</f>
        <v>Expedido</v>
      </c>
      <c r="P2533" s="5" t="s">
        <v>25</v>
      </c>
      <c r="Q2533" s="5" t="s">
        <v>900</v>
      </c>
      <c r="S2533" s="7">
        <f>IF(ISBLANK(M2533),"Aguardando Previsão/Data",NETWORKDAYS(L2533,M2533)-1)</f>
        <v>-6</v>
      </c>
      <c r="T2533" s="5" t="s">
        <v>942</v>
      </c>
    </row>
    <row r="2534" spans="1:20" x14ac:dyDescent="0.35">
      <c r="A2534" s="5">
        <v>8100279664</v>
      </c>
      <c r="B2534" s="5">
        <v>10898</v>
      </c>
      <c r="C2534" s="6">
        <v>45677</v>
      </c>
      <c r="D2534" s="5" t="s">
        <v>239</v>
      </c>
      <c r="E2534" s="5" t="s">
        <v>240</v>
      </c>
      <c r="F2534" s="5" t="s">
        <v>176</v>
      </c>
      <c r="G2534" s="5" t="s">
        <v>177</v>
      </c>
      <c r="H2534" s="5" t="s">
        <v>218</v>
      </c>
      <c r="I2534" s="5" t="s">
        <v>546</v>
      </c>
      <c r="J2534" s="5" t="s">
        <v>355</v>
      </c>
      <c r="K2534" s="5" t="s">
        <v>241</v>
      </c>
      <c r="L2534" s="6">
        <v>45681</v>
      </c>
      <c r="M2534" s="6">
        <v>45677</v>
      </c>
      <c r="N2534" s="6" t="s">
        <v>811</v>
      </c>
      <c r="O2534" s="5" t="str">
        <f ca="1">IF(P2534&lt;&gt;"EXPEDIÇÃO","Expedido",IF(NETWORKDAYS(C2534,TODAY())&gt;=5,"Risco Alto",IF(NETWORKDAYS(C2534,TODAY())&gt;=3,IF(NETWORKDAYS(C2534,TODAY())&lt;5,"Risco Médio",""),IF(NETWORKDAYS(C2534,TODAY())&lt;=2,"Risco Baixo",""))))</f>
        <v>Expedido</v>
      </c>
      <c r="P2534" s="5" t="s">
        <v>25</v>
      </c>
      <c r="Q2534" s="5" t="s">
        <v>900</v>
      </c>
      <c r="S2534" s="7">
        <f>IF(ISBLANK(M2534),"Aguardando Previsão/Data",NETWORKDAYS(L2534,M2534)-1)</f>
        <v>-6</v>
      </c>
      <c r="T2534" s="5" t="s">
        <v>942</v>
      </c>
    </row>
    <row r="2535" spans="1:20" x14ac:dyDescent="0.35">
      <c r="A2535" s="5">
        <v>8100279666</v>
      </c>
      <c r="B2535" s="8">
        <v>10900</v>
      </c>
      <c r="C2535" s="6">
        <v>45677</v>
      </c>
      <c r="D2535" s="5" t="s">
        <v>239</v>
      </c>
      <c r="E2535" s="5" t="s">
        <v>240</v>
      </c>
      <c r="F2535" s="5" t="s">
        <v>242</v>
      </c>
      <c r="G2535" s="5" t="s">
        <v>243</v>
      </c>
      <c r="H2535" s="5" t="s">
        <v>218</v>
      </c>
      <c r="I2535" s="5" t="s">
        <v>458</v>
      </c>
      <c r="J2535" s="5" t="s">
        <v>459</v>
      </c>
      <c r="K2535" s="5" t="s">
        <v>241</v>
      </c>
      <c r="L2535" s="6">
        <v>45681</v>
      </c>
      <c r="M2535" s="6">
        <v>45679</v>
      </c>
      <c r="N2535" s="6" t="s">
        <v>811</v>
      </c>
      <c r="O2535" s="5" t="str">
        <f ca="1">IF(P2535&lt;&gt;"EXPEDIÇÃO","Expedido",IF(NETWORKDAYS(C2535,TODAY())&gt;=5,"Risco Alto",IF(NETWORKDAYS(C2535,TODAY())&gt;=3,IF(NETWORKDAYS(C2535,TODAY())&lt;5,"Risco Médio",""),IF(NETWORKDAYS(C2535,TODAY())&lt;=2,"Risco Baixo",""))))</f>
        <v>Expedido</v>
      </c>
      <c r="P2535" s="5" t="s">
        <v>25</v>
      </c>
      <c r="Q2535" s="5" t="s">
        <v>793</v>
      </c>
      <c r="S2535" s="7">
        <f>IF(ISBLANK(M2535),"Aguardando Previsão/Data",NETWORKDAYS(L2535,M2535)-1)</f>
        <v>-4</v>
      </c>
      <c r="T2535" s="5" t="s">
        <v>942</v>
      </c>
    </row>
    <row r="2536" spans="1:20" x14ac:dyDescent="0.35">
      <c r="A2536" s="5">
        <v>8100279667</v>
      </c>
      <c r="B2536" s="5">
        <v>10899</v>
      </c>
      <c r="C2536" s="6">
        <v>45677</v>
      </c>
      <c r="D2536" s="5" t="s">
        <v>239</v>
      </c>
      <c r="E2536" s="5" t="s">
        <v>240</v>
      </c>
      <c r="F2536" s="5" t="s">
        <v>242</v>
      </c>
      <c r="G2536" s="5" t="s">
        <v>243</v>
      </c>
      <c r="H2536" s="5" t="s">
        <v>218</v>
      </c>
      <c r="I2536" s="5" t="s">
        <v>182</v>
      </c>
      <c r="J2536" s="5" t="s">
        <v>668</v>
      </c>
      <c r="K2536" s="5" t="s">
        <v>241</v>
      </c>
      <c r="L2536" s="6">
        <v>45681</v>
      </c>
      <c r="M2536" s="6">
        <v>45679</v>
      </c>
      <c r="N2536" s="6" t="s">
        <v>811</v>
      </c>
      <c r="O2536" s="5" t="str">
        <f ca="1">IF(P2536&lt;&gt;"EXPEDIÇÃO","Expedido",IF(NETWORKDAYS(C2536,TODAY())&gt;=5,"Risco Alto",IF(NETWORKDAYS(C2536,TODAY())&gt;=3,IF(NETWORKDAYS(C2536,TODAY())&lt;5,"Risco Médio",""),IF(NETWORKDAYS(C2536,TODAY())&lt;=2,"Risco Baixo",""))))</f>
        <v>Expedido</v>
      </c>
      <c r="P2536" s="5" t="s">
        <v>25</v>
      </c>
      <c r="Q2536" s="5" t="s">
        <v>793</v>
      </c>
      <c r="S2536" s="7">
        <f>IF(ISBLANK(M2536),"Aguardando Previsão/Data",NETWORKDAYS(L2536,M2536)-1)</f>
        <v>-4</v>
      </c>
      <c r="T2536" s="5" t="s">
        <v>942</v>
      </c>
    </row>
    <row r="2537" spans="1:20" x14ac:dyDescent="0.35">
      <c r="A2537" s="5">
        <v>8100279668</v>
      </c>
      <c r="B2537" s="5">
        <v>10901</v>
      </c>
      <c r="C2537" s="6">
        <v>45677</v>
      </c>
      <c r="D2537" s="5" t="s">
        <v>239</v>
      </c>
      <c r="E2537" s="5" t="s">
        <v>240</v>
      </c>
      <c r="F2537" s="5" t="s">
        <v>160</v>
      </c>
      <c r="G2537" s="5" t="s">
        <v>161</v>
      </c>
      <c r="H2537" s="5" t="s">
        <v>218</v>
      </c>
      <c r="I2537" s="5" t="s">
        <v>354</v>
      </c>
      <c r="J2537" s="5" t="s">
        <v>355</v>
      </c>
      <c r="K2537" s="5" t="s">
        <v>241</v>
      </c>
      <c r="L2537" s="6">
        <v>45681</v>
      </c>
      <c r="M2537" s="6">
        <v>45678</v>
      </c>
      <c r="N2537" s="6" t="s">
        <v>811</v>
      </c>
      <c r="O2537" s="5" t="str">
        <f ca="1">IF(P2537&lt;&gt;"EXPEDIÇÃO","Expedido",IF(NETWORKDAYS(C2537,TODAY())&gt;=5,"Risco Alto",IF(NETWORKDAYS(C2537,TODAY())&gt;=3,IF(NETWORKDAYS(C2537,TODAY())&lt;5,"Risco Médio",""),IF(NETWORKDAYS(C2537,TODAY())&lt;=2,"Risco Baixo",""))))</f>
        <v>Expedido</v>
      </c>
      <c r="P2537" s="5" t="s">
        <v>25</v>
      </c>
      <c r="Q2537" s="5" t="s">
        <v>793</v>
      </c>
      <c r="S2537" s="7">
        <f>IF(ISBLANK(M2537),"Aguardando Previsão/Data",NETWORKDAYS(L2537,M2537)-1)</f>
        <v>-5</v>
      </c>
      <c r="T2537" s="5" t="s">
        <v>942</v>
      </c>
    </row>
    <row r="2538" spans="1:20" x14ac:dyDescent="0.35">
      <c r="A2538" s="5">
        <v>8100279932</v>
      </c>
      <c r="B2538" s="5">
        <v>10912</v>
      </c>
      <c r="C2538" s="6">
        <v>45677</v>
      </c>
      <c r="D2538" s="5" t="s">
        <v>239</v>
      </c>
      <c r="E2538" s="5" t="s">
        <v>240</v>
      </c>
      <c r="F2538" s="5" t="s">
        <v>160</v>
      </c>
      <c r="G2538" s="5" t="s">
        <v>161</v>
      </c>
      <c r="H2538" s="5" t="s">
        <v>218</v>
      </c>
      <c r="I2538" s="5" t="s">
        <v>320</v>
      </c>
      <c r="J2538" s="5" t="s">
        <v>321</v>
      </c>
      <c r="K2538" s="5" t="s">
        <v>241</v>
      </c>
      <c r="L2538" s="6">
        <v>45681</v>
      </c>
      <c r="M2538" s="6">
        <v>45680</v>
      </c>
      <c r="N2538" s="6" t="s">
        <v>811</v>
      </c>
      <c r="O2538" s="5" t="str">
        <f ca="1">IF(P2538&lt;&gt;"EXPEDIÇÃO","Expedido",IF(NETWORKDAYS(C2538,TODAY())&gt;=5,"Risco Alto",IF(NETWORKDAYS(C2538,TODAY())&gt;=3,IF(NETWORKDAYS(C2538,TODAY())&lt;5,"Risco Médio",""),IF(NETWORKDAYS(C2538,TODAY())&lt;=2,"Risco Baixo",""))))</f>
        <v>Expedido</v>
      </c>
      <c r="P2538" s="5" t="s">
        <v>25</v>
      </c>
      <c r="Q2538" s="5" t="s">
        <v>793</v>
      </c>
      <c r="S2538" s="7">
        <f>IF(ISBLANK(M2538),"Aguardando Previsão/Data",NETWORKDAYS(L2538,M2538)-1)</f>
        <v>-3</v>
      </c>
      <c r="T2538" s="5" t="s">
        <v>942</v>
      </c>
    </row>
    <row r="2539" spans="1:20" x14ac:dyDescent="0.35">
      <c r="A2539" s="5">
        <v>8100279933</v>
      </c>
      <c r="B2539" s="5">
        <v>10913</v>
      </c>
      <c r="C2539" s="6">
        <v>45677</v>
      </c>
      <c r="D2539" s="5" t="s">
        <v>239</v>
      </c>
      <c r="E2539" s="5" t="s">
        <v>240</v>
      </c>
      <c r="F2539" s="5" t="s">
        <v>160</v>
      </c>
      <c r="G2539" s="5" t="s">
        <v>161</v>
      </c>
      <c r="H2539" s="5" t="s">
        <v>218</v>
      </c>
      <c r="I2539" s="5" t="s">
        <v>320</v>
      </c>
      <c r="J2539" s="5" t="s">
        <v>321</v>
      </c>
      <c r="K2539" s="5" t="s">
        <v>241</v>
      </c>
      <c r="L2539" s="6">
        <v>45681</v>
      </c>
      <c r="M2539" s="6">
        <v>45680</v>
      </c>
      <c r="N2539" s="6" t="s">
        <v>811</v>
      </c>
      <c r="O2539" s="5" t="str">
        <f ca="1">IF(P2539&lt;&gt;"EXPEDIÇÃO","Expedido",IF(NETWORKDAYS(C2539,TODAY())&gt;=5,"Risco Alto",IF(NETWORKDAYS(C2539,TODAY())&gt;=3,IF(NETWORKDAYS(C2539,TODAY())&lt;5,"Risco Médio",""),IF(NETWORKDAYS(C2539,TODAY())&lt;=2,"Risco Baixo",""))))</f>
        <v>Expedido</v>
      </c>
      <c r="P2539" s="5" t="s">
        <v>25</v>
      </c>
      <c r="Q2539" s="5" t="s">
        <v>793</v>
      </c>
      <c r="S2539" s="7">
        <f>IF(ISBLANK(M2539),"Aguardando Previsão/Data",NETWORKDAYS(L2539,M2539)-1)</f>
        <v>-3</v>
      </c>
      <c r="T2539" s="5" t="s">
        <v>942</v>
      </c>
    </row>
    <row r="2540" spans="1:20" x14ac:dyDescent="0.35">
      <c r="A2540" s="5">
        <v>8100279934</v>
      </c>
      <c r="B2540" s="5">
        <v>10908</v>
      </c>
      <c r="C2540" s="6">
        <v>45677</v>
      </c>
      <c r="D2540" s="5" t="s">
        <v>239</v>
      </c>
      <c r="E2540" s="5" t="s">
        <v>240</v>
      </c>
      <c r="F2540" s="5" t="s">
        <v>176</v>
      </c>
      <c r="G2540" s="5" t="s">
        <v>177</v>
      </c>
      <c r="H2540" s="5" t="s">
        <v>218</v>
      </c>
      <c r="I2540" s="5" t="s">
        <v>1341</v>
      </c>
      <c r="J2540" s="5" t="s">
        <v>797</v>
      </c>
      <c r="K2540" s="5" t="s">
        <v>241</v>
      </c>
      <c r="L2540" s="6">
        <v>45684</v>
      </c>
      <c r="M2540" s="6">
        <v>45679</v>
      </c>
      <c r="N2540" s="6" t="s">
        <v>811</v>
      </c>
      <c r="O2540" s="5" t="str">
        <f ca="1">IF(P2540&lt;&gt;"EXPEDIÇÃO","Expedido",IF(NETWORKDAYS(C2540,TODAY())&gt;=5,"Risco Alto",IF(NETWORKDAYS(C2540,TODAY())&gt;=3,IF(NETWORKDAYS(C2540,TODAY())&lt;5,"Risco Médio",""),IF(NETWORKDAYS(C2540,TODAY())&lt;=2,"Risco Baixo",""))))</f>
        <v>Expedido</v>
      </c>
      <c r="P2540" s="5" t="s">
        <v>25</v>
      </c>
      <c r="Q2540" s="5" t="s">
        <v>793</v>
      </c>
      <c r="S2540" s="7">
        <f>IF(ISBLANK(M2540),"Aguardando Previsão/Data",NETWORKDAYS(L2540,M2540)-1)</f>
        <v>-5</v>
      </c>
      <c r="T2540" s="5" t="s">
        <v>942</v>
      </c>
    </row>
    <row r="2541" spans="1:20" x14ac:dyDescent="0.35">
      <c r="A2541" s="5">
        <v>8100279937</v>
      </c>
      <c r="B2541" s="5">
        <v>10907</v>
      </c>
      <c r="C2541" s="6">
        <v>45677</v>
      </c>
      <c r="D2541" s="5" t="s">
        <v>239</v>
      </c>
      <c r="E2541" s="5" t="s">
        <v>240</v>
      </c>
      <c r="F2541" s="5" t="s">
        <v>160</v>
      </c>
      <c r="G2541" s="5" t="s">
        <v>161</v>
      </c>
      <c r="H2541" s="5" t="s">
        <v>218</v>
      </c>
      <c r="I2541" s="5" t="s">
        <v>462</v>
      </c>
      <c r="J2541" s="5" t="s">
        <v>244</v>
      </c>
      <c r="K2541" s="5" t="s">
        <v>241</v>
      </c>
      <c r="L2541" s="6">
        <v>45681</v>
      </c>
      <c r="M2541" s="6">
        <v>45680</v>
      </c>
      <c r="N2541" s="6" t="s">
        <v>811</v>
      </c>
      <c r="O2541" s="5" t="str">
        <f ca="1">IF(P2541&lt;&gt;"EXPEDIÇÃO","Expedido",IF(NETWORKDAYS(C2541,TODAY())&gt;=5,"Risco Alto",IF(NETWORKDAYS(C2541,TODAY())&gt;=3,IF(NETWORKDAYS(C2541,TODAY())&lt;5,"Risco Médio",""),IF(NETWORKDAYS(C2541,TODAY())&lt;=2,"Risco Baixo",""))))</f>
        <v>Expedido</v>
      </c>
      <c r="P2541" s="5" t="s">
        <v>25</v>
      </c>
      <c r="Q2541" s="5" t="s">
        <v>793</v>
      </c>
      <c r="S2541" s="7">
        <f>IF(ISBLANK(M2541),"Aguardando Previsão/Data",NETWORKDAYS(L2541,M2541)-1)</f>
        <v>-3</v>
      </c>
      <c r="T2541" s="5" t="s">
        <v>942</v>
      </c>
    </row>
    <row r="2542" spans="1:20" x14ac:dyDescent="0.35">
      <c r="A2542" s="5">
        <v>8100278945</v>
      </c>
      <c r="B2542" s="5">
        <v>10890</v>
      </c>
      <c r="C2542" s="6">
        <v>45677</v>
      </c>
      <c r="D2542" s="5" t="s">
        <v>239</v>
      </c>
      <c r="E2542" s="5" t="s">
        <v>240</v>
      </c>
      <c r="F2542" s="5" t="s">
        <v>242</v>
      </c>
      <c r="G2542" s="5" t="s">
        <v>243</v>
      </c>
      <c r="H2542" s="5" t="s">
        <v>218</v>
      </c>
      <c r="I2542" s="5" t="s">
        <v>630</v>
      </c>
      <c r="J2542" s="5" t="s">
        <v>631</v>
      </c>
      <c r="K2542" s="5" t="s">
        <v>241</v>
      </c>
      <c r="L2542" s="6">
        <v>45684</v>
      </c>
      <c r="M2542" s="6">
        <v>45680</v>
      </c>
      <c r="N2542" s="5" t="s">
        <v>811</v>
      </c>
      <c r="O2542" s="5" t="str">
        <f ca="1">IF(P2542&lt;&gt;"EXPEDIÇÃO","Expedido",IF(NETWORKDAYS(C2542,TODAY())&gt;=5,"Risco Alto",IF(NETWORKDAYS(C2542,TODAY())&gt;=3,IF(NETWORKDAYS(C2542,TODAY())&lt;5,"Risco Médio",""),IF(NETWORKDAYS(C2542,TODAY())&lt;=2,"Risco Baixo",""))))</f>
        <v>Expedido</v>
      </c>
      <c r="P2542" s="5" t="s">
        <v>25</v>
      </c>
      <c r="Q2542" s="5" t="s">
        <v>793</v>
      </c>
      <c r="S2542" s="7">
        <f>IF(ISBLANK(M2542),"Aguardando Previsão/Data",NETWORKDAYS(L2542,M2542)-1)</f>
        <v>-4</v>
      </c>
      <c r="T2542" s="5" t="s">
        <v>942</v>
      </c>
    </row>
    <row r="2543" spans="1:20" x14ac:dyDescent="0.35">
      <c r="A2543" s="5">
        <v>8100278950</v>
      </c>
      <c r="B2543" s="5">
        <v>10891</v>
      </c>
      <c r="C2543" s="6">
        <v>45677</v>
      </c>
      <c r="D2543" s="5" t="s">
        <v>239</v>
      </c>
      <c r="E2543" s="5" t="s">
        <v>240</v>
      </c>
      <c r="F2543" s="5" t="s">
        <v>242</v>
      </c>
      <c r="G2543" s="5" t="s">
        <v>243</v>
      </c>
      <c r="H2543" s="5" t="s">
        <v>218</v>
      </c>
      <c r="I2543" s="5" t="s">
        <v>630</v>
      </c>
      <c r="J2543" s="5" t="s">
        <v>631</v>
      </c>
      <c r="K2543" s="5" t="s">
        <v>241</v>
      </c>
      <c r="L2543" s="6">
        <v>45684</v>
      </c>
      <c r="M2543" s="6">
        <v>45680</v>
      </c>
      <c r="N2543" s="5" t="s">
        <v>811</v>
      </c>
      <c r="O2543" s="5" t="str">
        <f ca="1">IF(P2543&lt;&gt;"EXPEDIÇÃO","Expedido",IF(NETWORKDAYS(C2543,TODAY())&gt;=5,"Risco Alto",IF(NETWORKDAYS(C2543,TODAY())&gt;=3,IF(NETWORKDAYS(C2543,TODAY())&lt;5,"Risco Médio",""),IF(NETWORKDAYS(C2543,TODAY())&lt;=2,"Risco Baixo",""))))</f>
        <v>Expedido</v>
      </c>
      <c r="P2543" s="5" t="s">
        <v>25</v>
      </c>
      <c r="Q2543" s="5" t="s">
        <v>793</v>
      </c>
      <c r="S2543" s="7">
        <f>IF(ISBLANK(M2543),"Aguardando Previsão/Data",NETWORKDAYS(L2543,M2543)-1)</f>
        <v>-4</v>
      </c>
      <c r="T2543" s="5" t="s">
        <v>942</v>
      </c>
    </row>
    <row r="2544" spans="1:20" x14ac:dyDescent="0.35">
      <c r="A2544" s="5">
        <v>8100279165</v>
      </c>
      <c r="B2544" s="5">
        <v>10885</v>
      </c>
      <c r="C2544" s="6">
        <v>45677</v>
      </c>
      <c r="D2544" s="5" t="s">
        <v>239</v>
      </c>
      <c r="E2544" s="5" t="s">
        <v>240</v>
      </c>
      <c r="F2544" s="5" t="s">
        <v>160</v>
      </c>
      <c r="G2544" s="5" t="s">
        <v>161</v>
      </c>
      <c r="H2544" s="5" t="s">
        <v>218</v>
      </c>
      <c r="I2544" s="5" t="s">
        <v>685</v>
      </c>
      <c r="J2544" s="5" t="s">
        <v>521</v>
      </c>
      <c r="K2544" s="5" t="s">
        <v>241</v>
      </c>
      <c r="L2544" s="6">
        <v>45681</v>
      </c>
      <c r="M2544" s="6">
        <v>45681</v>
      </c>
      <c r="N2544" s="6" t="s">
        <v>811</v>
      </c>
      <c r="O2544" s="5" t="str">
        <f ca="1">IF(P2544&lt;&gt;"EXPEDIÇÃO","Expedido",IF(NETWORKDAYS(C2544,TODAY())&gt;=5,"Risco Alto",IF(NETWORKDAYS(C2544,TODAY())&gt;=3,IF(NETWORKDAYS(C2544,TODAY())&lt;5,"Risco Médio",""),IF(NETWORKDAYS(C2544,TODAY())&lt;=2,"Risco Baixo",""))))</f>
        <v>Expedido</v>
      </c>
      <c r="P2544" s="5" t="s">
        <v>25</v>
      </c>
      <c r="Q2544" s="5" t="s">
        <v>793</v>
      </c>
      <c r="S2544" s="7">
        <f>IF(ISBLANK(M2544),"Aguardando Previsão/Data",NETWORKDAYS(L2544,M2544)-1)</f>
        <v>0</v>
      </c>
      <c r="T2544" s="5" t="s">
        <v>942</v>
      </c>
    </row>
    <row r="2545" spans="1:20" x14ac:dyDescent="0.35">
      <c r="A2545" s="5">
        <v>8100279176</v>
      </c>
      <c r="B2545" s="5">
        <v>10886</v>
      </c>
      <c r="C2545" s="6">
        <v>45677</v>
      </c>
      <c r="D2545" s="5" t="s">
        <v>239</v>
      </c>
      <c r="E2545" s="5" t="s">
        <v>240</v>
      </c>
      <c r="F2545" s="5" t="s">
        <v>160</v>
      </c>
      <c r="G2545" s="5" t="s">
        <v>161</v>
      </c>
      <c r="H2545" s="5" t="s">
        <v>218</v>
      </c>
      <c r="I2545" s="5" t="s">
        <v>685</v>
      </c>
      <c r="J2545" s="5" t="s">
        <v>521</v>
      </c>
      <c r="K2545" s="5" t="s">
        <v>241</v>
      </c>
      <c r="L2545" s="6">
        <v>45681</v>
      </c>
      <c r="M2545" s="6">
        <v>45681</v>
      </c>
      <c r="N2545" s="6" t="s">
        <v>811</v>
      </c>
      <c r="O2545" s="5" t="str">
        <f ca="1">IF(P2545&lt;&gt;"EXPEDIÇÃO","Expedido",IF(NETWORKDAYS(C2545,TODAY())&gt;=5,"Risco Alto",IF(NETWORKDAYS(C2545,TODAY())&gt;=3,IF(NETWORKDAYS(C2545,TODAY())&lt;5,"Risco Médio",""),IF(NETWORKDAYS(C2545,TODAY())&lt;=2,"Risco Baixo",""))))</f>
        <v>Expedido</v>
      </c>
      <c r="P2545" s="5" t="s">
        <v>25</v>
      </c>
      <c r="Q2545" s="5" t="s">
        <v>793</v>
      </c>
      <c r="S2545" s="7">
        <f>IF(ISBLANK(M2545),"Aguardando Previsão/Data",NETWORKDAYS(L2545,M2545)-1)</f>
        <v>0</v>
      </c>
      <c r="T2545" s="5" t="s">
        <v>942</v>
      </c>
    </row>
    <row r="2546" spans="1:20" x14ac:dyDescent="0.35">
      <c r="A2546" s="5">
        <v>8100279219</v>
      </c>
      <c r="B2546" s="5">
        <v>10892</v>
      </c>
      <c r="C2546" s="6">
        <v>45677</v>
      </c>
      <c r="D2546" s="5" t="s">
        <v>239</v>
      </c>
      <c r="E2546" s="5" t="s">
        <v>240</v>
      </c>
      <c r="F2546" s="5" t="s">
        <v>242</v>
      </c>
      <c r="G2546" s="5" t="s">
        <v>243</v>
      </c>
      <c r="H2546" s="5" t="s">
        <v>218</v>
      </c>
      <c r="I2546" s="5" t="s">
        <v>630</v>
      </c>
      <c r="J2546" s="5" t="s">
        <v>631</v>
      </c>
      <c r="K2546" s="5" t="s">
        <v>241</v>
      </c>
      <c r="L2546" s="6">
        <v>45684</v>
      </c>
      <c r="M2546" s="6">
        <v>45680</v>
      </c>
      <c r="N2546" s="6" t="s">
        <v>811</v>
      </c>
      <c r="O2546" s="5" t="str">
        <f ca="1">IF(P2546&lt;&gt;"EXPEDIÇÃO","Expedido",IF(NETWORKDAYS(C2546,TODAY())&gt;=5,"Risco Alto",IF(NETWORKDAYS(C2546,TODAY())&gt;=3,IF(NETWORKDAYS(C2546,TODAY())&lt;5,"Risco Médio",""),IF(NETWORKDAYS(C2546,TODAY())&lt;=2,"Risco Baixo",""))))</f>
        <v>Expedido</v>
      </c>
      <c r="P2546" s="5" t="s">
        <v>25</v>
      </c>
      <c r="Q2546" s="5" t="s">
        <v>793</v>
      </c>
      <c r="S2546" s="7">
        <f>IF(ISBLANK(M2546),"Aguardando Previsão/Data",NETWORKDAYS(L2546,M2546)-1)</f>
        <v>-4</v>
      </c>
      <c r="T2546" s="5" t="s">
        <v>942</v>
      </c>
    </row>
    <row r="2547" spans="1:20" x14ac:dyDescent="0.35">
      <c r="A2547" s="5">
        <v>8100279223</v>
      </c>
      <c r="B2547" s="5">
        <v>10887</v>
      </c>
      <c r="C2547" s="6">
        <v>45677</v>
      </c>
      <c r="D2547" s="5" t="s">
        <v>239</v>
      </c>
      <c r="E2547" s="5" t="s">
        <v>240</v>
      </c>
      <c r="F2547" s="5" t="s">
        <v>160</v>
      </c>
      <c r="G2547" s="5" t="s">
        <v>161</v>
      </c>
      <c r="H2547" s="5" t="s">
        <v>218</v>
      </c>
      <c r="I2547" s="5" t="s">
        <v>893</v>
      </c>
      <c r="J2547" s="5" t="s">
        <v>457</v>
      </c>
      <c r="K2547" s="5" t="s">
        <v>241</v>
      </c>
      <c r="L2547" s="6">
        <v>45681</v>
      </c>
      <c r="M2547" s="6">
        <v>45681</v>
      </c>
      <c r="N2547" s="6" t="s">
        <v>811</v>
      </c>
      <c r="O2547" s="5" t="str">
        <f ca="1">IF(P2547&lt;&gt;"EXPEDIÇÃO","Expedido",IF(NETWORKDAYS(C2547,TODAY())&gt;=5,"Risco Alto",IF(NETWORKDAYS(C2547,TODAY())&gt;=3,IF(NETWORKDAYS(C2547,TODAY())&lt;5,"Risco Médio",""),IF(NETWORKDAYS(C2547,TODAY())&lt;=2,"Risco Baixo",""))))</f>
        <v>Expedido</v>
      </c>
      <c r="P2547" s="5" t="s">
        <v>25</v>
      </c>
      <c r="Q2547" s="5" t="s">
        <v>793</v>
      </c>
      <c r="S2547" s="7">
        <f>IF(ISBLANK(M2547),"Aguardando Previsão/Data",NETWORKDAYS(L2547,M2547)-1)</f>
        <v>0</v>
      </c>
      <c r="T2547" s="5" t="s">
        <v>942</v>
      </c>
    </row>
    <row r="2548" spans="1:20" x14ac:dyDescent="0.35">
      <c r="A2548" s="5">
        <v>8100279591</v>
      </c>
      <c r="B2548" s="5">
        <v>10882</v>
      </c>
      <c r="C2548" s="6">
        <v>45677</v>
      </c>
      <c r="D2548" s="5" t="s">
        <v>239</v>
      </c>
      <c r="E2548" s="5" t="s">
        <v>240</v>
      </c>
      <c r="F2548" s="5" t="s">
        <v>160</v>
      </c>
      <c r="G2548" s="5" t="s">
        <v>161</v>
      </c>
      <c r="H2548" s="5" t="s">
        <v>218</v>
      </c>
      <c r="I2548" s="5" t="s">
        <v>1115</v>
      </c>
      <c r="J2548" s="5" t="s">
        <v>1116</v>
      </c>
      <c r="K2548" s="5" t="s">
        <v>241</v>
      </c>
      <c r="L2548" s="6">
        <v>45681</v>
      </c>
      <c r="M2548" s="6">
        <v>45681</v>
      </c>
      <c r="N2548" s="6" t="s">
        <v>811</v>
      </c>
      <c r="O2548" s="5" t="str">
        <f ca="1">IF(P2548&lt;&gt;"EXPEDIÇÃO","Expedido",IF(NETWORKDAYS(C2548,TODAY())&gt;=5,"Risco Alto",IF(NETWORKDAYS(C2548,TODAY())&gt;=3,IF(NETWORKDAYS(C2548,TODAY())&lt;5,"Risco Médio",""),IF(NETWORKDAYS(C2548,TODAY())&lt;=2,"Risco Baixo",""))))</f>
        <v>Expedido</v>
      </c>
      <c r="P2548" s="5" t="s">
        <v>25</v>
      </c>
      <c r="Q2548" s="5" t="s">
        <v>793</v>
      </c>
      <c r="S2548" s="7">
        <f>IF(ISBLANK(M2548),"Aguardando Previsão/Data",NETWORKDAYS(L2548,M2548)-1)</f>
        <v>0</v>
      </c>
      <c r="T2548" s="5" t="s">
        <v>942</v>
      </c>
    </row>
    <row r="2549" spans="1:20" x14ac:dyDescent="0.35">
      <c r="A2549" s="5">
        <v>8100279596</v>
      </c>
      <c r="B2549" s="5">
        <v>10888</v>
      </c>
      <c r="C2549" s="6">
        <v>45677</v>
      </c>
      <c r="D2549" s="5" t="s">
        <v>239</v>
      </c>
      <c r="E2549" s="5" t="s">
        <v>240</v>
      </c>
      <c r="F2549" s="5" t="s">
        <v>242</v>
      </c>
      <c r="G2549" s="5" t="s">
        <v>243</v>
      </c>
      <c r="H2549" s="5" t="s">
        <v>218</v>
      </c>
      <c r="I2549" s="5" t="s">
        <v>251</v>
      </c>
      <c r="J2549" s="5" t="s">
        <v>252</v>
      </c>
      <c r="K2549" s="5" t="s">
        <v>241</v>
      </c>
      <c r="L2549" s="6">
        <v>45681</v>
      </c>
      <c r="M2549" s="6">
        <v>45684</v>
      </c>
      <c r="N2549" s="6" t="s">
        <v>811</v>
      </c>
      <c r="O2549" s="5" t="str">
        <f ca="1">IF(P2549&lt;&gt;"EXPEDIÇÃO","Expedido",IF(NETWORKDAYS(C2549,TODAY())&gt;=5,"Risco Alto",IF(NETWORKDAYS(C2549,TODAY())&gt;=3,IF(NETWORKDAYS(C2549,TODAY())&lt;5,"Risco Médio",""),IF(NETWORKDAYS(C2549,TODAY())&lt;=2,"Risco Baixo",""))))</f>
        <v>Expedido</v>
      </c>
      <c r="P2549" s="5" t="s">
        <v>25</v>
      </c>
      <c r="Q2549" s="5" t="s">
        <v>897</v>
      </c>
      <c r="S2549" s="7">
        <f>IF(ISBLANK(M2549),"Aguardando Previsão/Data",NETWORKDAYS(L2549,M2549)-1)</f>
        <v>1</v>
      </c>
      <c r="T2549" s="5" t="s">
        <v>942</v>
      </c>
    </row>
    <row r="2550" spans="1:20" x14ac:dyDescent="0.35">
      <c r="A2550" s="5">
        <v>8100279597</v>
      </c>
      <c r="B2550" s="5">
        <v>10875</v>
      </c>
      <c r="C2550" s="6">
        <v>45677</v>
      </c>
      <c r="D2550" s="5" t="s">
        <v>239</v>
      </c>
      <c r="E2550" s="5" t="s">
        <v>240</v>
      </c>
      <c r="F2550" s="5" t="s">
        <v>176</v>
      </c>
      <c r="G2550" s="5" t="s">
        <v>177</v>
      </c>
      <c r="H2550" s="5" t="s">
        <v>218</v>
      </c>
      <c r="I2550" s="5" t="s">
        <v>429</v>
      </c>
      <c r="J2550" s="5" t="s">
        <v>430</v>
      </c>
      <c r="K2550" s="5" t="s">
        <v>241</v>
      </c>
      <c r="L2550" s="6">
        <v>45684</v>
      </c>
      <c r="M2550" s="6">
        <v>45684</v>
      </c>
      <c r="N2550" s="6" t="s">
        <v>811</v>
      </c>
      <c r="O2550" s="5" t="str">
        <f ca="1">IF(P2550&lt;&gt;"EXPEDIÇÃO","Expedido",IF(NETWORKDAYS(C2550,TODAY())&gt;=5,"Risco Alto",IF(NETWORKDAYS(C2550,TODAY())&gt;=3,IF(NETWORKDAYS(C2550,TODAY())&lt;5,"Risco Médio",""),IF(NETWORKDAYS(C2550,TODAY())&lt;=2,"Risco Baixo",""))))</f>
        <v>Expedido</v>
      </c>
      <c r="P2550" s="5" t="s">
        <v>25</v>
      </c>
      <c r="Q2550" s="5" t="s">
        <v>793</v>
      </c>
      <c r="S2550" s="7">
        <f>IF(ISBLANK(M2550),"Aguardando Previsão/Data",NETWORKDAYS(L2550,M2550)-1)</f>
        <v>0</v>
      </c>
      <c r="T2550" s="5" t="s">
        <v>942</v>
      </c>
    </row>
    <row r="2551" spans="1:20" x14ac:dyDescent="0.35">
      <c r="A2551" s="5">
        <v>8100279598</v>
      </c>
      <c r="B2551" s="5">
        <v>10876</v>
      </c>
      <c r="C2551" s="6">
        <v>45677</v>
      </c>
      <c r="D2551" s="5" t="s">
        <v>239</v>
      </c>
      <c r="E2551" s="5" t="s">
        <v>240</v>
      </c>
      <c r="F2551" s="5" t="s">
        <v>176</v>
      </c>
      <c r="G2551" s="5" t="s">
        <v>177</v>
      </c>
      <c r="H2551" s="5" t="s">
        <v>218</v>
      </c>
      <c r="I2551" s="5" t="s">
        <v>429</v>
      </c>
      <c r="J2551" s="5" t="s">
        <v>430</v>
      </c>
      <c r="K2551" s="5" t="s">
        <v>241</v>
      </c>
      <c r="L2551" s="6">
        <v>45684</v>
      </c>
      <c r="M2551" s="6">
        <v>45684</v>
      </c>
      <c r="N2551" s="6" t="s">
        <v>811</v>
      </c>
      <c r="O2551" s="5" t="str">
        <f ca="1">IF(P2551&lt;&gt;"EXPEDIÇÃO","Expedido",IF(NETWORKDAYS(C2551,TODAY())&gt;=5,"Risco Alto",IF(NETWORKDAYS(C2551,TODAY())&gt;=3,IF(NETWORKDAYS(C2551,TODAY())&lt;5,"Risco Médio",""),IF(NETWORKDAYS(C2551,TODAY())&lt;=2,"Risco Baixo",""))))</f>
        <v>Expedido</v>
      </c>
      <c r="P2551" s="5" t="s">
        <v>25</v>
      </c>
      <c r="Q2551" s="5" t="s">
        <v>793</v>
      </c>
      <c r="S2551" s="7">
        <f>IF(ISBLANK(M2551),"Aguardando Previsão/Data",NETWORKDAYS(L2551,M2551)-1)</f>
        <v>0</v>
      </c>
      <c r="T2551" s="5" t="s">
        <v>942</v>
      </c>
    </row>
    <row r="2552" spans="1:20" x14ac:dyDescent="0.35">
      <c r="A2552" s="5">
        <v>8100279599</v>
      </c>
      <c r="B2552" s="5">
        <v>10877</v>
      </c>
      <c r="C2552" s="6">
        <v>45677</v>
      </c>
      <c r="D2552" s="5" t="s">
        <v>239</v>
      </c>
      <c r="E2552" s="5" t="s">
        <v>240</v>
      </c>
      <c r="F2552" s="5" t="s">
        <v>176</v>
      </c>
      <c r="G2552" s="5" t="s">
        <v>177</v>
      </c>
      <c r="H2552" s="5" t="s">
        <v>218</v>
      </c>
      <c r="I2552" s="5" t="s">
        <v>429</v>
      </c>
      <c r="J2552" s="5" t="s">
        <v>430</v>
      </c>
      <c r="K2552" s="5" t="s">
        <v>241</v>
      </c>
      <c r="L2552" s="6">
        <v>45684</v>
      </c>
      <c r="M2552" s="6">
        <v>45684</v>
      </c>
      <c r="N2552" s="6" t="s">
        <v>811</v>
      </c>
      <c r="O2552" s="5" t="str">
        <f ca="1">IF(P2552&lt;&gt;"EXPEDIÇÃO","Expedido",IF(NETWORKDAYS(C2552,TODAY())&gt;=5,"Risco Alto",IF(NETWORKDAYS(C2552,TODAY())&gt;=3,IF(NETWORKDAYS(C2552,TODAY())&lt;5,"Risco Médio",""),IF(NETWORKDAYS(C2552,TODAY())&lt;=2,"Risco Baixo",""))))</f>
        <v>Expedido</v>
      </c>
      <c r="P2552" s="5" t="s">
        <v>25</v>
      </c>
      <c r="Q2552" s="5" t="s">
        <v>793</v>
      </c>
      <c r="S2552" s="7">
        <f>IF(ISBLANK(M2552),"Aguardando Previsão/Data",NETWORKDAYS(L2552,M2552)-1)</f>
        <v>0</v>
      </c>
      <c r="T2552" s="5" t="s">
        <v>942</v>
      </c>
    </row>
    <row r="2553" spans="1:20" x14ac:dyDescent="0.35">
      <c r="A2553" s="5">
        <v>8100279600</v>
      </c>
      <c r="B2553" s="5">
        <v>10878</v>
      </c>
      <c r="C2553" s="6">
        <v>45677</v>
      </c>
      <c r="D2553" s="5" t="s">
        <v>239</v>
      </c>
      <c r="E2553" s="5" t="s">
        <v>240</v>
      </c>
      <c r="F2553" s="5" t="s">
        <v>176</v>
      </c>
      <c r="G2553" s="5" t="s">
        <v>177</v>
      </c>
      <c r="H2553" s="5" t="s">
        <v>218</v>
      </c>
      <c r="I2553" s="5" t="s">
        <v>429</v>
      </c>
      <c r="J2553" s="5" t="s">
        <v>430</v>
      </c>
      <c r="K2553" s="5" t="s">
        <v>241</v>
      </c>
      <c r="L2553" s="6">
        <v>45684</v>
      </c>
      <c r="M2553" s="6">
        <v>45684</v>
      </c>
      <c r="N2553" s="6" t="s">
        <v>811</v>
      </c>
      <c r="O2553" s="5" t="str">
        <f ca="1">IF(P2553&lt;&gt;"EXPEDIÇÃO","Expedido",IF(NETWORKDAYS(C2553,TODAY())&gt;=5,"Risco Alto",IF(NETWORKDAYS(C2553,TODAY())&gt;=3,IF(NETWORKDAYS(C2553,TODAY())&lt;5,"Risco Médio",""),IF(NETWORKDAYS(C2553,TODAY())&lt;=2,"Risco Baixo",""))))</f>
        <v>Expedido</v>
      </c>
      <c r="P2553" s="5" t="s">
        <v>25</v>
      </c>
      <c r="Q2553" s="5" t="s">
        <v>793</v>
      </c>
      <c r="S2553" s="7">
        <f>IF(ISBLANK(M2553),"Aguardando Previsão/Data",NETWORKDAYS(L2553,M2553)-1)</f>
        <v>0</v>
      </c>
      <c r="T2553" s="5" t="s">
        <v>942</v>
      </c>
    </row>
    <row r="2554" spans="1:20" x14ac:dyDescent="0.35">
      <c r="A2554" s="5">
        <v>8100279601</v>
      </c>
      <c r="B2554" s="5">
        <v>10879</v>
      </c>
      <c r="C2554" s="6">
        <v>45677</v>
      </c>
      <c r="D2554" s="5" t="s">
        <v>239</v>
      </c>
      <c r="E2554" s="5" t="s">
        <v>240</v>
      </c>
      <c r="F2554" s="5" t="s">
        <v>176</v>
      </c>
      <c r="G2554" s="5" t="s">
        <v>177</v>
      </c>
      <c r="H2554" s="5" t="s">
        <v>218</v>
      </c>
      <c r="I2554" s="5" t="s">
        <v>429</v>
      </c>
      <c r="J2554" s="5" t="s">
        <v>430</v>
      </c>
      <c r="K2554" s="5" t="s">
        <v>241</v>
      </c>
      <c r="L2554" s="6">
        <v>45684</v>
      </c>
      <c r="M2554" s="6">
        <v>45684</v>
      </c>
      <c r="N2554" s="6" t="s">
        <v>811</v>
      </c>
      <c r="O2554" s="5" t="str">
        <f ca="1">IF(P2554&lt;&gt;"EXPEDIÇÃO","Expedido",IF(NETWORKDAYS(C2554,TODAY())&gt;=5,"Risco Alto",IF(NETWORKDAYS(C2554,TODAY())&gt;=3,IF(NETWORKDAYS(C2554,TODAY())&lt;5,"Risco Médio",""),IF(NETWORKDAYS(C2554,TODAY())&lt;=2,"Risco Baixo",""))))</f>
        <v>Expedido</v>
      </c>
      <c r="P2554" s="5" t="s">
        <v>25</v>
      </c>
      <c r="Q2554" s="5" t="s">
        <v>793</v>
      </c>
      <c r="S2554" s="7">
        <f>IF(ISBLANK(M2554),"Aguardando Previsão/Data",NETWORKDAYS(L2554,M2554)-1)</f>
        <v>0</v>
      </c>
      <c r="T2554" s="5" t="s">
        <v>942</v>
      </c>
    </row>
    <row r="2555" spans="1:20" x14ac:dyDescent="0.35">
      <c r="A2555" s="5">
        <v>8100279604</v>
      </c>
      <c r="B2555" s="5">
        <v>10916</v>
      </c>
      <c r="C2555" s="6">
        <v>45677</v>
      </c>
      <c r="D2555" s="5" t="s">
        <v>239</v>
      </c>
      <c r="E2555" s="5" t="s">
        <v>240</v>
      </c>
      <c r="F2555" s="5" t="s">
        <v>160</v>
      </c>
      <c r="G2555" s="5" t="s">
        <v>161</v>
      </c>
      <c r="H2555" s="5" t="s">
        <v>218</v>
      </c>
      <c r="I2555" s="5" t="s">
        <v>893</v>
      </c>
      <c r="J2555" s="5" t="s">
        <v>457</v>
      </c>
      <c r="K2555" s="5" t="s">
        <v>241</v>
      </c>
      <c r="L2555" s="6">
        <v>45681</v>
      </c>
      <c r="M2555" s="6">
        <v>45681</v>
      </c>
      <c r="N2555" s="6" t="s">
        <v>811</v>
      </c>
      <c r="O2555" s="5" t="str">
        <f ca="1">IF(P2555&lt;&gt;"EXPEDIÇÃO","Expedido",IF(NETWORKDAYS(C2555,TODAY())&gt;=5,"Risco Alto",IF(NETWORKDAYS(C2555,TODAY())&gt;=3,IF(NETWORKDAYS(C2555,TODAY())&lt;5,"Risco Médio",""),IF(NETWORKDAYS(C2555,TODAY())&lt;=2,"Risco Baixo",""))))</f>
        <v>Expedido</v>
      </c>
      <c r="P2555" s="5" t="s">
        <v>25</v>
      </c>
      <c r="Q2555" s="5" t="s">
        <v>793</v>
      </c>
      <c r="S2555" s="7">
        <f>IF(ISBLANK(M2555),"Aguardando Previsão/Data",NETWORKDAYS(L2555,M2555)-1)</f>
        <v>0</v>
      </c>
      <c r="T2555" s="5" t="s">
        <v>942</v>
      </c>
    </row>
    <row r="2556" spans="1:20" x14ac:dyDescent="0.35">
      <c r="A2556" s="5">
        <v>8100279606</v>
      </c>
      <c r="B2556" s="5">
        <v>10895</v>
      </c>
      <c r="C2556" s="6">
        <v>45677</v>
      </c>
      <c r="D2556" s="5" t="s">
        <v>239</v>
      </c>
      <c r="E2556" s="5" t="s">
        <v>240</v>
      </c>
      <c r="F2556" s="5" t="s">
        <v>160</v>
      </c>
      <c r="G2556" s="5" t="s">
        <v>161</v>
      </c>
      <c r="H2556" s="5" t="s">
        <v>218</v>
      </c>
      <c r="I2556" s="5" t="s">
        <v>356</v>
      </c>
      <c r="J2556" s="5" t="s">
        <v>357</v>
      </c>
      <c r="K2556" s="5" t="s">
        <v>241</v>
      </c>
      <c r="L2556" s="6">
        <v>45681</v>
      </c>
      <c r="M2556" s="6">
        <v>45681</v>
      </c>
      <c r="N2556" s="6" t="s">
        <v>811</v>
      </c>
      <c r="O2556" s="5" t="str">
        <f ca="1">IF(P2556&lt;&gt;"EXPEDIÇÃO","Expedido",IF(NETWORKDAYS(C2556,TODAY())&gt;=5,"Risco Alto",IF(NETWORKDAYS(C2556,TODAY())&gt;=3,IF(NETWORKDAYS(C2556,TODAY())&lt;5,"Risco Médio",""),IF(NETWORKDAYS(C2556,TODAY())&lt;=2,"Risco Baixo",""))))</f>
        <v>Expedido</v>
      </c>
      <c r="P2556" s="5" t="s">
        <v>25</v>
      </c>
      <c r="Q2556" s="5" t="s">
        <v>793</v>
      </c>
      <c r="S2556" s="7">
        <f>IF(ISBLANK(M2556),"Aguardando Previsão/Data",NETWORKDAYS(L2556,M2556)-1)</f>
        <v>0</v>
      </c>
      <c r="T2556" s="5" t="s">
        <v>942</v>
      </c>
    </row>
    <row r="2557" spans="1:20" x14ac:dyDescent="0.35">
      <c r="A2557" s="5">
        <v>8100279607</v>
      </c>
      <c r="B2557" s="5">
        <v>10889</v>
      </c>
      <c r="C2557" s="6">
        <v>45677</v>
      </c>
      <c r="D2557" s="5" t="s">
        <v>239</v>
      </c>
      <c r="E2557" s="5" t="s">
        <v>240</v>
      </c>
      <c r="F2557" s="5" t="s">
        <v>160</v>
      </c>
      <c r="G2557" s="5" t="s">
        <v>161</v>
      </c>
      <c r="H2557" s="5" t="s">
        <v>218</v>
      </c>
      <c r="I2557" s="5" t="s">
        <v>358</v>
      </c>
      <c r="J2557" s="5" t="s">
        <v>359</v>
      </c>
      <c r="K2557" s="5" t="s">
        <v>241</v>
      </c>
      <c r="L2557" s="6">
        <v>45681</v>
      </c>
      <c r="M2557" s="6">
        <v>45681</v>
      </c>
      <c r="N2557" s="6" t="s">
        <v>811</v>
      </c>
      <c r="O2557" s="5" t="str">
        <f ca="1">IF(P2557&lt;&gt;"EXPEDIÇÃO","Expedido",IF(NETWORKDAYS(C2557,TODAY())&gt;=5,"Risco Alto",IF(NETWORKDAYS(C2557,TODAY())&gt;=3,IF(NETWORKDAYS(C2557,TODAY())&lt;5,"Risco Médio",""),IF(NETWORKDAYS(C2557,TODAY())&lt;=2,"Risco Baixo",""))))</f>
        <v>Expedido</v>
      </c>
      <c r="P2557" s="5" t="s">
        <v>25</v>
      </c>
      <c r="Q2557" s="5" t="s">
        <v>793</v>
      </c>
      <c r="S2557" s="7">
        <f>IF(ISBLANK(M2557),"Aguardando Previsão/Data",NETWORKDAYS(L2557,M2557)-1)</f>
        <v>0</v>
      </c>
      <c r="T2557" s="5" t="s">
        <v>942</v>
      </c>
    </row>
    <row r="2558" spans="1:20" x14ac:dyDescent="0.35">
      <c r="A2558" s="5">
        <v>8100279608</v>
      </c>
      <c r="B2558" s="5">
        <v>10880</v>
      </c>
      <c r="C2558" s="6">
        <v>45677</v>
      </c>
      <c r="D2558" s="5" t="s">
        <v>239</v>
      </c>
      <c r="E2558" s="5" t="s">
        <v>240</v>
      </c>
      <c r="F2558" s="5" t="s">
        <v>176</v>
      </c>
      <c r="G2558" s="5" t="s">
        <v>177</v>
      </c>
      <c r="H2558" s="5" t="s">
        <v>218</v>
      </c>
      <c r="I2558" s="5" t="s">
        <v>429</v>
      </c>
      <c r="J2558" s="5" t="s">
        <v>430</v>
      </c>
      <c r="K2558" s="5" t="s">
        <v>241</v>
      </c>
      <c r="L2558" s="6">
        <v>45684</v>
      </c>
      <c r="M2558" s="6">
        <v>45684</v>
      </c>
      <c r="N2558" s="6" t="s">
        <v>811</v>
      </c>
      <c r="O2558" s="5" t="str">
        <f ca="1">IF(P2558&lt;&gt;"EXPEDIÇÃO","Expedido",IF(NETWORKDAYS(C2558,TODAY())&gt;=5,"Risco Alto",IF(NETWORKDAYS(C2558,TODAY())&gt;=3,IF(NETWORKDAYS(C2558,TODAY())&lt;5,"Risco Médio",""),IF(NETWORKDAYS(C2558,TODAY())&lt;=2,"Risco Baixo",""))))</f>
        <v>Expedido</v>
      </c>
      <c r="P2558" s="5" t="s">
        <v>25</v>
      </c>
      <c r="Q2558" s="5" t="s">
        <v>793</v>
      </c>
      <c r="S2558" s="7">
        <f>IF(ISBLANK(M2558),"Aguardando Previsão/Data",NETWORKDAYS(L2558,M2558)-1)</f>
        <v>0</v>
      </c>
      <c r="T2558" s="5" t="s">
        <v>942</v>
      </c>
    </row>
    <row r="2559" spans="1:20" x14ac:dyDescent="0.35">
      <c r="A2559" s="5">
        <v>8100279665</v>
      </c>
      <c r="B2559" s="5">
        <v>10902</v>
      </c>
      <c r="C2559" s="6">
        <v>45677</v>
      </c>
      <c r="D2559" s="5" t="s">
        <v>239</v>
      </c>
      <c r="E2559" s="5" t="s">
        <v>240</v>
      </c>
      <c r="F2559" s="5" t="s">
        <v>160</v>
      </c>
      <c r="G2559" s="5" t="s">
        <v>161</v>
      </c>
      <c r="H2559" s="5" t="s">
        <v>218</v>
      </c>
      <c r="I2559" s="5" t="s">
        <v>356</v>
      </c>
      <c r="J2559" s="5" t="s">
        <v>357</v>
      </c>
      <c r="K2559" s="5" t="s">
        <v>241</v>
      </c>
      <c r="L2559" s="6">
        <v>45681</v>
      </c>
      <c r="M2559" s="6">
        <v>45681</v>
      </c>
      <c r="N2559" s="6" t="s">
        <v>811</v>
      </c>
      <c r="O2559" s="5" t="str">
        <f ca="1">IF(P2559&lt;&gt;"EXPEDIÇÃO","Expedido",IF(NETWORKDAYS(C2559,TODAY())&gt;=5,"Risco Alto",IF(NETWORKDAYS(C2559,TODAY())&gt;=3,IF(NETWORKDAYS(C2559,TODAY())&lt;5,"Risco Médio",""),IF(NETWORKDAYS(C2559,TODAY())&lt;=2,"Risco Baixo",""))))</f>
        <v>Expedido</v>
      </c>
      <c r="P2559" s="5" t="s">
        <v>25</v>
      </c>
      <c r="Q2559" s="5" t="s">
        <v>793</v>
      </c>
      <c r="S2559" s="7">
        <f>IF(ISBLANK(M2559),"Aguardando Previsão/Data",NETWORKDAYS(L2559,M2559)-1)</f>
        <v>0</v>
      </c>
      <c r="T2559" s="5" t="s">
        <v>942</v>
      </c>
    </row>
    <row r="2560" spans="1:20" x14ac:dyDescent="0.35">
      <c r="A2560" s="5">
        <v>8100279935</v>
      </c>
      <c r="B2560" s="5">
        <v>10906</v>
      </c>
      <c r="C2560" s="6">
        <v>45677</v>
      </c>
      <c r="D2560" s="5" t="s">
        <v>239</v>
      </c>
      <c r="E2560" s="5" t="s">
        <v>240</v>
      </c>
      <c r="F2560" s="5" t="s">
        <v>176</v>
      </c>
      <c r="G2560" s="5" t="s">
        <v>177</v>
      </c>
      <c r="H2560" s="5" t="s">
        <v>218</v>
      </c>
      <c r="I2560" s="5" t="s">
        <v>909</v>
      </c>
      <c r="J2560" s="5" t="s">
        <v>1129</v>
      </c>
      <c r="K2560" s="5" t="s">
        <v>241</v>
      </c>
      <c r="L2560" s="6">
        <v>45684</v>
      </c>
      <c r="M2560" s="6">
        <v>45684</v>
      </c>
      <c r="N2560" s="6" t="s">
        <v>811</v>
      </c>
      <c r="O2560" s="5" t="str">
        <f ca="1">IF(P2560&lt;&gt;"EXPEDIÇÃO","Expedido",IF(NETWORKDAYS(C2560,TODAY())&gt;=5,"Risco Alto",IF(NETWORKDAYS(C2560,TODAY())&gt;=3,IF(NETWORKDAYS(C2560,TODAY())&lt;5,"Risco Médio",""),IF(NETWORKDAYS(C2560,TODAY())&lt;=2,"Risco Baixo",""))))</f>
        <v>Expedido</v>
      </c>
      <c r="P2560" s="5" t="s">
        <v>25</v>
      </c>
      <c r="Q2560" s="5" t="s">
        <v>793</v>
      </c>
      <c r="S2560" s="7">
        <f>IF(ISBLANK(M2560),"Aguardando Previsão/Data",NETWORKDAYS(L2560,M2560)-1)</f>
        <v>0</v>
      </c>
      <c r="T2560" s="5" t="s">
        <v>942</v>
      </c>
    </row>
    <row r="2561" spans="1:20" x14ac:dyDescent="0.35">
      <c r="A2561" s="5">
        <v>8100279936</v>
      </c>
      <c r="B2561" s="5">
        <v>10909</v>
      </c>
      <c r="C2561" s="6">
        <v>45677</v>
      </c>
      <c r="D2561" s="5" t="s">
        <v>239</v>
      </c>
      <c r="E2561" s="5" t="s">
        <v>240</v>
      </c>
      <c r="F2561" s="5" t="s">
        <v>160</v>
      </c>
      <c r="G2561" s="5" t="s">
        <v>161</v>
      </c>
      <c r="H2561" s="5" t="s">
        <v>218</v>
      </c>
      <c r="I2561" s="5" t="s">
        <v>1100</v>
      </c>
      <c r="J2561" s="5" t="s">
        <v>161</v>
      </c>
      <c r="K2561" s="5" t="s">
        <v>241</v>
      </c>
      <c r="L2561" s="6">
        <v>45681</v>
      </c>
      <c r="M2561" s="6">
        <v>45681</v>
      </c>
      <c r="N2561" s="6" t="s">
        <v>811</v>
      </c>
      <c r="O2561" s="5" t="str">
        <f ca="1">IF(P2561&lt;&gt;"EXPEDIÇÃO","Expedido",IF(NETWORKDAYS(C2561,TODAY())&gt;=5,"Risco Alto",IF(NETWORKDAYS(C2561,TODAY())&gt;=3,IF(NETWORKDAYS(C2561,TODAY())&lt;5,"Risco Médio",""),IF(NETWORKDAYS(C2561,TODAY())&lt;=2,"Risco Baixo",""))))</f>
        <v>Expedido</v>
      </c>
      <c r="P2561" s="5" t="s">
        <v>25</v>
      </c>
      <c r="Q2561" s="5" t="s">
        <v>793</v>
      </c>
      <c r="S2561" s="7">
        <f>IF(ISBLANK(M2561),"Aguardando Previsão/Data",NETWORKDAYS(L2561,M2561)-1)</f>
        <v>0</v>
      </c>
      <c r="T2561" s="5" t="s">
        <v>942</v>
      </c>
    </row>
    <row r="2562" spans="1:20" x14ac:dyDescent="0.35">
      <c r="A2562" s="5">
        <v>8100279938</v>
      </c>
      <c r="B2562" s="5">
        <v>10914</v>
      </c>
      <c r="C2562" s="6">
        <v>45677</v>
      </c>
      <c r="D2562" s="5" t="s">
        <v>239</v>
      </c>
      <c r="E2562" s="5" t="s">
        <v>240</v>
      </c>
      <c r="F2562" s="5" t="s">
        <v>160</v>
      </c>
      <c r="G2562" s="5" t="s">
        <v>161</v>
      </c>
      <c r="H2562" s="5" t="s">
        <v>218</v>
      </c>
      <c r="I2562" s="5" t="s">
        <v>685</v>
      </c>
      <c r="J2562" s="5" t="s">
        <v>521</v>
      </c>
      <c r="K2562" s="5" t="s">
        <v>241</v>
      </c>
      <c r="L2562" s="6">
        <v>45681</v>
      </c>
      <c r="M2562" s="6">
        <v>45681</v>
      </c>
      <c r="N2562" s="6" t="s">
        <v>811</v>
      </c>
      <c r="O2562" s="5" t="str">
        <f ca="1">IF(P2562&lt;&gt;"EXPEDIÇÃO","Expedido",IF(NETWORKDAYS(C2562,TODAY())&gt;=5,"Risco Alto",IF(NETWORKDAYS(C2562,TODAY())&gt;=3,IF(NETWORKDAYS(C2562,TODAY())&lt;5,"Risco Médio",""),IF(NETWORKDAYS(C2562,TODAY())&lt;=2,"Risco Baixo",""))))</f>
        <v>Expedido</v>
      </c>
      <c r="P2562" s="5" t="s">
        <v>25</v>
      </c>
      <c r="Q2562" s="5" t="s">
        <v>793</v>
      </c>
      <c r="S2562" s="7">
        <f>IF(ISBLANK(M2562),"Aguardando Previsão/Data",NETWORKDAYS(L2562,M2562)-1)</f>
        <v>0</v>
      </c>
      <c r="T2562" s="5" t="s">
        <v>942</v>
      </c>
    </row>
    <row r="2563" spans="1:20" x14ac:dyDescent="0.35">
      <c r="A2563" s="5">
        <v>8100280157</v>
      </c>
      <c r="B2563" s="5">
        <v>10915</v>
      </c>
      <c r="C2563" s="6">
        <v>45677</v>
      </c>
      <c r="D2563" s="5" t="s">
        <v>239</v>
      </c>
      <c r="E2563" s="5" t="s">
        <v>240</v>
      </c>
      <c r="F2563" s="5" t="s">
        <v>160</v>
      </c>
      <c r="G2563" s="5" t="s">
        <v>161</v>
      </c>
      <c r="H2563" s="5" t="s">
        <v>218</v>
      </c>
      <c r="I2563" s="5" t="s">
        <v>685</v>
      </c>
      <c r="J2563" s="5" t="s">
        <v>521</v>
      </c>
      <c r="K2563" s="5" t="s">
        <v>241</v>
      </c>
      <c r="L2563" s="6">
        <v>45681</v>
      </c>
      <c r="M2563" s="6">
        <v>45681</v>
      </c>
      <c r="N2563" s="6" t="s">
        <v>811</v>
      </c>
      <c r="O2563" s="5" t="str">
        <f ca="1">IF(P2563&lt;&gt;"EXPEDIÇÃO","Expedido",IF(NETWORKDAYS(C2563,TODAY())&gt;=5,"Risco Alto",IF(NETWORKDAYS(C2563,TODAY())&gt;=3,IF(NETWORKDAYS(C2563,TODAY())&lt;5,"Risco Médio",""),IF(NETWORKDAYS(C2563,TODAY())&lt;=2,"Risco Baixo",""))))</f>
        <v>Expedido</v>
      </c>
      <c r="P2563" s="5" t="s">
        <v>25</v>
      </c>
      <c r="Q2563" s="5" t="s">
        <v>793</v>
      </c>
      <c r="S2563" s="7">
        <f>IF(ISBLANK(M2563),"Aguardando Previsão/Data",NETWORKDAYS(L2563,M2563)-1)</f>
        <v>0</v>
      </c>
      <c r="T2563" s="5" t="s">
        <v>942</v>
      </c>
    </row>
    <row r="2564" spans="1:20" x14ac:dyDescent="0.35">
      <c r="A2564" s="5">
        <v>8100280203</v>
      </c>
      <c r="B2564" s="5">
        <v>10910</v>
      </c>
      <c r="C2564" s="6">
        <v>45677</v>
      </c>
      <c r="D2564" s="5" t="s">
        <v>239</v>
      </c>
      <c r="E2564" s="5" t="s">
        <v>240</v>
      </c>
      <c r="F2564" s="5" t="s">
        <v>242</v>
      </c>
      <c r="G2564" s="5" t="s">
        <v>243</v>
      </c>
      <c r="H2564" s="5" t="s">
        <v>218</v>
      </c>
      <c r="I2564" s="5" t="s">
        <v>1130</v>
      </c>
      <c r="J2564" s="5" t="s">
        <v>246</v>
      </c>
      <c r="K2564" s="5" t="s">
        <v>241</v>
      </c>
      <c r="L2564" s="6">
        <v>45684</v>
      </c>
      <c r="M2564" s="6">
        <v>45681</v>
      </c>
      <c r="N2564" s="6" t="s">
        <v>811</v>
      </c>
      <c r="O2564" s="5" t="str">
        <f ca="1">IF(P2564&lt;&gt;"EXPEDIÇÃO","Expedido",IF(NETWORKDAYS(C2564,TODAY())&gt;=5,"Risco Alto",IF(NETWORKDAYS(C2564,TODAY())&gt;=3,IF(NETWORKDAYS(C2564,TODAY())&lt;5,"Risco Médio",""),IF(NETWORKDAYS(C2564,TODAY())&lt;=2,"Risco Baixo",""))))</f>
        <v>Expedido</v>
      </c>
      <c r="P2564" s="5" t="s">
        <v>25</v>
      </c>
      <c r="Q2564" s="5" t="s">
        <v>793</v>
      </c>
      <c r="S2564" s="7">
        <f>IF(ISBLANK(M2564),"Aguardando Previsão/Data",NETWORKDAYS(L2564,M2564)-1)</f>
        <v>-3</v>
      </c>
      <c r="T2564" s="5" t="s">
        <v>942</v>
      </c>
    </row>
    <row r="2565" spans="1:20" x14ac:dyDescent="0.35">
      <c r="A2565" s="5">
        <v>8100279731</v>
      </c>
      <c r="B2565" s="5">
        <v>19464</v>
      </c>
      <c r="C2565" s="6">
        <v>45677</v>
      </c>
      <c r="D2565" s="5" t="s">
        <v>106</v>
      </c>
      <c r="E2565" s="5" t="s">
        <v>107</v>
      </c>
      <c r="F2565" s="5" t="s">
        <v>58</v>
      </c>
      <c r="G2565" s="5" t="s">
        <v>59</v>
      </c>
      <c r="H2565" s="5" t="s">
        <v>218</v>
      </c>
      <c r="I2565" s="5" t="s">
        <v>237</v>
      </c>
      <c r="J2565" s="5" t="s">
        <v>220</v>
      </c>
      <c r="K2565" s="5" t="s">
        <v>221</v>
      </c>
      <c r="L2565" s="6">
        <v>45692</v>
      </c>
      <c r="M2565" s="6">
        <v>45685</v>
      </c>
      <c r="N2565" s="6" t="s">
        <v>811</v>
      </c>
      <c r="O2565" s="5" t="str">
        <f ca="1">IF(P2565&lt;&gt;"EXPEDIÇÃO","Expedido",IF(NETWORKDAYS(C2565,TODAY())&gt;=5,"Risco Alto",IF(NETWORKDAYS(C2565,TODAY())&gt;=3,IF(NETWORKDAYS(C2565,TODAY())&lt;5,"Risco Médio",""),IF(NETWORKDAYS(C2565,TODAY())&lt;=2,"Risco Baixo",""))))</f>
        <v>Expedido</v>
      </c>
      <c r="P2565" s="5" t="s">
        <v>25</v>
      </c>
      <c r="S2565" s="7">
        <f>IF(ISBLANK(M2565),"Aguardando Previsão/Data",NETWORKDAYS(L2565,M2565)-1)</f>
        <v>-7</v>
      </c>
      <c r="T2565" s="5" t="s">
        <v>942</v>
      </c>
    </row>
    <row r="2566" spans="1:20" x14ac:dyDescent="0.35">
      <c r="A2566" s="5">
        <v>8100279740</v>
      </c>
      <c r="B2566" s="5">
        <v>19456</v>
      </c>
      <c r="C2566" s="6">
        <v>45677</v>
      </c>
      <c r="D2566" s="5" t="s">
        <v>106</v>
      </c>
      <c r="E2566" s="5" t="s">
        <v>107</v>
      </c>
      <c r="F2566" s="5" t="s">
        <v>58</v>
      </c>
      <c r="G2566" s="5" t="s">
        <v>59</v>
      </c>
      <c r="H2566" s="5" t="s">
        <v>218</v>
      </c>
      <c r="I2566" s="5" t="s">
        <v>384</v>
      </c>
      <c r="J2566" s="5" t="s">
        <v>220</v>
      </c>
      <c r="K2566" s="5" t="s">
        <v>221</v>
      </c>
      <c r="L2566" s="6">
        <v>45692</v>
      </c>
      <c r="M2566" s="6">
        <v>45686</v>
      </c>
      <c r="N2566" s="6" t="s">
        <v>811</v>
      </c>
      <c r="O2566" s="5" t="str">
        <f ca="1">IF(P2566&lt;&gt;"EXPEDIÇÃO","Expedido",IF(NETWORKDAYS(C2566,TODAY())&gt;=5,"Risco Alto",IF(NETWORKDAYS(C2566,TODAY())&gt;=3,IF(NETWORKDAYS(C2566,TODAY())&lt;5,"Risco Médio",""),IF(NETWORKDAYS(C2566,TODAY())&lt;=2,"Risco Baixo",""))))</f>
        <v>Expedido</v>
      </c>
      <c r="P2566" s="5" t="s">
        <v>25</v>
      </c>
      <c r="S2566" s="7">
        <f>IF(ISBLANK(M2566),"Aguardando Previsão/Data",NETWORKDAYS(L2566,M2566)-1)</f>
        <v>-6</v>
      </c>
      <c r="T2566" s="5" t="s">
        <v>942</v>
      </c>
    </row>
    <row r="2567" spans="1:20" x14ac:dyDescent="0.35">
      <c r="A2567" s="5">
        <v>8100279742</v>
      </c>
      <c r="B2567" s="5">
        <v>19463</v>
      </c>
      <c r="C2567" s="6">
        <v>45677</v>
      </c>
      <c r="D2567" s="5" t="s">
        <v>106</v>
      </c>
      <c r="E2567" s="5" t="s">
        <v>107</v>
      </c>
      <c r="F2567" s="5" t="s">
        <v>58</v>
      </c>
      <c r="G2567" s="5" t="s">
        <v>59</v>
      </c>
      <c r="H2567" s="5" t="s">
        <v>218</v>
      </c>
      <c r="I2567" s="5" t="s">
        <v>384</v>
      </c>
      <c r="J2567" s="5" t="s">
        <v>487</v>
      </c>
      <c r="K2567" s="5" t="s">
        <v>226</v>
      </c>
      <c r="L2567" s="6">
        <v>45694</v>
      </c>
      <c r="M2567" s="6">
        <v>45686</v>
      </c>
      <c r="N2567" s="6" t="s">
        <v>811</v>
      </c>
      <c r="O2567" s="5" t="str">
        <f ca="1">IF(P2567&lt;&gt;"EXPEDIÇÃO","Expedido",IF(NETWORKDAYS(C2567,TODAY())&gt;=5,"Risco Alto",IF(NETWORKDAYS(C2567,TODAY())&gt;=3,IF(NETWORKDAYS(C2567,TODAY())&lt;5,"Risco Médio",""),IF(NETWORKDAYS(C2567,TODAY())&lt;=2,"Risco Baixo",""))))</f>
        <v>Expedido</v>
      </c>
      <c r="P2567" s="5" t="s">
        <v>25</v>
      </c>
      <c r="S2567" s="7">
        <f>IF(ISBLANK(M2567),"Aguardando Previsão/Data",NETWORKDAYS(L2567,M2567)-1)</f>
        <v>-8</v>
      </c>
      <c r="T2567" s="5" t="s">
        <v>942</v>
      </c>
    </row>
    <row r="2568" spans="1:20" x14ac:dyDescent="0.35">
      <c r="A2568" s="5">
        <v>8100279732</v>
      </c>
      <c r="B2568" s="5">
        <v>19446</v>
      </c>
      <c r="C2568" s="6">
        <v>45677</v>
      </c>
      <c r="D2568" s="5" t="s">
        <v>106</v>
      </c>
      <c r="E2568" s="5" t="s">
        <v>107</v>
      </c>
      <c r="F2568" s="5" t="s">
        <v>58</v>
      </c>
      <c r="G2568" s="5" t="s">
        <v>59</v>
      </c>
      <c r="H2568" s="5" t="s">
        <v>108</v>
      </c>
      <c r="I2568" s="5" t="s">
        <v>394</v>
      </c>
      <c r="J2568" s="5" t="s">
        <v>395</v>
      </c>
      <c r="K2568" s="5" t="s">
        <v>110</v>
      </c>
      <c r="L2568" s="6">
        <v>45684</v>
      </c>
      <c r="M2568" s="6">
        <v>45679</v>
      </c>
      <c r="N2568" s="6" t="s">
        <v>811</v>
      </c>
      <c r="O2568" s="5" t="str">
        <f ca="1">IF(P2568&lt;&gt;"EXPEDIÇÃO","Expedido",IF(NETWORKDAYS(C2568,TODAY())&gt;=5,"Risco Alto",IF(NETWORKDAYS(C2568,TODAY())&gt;=3,IF(NETWORKDAYS(C2568,TODAY())&lt;5,"Risco Médio",""),IF(NETWORKDAYS(C2568,TODAY())&lt;=2,"Risco Baixo",""))))</f>
        <v>Expedido</v>
      </c>
      <c r="P2568" s="5" t="s">
        <v>25</v>
      </c>
      <c r="S2568" s="7">
        <f>IF(ISBLANK(M2568),"Aguardando Previsão/Data",NETWORKDAYS(L2568,M2568)-1)</f>
        <v>-5</v>
      </c>
      <c r="T2568" s="5" t="s">
        <v>942</v>
      </c>
    </row>
    <row r="2569" spans="1:20" x14ac:dyDescent="0.35">
      <c r="A2569" s="5">
        <v>8100279735</v>
      </c>
      <c r="B2569" s="5">
        <v>19455</v>
      </c>
      <c r="C2569" s="6">
        <v>45677</v>
      </c>
      <c r="D2569" s="5" t="s">
        <v>106</v>
      </c>
      <c r="E2569" s="5" t="s">
        <v>107</v>
      </c>
      <c r="F2569" s="5" t="s">
        <v>58</v>
      </c>
      <c r="G2569" s="5" t="s">
        <v>59</v>
      </c>
      <c r="H2569" s="5" t="s">
        <v>108</v>
      </c>
      <c r="I2569" s="5" t="s">
        <v>585</v>
      </c>
      <c r="J2569" s="5" t="s">
        <v>586</v>
      </c>
      <c r="K2569" s="5" t="s">
        <v>110</v>
      </c>
      <c r="L2569" s="6">
        <v>45684</v>
      </c>
      <c r="M2569" s="6">
        <v>45679</v>
      </c>
      <c r="N2569" s="6" t="s">
        <v>811</v>
      </c>
      <c r="O2569" s="5" t="str">
        <f ca="1">IF(P2569&lt;&gt;"EXPEDIÇÃO","Expedido",IF(NETWORKDAYS(C2569,TODAY())&gt;=5,"Risco Alto",IF(NETWORKDAYS(C2569,TODAY())&gt;=3,IF(NETWORKDAYS(C2569,TODAY())&lt;5,"Risco Médio",""),IF(NETWORKDAYS(C2569,TODAY())&lt;=2,"Risco Baixo",""))))</f>
        <v>Expedido</v>
      </c>
      <c r="P2569" s="5" t="s">
        <v>25</v>
      </c>
      <c r="S2569" s="7">
        <f>IF(ISBLANK(M2569),"Aguardando Previsão/Data",NETWORKDAYS(L2569,M2569)-1)</f>
        <v>-5</v>
      </c>
      <c r="T2569" s="5" t="s">
        <v>942</v>
      </c>
    </row>
    <row r="2570" spans="1:20" x14ac:dyDescent="0.35">
      <c r="A2570" s="5">
        <v>8100279736</v>
      </c>
      <c r="B2570" s="5">
        <v>19459</v>
      </c>
      <c r="C2570" s="6">
        <v>45677</v>
      </c>
      <c r="D2570" s="5" t="s">
        <v>106</v>
      </c>
      <c r="E2570" s="5" t="s">
        <v>107</v>
      </c>
      <c r="F2570" s="5" t="s">
        <v>53</v>
      </c>
      <c r="G2570" s="5" t="s">
        <v>54</v>
      </c>
      <c r="H2570" s="5" t="s">
        <v>108</v>
      </c>
      <c r="I2570" s="5" t="s">
        <v>123</v>
      </c>
      <c r="J2570" s="5" t="s">
        <v>124</v>
      </c>
      <c r="K2570" s="5" t="s">
        <v>110</v>
      </c>
      <c r="L2570" s="6">
        <v>45685</v>
      </c>
      <c r="M2570" s="6">
        <v>45679</v>
      </c>
      <c r="N2570" s="6" t="s">
        <v>811</v>
      </c>
      <c r="O2570" s="5" t="str">
        <f ca="1">IF(P2570&lt;&gt;"EXPEDIÇÃO","Expedido",IF(NETWORKDAYS(C2570,TODAY())&gt;=5,"Risco Alto",IF(NETWORKDAYS(C2570,TODAY())&gt;=3,IF(NETWORKDAYS(C2570,TODAY())&lt;5,"Risco Médio",""),IF(NETWORKDAYS(C2570,TODAY())&lt;=2,"Risco Baixo",""))))</f>
        <v>Expedido</v>
      </c>
      <c r="P2570" s="5" t="s">
        <v>25</v>
      </c>
      <c r="S2570" s="7">
        <f>IF(ISBLANK(M2570),"Aguardando Previsão/Data",NETWORKDAYS(L2570,M2570)-1)</f>
        <v>-6</v>
      </c>
      <c r="T2570" s="5" t="s">
        <v>942</v>
      </c>
    </row>
    <row r="2571" spans="1:20" x14ac:dyDescent="0.35">
      <c r="A2571" s="5">
        <v>8100279738</v>
      </c>
      <c r="B2571" s="5">
        <v>19447</v>
      </c>
      <c r="C2571" s="6">
        <v>45677</v>
      </c>
      <c r="D2571" s="5" t="s">
        <v>106</v>
      </c>
      <c r="E2571" s="5" t="s">
        <v>107</v>
      </c>
      <c r="F2571" s="5" t="s">
        <v>58</v>
      </c>
      <c r="G2571" s="5" t="s">
        <v>59</v>
      </c>
      <c r="H2571" s="5" t="s">
        <v>108</v>
      </c>
      <c r="I2571" s="5" t="s">
        <v>394</v>
      </c>
      <c r="J2571" s="5" t="s">
        <v>395</v>
      </c>
      <c r="K2571" s="5" t="s">
        <v>110</v>
      </c>
      <c r="L2571" s="6">
        <v>45684</v>
      </c>
      <c r="M2571" s="6">
        <v>45679</v>
      </c>
      <c r="N2571" s="6" t="s">
        <v>811</v>
      </c>
      <c r="O2571" s="5" t="str">
        <f ca="1">IF(P2571&lt;&gt;"EXPEDIÇÃO","Expedido",IF(NETWORKDAYS(C2571,TODAY())&gt;=5,"Risco Alto",IF(NETWORKDAYS(C2571,TODAY())&gt;=3,IF(NETWORKDAYS(C2571,TODAY())&lt;5,"Risco Médio",""),IF(NETWORKDAYS(C2571,TODAY())&lt;=2,"Risco Baixo",""))))</f>
        <v>Expedido</v>
      </c>
      <c r="P2571" s="5" t="s">
        <v>25</v>
      </c>
      <c r="S2571" s="7">
        <f>IF(ISBLANK(M2571),"Aguardando Previsão/Data",NETWORKDAYS(L2571,M2571)-1)</f>
        <v>-5</v>
      </c>
      <c r="T2571" s="5" t="s">
        <v>942</v>
      </c>
    </row>
    <row r="2572" spans="1:20" x14ac:dyDescent="0.35">
      <c r="A2572" s="5">
        <v>8100279739</v>
      </c>
      <c r="B2572" s="5">
        <v>19448</v>
      </c>
      <c r="C2572" s="6">
        <v>45677</v>
      </c>
      <c r="D2572" s="5" t="s">
        <v>106</v>
      </c>
      <c r="E2572" s="5" t="s">
        <v>107</v>
      </c>
      <c r="F2572" s="5" t="s">
        <v>66</v>
      </c>
      <c r="G2572" s="5" t="s">
        <v>67</v>
      </c>
      <c r="H2572" s="5" t="s">
        <v>108</v>
      </c>
      <c r="I2572" s="5" t="s">
        <v>394</v>
      </c>
      <c r="J2572" s="5" t="s">
        <v>395</v>
      </c>
      <c r="K2572" s="5" t="s">
        <v>110</v>
      </c>
      <c r="L2572" s="6">
        <v>45684</v>
      </c>
      <c r="M2572" s="6">
        <v>45679</v>
      </c>
      <c r="N2572" s="6" t="s">
        <v>811</v>
      </c>
      <c r="O2572" s="5" t="str">
        <f ca="1">IF(P2572&lt;&gt;"EXPEDIÇÃO","Expedido",IF(NETWORKDAYS(C2572,TODAY())&gt;=5,"Risco Alto",IF(NETWORKDAYS(C2572,TODAY())&gt;=3,IF(NETWORKDAYS(C2572,TODAY())&lt;5,"Risco Médio",""),IF(NETWORKDAYS(C2572,TODAY())&lt;=2,"Risco Baixo",""))))</f>
        <v>Expedido</v>
      </c>
      <c r="P2572" s="5" t="s">
        <v>25</v>
      </c>
      <c r="S2572" s="7">
        <f>IF(ISBLANK(M2572),"Aguardando Previsão/Data",NETWORKDAYS(L2572,M2572)-1)</f>
        <v>-5</v>
      </c>
      <c r="T2572" s="5" t="s">
        <v>942</v>
      </c>
    </row>
    <row r="2573" spans="1:20" x14ac:dyDescent="0.35">
      <c r="A2573" s="5">
        <v>8100279741</v>
      </c>
      <c r="B2573" s="5">
        <v>19454</v>
      </c>
      <c r="C2573" s="6">
        <v>45677</v>
      </c>
      <c r="D2573" s="5" t="s">
        <v>106</v>
      </c>
      <c r="E2573" s="5" t="s">
        <v>107</v>
      </c>
      <c r="F2573" s="5" t="s">
        <v>53</v>
      </c>
      <c r="G2573" s="5" t="s">
        <v>54</v>
      </c>
      <c r="H2573" s="5" t="s">
        <v>108</v>
      </c>
      <c r="I2573" s="5" t="s">
        <v>113</v>
      </c>
      <c r="J2573" s="5" t="s">
        <v>537</v>
      </c>
      <c r="K2573" s="5" t="s">
        <v>110</v>
      </c>
      <c r="L2573" s="6">
        <v>45685</v>
      </c>
      <c r="M2573" s="6">
        <v>45680</v>
      </c>
      <c r="N2573" s="6" t="s">
        <v>811</v>
      </c>
      <c r="O2573" s="5" t="str">
        <f ca="1">IF(P2573&lt;&gt;"EXPEDIÇÃO","Expedido",IF(NETWORKDAYS(C2573,TODAY())&gt;=5,"Risco Alto",IF(NETWORKDAYS(C2573,TODAY())&gt;=3,IF(NETWORKDAYS(C2573,TODAY())&lt;5,"Risco Médio",""),IF(NETWORKDAYS(C2573,TODAY())&lt;=2,"Risco Baixo",""))))</f>
        <v>Expedido</v>
      </c>
      <c r="P2573" s="5" t="s">
        <v>25</v>
      </c>
      <c r="S2573" s="7">
        <f>IF(ISBLANK(M2573),"Aguardando Previsão/Data",NETWORKDAYS(L2573,M2573)-1)</f>
        <v>-5</v>
      </c>
      <c r="T2573" s="5" t="s">
        <v>942</v>
      </c>
    </row>
    <row r="2574" spans="1:20" x14ac:dyDescent="0.35">
      <c r="A2574" s="5">
        <v>8100279743</v>
      </c>
      <c r="B2574" s="5">
        <v>19460</v>
      </c>
      <c r="C2574" s="6">
        <v>45677</v>
      </c>
      <c r="D2574" s="5" t="s">
        <v>106</v>
      </c>
      <c r="E2574" s="5" t="s">
        <v>107</v>
      </c>
      <c r="F2574" s="5" t="s">
        <v>53</v>
      </c>
      <c r="G2574" s="5" t="s">
        <v>54</v>
      </c>
      <c r="H2574" s="5" t="s">
        <v>108</v>
      </c>
      <c r="I2574" s="5" t="s">
        <v>113</v>
      </c>
      <c r="J2574" s="5" t="s">
        <v>142</v>
      </c>
      <c r="K2574" s="5" t="s">
        <v>110</v>
      </c>
      <c r="L2574" s="6">
        <v>45684</v>
      </c>
      <c r="M2574" s="6">
        <v>45679</v>
      </c>
      <c r="N2574" s="6" t="s">
        <v>811</v>
      </c>
      <c r="O2574" s="5" t="str">
        <f ca="1">IF(P2574&lt;&gt;"EXPEDIÇÃO","Expedido",IF(NETWORKDAYS(C2574,TODAY())&gt;=5,"Risco Alto",IF(NETWORKDAYS(C2574,TODAY())&gt;=3,IF(NETWORKDAYS(C2574,TODAY())&lt;5,"Risco Médio",""),IF(NETWORKDAYS(C2574,TODAY())&lt;=2,"Risco Baixo",""))))</f>
        <v>Expedido</v>
      </c>
      <c r="P2574" s="5" t="s">
        <v>25</v>
      </c>
      <c r="S2574" s="7">
        <f>IF(ISBLANK(M2574),"Aguardando Previsão/Data",NETWORKDAYS(L2574,M2574)-1)</f>
        <v>-5</v>
      </c>
      <c r="T2574" s="5" t="s">
        <v>942</v>
      </c>
    </row>
    <row r="2575" spans="1:20" x14ac:dyDescent="0.35">
      <c r="A2575" s="5">
        <v>8100279751</v>
      </c>
      <c r="B2575" s="5">
        <v>19457</v>
      </c>
      <c r="C2575" s="6">
        <v>45677</v>
      </c>
      <c r="D2575" s="5" t="s">
        <v>106</v>
      </c>
      <c r="E2575" s="5" t="s">
        <v>107</v>
      </c>
      <c r="F2575" s="5" t="s">
        <v>147</v>
      </c>
      <c r="G2575" s="5" t="s">
        <v>148</v>
      </c>
      <c r="H2575" s="5" t="s">
        <v>108</v>
      </c>
      <c r="I2575" s="5" t="s">
        <v>82</v>
      </c>
      <c r="J2575" s="5" t="s">
        <v>151</v>
      </c>
      <c r="K2575" s="5" t="s">
        <v>110</v>
      </c>
      <c r="L2575" s="6">
        <v>45685</v>
      </c>
      <c r="M2575" s="6">
        <v>45680</v>
      </c>
      <c r="N2575" s="6" t="s">
        <v>811</v>
      </c>
      <c r="O2575" s="5" t="str">
        <f ca="1">IF(P2575&lt;&gt;"EXPEDIÇÃO","Expedido",IF(NETWORKDAYS(C2575,TODAY())&gt;=5,"Risco Alto",IF(NETWORKDAYS(C2575,TODAY())&gt;=3,IF(NETWORKDAYS(C2575,TODAY())&lt;5,"Risco Médio",""),IF(NETWORKDAYS(C2575,TODAY())&lt;=2,"Risco Baixo",""))))</f>
        <v>Expedido</v>
      </c>
      <c r="P2575" s="5" t="s">
        <v>25</v>
      </c>
      <c r="S2575" s="7">
        <f>IF(ISBLANK(M2575),"Aguardando Previsão/Data",NETWORKDAYS(L2575,M2575)-1)</f>
        <v>-5</v>
      </c>
      <c r="T2575" s="5" t="s">
        <v>942</v>
      </c>
    </row>
    <row r="2576" spans="1:20" x14ac:dyDescent="0.35">
      <c r="A2576" s="5">
        <v>8100279752</v>
      </c>
      <c r="B2576" s="5">
        <v>19462</v>
      </c>
      <c r="C2576" s="6">
        <v>45677</v>
      </c>
      <c r="D2576" s="5" t="s">
        <v>106</v>
      </c>
      <c r="E2576" s="5" t="s">
        <v>107</v>
      </c>
      <c r="F2576" s="5" t="s">
        <v>66</v>
      </c>
      <c r="G2576" s="5" t="s">
        <v>67</v>
      </c>
      <c r="H2576" s="5" t="s">
        <v>108</v>
      </c>
      <c r="I2576" s="5" t="s">
        <v>152</v>
      </c>
      <c r="J2576" s="5" t="s">
        <v>153</v>
      </c>
      <c r="K2576" s="5" t="s">
        <v>110</v>
      </c>
      <c r="L2576" s="6">
        <v>45684</v>
      </c>
      <c r="M2576" s="6">
        <v>45678</v>
      </c>
      <c r="N2576" s="6" t="s">
        <v>811</v>
      </c>
      <c r="O2576" s="5" t="str">
        <f ca="1">IF(P2576&lt;&gt;"EXPEDIÇÃO","Expedido",IF(NETWORKDAYS(C2576,TODAY())&gt;=5,"Risco Alto",IF(NETWORKDAYS(C2576,TODAY())&gt;=3,IF(NETWORKDAYS(C2576,TODAY())&lt;5,"Risco Médio",""),IF(NETWORKDAYS(C2576,TODAY())&lt;=2,"Risco Baixo",""))))</f>
        <v>Expedido</v>
      </c>
      <c r="P2576" s="5" t="s">
        <v>25</v>
      </c>
      <c r="S2576" s="7">
        <f>IF(ISBLANK(M2576),"Aguardando Previsão/Data",NETWORKDAYS(L2576,M2576)-1)</f>
        <v>-6</v>
      </c>
      <c r="T2576" s="5" t="s">
        <v>942</v>
      </c>
    </row>
    <row r="2577" spans="1:20" x14ac:dyDescent="0.35">
      <c r="A2577" s="5">
        <v>8100279733</v>
      </c>
      <c r="B2577" s="5">
        <v>19451</v>
      </c>
      <c r="C2577" s="6">
        <v>45677</v>
      </c>
      <c r="D2577" s="5" t="s">
        <v>106</v>
      </c>
      <c r="E2577" s="5" t="s">
        <v>107</v>
      </c>
      <c r="F2577" s="5" t="s">
        <v>53</v>
      </c>
      <c r="G2577" s="5" t="s">
        <v>54</v>
      </c>
      <c r="H2577" s="5" t="s">
        <v>108</v>
      </c>
      <c r="I2577" s="5" t="s">
        <v>587</v>
      </c>
      <c r="J2577" s="5" t="s">
        <v>390</v>
      </c>
      <c r="K2577" s="5" t="s">
        <v>110</v>
      </c>
      <c r="L2577" s="6">
        <v>45685</v>
      </c>
      <c r="M2577" s="6">
        <v>45681</v>
      </c>
      <c r="N2577" s="6" t="s">
        <v>811</v>
      </c>
      <c r="O2577" s="5" t="str">
        <f ca="1">IF(P2577&lt;&gt;"EXPEDIÇÃO","Expedido",IF(NETWORKDAYS(C2577,TODAY())&gt;=5,"Risco Alto",IF(NETWORKDAYS(C2577,TODAY())&gt;=3,IF(NETWORKDAYS(C2577,TODAY())&lt;5,"Risco Médio",""),IF(NETWORKDAYS(C2577,TODAY())&lt;=2,"Risco Baixo",""))))</f>
        <v>Expedido</v>
      </c>
      <c r="P2577" s="5" t="s">
        <v>25</v>
      </c>
      <c r="S2577" s="7">
        <f>IF(ISBLANK(M2577),"Aguardando Previsão/Data",NETWORKDAYS(L2577,M2577)-1)</f>
        <v>-4</v>
      </c>
      <c r="T2577" s="5" t="s">
        <v>942</v>
      </c>
    </row>
    <row r="2578" spans="1:20" x14ac:dyDescent="0.35">
      <c r="A2578" s="5">
        <v>8100279734</v>
      </c>
      <c r="B2578" s="5">
        <v>19458</v>
      </c>
      <c r="C2578" s="6">
        <v>45677</v>
      </c>
      <c r="D2578" s="5" t="s">
        <v>106</v>
      </c>
      <c r="E2578" s="5" t="s">
        <v>107</v>
      </c>
      <c r="F2578" s="5" t="s">
        <v>147</v>
      </c>
      <c r="G2578" s="5" t="s">
        <v>148</v>
      </c>
      <c r="H2578" s="5" t="s">
        <v>108</v>
      </c>
      <c r="I2578" s="5" t="s">
        <v>82</v>
      </c>
      <c r="J2578" s="5" t="s">
        <v>505</v>
      </c>
      <c r="K2578" s="5" t="s">
        <v>110</v>
      </c>
      <c r="L2578" s="6">
        <v>45685</v>
      </c>
      <c r="M2578" s="6">
        <v>45681</v>
      </c>
      <c r="N2578" s="6" t="s">
        <v>811</v>
      </c>
      <c r="O2578" s="5" t="str">
        <f ca="1">IF(P2578&lt;&gt;"EXPEDIÇÃO","Expedido",IF(NETWORKDAYS(C2578,TODAY())&gt;=5,"Risco Alto",IF(NETWORKDAYS(C2578,TODAY())&gt;=3,IF(NETWORKDAYS(C2578,TODAY())&lt;5,"Risco Médio",""),IF(NETWORKDAYS(C2578,TODAY())&lt;=2,"Risco Baixo",""))))</f>
        <v>Expedido</v>
      </c>
      <c r="P2578" s="5" t="s">
        <v>25</v>
      </c>
      <c r="S2578" s="7">
        <f>IF(ISBLANK(M2578),"Aguardando Previsão/Data",NETWORKDAYS(L2578,M2578)-1)</f>
        <v>-4</v>
      </c>
      <c r="T2578" s="5" t="s">
        <v>942</v>
      </c>
    </row>
    <row r="2579" spans="1:20" x14ac:dyDescent="0.35">
      <c r="A2579" s="5">
        <v>8100279737</v>
      </c>
      <c r="B2579" s="5">
        <v>19452</v>
      </c>
      <c r="C2579" s="6">
        <v>45677</v>
      </c>
      <c r="D2579" s="5" t="s">
        <v>106</v>
      </c>
      <c r="E2579" s="5" t="s">
        <v>107</v>
      </c>
      <c r="F2579" s="5" t="s">
        <v>66</v>
      </c>
      <c r="G2579" s="5" t="s">
        <v>67</v>
      </c>
      <c r="H2579" s="5" t="s">
        <v>108</v>
      </c>
      <c r="I2579" s="5" t="s">
        <v>475</v>
      </c>
      <c r="J2579" s="5" t="s">
        <v>476</v>
      </c>
      <c r="K2579" s="5" t="s">
        <v>110</v>
      </c>
      <c r="L2579" s="6">
        <v>45685</v>
      </c>
      <c r="M2579" s="6">
        <v>45684</v>
      </c>
      <c r="N2579" s="6" t="s">
        <v>811</v>
      </c>
      <c r="O2579" s="5" t="str">
        <f ca="1">IF(P2579&lt;&gt;"EXPEDIÇÃO","Expedido",IF(NETWORKDAYS(C2579,TODAY())&gt;=5,"Risco Alto",IF(NETWORKDAYS(C2579,TODAY())&gt;=3,IF(NETWORKDAYS(C2579,TODAY())&lt;5,"Risco Médio",""),IF(NETWORKDAYS(C2579,TODAY())&lt;=2,"Risco Baixo",""))))</f>
        <v>Expedido</v>
      </c>
      <c r="P2579" s="5" t="s">
        <v>25</v>
      </c>
      <c r="S2579" s="7">
        <f>IF(ISBLANK(M2579),"Aguardando Previsão/Data",NETWORKDAYS(L2579,M2579)-1)</f>
        <v>-3</v>
      </c>
      <c r="T2579" s="5" t="s">
        <v>942</v>
      </c>
    </row>
    <row r="2580" spans="1:20" x14ac:dyDescent="0.35">
      <c r="A2580" s="5">
        <v>8100279745</v>
      </c>
      <c r="B2580" s="5">
        <v>19453</v>
      </c>
      <c r="C2580" s="6">
        <v>45677</v>
      </c>
      <c r="D2580" s="5" t="s">
        <v>106</v>
      </c>
      <c r="E2580" s="5" t="s">
        <v>107</v>
      </c>
      <c r="F2580" s="5" t="s">
        <v>111</v>
      </c>
      <c r="G2580" s="5" t="s">
        <v>112</v>
      </c>
      <c r="H2580" s="5" t="s">
        <v>108</v>
      </c>
      <c r="I2580" s="5" t="s">
        <v>115</v>
      </c>
      <c r="J2580" s="5" t="s">
        <v>133</v>
      </c>
      <c r="K2580" s="5" t="s">
        <v>110</v>
      </c>
      <c r="L2580" s="6">
        <v>45685</v>
      </c>
      <c r="M2580" s="6">
        <v>45681</v>
      </c>
      <c r="N2580" s="6" t="s">
        <v>811</v>
      </c>
      <c r="O2580" s="5" t="str">
        <f ca="1">IF(P2580&lt;&gt;"EXPEDIÇÃO","Expedido",IF(NETWORKDAYS(C2580,TODAY())&gt;=5,"Risco Alto",IF(NETWORKDAYS(C2580,TODAY())&gt;=3,IF(NETWORKDAYS(C2580,TODAY())&lt;5,"Risco Médio",""),IF(NETWORKDAYS(C2580,TODAY())&lt;=2,"Risco Baixo",""))))</f>
        <v>Expedido</v>
      </c>
      <c r="P2580" s="5" t="s">
        <v>25</v>
      </c>
      <c r="S2580" s="7">
        <f>IF(ISBLANK(M2580),"Aguardando Previsão/Data",NETWORKDAYS(L2580,M2580)-1)</f>
        <v>-4</v>
      </c>
      <c r="T2580" s="5" t="s">
        <v>942</v>
      </c>
    </row>
    <row r="2581" spans="1:20" x14ac:dyDescent="0.35">
      <c r="A2581" s="5">
        <v>8100279746</v>
      </c>
      <c r="B2581" s="5">
        <v>19450</v>
      </c>
      <c r="C2581" s="6">
        <v>45677</v>
      </c>
      <c r="D2581" s="5" t="s">
        <v>106</v>
      </c>
      <c r="E2581" s="5" t="s">
        <v>107</v>
      </c>
      <c r="F2581" s="5" t="s">
        <v>111</v>
      </c>
      <c r="G2581" s="5" t="s">
        <v>112</v>
      </c>
      <c r="H2581" s="5" t="s">
        <v>108</v>
      </c>
      <c r="I2581" s="5" t="s">
        <v>840</v>
      </c>
      <c r="J2581" s="5" t="s">
        <v>582</v>
      </c>
      <c r="K2581" s="5" t="s">
        <v>110</v>
      </c>
      <c r="L2581" s="6">
        <v>45685</v>
      </c>
      <c r="M2581" s="6">
        <v>45680</v>
      </c>
      <c r="N2581" s="6" t="s">
        <v>811</v>
      </c>
      <c r="O2581" s="5" t="str">
        <f ca="1">IF(P2581&lt;&gt;"EXPEDIÇÃO","Expedido",IF(NETWORKDAYS(C2581,TODAY())&gt;=5,"Risco Alto",IF(NETWORKDAYS(C2581,TODAY())&gt;=3,IF(NETWORKDAYS(C2581,TODAY())&lt;5,"Risco Médio",""),IF(NETWORKDAYS(C2581,TODAY())&lt;=2,"Risco Baixo",""))))</f>
        <v>Expedido</v>
      </c>
      <c r="P2581" s="5" t="s">
        <v>25</v>
      </c>
      <c r="S2581" s="7">
        <f>IF(ISBLANK(M2581),"Aguardando Previsão/Data",NETWORKDAYS(L2581,M2581)-1)</f>
        <v>-5</v>
      </c>
      <c r="T2581" s="5" t="s">
        <v>942</v>
      </c>
    </row>
    <row r="2582" spans="1:20" x14ac:dyDescent="0.35">
      <c r="A2582" s="5">
        <v>8100279747</v>
      </c>
      <c r="B2582" s="5">
        <v>19449</v>
      </c>
      <c r="C2582" s="6">
        <v>45677</v>
      </c>
      <c r="D2582" s="5" t="s">
        <v>106</v>
      </c>
      <c r="E2582" s="5" t="s">
        <v>107</v>
      </c>
      <c r="F2582" s="5" t="s">
        <v>111</v>
      </c>
      <c r="G2582" s="5" t="s">
        <v>112</v>
      </c>
      <c r="H2582" s="5" t="s">
        <v>108</v>
      </c>
      <c r="I2582" s="5" t="s">
        <v>115</v>
      </c>
      <c r="J2582" s="5" t="s">
        <v>143</v>
      </c>
      <c r="K2582" s="5" t="s">
        <v>110</v>
      </c>
      <c r="L2582" s="6">
        <v>45684</v>
      </c>
      <c r="M2582" s="6">
        <v>45681</v>
      </c>
      <c r="N2582" s="6" t="s">
        <v>811</v>
      </c>
      <c r="O2582" s="5" t="str">
        <f ca="1">IF(P2582&lt;&gt;"EXPEDIÇÃO","Expedido",IF(NETWORKDAYS(C2582,TODAY())&gt;=5,"Risco Alto",IF(NETWORKDAYS(C2582,TODAY())&gt;=3,IF(NETWORKDAYS(C2582,TODAY())&lt;5,"Risco Médio",""),IF(NETWORKDAYS(C2582,TODAY())&lt;=2,"Risco Baixo",""))))</f>
        <v>Expedido</v>
      </c>
      <c r="P2582" s="5" t="s">
        <v>25</v>
      </c>
      <c r="S2582" s="7">
        <f>IF(ISBLANK(M2582),"Aguardando Previsão/Data",NETWORKDAYS(L2582,M2582)-1)</f>
        <v>-3</v>
      </c>
      <c r="T2582" s="5" t="s">
        <v>942</v>
      </c>
    </row>
    <row r="2583" spans="1:20" x14ac:dyDescent="0.35">
      <c r="A2583" s="5">
        <v>8100279748</v>
      </c>
      <c r="B2583" s="5">
        <v>19461</v>
      </c>
      <c r="C2583" s="6">
        <v>45677</v>
      </c>
      <c r="D2583" s="5" t="s">
        <v>106</v>
      </c>
      <c r="E2583" s="5" t="s">
        <v>107</v>
      </c>
      <c r="F2583" s="5" t="s">
        <v>111</v>
      </c>
      <c r="G2583" s="5" t="s">
        <v>112</v>
      </c>
      <c r="H2583" s="5" t="s">
        <v>108</v>
      </c>
      <c r="I2583" s="5" t="s">
        <v>115</v>
      </c>
      <c r="J2583" s="5" t="s">
        <v>393</v>
      </c>
      <c r="K2583" s="5" t="s">
        <v>110</v>
      </c>
      <c r="L2583" s="6">
        <v>45685</v>
      </c>
      <c r="M2583" s="6">
        <v>45680</v>
      </c>
      <c r="N2583" s="6" t="s">
        <v>811</v>
      </c>
      <c r="O2583" s="5" t="str">
        <f ca="1">IF(P2583&lt;&gt;"EXPEDIÇÃO","Expedido",IF(NETWORKDAYS(C2583,TODAY())&gt;=5,"Risco Alto",IF(NETWORKDAYS(C2583,TODAY())&gt;=3,IF(NETWORKDAYS(C2583,TODAY())&lt;5,"Risco Médio",""),IF(NETWORKDAYS(C2583,TODAY())&lt;=2,"Risco Baixo",""))))</f>
        <v>Expedido</v>
      </c>
      <c r="P2583" s="5" t="s">
        <v>25</v>
      </c>
      <c r="S2583" s="7">
        <f>IF(ISBLANK(M2583),"Aguardando Previsão/Data",NETWORKDAYS(L2583,M2583)-1)</f>
        <v>-5</v>
      </c>
      <c r="T2583" s="5" t="s">
        <v>942</v>
      </c>
    </row>
    <row r="2584" spans="1:20" x14ac:dyDescent="0.35">
      <c r="A2584" s="5">
        <v>8100279749</v>
      </c>
      <c r="B2584" s="5">
        <v>19466</v>
      </c>
      <c r="C2584" s="6">
        <v>45677</v>
      </c>
      <c r="D2584" s="5" t="s">
        <v>106</v>
      </c>
      <c r="E2584" s="5" t="s">
        <v>107</v>
      </c>
      <c r="F2584" s="5" t="s">
        <v>111</v>
      </c>
      <c r="G2584" s="5" t="s">
        <v>112</v>
      </c>
      <c r="H2584" s="5" t="s">
        <v>108</v>
      </c>
      <c r="I2584" s="5" t="s">
        <v>1238</v>
      </c>
      <c r="J2584" s="5" t="s">
        <v>1239</v>
      </c>
      <c r="K2584" s="5" t="s">
        <v>110</v>
      </c>
      <c r="L2584" s="6">
        <v>45684</v>
      </c>
      <c r="M2584" s="6">
        <v>45680</v>
      </c>
      <c r="N2584" s="6" t="s">
        <v>811</v>
      </c>
      <c r="O2584" s="5" t="str">
        <f ca="1">IF(P2584&lt;&gt;"EXPEDIÇÃO","Expedido",IF(NETWORKDAYS(C2584,TODAY())&gt;=5,"Risco Alto",IF(NETWORKDAYS(C2584,TODAY())&gt;=3,IF(NETWORKDAYS(C2584,TODAY())&lt;5,"Risco Médio",""),IF(NETWORKDAYS(C2584,TODAY())&lt;=2,"Risco Baixo",""))))</f>
        <v>Expedido</v>
      </c>
      <c r="P2584" s="5" t="s">
        <v>25</v>
      </c>
      <c r="S2584" s="7">
        <f>IF(ISBLANK(M2584),"Aguardando Previsão/Data",NETWORKDAYS(L2584,M2584)-1)</f>
        <v>-4</v>
      </c>
      <c r="T2584" s="5" t="s">
        <v>942</v>
      </c>
    </row>
    <row r="2585" spans="1:20" x14ac:dyDescent="0.35">
      <c r="A2585" s="5">
        <v>8100279750</v>
      </c>
      <c r="B2585" s="5">
        <v>19467</v>
      </c>
      <c r="C2585" s="6">
        <v>45677</v>
      </c>
      <c r="D2585" s="5" t="s">
        <v>106</v>
      </c>
      <c r="E2585" s="5" t="s">
        <v>107</v>
      </c>
      <c r="F2585" s="5" t="s">
        <v>111</v>
      </c>
      <c r="G2585" s="5" t="s">
        <v>112</v>
      </c>
      <c r="H2585" s="5" t="s">
        <v>108</v>
      </c>
      <c r="I2585" s="5" t="s">
        <v>1238</v>
      </c>
      <c r="J2585" s="5" t="s">
        <v>1325</v>
      </c>
      <c r="K2585" s="5" t="s">
        <v>110</v>
      </c>
      <c r="L2585" s="6">
        <v>45684</v>
      </c>
      <c r="M2585" s="6">
        <v>45681</v>
      </c>
      <c r="N2585" s="6" t="s">
        <v>811</v>
      </c>
      <c r="O2585" s="5" t="str">
        <f ca="1">IF(P2585&lt;&gt;"EXPEDIÇÃO","Expedido",IF(NETWORKDAYS(C2585,TODAY())&gt;=5,"Risco Alto",IF(NETWORKDAYS(C2585,TODAY())&gt;=3,IF(NETWORKDAYS(C2585,TODAY())&lt;5,"Risco Médio",""),IF(NETWORKDAYS(C2585,TODAY())&lt;=2,"Risco Baixo",""))))</f>
        <v>Expedido</v>
      </c>
      <c r="P2585" s="5" t="s">
        <v>25</v>
      </c>
      <c r="S2585" s="7">
        <f>IF(ISBLANK(M2585),"Aguardando Previsão/Data",NETWORKDAYS(L2585,M2585)-1)</f>
        <v>-3</v>
      </c>
      <c r="T2585" s="5" t="s">
        <v>942</v>
      </c>
    </row>
    <row r="2586" spans="1:20" x14ac:dyDescent="0.35">
      <c r="A2586" s="5">
        <v>8100280137</v>
      </c>
      <c r="B2586" s="5">
        <v>19465</v>
      </c>
      <c r="C2586" s="6">
        <v>45677</v>
      </c>
      <c r="D2586" s="5" t="s">
        <v>106</v>
      </c>
      <c r="E2586" s="5" t="s">
        <v>107</v>
      </c>
      <c r="F2586" s="5" t="s">
        <v>58</v>
      </c>
      <c r="G2586" s="5" t="s">
        <v>59</v>
      </c>
      <c r="H2586" s="5" t="s">
        <v>108</v>
      </c>
      <c r="I2586" s="5" t="s">
        <v>1209</v>
      </c>
      <c r="J2586" s="5" t="s">
        <v>1210</v>
      </c>
      <c r="K2586" s="5" t="s">
        <v>110</v>
      </c>
      <c r="L2586" s="6">
        <v>45684</v>
      </c>
      <c r="M2586" s="6">
        <v>45684</v>
      </c>
      <c r="N2586" s="6" t="s">
        <v>811</v>
      </c>
      <c r="O2586" s="5" t="str">
        <f ca="1">IF(P2586&lt;&gt;"EXPEDIÇÃO","Expedido",IF(NETWORKDAYS(C2586,TODAY())&gt;=5,"Risco Alto",IF(NETWORKDAYS(C2586,TODAY())&gt;=3,IF(NETWORKDAYS(C2586,TODAY())&lt;5,"Risco Médio",""),IF(NETWORKDAYS(C2586,TODAY())&lt;=2,"Risco Baixo",""))))</f>
        <v>Expedido</v>
      </c>
      <c r="P2586" s="5" t="s">
        <v>25</v>
      </c>
      <c r="S2586" s="7">
        <f>IF(ISBLANK(M2586),"Aguardando Previsão/Data",NETWORKDAYS(L2586,M2586)-1)</f>
        <v>0</v>
      </c>
      <c r="T2586" s="5" t="s">
        <v>942</v>
      </c>
    </row>
    <row r="2587" spans="1:20" x14ac:dyDescent="0.35">
      <c r="A2587" s="5">
        <v>8100279563</v>
      </c>
      <c r="B2587" s="5">
        <v>7239</v>
      </c>
      <c r="C2587" s="6">
        <v>45677</v>
      </c>
      <c r="D2587" s="5" t="s">
        <v>194</v>
      </c>
      <c r="E2587" s="5" t="s">
        <v>195</v>
      </c>
      <c r="F2587" s="5" t="s">
        <v>406</v>
      </c>
      <c r="G2587" s="5" t="s">
        <v>407</v>
      </c>
      <c r="H2587" s="5" t="s">
        <v>108</v>
      </c>
      <c r="I2587" s="5" t="s">
        <v>544</v>
      </c>
      <c r="J2587" s="5" t="s">
        <v>407</v>
      </c>
      <c r="K2587" s="5" t="s">
        <v>198</v>
      </c>
      <c r="L2587" s="6">
        <v>45681</v>
      </c>
      <c r="M2587" s="6">
        <v>45680</v>
      </c>
      <c r="N2587" s="6" t="s">
        <v>811</v>
      </c>
      <c r="O2587" s="5" t="str">
        <f ca="1">IF(P2587&lt;&gt;"EXPEDIÇÃO","Expedido",IF(NETWORKDAYS(C2587,TODAY())&gt;=5,"Risco Alto",IF(NETWORKDAYS(C2587,TODAY())&gt;=3,IF(NETWORKDAYS(C2587,TODAY())&lt;5,"Risco Médio",""),IF(NETWORKDAYS(C2587,TODAY())&lt;=2,"Risco Baixo",""))))</f>
        <v>Expedido</v>
      </c>
      <c r="P2587" s="5" t="s">
        <v>25</v>
      </c>
      <c r="Q2587" s="5" t="s">
        <v>1496</v>
      </c>
      <c r="S2587" s="7">
        <f>IF(ISBLANK(M2587),"Aguardando Previsão/Data",NETWORKDAYS(L2587,M2587)-1)</f>
        <v>-3</v>
      </c>
      <c r="T2587" s="5" t="s">
        <v>942</v>
      </c>
    </row>
    <row r="2588" spans="1:20" x14ac:dyDescent="0.35">
      <c r="A2588" s="5">
        <v>8100279564</v>
      </c>
      <c r="B2588" s="5">
        <v>7238</v>
      </c>
      <c r="C2588" s="6">
        <v>45677</v>
      </c>
      <c r="D2588" s="5" t="s">
        <v>194</v>
      </c>
      <c r="E2588" s="5" t="s">
        <v>195</v>
      </c>
      <c r="F2588" s="5" t="s">
        <v>58</v>
      </c>
      <c r="G2588" s="5" t="s">
        <v>59</v>
      </c>
      <c r="H2588" s="5" t="s">
        <v>108</v>
      </c>
      <c r="I2588" s="5" t="s">
        <v>209</v>
      </c>
      <c r="J2588" s="5" t="s">
        <v>210</v>
      </c>
      <c r="K2588" s="5" t="s">
        <v>198</v>
      </c>
      <c r="L2588" s="6">
        <v>45684</v>
      </c>
      <c r="M2588" s="6">
        <v>45680</v>
      </c>
      <c r="N2588" s="6" t="s">
        <v>811</v>
      </c>
      <c r="O2588" s="5" t="str">
        <f ca="1">IF(P2588&lt;&gt;"EXPEDIÇÃO","Expedido",IF(NETWORKDAYS(C2588,TODAY())&gt;=5,"Risco Alto",IF(NETWORKDAYS(C2588,TODAY())&gt;=3,IF(NETWORKDAYS(C2588,TODAY())&lt;5,"Risco Médio",""),IF(NETWORKDAYS(C2588,TODAY())&lt;=2,"Risco Baixo",""))))</f>
        <v>Expedido</v>
      </c>
      <c r="P2588" s="5" t="s">
        <v>25</v>
      </c>
      <c r="S2588" s="7">
        <f>IF(ISBLANK(M2588),"Aguardando Previsão/Data",NETWORKDAYS(L2588,M2588)-1)</f>
        <v>-4</v>
      </c>
      <c r="T2588" s="5" t="s">
        <v>942</v>
      </c>
    </row>
    <row r="2589" spans="1:20" x14ac:dyDescent="0.35">
      <c r="A2589" s="5">
        <v>8100279565</v>
      </c>
      <c r="B2589" s="5">
        <v>7249</v>
      </c>
      <c r="C2589" s="6">
        <v>45677</v>
      </c>
      <c r="D2589" s="5" t="s">
        <v>194</v>
      </c>
      <c r="E2589" s="5" t="s">
        <v>195</v>
      </c>
      <c r="F2589" s="5" t="s">
        <v>199</v>
      </c>
      <c r="G2589" s="5" t="s">
        <v>200</v>
      </c>
      <c r="H2589" s="5" t="s">
        <v>108</v>
      </c>
      <c r="I2589" s="5" t="s">
        <v>1408</v>
      </c>
      <c r="J2589" s="5" t="s">
        <v>1021</v>
      </c>
      <c r="K2589" s="5" t="s">
        <v>198</v>
      </c>
      <c r="L2589" s="6">
        <v>45685</v>
      </c>
      <c r="M2589" s="6">
        <v>45684</v>
      </c>
      <c r="N2589" s="6" t="s">
        <v>811</v>
      </c>
      <c r="O2589" s="5" t="str">
        <f ca="1">IF(P2589&lt;&gt;"EXPEDIÇÃO","Expedido",IF(NETWORKDAYS(C2589,TODAY())&gt;=5,"Risco Alto",IF(NETWORKDAYS(C2589,TODAY())&gt;=3,IF(NETWORKDAYS(C2589,TODAY())&lt;5,"Risco Médio",""),IF(NETWORKDAYS(C2589,TODAY())&lt;=2,"Risco Baixo",""))))</f>
        <v>Expedido</v>
      </c>
      <c r="P2589" s="5" t="s">
        <v>25</v>
      </c>
      <c r="S2589" s="7">
        <f>IF(ISBLANK(M2589),"Aguardando Previsão/Data",NETWORKDAYS(L2589,M2589)-1)</f>
        <v>-3</v>
      </c>
      <c r="T2589" s="5" t="s">
        <v>942</v>
      </c>
    </row>
    <row r="2590" spans="1:20" x14ac:dyDescent="0.35">
      <c r="A2590" s="5">
        <v>8100279566</v>
      </c>
      <c r="B2590" s="5">
        <v>7246</v>
      </c>
      <c r="C2590" s="6">
        <v>45677</v>
      </c>
      <c r="D2590" s="5" t="s">
        <v>194</v>
      </c>
      <c r="E2590" s="5" t="s">
        <v>195</v>
      </c>
      <c r="F2590" s="5" t="s">
        <v>199</v>
      </c>
      <c r="G2590" s="5" t="s">
        <v>200</v>
      </c>
      <c r="H2590" s="5" t="s">
        <v>108</v>
      </c>
      <c r="I2590" s="5" t="s">
        <v>1409</v>
      </c>
      <c r="J2590" s="5" t="s">
        <v>1094</v>
      </c>
      <c r="K2590" s="5" t="s">
        <v>198</v>
      </c>
      <c r="L2590" s="6">
        <v>45686</v>
      </c>
      <c r="M2590" s="6">
        <v>45688</v>
      </c>
      <c r="N2590" s="6" t="s">
        <v>812</v>
      </c>
      <c r="O2590" s="5" t="str">
        <f ca="1">IF(P2590&lt;&gt;"EXPEDIÇÃO","Expedido",IF(NETWORKDAYS(C2590,TODAY())&gt;=5,"Risco Alto",IF(NETWORKDAYS(C2590,TODAY())&gt;=3,IF(NETWORKDAYS(C2590,TODAY())&lt;5,"Risco Médio",""),IF(NETWORKDAYS(C2590,TODAY())&lt;=2,"Risco Baixo",""))))</f>
        <v>Expedido</v>
      </c>
      <c r="P2590" s="5" t="s">
        <v>617</v>
      </c>
      <c r="Q2590" s="5" t="s">
        <v>899</v>
      </c>
      <c r="S2590" s="7">
        <f>IF(ISBLANK(M2590),"Aguardando Previsão/Data",NETWORKDAYS(L2590,M2590)-1)</f>
        <v>2</v>
      </c>
    </row>
    <row r="2591" spans="1:20" x14ac:dyDescent="0.35">
      <c r="A2591" s="5">
        <v>8100279567</v>
      </c>
      <c r="B2591" s="5">
        <v>7245</v>
      </c>
      <c r="C2591" s="6">
        <v>45677</v>
      </c>
      <c r="D2591" s="5" t="s">
        <v>194</v>
      </c>
      <c r="E2591" s="5" t="s">
        <v>195</v>
      </c>
      <c r="F2591" s="5" t="s">
        <v>406</v>
      </c>
      <c r="G2591" s="5" t="s">
        <v>407</v>
      </c>
      <c r="H2591" s="5" t="s">
        <v>108</v>
      </c>
      <c r="I2591" s="5" t="s">
        <v>201</v>
      </c>
      <c r="J2591" s="5" t="s">
        <v>202</v>
      </c>
      <c r="K2591" s="5" t="s">
        <v>198</v>
      </c>
      <c r="L2591" s="6">
        <v>45684</v>
      </c>
      <c r="M2591" s="6">
        <v>45681</v>
      </c>
      <c r="N2591" s="6" t="s">
        <v>811</v>
      </c>
      <c r="O2591" s="5" t="str">
        <f ca="1">IF(P2591&lt;&gt;"EXPEDIÇÃO","Expedido",IF(NETWORKDAYS(C2591,TODAY())&gt;=5,"Risco Alto",IF(NETWORKDAYS(C2591,TODAY())&gt;=3,IF(NETWORKDAYS(C2591,TODAY())&lt;5,"Risco Médio",""),IF(NETWORKDAYS(C2591,TODAY())&lt;=2,"Risco Baixo",""))))</f>
        <v>Expedido</v>
      </c>
      <c r="P2591" s="5" t="s">
        <v>25</v>
      </c>
      <c r="Q2591" s="5" t="s">
        <v>1493</v>
      </c>
      <c r="S2591" s="7">
        <f>IF(ISBLANK(M2591),"Aguardando Previsão/Data",NETWORKDAYS(L2591,M2591)-1)</f>
        <v>-3</v>
      </c>
      <c r="T2591" s="5" t="s">
        <v>942</v>
      </c>
    </row>
    <row r="2592" spans="1:20" x14ac:dyDescent="0.35">
      <c r="A2592" s="5">
        <v>8100279570</v>
      </c>
      <c r="B2592" s="5">
        <v>7236</v>
      </c>
      <c r="C2592" s="6">
        <v>45677</v>
      </c>
      <c r="D2592" s="5" t="s">
        <v>194</v>
      </c>
      <c r="E2592" s="5" t="s">
        <v>195</v>
      </c>
      <c r="F2592" s="5" t="s">
        <v>69</v>
      </c>
      <c r="G2592" s="5" t="s">
        <v>70</v>
      </c>
      <c r="H2592" s="5" t="s">
        <v>108</v>
      </c>
      <c r="I2592" s="5" t="s">
        <v>311</v>
      </c>
      <c r="J2592" s="5" t="s">
        <v>202</v>
      </c>
      <c r="K2592" s="5" t="s">
        <v>198</v>
      </c>
      <c r="L2592" s="6">
        <v>45684</v>
      </c>
      <c r="M2592" s="6">
        <v>45680</v>
      </c>
      <c r="N2592" s="6" t="s">
        <v>811</v>
      </c>
      <c r="O2592" s="5" t="str">
        <f ca="1">IF(P2592&lt;&gt;"EXPEDIÇÃO","Expedido",IF(NETWORKDAYS(C2592,TODAY())&gt;=5,"Risco Alto",IF(NETWORKDAYS(C2592,TODAY())&gt;=3,IF(NETWORKDAYS(C2592,TODAY())&lt;5,"Risco Médio",""),IF(NETWORKDAYS(C2592,TODAY())&lt;=2,"Risco Baixo",""))))</f>
        <v>Expedido</v>
      </c>
      <c r="P2592" s="5" t="s">
        <v>25</v>
      </c>
      <c r="S2592" s="7">
        <f>IF(ISBLANK(M2592),"Aguardando Previsão/Data",NETWORKDAYS(L2592,M2592)-1)</f>
        <v>-4</v>
      </c>
      <c r="T2592" s="5" t="s">
        <v>942</v>
      </c>
    </row>
    <row r="2593" spans="1:20" x14ac:dyDescent="0.35">
      <c r="A2593" s="5">
        <v>8100279571</v>
      </c>
      <c r="B2593" s="5">
        <v>7255</v>
      </c>
      <c r="C2593" s="6">
        <v>45677</v>
      </c>
      <c r="D2593" s="5" t="s">
        <v>194</v>
      </c>
      <c r="E2593" s="5" t="s">
        <v>195</v>
      </c>
      <c r="F2593" s="5" t="s">
        <v>199</v>
      </c>
      <c r="G2593" s="5" t="s">
        <v>200</v>
      </c>
      <c r="H2593" s="5" t="s">
        <v>108</v>
      </c>
      <c r="I2593" s="5" t="s">
        <v>1110</v>
      </c>
      <c r="J2593" s="5" t="s">
        <v>205</v>
      </c>
      <c r="K2593" s="5" t="s">
        <v>198</v>
      </c>
      <c r="L2593" s="6">
        <v>45685</v>
      </c>
      <c r="M2593" s="6">
        <v>45684</v>
      </c>
      <c r="N2593" s="6" t="s">
        <v>811</v>
      </c>
      <c r="O2593" s="5" t="str">
        <f ca="1">IF(P2593&lt;&gt;"EXPEDIÇÃO","Expedido",IF(NETWORKDAYS(C2593,TODAY())&gt;=5,"Risco Alto",IF(NETWORKDAYS(C2593,TODAY())&gt;=3,IF(NETWORKDAYS(C2593,TODAY())&lt;5,"Risco Médio",""),IF(NETWORKDAYS(C2593,TODAY())&lt;=2,"Risco Baixo",""))))</f>
        <v>Expedido</v>
      </c>
      <c r="P2593" s="5" t="s">
        <v>25</v>
      </c>
      <c r="S2593" s="7">
        <f>IF(ISBLANK(M2593),"Aguardando Previsão/Data",NETWORKDAYS(L2593,M2593)-1)</f>
        <v>-3</v>
      </c>
      <c r="T2593" s="5" t="s">
        <v>942</v>
      </c>
    </row>
    <row r="2594" spans="1:20" x14ac:dyDescent="0.35">
      <c r="A2594" s="5">
        <v>8100279572</v>
      </c>
      <c r="B2594" s="5">
        <v>7248</v>
      </c>
      <c r="C2594" s="6">
        <v>45677</v>
      </c>
      <c r="D2594" s="5" t="s">
        <v>194</v>
      </c>
      <c r="E2594" s="5" t="s">
        <v>195</v>
      </c>
      <c r="F2594" s="5" t="s">
        <v>406</v>
      </c>
      <c r="G2594" s="5" t="s">
        <v>407</v>
      </c>
      <c r="H2594" s="5" t="s">
        <v>108</v>
      </c>
      <c r="I2594" s="5" t="s">
        <v>201</v>
      </c>
      <c r="J2594" s="5" t="s">
        <v>202</v>
      </c>
      <c r="K2594" s="5" t="s">
        <v>198</v>
      </c>
      <c r="L2594" s="6">
        <v>45684</v>
      </c>
      <c r="M2594" s="6">
        <v>45681</v>
      </c>
      <c r="N2594" s="6" t="s">
        <v>811</v>
      </c>
      <c r="O2594" s="5" t="str">
        <f ca="1">IF(P2594&lt;&gt;"EXPEDIÇÃO","Expedido",IF(NETWORKDAYS(C2594,TODAY())&gt;=5,"Risco Alto",IF(NETWORKDAYS(C2594,TODAY())&gt;=3,IF(NETWORKDAYS(C2594,TODAY())&lt;5,"Risco Médio",""),IF(NETWORKDAYS(C2594,TODAY())&lt;=2,"Risco Baixo",""))))</f>
        <v>Expedido</v>
      </c>
      <c r="P2594" s="5" t="s">
        <v>25</v>
      </c>
      <c r="Q2594" s="5" t="s">
        <v>1493</v>
      </c>
      <c r="S2594" s="7">
        <f>IF(ISBLANK(M2594),"Aguardando Previsão/Data",NETWORKDAYS(L2594,M2594)-1)</f>
        <v>-3</v>
      </c>
      <c r="T2594" s="5" t="s">
        <v>942</v>
      </c>
    </row>
    <row r="2595" spans="1:20" x14ac:dyDescent="0.35">
      <c r="A2595" s="5">
        <v>8100279573</v>
      </c>
      <c r="B2595" s="5">
        <v>7247</v>
      </c>
      <c r="C2595" s="6">
        <v>45677</v>
      </c>
      <c r="D2595" s="5" t="s">
        <v>194</v>
      </c>
      <c r="E2595" s="5" t="s">
        <v>195</v>
      </c>
      <c r="F2595" s="5" t="s">
        <v>406</v>
      </c>
      <c r="G2595" s="5" t="s">
        <v>407</v>
      </c>
      <c r="H2595" s="5" t="s">
        <v>108</v>
      </c>
      <c r="I2595" s="5" t="s">
        <v>950</v>
      </c>
      <c r="J2595" s="5" t="s">
        <v>616</v>
      </c>
      <c r="K2595" s="5" t="s">
        <v>198</v>
      </c>
      <c r="L2595" s="6">
        <v>45681</v>
      </c>
      <c r="M2595" s="6">
        <v>45681</v>
      </c>
      <c r="N2595" s="6" t="s">
        <v>811</v>
      </c>
      <c r="O2595" s="5" t="str">
        <f ca="1">IF(P2595&lt;&gt;"EXPEDIÇÃO","Expedido",IF(NETWORKDAYS(C2595,TODAY())&gt;=5,"Risco Alto",IF(NETWORKDAYS(C2595,TODAY())&gt;=3,IF(NETWORKDAYS(C2595,TODAY())&lt;5,"Risco Médio",""),IF(NETWORKDAYS(C2595,TODAY())&lt;=2,"Risco Baixo",""))))</f>
        <v>Expedido</v>
      </c>
      <c r="P2595" s="5" t="s">
        <v>25</v>
      </c>
      <c r="S2595" s="7">
        <f>IF(ISBLANK(M2595),"Aguardando Previsão/Data",NETWORKDAYS(L2595,M2595)-1)</f>
        <v>0</v>
      </c>
      <c r="T2595" s="5" t="s">
        <v>942</v>
      </c>
    </row>
    <row r="2596" spans="1:20" x14ac:dyDescent="0.35">
      <c r="A2596" s="5">
        <v>8100279574</v>
      </c>
      <c r="B2596" s="5">
        <v>7252</v>
      </c>
      <c r="C2596" s="6">
        <v>45677</v>
      </c>
      <c r="D2596" s="5" t="s">
        <v>194</v>
      </c>
      <c r="E2596" s="5" t="s">
        <v>195</v>
      </c>
      <c r="F2596" s="5" t="s">
        <v>199</v>
      </c>
      <c r="G2596" s="5" t="s">
        <v>200</v>
      </c>
      <c r="H2596" s="5" t="s">
        <v>108</v>
      </c>
      <c r="I2596" s="5" t="s">
        <v>1410</v>
      </c>
      <c r="J2596" s="5" t="s">
        <v>1411</v>
      </c>
      <c r="K2596" s="5" t="s">
        <v>198</v>
      </c>
      <c r="L2596" s="6">
        <v>45685</v>
      </c>
      <c r="M2596" s="6">
        <v>45685</v>
      </c>
      <c r="N2596" s="6" t="s">
        <v>811</v>
      </c>
      <c r="O2596" s="5" t="str">
        <f ca="1">IF(P2596&lt;&gt;"EXPEDIÇÃO","Expedido",IF(NETWORKDAYS(C2596,TODAY())&gt;=5,"Risco Alto",IF(NETWORKDAYS(C2596,TODAY())&gt;=3,IF(NETWORKDAYS(C2596,TODAY())&lt;5,"Risco Médio",""),IF(NETWORKDAYS(C2596,TODAY())&lt;=2,"Risco Baixo",""))))</f>
        <v>Expedido</v>
      </c>
      <c r="P2596" s="5" t="s">
        <v>25</v>
      </c>
      <c r="Q2596" s="5" t="s">
        <v>899</v>
      </c>
      <c r="S2596" s="7">
        <f>IF(ISBLANK(M2596),"Aguardando Previsão/Data",NETWORKDAYS(L2596,M2596)-1)</f>
        <v>0</v>
      </c>
      <c r="T2596" s="5" t="s">
        <v>942</v>
      </c>
    </row>
    <row r="2597" spans="1:20" x14ac:dyDescent="0.35">
      <c r="A2597" s="5">
        <v>8100279575</v>
      </c>
      <c r="B2597" s="5">
        <v>7251</v>
      </c>
      <c r="C2597" s="6">
        <v>45677</v>
      </c>
      <c r="D2597" s="5" t="s">
        <v>194</v>
      </c>
      <c r="E2597" s="5" t="s">
        <v>195</v>
      </c>
      <c r="F2597" s="5" t="s">
        <v>199</v>
      </c>
      <c r="G2597" s="5" t="s">
        <v>200</v>
      </c>
      <c r="H2597" s="5" t="s">
        <v>108</v>
      </c>
      <c r="I2597" s="5" t="s">
        <v>1412</v>
      </c>
      <c r="J2597" s="5" t="s">
        <v>1411</v>
      </c>
      <c r="K2597" s="5" t="s">
        <v>198</v>
      </c>
      <c r="L2597" s="6">
        <v>45685</v>
      </c>
      <c r="M2597" s="6">
        <v>45685</v>
      </c>
      <c r="N2597" s="6" t="s">
        <v>811</v>
      </c>
      <c r="O2597" s="5" t="str">
        <f ca="1">IF(P2597&lt;&gt;"EXPEDIÇÃO","Expedido",IF(NETWORKDAYS(C2597,TODAY())&gt;=5,"Risco Alto",IF(NETWORKDAYS(C2597,TODAY())&gt;=3,IF(NETWORKDAYS(C2597,TODAY())&lt;5,"Risco Médio",""),IF(NETWORKDAYS(C2597,TODAY())&lt;=2,"Risco Baixo",""))))</f>
        <v>Expedido</v>
      </c>
      <c r="P2597" s="5" t="s">
        <v>25</v>
      </c>
      <c r="Q2597" s="5" t="s">
        <v>899</v>
      </c>
      <c r="S2597" s="7">
        <f>IF(ISBLANK(M2597),"Aguardando Previsão/Data",NETWORKDAYS(L2597,M2597)-1)</f>
        <v>0</v>
      </c>
      <c r="T2597" s="5" t="s">
        <v>942</v>
      </c>
    </row>
    <row r="2598" spans="1:20" x14ac:dyDescent="0.35">
      <c r="A2598" s="5">
        <v>8100279576</v>
      </c>
      <c r="B2598" s="5">
        <v>7237</v>
      </c>
      <c r="C2598" s="6">
        <v>45677</v>
      </c>
      <c r="D2598" s="5" t="s">
        <v>194</v>
      </c>
      <c r="E2598" s="5" t="s">
        <v>195</v>
      </c>
      <c r="F2598" s="5" t="s">
        <v>69</v>
      </c>
      <c r="G2598" s="5" t="s">
        <v>70</v>
      </c>
      <c r="H2598" s="5" t="s">
        <v>108</v>
      </c>
      <c r="I2598" s="5" t="s">
        <v>509</v>
      </c>
      <c r="J2598" s="5" t="s">
        <v>291</v>
      </c>
      <c r="K2598" s="5" t="s">
        <v>198</v>
      </c>
      <c r="L2598" s="6">
        <v>45684</v>
      </c>
      <c r="M2598" s="6">
        <v>45681</v>
      </c>
      <c r="N2598" s="6" t="s">
        <v>811</v>
      </c>
      <c r="O2598" s="5" t="str">
        <f ca="1">IF(P2598&lt;&gt;"EXPEDIÇÃO","Expedido",IF(NETWORKDAYS(C2598,TODAY())&gt;=5,"Risco Alto",IF(NETWORKDAYS(C2598,TODAY())&gt;=3,IF(NETWORKDAYS(C2598,TODAY())&lt;5,"Risco Médio",""),IF(NETWORKDAYS(C2598,TODAY())&lt;=2,"Risco Baixo",""))))</f>
        <v>Expedido</v>
      </c>
      <c r="P2598" s="5" t="s">
        <v>25</v>
      </c>
      <c r="Q2598" s="5" t="s">
        <v>899</v>
      </c>
      <c r="S2598" s="7">
        <f>IF(ISBLANK(M2598),"Aguardando Previsão/Data",NETWORKDAYS(L2598,M2598)-1)</f>
        <v>-3</v>
      </c>
      <c r="T2598" s="5" t="s">
        <v>942</v>
      </c>
    </row>
    <row r="2599" spans="1:20" x14ac:dyDescent="0.35">
      <c r="A2599" s="5">
        <v>8100279577</v>
      </c>
      <c r="B2599" s="5">
        <v>7253</v>
      </c>
      <c r="C2599" s="6">
        <v>45677</v>
      </c>
      <c r="D2599" s="5" t="s">
        <v>194</v>
      </c>
      <c r="E2599" s="5" t="s">
        <v>195</v>
      </c>
      <c r="F2599" s="5" t="s">
        <v>199</v>
      </c>
      <c r="G2599" s="5" t="s">
        <v>200</v>
      </c>
      <c r="H2599" s="5" t="s">
        <v>108</v>
      </c>
      <c r="I2599" s="5" t="s">
        <v>991</v>
      </c>
      <c r="J2599" s="5" t="s">
        <v>205</v>
      </c>
      <c r="K2599" s="5" t="s">
        <v>198</v>
      </c>
      <c r="L2599" s="6">
        <v>45685</v>
      </c>
      <c r="M2599" s="6">
        <v>45685</v>
      </c>
      <c r="N2599" s="6" t="s">
        <v>811</v>
      </c>
      <c r="O2599" s="5" t="str">
        <f ca="1">IF(P2599&lt;&gt;"EXPEDIÇÃO","Expedido",IF(NETWORKDAYS(C2599,TODAY())&gt;=5,"Risco Alto",IF(NETWORKDAYS(C2599,TODAY())&gt;=3,IF(NETWORKDAYS(C2599,TODAY())&lt;5,"Risco Médio",""),IF(NETWORKDAYS(C2599,TODAY())&lt;=2,"Risco Baixo",""))))</f>
        <v>Expedido</v>
      </c>
      <c r="P2599" s="5" t="s">
        <v>25</v>
      </c>
      <c r="Q2599" s="5" t="s">
        <v>1571</v>
      </c>
      <c r="S2599" s="7">
        <f>IF(ISBLANK(M2599),"Aguardando Previsão/Data",NETWORKDAYS(L2599,M2599)-1)</f>
        <v>0</v>
      </c>
      <c r="T2599" s="5" t="s">
        <v>942</v>
      </c>
    </row>
    <row r="2600" spans="1:20" x14ac:dyDescent="0.35">
      <c r="A2600" s="5">
        <v>8100279578</v>
      </c>
      <c r="B2600" s="5">
        <v>7254</v>
      </c>
      <c r="C2600" s="6">
        <v>45677</v>
      </c>
      <c r="D2600" s="5" t="s">
        <v>194</v>
      </c>
      <c r="E2600" s="5" t="s">
        <v>195</v>
      </c>
      <c r="F2600" s="5" t="s">
        <v>199</v>
      </c>
      <c r="G2600" s="5" t="s">
        <v>200</v>
      </c>
      <c r="H2600" s="5" t="s">
        <v>108</v>
      </c>
      <c r="I2600" s="5" t="s">
        <v>991</v>
      </c>
      <c r="J2600" s="5" t="s">
        <v>205</v>
      </c>
      <c r="K2600" s="5" t="s">
        <v>198</v>
      </c>
      <c r="L2600" s="6">
        <v>45685</v>
      </c>
      <c r="M2600" s="6">
        <v>45685</v>
      </c>
      <c r="N2600" s="6" t="s">
        <v>811</v>
      </c>
      <c r="O2600" s="5" t="str">
        <f ca="1">IF(P2600&lt;&gt;"EXPEDIÇÃO","Expedido",IF(NETWORKDAYS(C2600,TODAY())&gt;=5,"Risco Alto",IF(NETWORKDAYS(C2600,TODAY())&gt;=3,IF(NETWORKDAYS(C2600,TODAY())&lt;5,"Risco Médio",""),IF(NETWORKDAYS(C2600,TODAY())&lt;=2,"Risco Baixo",""))))</f>
        <v>Expedido</v>
      </c>
      <c r="P2600" s="5" t="s">
        <v>25</v>
      </c>
      <c r="Q2600" s="5" t="s">
        <v>1571</v>
      </c>
      <c r="S2600" s="7">
        <f>IF(ISBLANK(M2600),"Aguardando Previsão/Data",NETWORKDAYS(L2600,M2600)-1)</f>
        <v>0</v>
      </c>
      <c r="T2600" s="5" t="s">
        <v>942</v>
      </c>
    </row>
    <row r="2601" spans="1:20" x14ac:dyDescent="0.35">
      <c r="A2601" s="5">
        <v>8100279579</v>
      </c>
      <c r="B2601" s="5">
        <v>7250</v>
      </c>
      <c r="C2601" s="6">
        <v>45677</v>
      </c>
      <c r="D2601" s="5" t="s">
        <v>194</v>
      </c>
      <c r="E2601" s="5" t="s">
        <v>195</v>
      </c>
      <c r="F2601" s="5" t="s">
        <v>406</v>
      </c>
      <c r="G2601" s="5" t="s">
        <v>407</v>
      </c>
      <c r="H2601" s="5" t="s">
        <v>108</v>
      </c>
      <c r="I2601" s="5" t="s">
        <v>1203</v>
      </c>
      <c r="J2601" s="5" t="s">
        <v>407</v>
      </c>
      <c r="K2601" s="5" t="s">
        <v>198</v>
      </c>
      <c r="L2601" s="6">
        <v>45681</v>
      </c>
      <c r="M2601" s="6">
        <v>45680</v>
      </c>
      <c r="N2601" s="6" t="s">
        <v>811</v>
      </c>
      <c r="O2601" s="5" t="str">
        <f ca="1">IF(P2601&lt;&gt;"EXPEDIÇÃO","Expedido",IF(NETWORKDAYS(C2601,TODAY())&gt;=5,"Risco Alto",IF(NETWORKDAYS(C2601,TODAY())&gt;=3,IF(NETWORKDAYS(C2601,TODAY())&lt;5,"Risco Médio",""),IF(NETWORKDAYS(C2601,TODAY())&lt;=2,"Risco Baixo",""))))</f>
        <v>Expedido</v>
      </c>
      <c r="P2601" s="5" t="s">
        <v>25</v>
      </c>
      <c r="S2601" s="7">
        <f>IF(ISBLANK(M2601),"Aguardando Previsão/Data",NETWORKDAYS(L2601,M2601)-1)</f>
        <v>-3</v>
      </c>
      <c r="T2601" s="5" t="s">
        <v>942</v>
      </c>
    </row>
    <row r="2602" spans="1:20" x14ac:dyDescent="0.35">
      <c r="A2602" s="5">
        <v>8100279580</v>
      </c>
      <c r="B2602" s="5">
        <v>7259</v>
      </c>
      <c r="C2602" s="6">
        <v>45677</v>
      </c>
      <c r="D2602" s="5" t="s">
        <v>194</v>
      </c>
      <c r="E2602" s="5" t="s">
        <v>195</v>
      </c>
      <c r="F2602" s="5" t="s">
        <v>406</v>
      </c>
      <c r="G2602" s="5" t="s">
        <v>407</v>
      </c>
      <c r="H2602" s="5" t="s">
        <v>108</v>
      </c>
      <c r="I2602" s="5" t="s">
        <v>633</v>
      </c>
      <c r="J2602" s="5" t="s">
        <v>407</v>
      </c>
      <c r="K2602" s="5" t="s">
        <v>198</v>
      </c>
      <c r="L2602" s="6">
        <v>45681</v>
      </c>
      <c r="M2602" s="6">
        <v>45680</v>
      </c>
      <c r="N2602" s="6" t="s">
        <v>811</v>
      </c>
      <c r="O2602" s="5" t="str">
        <f ca="1">IF(P2602&lt;&gt;"EXPEDIÇÃO","Expedido",IF(NETWORKDAYS(C2602,TODAY())&gt;=5,"Risco Alto",IF(NETWORKDAYS(C2602,TODAY())&gt;=3,IF(NETWORKDAYS(C2602,TODAY())&lt;5,"Risco Médio",""),IF(NETWORKDAYS(C2602,TODAY())&lt;=2,"Risco Baixo",""))))</f>
        <v>Expedido</v>
      </c>
      <c r="P2602" s="5" t="s">
        <v>25</v>
      </c>
      <c r="S2602" s="7">
        <f>IF(ISBLANK(M2602),"Aguardando Previsão/Data",NETWORKDAYS(L2602,M2602)-1)</f>
        <v>-3</v>
      </c>
      <c r="T2602" s="5" t="s">
        <v>942</v>
      </c>
    </row>
    <row r="2603" spans="1:20" x14ac:dyDescent="0.35">
      <c r="A2603" s="5">
        <v>8100279581</v>
      </c>
      <c r="B2603" s="5">
        <v>7256</v>
      </c>
      <c r="C2603" s="6">
        <v>45677</v>
      </c>
      <c r="D2603" s="5" t="s">
        <v>194</v>
      </c>
      <c r="E2603" s="5" t="s">
        <v>195</v>
      </c>
      <c r="F2603" s="5" t="s">
        <v>406</v>
      </c>
      <c r="G2603" s="5" t="s">
        <v>407</v>
      </c>
      <c r="H2603" s="5" t="s">
        <v>108</v>
      </c>
      <c r="I2603" s="5" t="s">
        <v>201</v>
      </c>
      <c r="J2603" s="5" t="s">
        <v>202</v>
      </c>
      <c r="K2603" s="5" t="s">
        <v>198</v>
      </c>
      <c r="L2603" s="6">
        <v>45684</v>
      </c>
      <c r="M2603" s="6">
        <v>45681</v>
      </c>
      <c r="N2603" s="6" t="s">
        <v>811</v>
      </c>
      <c r="O2603" s="5" t="str">
        <f ca="1">IF(P2603&lt;&gt;"EXPEDIÇÃO","Expedido",IF(NETWORKDAYS(C2603,TODAY())&gt;=5,"Risco Alto",IF(NETWORKDAYS(C2603,TODAY())&gt;=3,IF(NETWORKDAYS(C2603,TODAY())&lt;5,"Risco Médio",""),IF(NETWORKDAYS(C2603,TODAY())&lt;=2,"Risco Baixo",""))))</f>
        <v>Expedido</v>
      </c>
      <c r="P2603" s="5" t="s">
        <v>25</v>
      </c>
      <c r="Q2603" s="5" t="s">
        <v>1493</v>
      </c>
      <c r="S2603" s="7">
        <f>IF(ISBLANK(M2603),"Aguardando Previsão/Data",NETWORKDAYS(L2603,M2603)-1)</f>
        <v>-3</v>
      </c>
      <c r="T2603" s="5" t="s">
        <v>942</v>
      </c>
    </row>
    <row r="2604" spans="1:20" x14ac:dyDescent="0.35">
      <c r="A2604" s="5">
        <v>8100279582</v>
      </c>
      <c r="B2604" s="5">
        <v>7258</v>
      </c>
      <c r="C2604" s="6">
        <v>45677</v>
      </c>
      <c r="D2604" s="5" t="s">
        <v>194</v>
      </c>
      <c r="E2604" s="5" t="s">
        <v>195</v>
      </c>
      <c r="F2604" s="5" t="s">
        <v>406</v>
      </c>
      <c r="G2604" s="5" t="s">
        <v>407</v>
      </c>
      <c r="H2604" s="5" t="s">
        <v>108</v>
      </c>
      <c r="I2604" s="5" t="s">
        <v>201</v>
      </c>
      <c r="J2604" s="5" t="s">
        <v>202</v>
      </c>
      <c r="K2604" s="5" t="s">
        <v>198</v>
      </c>
      <c r="L2604" s="6">
        <v>45684</v>
      </c>
      <c r="M2604" s="6">
        <v>45681</v>
      </c>
      <c r="N2604" s="6" t="s">
        <v>811</v>
      </c>
      <c r="O2604" s="5" t="str">
        <f ca="1">IF(P2604&lt;&gt;"EXPEDIÇÃO","Expedido",IF(NETWORKDAYS(C2604,TODAY())&gt;=5,"Risco Alto",IF(NETWORKDAYS(C2604,TODAY())&gt;=3,IF(NETWORKDAYS(C2604,TODAY())&lt;5,"Risco Médio",""),IF(NETWORKDAYS(C2604,TODAY())&lt;=2,"Risco Baixo",""))))</f>
        <v>Expedido</v>
      </c>
      <c r="P2604" s="5" t="s">
        <v>25</v>
      </c>
      <c r="Q2604" s="5" t="s">
        <v>1493</v>
      </c>
      <c r="S2604" s="7">
        <f>IF(ISBLANK(M2604),"Aguardando Previsão/Data",NETWORKDAYS(L2604,M2604)-1)</f>
        <v>-3</v>
      </c>
      <c r="T2604" s="5" t="s">
        <v>942</v>
      </c>
    </row>
    <row r="2605" spans="1:20" x14ac:dyDescent="0.35">
      <c r="A2605" s="5">
        <v>8100279584</v>
      </c>
      <c r="B2605" s="5">
        <v>7241</v>
      </c>
      <c r="C2605" s="6">
        <v>45677</v>
      </c>
      <c r="D2605" s="5" t="s">
        <v>194</v>
      </c>
      <c r="E2605" s="5" t="s">
        <v>195</v>
      </c>
      <c r="F2605" s="5" t="s">
        <v>406</v>
      </c>
      <c r="G2605" s="5" t="s">
        <v>407</v>
      </c>
      <c r="H2605" s="5" t="s">
        <v>108</v>
      </c>
      <c r="I2605" s="5" t="s">
        <v>689</v>
      </c>
      <c r="J2605" s="5" t="s">
        <v>204</v>
      </c>
      <c r="K2605" s="5" t="s">
        <v>198</v>
      </c>
      <c r="L2605" s="6">
        <v>45684</v>
      </c>
      <c r="M2605" s="6">
        <v>45680</v>
      </c>
      <c r="N2605" s="6" t="s">
        <v>811</v>
      </c>
      <c r="O2605" s="5" t="str">
        <f ca="1">IF(P2605&lt;&gt;"EXPEDIÇÃO","Expedido",IF(NETWORKDAYS(C2605,TODAY())&gt;=5,"Risco Alto",IF(NETWORKDAYS(C2605,TODAY())&gt;=3,IF(NETWORKDAYS(C2605,TODAY())&lt;5,"Risco Médio",""),IF(NETWORKDAYS(C2605,TODAY())&lt;=2,"Risco Baixo",""))))</f>
        <v>Expedido</v>
      </c>
      <c r="P2605" s="5" t="s">
        <v>25</v>
      </c>
      <c r="S2605" s="7">
        <f>IF(ISBLANK(M2605),"Aguardando Previsão/Data",NETWORKDAYS(L2605,M2605)-1)</f>
        <v>-4</v>
      </c>
      <c r="T2605" s="5" t="s">
        <v>942</v>
      </c>
    </row>
    <row r="2606" spans="1:20" x14ac:dyDescent="0.35">
      <c r="A2606" s="5">
        <v>8100279585</v>
      </c>
      <c r="B2606" s="5">
        <v>7235</v>
      </c>
      <c r="C2606" s="6">
        <v>45677</v>
      </c>
      <c r="D2606" s="5" t="s">
        <v>194</v>
      </c>
      <c r="E2606" s="5" t="s">
        <v>195</v>
      </c>
      <c r="F2606" s="5" t="s">
        <v>58</v>
      </c>
      <c r="G2606" s="5" t="s">
        <v>59</v>
      </c>
      <c r="H2606" s="5" t="s">
        <v>108</v>
      </c>
      <c r="I2606" s="5" t="s">
        <v>209</v>
      </c>
      <c r="J2606" s="5" t="s">
        <v>210</v>
      </c>
      <c r="K2606" s="5" t="s">
        <v>198</v>
      </c>
      <c r="L2606" s="6">
        <v>45684</v>
      </c>
      <c r="M2606" s="6">
        <v>45680</v>
      </c>
      <c r="N2606" s="6" t="s">
        <v>811</v>
      </c>
      <c r="O2606" s="5" t="str">
        <f ca="1">IF(P2606&lt;&gt;"EXPEDIÇÃO","Expedido",IF(NETWORKDAYS(C2606,TODAY())&gt;=5,"Risco Alto",IF(NETWORKDAYS(C2606,TODAY())&gt;=3,IF(NETWORKDAYS(C2606,TODAY())&lt;5,"Risco Médio",""),IF(NETWORKDAYS(C2606,TODAY())&lt;=2,"Risco Baixo",""))))</f>
        <v>Expedido</v>
      </c>
      <c r="P2606" s="5" t="s">
        <v>25</v>
      </c>
      <c r="S2606" s="7">
        <f>IF(ISBLANK(M2606),"Aguardando Previsão/Data",NETWORKDAYS(L2606,M2606)-1)</f>
        <v>-4</v>
      </c>
      <c r="T2606" s="5" t="s">
        <v>942</v>
      </c>
    </row>
    <row r="2607" spans="1:20" x14ac:dyDescent="0.35">
      <c r="A2607" s="5">
        <v>8100279588</v>
      </c>
      <c r="B2607" s="5">
        <v>7260</v>
      </c>
      <c r="C2607" s="6">
        <v>45677</v>
      </c>
      <c r="D2607" s="5" t="s">
        <v>194</v>
      </c>
      <c r="E2607" s="5" t="s">
        <v>195</v>
      </c>
      <c r="F2607" s="5" t="s">
        <v>406</v>
      </c>
      <c r="G2607" s="5" t="s">
        <v>407</v>
      </c>
      <c r="H2607" s="5" t="s">
        <v>108</v>
      </c>
      <c r="I2607" s="5" t="s">
        <v>201</v>
      </c>
      <c r="J2607" s="5" t="s">
        <v>202</v>
      </c>
      <c r="K2607" s="5" t="s">
        <v>198</v>
      </c>
      <c r="L2607" s="6">
        <v>45684</v>
      </c>
      <c r="M2607" s="6">
        <v>45681</v>
      </c>
      <c r="N2607" s="6" t="s">
        <v>811</v>
      </c>
      <c r="O2607" s="5" t="str">
        <f ca="1">IF(P2607&lt;&gt;"EXPEDIÇÃO","Expedido",IF(NETWORKDAYS(C2607,TODAY())&gt;=5,"Risco Alto",IF(NETWORKDAYS(C2607,TODAY())&gt;=3,IF(NETWORKDAYS(C2607,TODAY())&lt;5,"Risco Médio",""),IF(NETWORKDAYS(C2607,TODAY())&lt;=2,"Risco Baixo",""))))</f>
        <v>Expedido</v>
      </c>
      <c r="P2607" s="5" t="s">
        <v>25</v>
      </c>
      <c r="S2607" s="7">
        <f>IF(ISBLANK(M2607),"Aguardando Previsão/Data",NETWORKDAYS(L2607,M2607)-1)</f>
        <v>-3</v>
      </c>
      <c r="T2607" s="5" t="s">
        <v>942</v>
      </c>
    </row>
    <row r="2608" spans="1:20" x14ac:dyDescent="0.35">
      <c r="A2608" s="5">
        <v>8100279589</v>
      </c>
      <c r="B2608" s="5">
        <v>7234</v>
      </c>
      <c r="C2608" s="6">
        <v>45677</v>
      </c>
      <c r="D2608" s="5" t="s">
        <v>194</v>
      </c>
      <c r="E2608" s="5" t="s">
        <v>195</v>
      </c>
      <c r="F2608" s="5" t="s">
        <v>199</v>
      </c>
      <c r="G2608" s="5" t="s">
        <v>200</v>
      </c>
      <c r="H2608" s="5" t="s">
        <v>108</v>
      </c>
      <c r="I2608" s="5" t="s">
        <v>1412</v>
      </c>
      <c r="J2608" s="5" t="s">
        <v>1411</v>
      </c>
      <c r="K2608" s="5" t="s">
        <v>198</v>
      </c>
      <c r="L2608" s="6">
        <v>45685</v>
      </c>
      <c r="M2608" s="6">
        <v>45685</v>
      </c>
      <c r="N2608" s="6" t="s">
        <v>811</v>
      </c>
      <c r="O2608" s="5" t="str">
        <f ca="1">IF(P2608&lt;&gt;"EXPEDIÇÃO","Expedido",IF(NETWORKDAYS(C2608,TODAY())&gt;=5,"Risco Alto",IF(NETWORKDAYS(C2608,TODAY())&gt;=3,IF(NETWORKDAYS(C2608,TODAY())&lt;5,"Risco Médio",""),IF(NETWORKDAYS(C2608,TODAY())&lt;=2,"Risco Baixo",""))))</f>
        <v>Expedido</v>
      </c>
      <c r="P2608" s="5" t="s">
        <v>25</v>
      </c>
      <c r="Q2608" s="5" t="s">
        <v>899</v>
      </c>
      <c r="S2608" s="7">
        <f>IF(ISBLANK(M2608),"Aguardando Previsão/Data",NETWORKDAYS(L2608,M2608)-1)</f>
        <v>0</v>
      </c>
      <c r="T2608" s="5" t="s">
        <v>942</v>
      </c>
    </row>
    <row r="2609" spans="1:20" x14ac:dyDescent="0.35">
      <c r="A2609" s="5">
        <v>8100279621</v>
      </c>
      <c r="B2609" s="5">
        <v>7243</v>
      </c>
      <c r="C2609" s="6">
        <v>45677</v>
      </c>
      <c r="D2609" s="5" t="s">
        <v>194</v>
      </c>
      <c r="E2609" s="5" t="s">
        <v>195</v>
      </c>
      <c r="F2609" s="5" t="s">
        <v>199</v>
      </c>
      <c r="G2609" s="5" t="s">
        <v>200</v>
      </c>
      <c r="H2609" s="5" t="s">
        <v>108</v>
      </c>
      <c r="I2609" s="5" t="s">
        <v>731</v>
      </c>
      <c r="J2609" s="5" t="s">
        <v>200</v>
      </c>
      <c r="K2609" s="5" t="s">
        <v>198</v>
      </c>
      <c r="L2609" s="6">
        <v>45684</v>
      </c>
      <c r="M2609" s="6">
        <v>45681</v>
      </c>
      <c r="N2609" s="6" t="s">
        <v>811</v>
      </c>
      <c r="O2609" s="5" t="str">
        <f ca="1">IF(P2609&lt;&gt;"EXPEDIÇÃO","Expedido",IF(NETWORKDAYS(C2609,TODAY())&gt;=5,"Risco Alto",IF(NETWORKDAYS(C2609,TODAY())&gt;=3,IF(NETWORKDAYS(C2609,TODAY())&lt;5,"Risco Médio",""),IF(NETWORKDAYS(C2609,TODAY())&lt;=2,"Risco Baixo",""))))</f>
        <v>Expedido</v>
      </c>
      <c r="P2609" s="5" t="s">
        <v>25</v>
      </c>
      <c r="Q2609" s="5" t="s">
        <v>1494</v>
      </c>
      <c r="S2609" s="7">
        <f>IF(ISBLANK(M2609),"Aguardando Previsão/Data",NETWORKDAYS(L2609,M2609)-1)</f>
        <v>-3</v>
      </c>
      <c r="T2609" s="5" t="s">
        <v>942</v>
      </c>
    </row>
    <row r="2610" spans="1:20" x14ac:dyDescent="0.35">
      <c r="A2610" s="5">
        <v>8100280036</v>
      </c>
      <c r="B2610" s="5">
        <v>7261</v>
      </c>
      <c r="C2610" s="6">
        <v>45677</v>
      </c>
      <c r="D2610" s="5" t="s">
        <v>194</v>
      </c>
      <c r="E2610" s="5" t="s">
        <v>195</v>
      </c>
      <c r="F2610" s="5" t="s">
        <v>69</v>
      </c>
      <c r="G2610" s="5" t="s">
        <v>70</v>
      </c>
      <c r="H2610" s="5" t="s">
        <v>108</v>
      </c>
      <c r="I2610" s="5" t="s">
        <v>544</v>
      </c>
      <c r="J2610" s="5" t="s">
        <v>202</v>
      </c>
      <c r="K2610" s="5" t="s">
        <v>198</v>
      </c>
      <c r="L2610" s="6">
        <v>45684</v>
      </c>
      <c r="M2610" s="6">
        <v>45680</v>
      </c>
      <c r="N2610" s="6" t="s">
        <v>811</v>
      </c>
      <c r="O2610" s="5" t="str">
        <f ca="1">IF(P2610&lt;&gt;"EXPEDIÇÃO","Expedido",IF(NETWORKDAYS(C2610,TODAY())&gt;=5,"Risco Alto",IF(NETWORKDAYS(C2610,TODAY())&gt;=3,IF(NETWORKDAYS(C2610,TODAY())&lt;5,"Risco Médio",""),IF(NETWORKDAYS(C2610,TODAY())&lt;=2,"Risco Baixo",""))))</f>
        <v>Expedido</v>
      </c>
      <c r="P2610" s="5" t="s">
        <v>25</v>
      </c>
      <c r="Q2610" s="5" t="s">
        <v>1496</v>
      </c>
      <c r="S2610" s="7">
        <f>IF(ISBLANK(M2610),"Aguardando Previsão/Data",NETWORKDAYS(L2610,M2610)-1)</f>
        <v>-4</v>
      </c>
      <c r="T2610" s="5" t="s">
        <v>942</v>
      </c>
    </row>
    <row r="2611" spans="1:20" x14ac:dyDescent="0.35">
      <c r="A2611" s="5">
        <v>8100280155</v>
      </c>
      <c r="B2611" s="5">
        <v>7262</v>
      </c>
      <c r="C2611" s="6">
        <v>45677</v>
      </c>
      <c r="D2611" s="5" t="s">
        <v>194</v>
      </c>
      <c r="E2611" s="5" t="s">
        <v>195</v>
      </c>
      <c r="F2611" s="5" t="s">
        <v>69</v>
      </c>
      <c r="G2611" s="5" t="s">
        <v>70</v>
      </c>
      <c r="H2611" s="5" t="s">
        <v>108</v>
      </c>
      <c r="I2611" s="5" t="s">
        <v>544</v>
      </c>
      <c r="J2611" s="5" t="s">
        <v>202</v>
      </c>
      <c r="K2611" s="5" t="s">
        <v>198</v>
      </c>
      <c r="L2611" s="6">
        <v>45684</v>
      </c>
      <c r="M2611" s="6">
        <v>45680</v>
      </c>
      <c r="N2611" s="6" t="s">
        <v>811</v>
      </c>
      <c r="O2611" s="5" t="str">
        <f ca="1">IF(P2611&lt;&gt;"EXPEDIÇÃO","Expedido",IF(NETWORKDAYS(C2611,TODAY())&gt;=5,"Risco Alto",IF(NETWORKDAYS(C2611,TODAY())&gt;=3,IF(NETWORKDAYS(C2611,TODAY())&lt;5,"Risco Médio",""),IF(NETWORKDAYS(C2611,TODAY())&lt;=2,"Risco Baixo",""))))</f>
        <v>Expedido</v>
      </c>
      <c r="P2611" s="5" t="s">
        <v>25</v>
      </c>
      <c r="Q2611" s="5" t="s">
        <v>1496</v>
      </c>
      <c r="S2611" s="7">
        <f>IF(ISBLANK(M2611),"Aguardando Previsão/Data",NETWORKDAYS(L2611,M2611)-1)</f>
        <v>-4</v>
      </c>
      <c r="T2611" s="5" t="s">
        <v>942</v>
      </c>
    </row>
    <row r="2612" spans="1:20" x14ac:dyDescent="0.35">
      <c r="A2612" s="5">
        <v>8100279583</v>
      </c>
      <c r="B2612" s="5">
        <v>7240</v>
      </c>
      <c r="C2612" s="6">
        <v>45677</v>
      </c>
      <c r="D2612" s="5" t="s">
        <v>194</v>
      </c>
      <c r="E2612" s="5" t="s">
        <v>195</v>
      </c>
      <c r="F2612" s="5" t="s">
        <v>406</v>
      </c>
      <c r="G2612" s="5" t="s">
        <v>407</v>
      </c>
      <c r="H2612" s="5" t="s">
        <v>108</v>
      </c>
      <c r="I2612" s="5" t="s">
        <v>689</v>
      </c>
      <c r="J2612" s="5" t="s">
        <v>204</v>
      </c>
      <c r="K2612" s="5" t="s">
        <v>198</v>
      </c>
      <c r="L2612" s="6">
        <v>45684</v>
      </c>
      <c r="M2612" s="6">
        <v>45680</v>
      </c>
      <c r="N2612" s="6" t="s">
        <v>811</v>
      </c>
      <c r="O2612" s="5" t="str">
        <f ca="1">IF(P2612&lt;&gt;"EXPEDIÇÃO","Expedido",IF(NETWORKDAYS(C2612,TODAY())&gt;=5,"Risco Alto",IF(NETWORKDAYS(C2612,TODAY())&gt;=3,IF(NETWORKDAYS(C2612,TODAY())&lt;5,"Risco Médio",""),IF(NETWORKDAYS(C2612,TODAY())&lt;=2,"Risco Baixo",""))))</f>
        <v>Expedido</v>
      </c>
      <c r="P2612" s="5" t="s">
        <v>25</v>
      </c>
      <c r="S2612" s="7">
        <f>IF(ISBLANK(M2612),"Aguardando Previsão/Data",NETWORKDAYS(L2612,M2612)-1)</f>
        <v>-4</v>
      </c>
      <c r="T2612" s="5" t="s">
        <v>942</v>
      </c>
    </row>
    <row r="2613" spans="1:20" x14ac:dyDescent="0.35">
      <c r="A2613" s="5">
        <v>8100279586</v>
      </c>
      <c r="B2613" s="5">
        <v>7257</v>
      </c>
      <c r="C2613" s="6">
        <v>45677</v>
      </c>
      <c r="D2613" s="5" t="s">
        <v>194</v>
      </c>
      <c r="E2613" s="5" t="s">
        <v>195</v>
      </c>
      <c r="F2613" s="5" t="s">
        <v>406</v>
      </c>
      <c r="G2613" s="5" t="s">
        <v>407</v>
      </c>
      <c r="H2613" s="5" t="s">
        <v>108</v>
      </c>
      <c r="I2613" s="5" t="s">
        <v>1397</v>
      </c>
      <c r="J2613" s="5" t="s">
        <v>407</v>
      </c>
      <c r="K2613" s="5" t="s">
        <v>198</v>
      </c>
      <c r="L2613" s="6">
        <v>45681</v>
      </c>
      <c r="M2613" s="6">
        <v>45680</v>
      </c>
      <c r="N2613" s="6" t="s">
        <v>811</v>
      </c>
      <c r="O2613" s="5" t="str">
        <f ca="1">IF(P2613&lt;&gt;"EXPEDIÇÃO","Expedido",IF(NETWORKDAYS(C2613,TODAY())&gt;=5,"Risco Alto",IF(NETWORKDAYS(C2613,TODAY())&gt;=3,IF(NETWORKDAYS(C2613,TODAY())&lt;5,"Risco Médio",""),IF(NETWORKDAYS(C2613,TODAY())&lt;=2,"Risco Baixo",""))))</f>
        <v>Expedido</v>
      </c>
      <c r="P2613" s="5" t="s">
        <v>25</v>
      </c>
      <c r="S2613" s="7">
        <f>IF(ISBLANK(M2613),"Aguardando Previsão/Data",NETWORKDAYS(L2613,M2613)-1)</f>
        <v>-3</v>
      </c>
      <c r="T2613" s="5" t="s">
        <v>942</v>
      </c>
    </row>
    <row r="2614" spans="1:20" x14ac:dyDescent="0.35">
      <c r="A2614" s="5">
        <v>8100279674</v>
      </c>
      <c r="B2614" s="5">
        <v>14548</v>
      </c>
      <c r="C2614" s="6">
        <v>45677</v>
      </c>
      <c r="D2614" s="5" t="s">
        <v>211</v>
      </c>
      <c r="E2614" s="5" t="s">
        <v>212</v>
      </c>
      <c r="F2614" s="5" t="s">
        <v>66</v>
      </c>
      <c r="G2614" s="5" t="s">
        <v>67</v>
      </c>
      <c r="H2614" s="5" t="s">
        <v>108</v>
      </c>
      <c r="I2614" s="5" t="s">
        <v>315</v>
      </c>
      <c r="J2614" s="5" t="s">
        <v>316</v>
      </c>
      <c r="K2614" s="5" t="s">
        <v>156</v>
      </c>
      <c r="L2614" s="6">
        <v>45687</v>
      </c>
      <c r="M2614" s="6">
        <v>45686</v>
      </c>
      <c r="N2614" s="6" t="s">
        <v>811</v>
      </c>
      <c r="O2614" s="5" t="str">
        <f ca="1">IF(P2614&lt;&gt;"EXPEDIÇÃO","Expedido",IF(NETWORKDAYS(C2614,TODAY())&gt;=5,"Risco Alto",IF(NETWORKDAYS(C2614,TODAY())&gt;=3,IF(NETWORKDAYS(C2614,TODAY())&lt;5,"Risco Médio",""),IF(NETWORKDAYS(C2614,TODAY())&lt;=2,"Risco Baixo",""))))</f>
        <v>Expedido</v>
      </c>
      <c r="P2614" s="5" t="s">
        <v>25</v>
      </c>
      <c r="S2614" s="7">
        <f>IF(ISBLANK(M2614),"Aguardando Previsão/Data",NETWORKDAYS(L2614,M2614)-1)</f>
        <v>-3</v>
      </c>
      <c r="T2614" s="5" t="s">
        <v>942</v>
      </c>
    </row>
    <row r="2615" spans="1:20" x14ac:dyDescent="0.35">
      <c r="A2615" s="5">
        <v>8100279675</v>
      </c>
      <c r="B2615" s="5">
        <v>14547</v>
      </c>
      <c r="C2615" s="6">
        <v>45677</v>
      </c>
      <c r="D2615" s="5" t="s">
        <v>211</v>
      </c>
      <c r="E2615" s="5" t="s">
        <v>212</v>
      </c>
      <c r="F2615" s="5" t="s">
        <v>66</v>
      </c>
      <c r="G2615" s="5" t="s">
        <v>67</v>
      </c>
      <c r="H2615" s="5" t="s">
        <v>108</v>
      </c>
      <c r="I2615" s="5" t="s">
        <v>517</v>
      </c>
      <c r="J2615" s="5" t="s">
        <v>316</v>
      </c>
      <c r="K2615" s="5" t="s">
        <v>156</v>
      </c>
      <c r="L2615" s="6">
        <v>45687</v>
      </c>
      <c r="M2615" s="6">
        <v>45686</v>
      </c>
      <c r="N2615" s="6" t="s">
        <v>811</v>
      </c>
      <c r="O2615" s="5" t="str">
        <f ca="1">IF(P2615&lt;&gt;"EXPEDIÇÃO","Expedido",IF(NETWORKDAYS(C2615,TODAY())&gt;=5,"Risco Alto",IF(NETWORKDAYS(C2615,TODAY())&gt;=3,IF(NETWORKDAYS(C2615,TODAY())&lt;5,"Risco Médio",""),IF(NETWORKDAYS(C2615,TODAY())&lt;=2,"Risco Baixo",""))))</f>
        <v>Expedido</v>
      </c>
      <c r="P2615" s="5" t="s">
        <v>25</v>
      </c>
      <c r="S2615" s="7">
        <f>IF(ISBLANK(M2615),"Aguardando Previsão/Data",NETWORKDAYS(L2615,M2615)-1)</f>
        <v>-3</v>
      </c>
      <c r="T2615" s="5" t="s">
        <v>942</v>
      </c>
    </row>
    <row r="2616" spans="1:20" x14ac:dyDescent="0.35">
      <c r="A2616" s="5">
        <v>8100279676</v>
      </c>
      <c r="B2616" s="5">
        <v>14550</v>
      </c>
      <c r="C2616" s="6">
        <v>45677</v>
      </c>
      <c r="D2616" s="5" t="s">
        <v>211</v>
      </c>
      <c r="E2616" s="5" t="s">
        <v>212</v>
      </c>
      <c r="F2616" s="5" t="s">
        <v>58</v>
      </c>
      <c r="G2616" s="5" t="s">
        <v>59</v>
      </c>
      <c r="H2616" s="5" t="s">
        <v>108</v>
      </c>
      <c r="I2616" s="5" t="s">
        <v>213</v>
      </c>
      <c r="J2616" s="5" t="s">
        <v>214</v>
      </c>
      <c r="K2616" s="5" t="s">
        <v>119</v>
      </c>
      <c r="L2616" s="6">
        <v>45681</v>
      </c>
      <c r="M2616" s="6">
        <v>45680</v>
      </c>
      <c r="N2616" s="6" t="s">
        <v>811</v>
      </c>
      <c r="O2616" s="5" t="str">
        <f ca="1">IF(P2616&lt;&gt;"EXPEDIÇÃO","Expedido",IF(NETWORKDAYS(C2616,TODAY())&gt;=5,"Risco Alto",IF(NETWORKDAYS(C2616,TODAY())&gt;=3,IF(NETWORKDAYS(C2616,TODAY())&lt;5,"Risco Médio",""),IF(NETWORKDAYS(C2616,TODAY())&lt;=2,"Risco Baixo",""))))</f>
        <v>Expedido</v>
      </c>
      <c r="P2616" s="5" t="s">
        <v>25</v>
      </c>
      <c r="S2616" s="7">
        <f>IF(ISBLANK(M2616),"Aguardando Previsão/Data",NETWORKDAYS(L2616,M2616)-1)</f>
        <v>-3</v>
      </c>
      <c r="T2616" s="5" t="s">
        <v>942</v>
      </c>
    </row>
    <row r="2617" spans="1:20" x14ac:dyDescent="0.35">
      <c r="A2617" s="5">
        <v>8100279677</v>
      </c>
      <c r="B2617" s="5">
        <v>14549</v>
      </c>
      <c r="C2617" s="6">
        <v>45677</v>
      </c>
      <c r="D2617" s="5" t="s">
        <v>211</v>
      </c>
      <c r="E2617" s="5" t="s">
        <v>212</v>
      </c>
      <c r="F2617" s="5" t="s">
        <v>171</v>
      </c>
      <c r="G2617" s="5" t="s">
        <v>172</v>
      </c>
      <c r="H2617" s="5" t="s">
        <v>108</v>
      </c>
      <c r="I2617" s="5" t="s">
        <v>276</v>
      </c>
      <c r="J2617" s="5" t="s">
        <v>277</v>
      </c>
      <c r="K2617" s="5" t="s">
        <v>170</v>
      </c>
      <c r="L2617" s="6">
        <v>45686</v>
      </c>
      <c r="M2617" s="6">
        <v>45687</v>
      </c>
      <c r="N2617" s="6" t="s">
        <v>812</v>
      </c>
      <c r="O2617" s="5" t="str">
        <f ca="1">IF(P2617&lt;&gt;"EXPEDIÇÃO","Expedido",IF(NETWORKDAYS(C2617,TODAY())&gt;=5,"Risco Alto",IF(NETWORKDAYS(C2617,TODAY())&gt;=3,IF(NETWORKDAYS(C2617,TODAY())&lt;5,"Risco Médio",""),IF(NETWORKDAYS(C2617,TODAY())&lt;=2,"Risco Baixo",""))))</f>
        <v>Expedido</v>
      </c>
      <c r="P2617" s="5" t="s">
        <v>617</v>
      </c>
      <c r="Q2617" s="5" t="s">
        <v>809</v>
      </c>
      <c r="S2617" s="7">
        <f>IF(ISBLANK(M2617),"Aguardando Previsão/Data",NETWORKDAYS(L2617,M2617)-1)</f>
        <v>1</v>
      </c>
    </row>
    <row r="2618" spans="1:20" x14ac:dyDescent="0.35">
      <c r="A2618" s="8">
        <v>8100279609</v>
      </c>
      <c r="B2618" s="5">
        <v>12343</v>
      </c>
      <c r="C2618" s="6">
        <v>45677</v>
      </c>
      <c r="D2618" s="5" t="s">
        <v>158</v>
      </c>
      <c r="E2618" s="5" t="s">
        <v>159</v>
      </c>
      <c r="F2618" s="5" t="s">
        <v>176</v>
      </c>
      <c r="G2618" s="5" t="s">
        <v>177</v>
      </c>
      <c r="H2618" s="5" t="s">
        <v>108</v>
      </c>
      <c r="I2618" s="5" t="s">
        <v>299</v>
      </c>
      <c r="J2618" s="5" t="s">
        <v>300</v>
      </c>
      <c r="K2618" s="5" t="s">
        <v>175</v>
      </c>
      <c r="L2618" s="6">
        <v>45687</v>
      </c>
      <c r="M2618" s="6">
        <v>45681</v>
      </c>
      <c r="N2618" s="6" t="s">
        <v>811</v>
      </c>
      <c r="O2618" s="5" t="str">
        <f ca="1">IF(P2618&lt;&gt;"EXPEDIÇÃO","Expedido",IF(NETWORKDAYS(C2618,TODAY())&gt;=5,"Risco Alto",IF(NETWORKDAYS(C2618,TODAY())&gt;=3,IF(NETWORKDAYS(C2618,TODAY())&lt;5,"Risco Médio",""),IF(NETWORKDAYS(C2618,TODAY())&lt;=2,"Risco Baixo",""))))</f>
        <v>Expedido</v>
      </c>
      <c r="P2618" s="5" t="s">
        <v>25</v>
      </c>
      <c r="Q2618" s="5" t="s">
        <v>897</v>
      </c>
      <c r="S2618" s="7">
        <f>IF(ISBLANK(M2618),"Aguardando Previsão/Data",NETWORKDAYS(L2618,M2618)-1)</f>
        <v>-6</v>
      </c>
      <c r="T2618" s="5" t="s">
        <v>942</v>
      </c>
    </row>
    <row r="2619" spans="1:20" x14ac:dyDescent="0.35">
      <c r="A2619" s="5">
        <v>8100279610</v>
      </c>
      <c r="B2619" s="5">
        <v>12344</v>
      </c>
      <c r="C2619" s="6">
        <v>45677</v>
      </c>
      <c r="D2619" s="5" t="s">
        <v>158</v>
      </c>
      <c r="E2619" s="5" t="s">
        <v>159</v>
      </c>
      <c r="F2619" s="5" t="s">
        <v>176</v>
      </c>
      <c r="G2619" s="5" t="s">
        <v>177</v>
      </c>
      <c r="H2619" s="5" t="s">
        <v>108</v>
      </c>
      <c r="I2619" s="5" t="s">
        <v>191</v>
      </c>
      <c r="J2619" s="5" t="s">
        <v>192</v>
      </c>
      <c r="K2619" s="5" t="s">
        <v>175</v>
      </c>
      <c r="L2619" s="6">
        <v>45686</v>
      </c>
      <c r="M2619" s="6">
        <v>45684</v>
      </c>
      <c r="N2619" s="6" t="s">
        <v>811</v>
      </c>
      <c r="O2619" s="5" t="str">
        <f ca="1">IF(P2619&lt;&gt;"EXPEDIÇÃO","Expedido",IF(NETWORKDAYS(C2619,TODAY())&gt;=5,"Risco Alto",IF(NETWORKDAYS(C2619,TODAY())&gt;=3,IF(NETWORKDAYS(C2619,TODAY())&lt;5,"Risco Médio",""),IF(NETWORKDAYS(C2619,TODAY())&lt;=2,"Risco Baixo",""))))</f>
        <v>Expedido</v>
      </c>
      <c r="P2619" s="5" t="s">
        <v>25</v>
      </c>
      <c r="Q2619" s="5" t="s">
        <v>810</v>
      </c>
      <c r="R2619" s="5">
        <v>3110667</v>
      </c>
      <c r="S2619" s="7">
        <f>IF(ISBLANK(M2619),"Aguardando Previsão/Data",NETWORKDAYS(L2619,M2619)-1)</f>
        <v>-4</v>
      </c>
      <c r="T2619" s="5" t="s">
        <v>942</v>
      </c>
    </row>
    <row r="2620" spans="1:20" x14ac:dyDescent="0.35">
      <c r="A2620" s="5">
        <v>8100279611</v>
      </c>
      <c r="B2620" s="5">
        <v>12340</v>
      </c>
      <c r="C2620" s="6">
        <v>45677</v>
      </c>
      <c r="D2620" s="5" t="s">
        <v>158</v>
      </c>
      <c r="E2620" s="5" t="s">
        <v>159</v>
      </c>
      <c r="F2620" s="5" t="s">
        <v>79</v>
      </c>
      <c r="G2620" s="5" t="s">
        <v>80</v>
      </c>
      <c r="H2620" s="5" t="s">
        <v>108</v>
      </c>
      <c r="I2620" s="5" t="s">
        <v>541</v>
      </c>
      <c r="J2620" s="5" t="s">
        <v>163</v>
      </c>
      <c r="K2620" s="5" t="s">
        <v>80</v>
      </c>
      <c r="L2620" s="6">
        <v>45685</v>
      </c>
      <c r="M2620" s="6">
        <v>45681</v>
      </c>
      <c r="N2620" s="6" t="s">
        <v>811</v>
      </c>
      <c r="O2620" s="5" t="str">
        <f ca="1">IF(P2620&lt;&gt;"EXPEDIÇÃO","Expedido",IF(NETWORKDAYS(C2620,TODAY())&gt;=5,"Risco Alto",IF(NETWORKDAYS(C2620,TODAY())&gt;=3,IF(NETWORKDAYS(C2620,TODAY())&lt;5,"Risco Médio",""),IF(NETWORKDAYS(C2620,TODAY())&lt;=2,"Risco Baixo",""))))</f>
        <v>Expedido</v>
      </c>
      <c r="P2620" s="5" t="s">
        <v>25</v>
      </c>
      <c r="S2620" s="7">
        <f>IF(ISBLANK(M2620),"Aguardando Previsão/Data",NETWORKDAYS(L2620,M2620)-1)</f>
        <v>-4</v>
      </c>
      <c r="T2620" s="5" t="s">
        <v>942</v>
      </c>
    </row>
    <row r="2621" spans="1:20" x14ac:dyDescent="0.35">
      <c r="A2621" s="5">
        <v>8100279808</v>
      </c>
      <c r="B2621" s="5">
        <v>12353</v>
      </c>
      <c r="C2621" s="6">
        <v>45677</v>
      </c>
      <c r="D2621" s="5" t="s">
        <v>158</v>
      </c>
      <c r="E2621" s="5" t="s">
        <v>159</v>
      </c>
      <c r="F2621" s="5" t="s">
        <v>176</v>
      </c>
      <c r="G2621" s="5" t="s">
        <v>177</v>
      </c>
      <c r="H2621" s="5" t="s">
        <v>108</v>
      </c>
      <c r="I2621" s="5" t="s">
        <v>1161</v>
      </c>
      <c r="J2621" s="5" t="s">
        <v>908</v>
      </c>
      <c r="K2621" s="5" t="s">
        <v>170</v>
      </c>
      <c r="L2621" s="6">
        <v>45684</v>
      </c>
      <c r="M2621" s="6">
        <v>45684</v>
      </c>
      <c r="N2621" s="6" t="s">
        <v>811</v>
      </c>
      <c r="O2621" s="5" t="str">
        <f ca="1">IF(P2621&lt;&gt;"EXPEDIÇÃO","Expedido",IF(NETWORKDAYS(C2621,TODAY())&gt;=5,"Risco Alto",IF(NETWORKDAYS(C2621,TODAY())&gt;=3,IF(NETWORKDAYS(C2621,TODAY())&lt;5,"Risco Médio",""),IF(NETWORKDAYS(C2621,TODAY())&lt;=2,"Risco Baixo",""))))</f>
        <v>Expedido</v>
      </c>
      <c r="P2621" s="5" t="s">
        <v>25</v>
      </c>
      <c r="S2621" s="7">
        <f>IF(ISBLANK(M2621),"Aguardando Previsão/Data",NETWORKDAYS(L2621,M2621)-1)</f>
        <v>0</v>
      </c>
      <c r="T2621" s="5" t="s">
        <v>942</v>
      </c>
    </row>
    <row r="2622" spans="1:20" x14ac:dyDescent="0.35">
      <c r="A2622" s="5">
        <v>8100279809</v>
      </c>
      <c r="B2622" s="5">
        <v>12346</v>
      </c>
      <c r="C2622" s="6">
        <v>45677</v>
      </c>
      <c r="D2622" s="5" t="s">
        <v>158</v>
      </c>
      <c r="E2622" s="5" t="s">
        <v>159</v>
      </c>
      <c r="F2622" s="5" t="s">
        <v>176</v>
      </c>
      <c r="G2622" s="5" t="s">
        <v>177</v>
      </c>
      <c r="H2622" s="5" t="s">
        <v>108</v>
      </c>
      <c r="I2622" s="5" t="s">
        <v>178</v>
      </c>
      <c r="J2622" s="5" t="s">
        <v>179</v>
      </c>
      <c r="K2622" s="5" t="s">
        <v>175</v>
      </c>
      <c r="L2622" s="6">
        <v>45685</v>
      </c>
      <c r="M2622" s="6">
        <v>45685</v>
      </c>
      <c r="N2622" s="6" t="s">
        <v>811</v>
      </c>
      <c r="O2622" s="5" t="str">
        <f ca="1">IF(P2622&lt;&gt;"EXPEDIÇÃO","Expedido",IF(NETWORKDAYS(C2622,TODAY())&gt;=5,"Risco Alto",IF(NETWORKDAYS(C2622,TODAY())&gt;=3,IF(NETWORKDAYS(C2622,TODAY())&lt;5,"Risco Médio",""),IF(NETWORKDAYS(C2622,TODAY())&lt;=2,"Risco Baixo",""))))</f>
        <v>Expedido</v>
      </c>
      <c r="P2622" s="5" t="s">
        <v>25</v>
      </c>
      <c r="Q2622" s="5" t="s">
        <v>897</v>
      </c>
      <c r="S2622" s="7">
        <f>IF(ISBLANK(M2622),"Aguardando Previsão/Data",NETWORKDAYS(L2622,M2622)-1)</f>
        <v>0</v>
      </c>
      <c r="T2622" s="5" t="s">
        <v>942</v>
      </c>
    </row>
    <row r="2623" spans="1:20" x14ac:dyDescent="0.35">
      <c r="A2623" s="5">
        <v>8100279810</v>
      </c>
      <c r="B2623" s="5">
        <v>12332</v>
      </c>
      <c r="C2623" s="6">
        <v>45677</v>
      </c>
      <c r="D2623" s="5" t="s">
        <v>158</v>
      </c>
      <c r="E2623" s="5" t="s">
        <v>159</v>
      </c>
      <c r="F2623" s="5" t="s">
        <v>79</v>
      </c>
      <c r="G2623" s="5" t="s">
        <v>80</v>
      </c>
      <c r="H2623" s="5" t="s">
        <v>108</v>
      </c>
      <c r="I2623" s="5" t="s">
        <v>180</v>
      </c>
      <c r="J2623" s="5" t="s">
        <v>181</v>
      </c>
      <c r="K2623" s="5" t="s">
        <v>80</v>
      </c>
      <c r="L2623" s="6">
        <v>45685</v>
      </c>
      <c r="M2623" s="6">
        <v>45685</v>
      </c>
      <c r="N2623" s="6" t="s">
        <v>811</v>
      </c>
      <c r="O2623" s="5" t="str">
        <f ca="1">IF(P2623&lt;&gt;"EXPEDIÇÃO","Expedido",IF(NETWORKDAYS(C2623,TODAY())&gt;=5,"Risco Alto",IF(NETWORKDAYS(C2623,TODAY())&gt;=3,IF(NETWORKDAYS(C2623,TODAY())&lt;5,"Risco Médio",""),IF(NETWORKDAYS(C2623,TODAY())&lt;=2,"Risco Baixo",""))))</f>
        <v>Expedido</v>
      </c>
      <c r="P2623" s="5" t="s">
        <v>25</v>
      </c>
      <c r="Q2623" s="5" t="s">
        <v>810</v>
      </c>
      <c r="R2623" s="5">
        <v>3110837</v>
      </c>
      <c r="S2623" s="7">
        <f>IF(ISBLANK(M2623),"Aguardando Previsão/Data",NETWORKDAYS(L2623,M2623)-1)</f>
        <v>0</v>
      </c>
      <c r="T2623" s="5" t="s">
        <v>942</v>
      </c>
    </row>
    <row r="2624" spans="1:20" x14ac:dyDescent="0.35">
      <c r="A2624" s="5">
        <v>8100279811</v>
      </c>
      <c r="B2624" s="5">
        <v>12334</v>
      </c>
      <c r="C2624" s="6">
        <v>45677</v>
      </c>
      <c r="D2624" s="5" t="s">
        <v>158</v>
      </c>
      <c r="E2624" s="5" t="s">
        <v>159</v>
      </c>
      <c r="F2624" s="5" t="s">
        <v>136</v>
      </c>
      <c r="G2624" s="5" t="s">
        <v>137</v>
      </c>
      <c r="H2624" s="5" t="s">
        <v>108</v>
      </c>
      <c r="I2624" s="5" t="s">
        <v>453</v>
      </c>
      <c r="J2624" s="5" t="s">
        <v>137</v>
      </c>
      <c r="K2624" s="5" t="s">
        <v>170</v>
      </c>
      <c r="L2624" s="6">
        <v>45684</v>
      </c>
      <c r="M2624" s="6">
        <v>45681</v>
      </c>
      <c r="N2624" s="6" t="s">
        <v>811</v>
      </c>
      <c r="O2624" s="5" t="str">
        <f ca="1">IF(P2624&lt;&gt;"EXPEDIÇÃO","Expedido",IF(NETWORKDAYS(C2624,TODAY())&gt;=5,"Risco Alto",IF(NETWORKDAYS(C2624,TODAY())&gt;=3,IF(NETWORKDAYS(C2624,TODAY())&lt;5,"Risco Médio",""),IF(NETWORKDAYS(C2624,TODAY())&lt;=2,"Risco Baixo",""))))</f>
        <v>Expedido</v>
      </c>
      <c r="P2624" s="5" t="s">
        <v>25</v>
      </c>
      <c r="S2624" s="7">
        <f>IF(ISBLANK(M2624),"Aguardando Previsão/Data",NETWORKDAYS(L2624,M2624)-1)</f>
        <v>-3</v>
      </c>
      <c r="T2624" s="5" t="s">
        <v>942</v>
      </c>
    </row>
    <row r="2625" spans="1:20" x14ac:dyDescent="0.35">
      <c r="A2625" s="5">
        <v>8100279812</v>
      </c>
      <c r="B2625" s="5">
        <v>12331</v>
      </c>
      <c r="C2625" s="6">
        <v>45677</v>
      </c>
      <c r="D2625" s="5" t="s">
        <v>158</v>
      </c>
      <c r="E2625" s="5" t="s">
        <v>159</v>
      </c>
      <c r="F2625" s="5" t="s">
        <v>171</v>
      </c>
      <c r="G2625" s="5" t="s">
        <v>172</v>
      </c>
      <c r="H2625" s="5" t="s">
        <v>108</v>
      </c>
      <c r="I2625" s="5" t="s">
        <v>624</v>
      </c>
      <c r="J2625" s="5" t="s">
        <v>625</v>
      </c>
      <c r="K2625" s="5" t="s">
        <v>170</v>
      </c>
      <c r="L2625" s="6">
        <v>45685</v>
      </c>
      <c r="M2625" s="6">
        <v>45686</v>
      </c>
      <c r="N2625" s="6" t="s">
        <v>812</v>
      </c>
      <c r="O2625" s="5" t="str">
        <f ca="1">IF(P2625&lt;&gt;"EXPEDIÇÃO","Expedido",IF(NETWORKDAYS(C2625,TODAY())&gt;=5,"Risco Alto",IF(NETWORKDAYS(C2625,TODAY())&gt;=3,IF(NETWORKDAYS(C2625,TODAY())&lt;5,"Risco Médio",""),IF(NETWORKDAYS(C2625,TODAY())&lt;=2,"Risco Baixo",""))))</f>
        <v>Expedido</v>
      </c>
      <c r="P2625" s="5" t="s">
        <v>25</v>
      </c>
      <c r="Q2625" s="5" t="s">
        <v>810</v>
      </c>
      <c r="R2625" s="5">
        <v>3109941</v>
      </c>
      <c r="S2625" s="7">
        <f>IF(ISBLANK(M2625),"Aguardando Previsão/Data",NETWORKDAYS(L2625,M2625)-1)</f>
        <v>1</v>
      </c>
      <c r="T2625" s="5" t="s">
        <v>942</v>
      </c>
    </row>
    <row r="2626" spans="1:20" x14ac:dyDescent="0.35">
      <c r="A2626" s="5">
        <v>8100279813</v>
      </c>
      <c r="B2626" s="5">
        <v>12333</v>
      </c>
      <c r="C2626" s="6">
        <v>45677</v>
      </c>
      <c r="D2626" s="5" t="s">
        <v>158</v>
      </c>
      <c r="E2626" s="5" t="s">
        <v>159</v>
      </c>
      <c r="F2626" s="5" t="s">
        <v>136</v>
      </c>
      <c r="G2626" s="5" t="s">
        <v>137</v>
      </c>
      <c r="H2626" s="5" t="s">
        <v>108</v>
      </c>
      <c r="I2626" s="5" t="s">
        <v>1067</v>
      </c>
      <c r="J2626" s="5" t="s">
        <v>1117</v>
      </c>
      <c r="K2626" s="5" t="s">
        <v>170</v>
      </c>
      <c r="L2626" s="6">
        <v>45684</v>
      </c>
      <c r="M2626" s="6">
        <v>45680</v>
      </c>
      <c r="N2626" s="6" t="s">
        <v>811</v>
      </c>
      <c r="O2626" s="5" t="str">
        <f ca="1">IF(P2626&lt;&gt;"EXPEDIÇÃO","Expedido",IF(NETWORKDAYS(C2626,TODAY())&gt;=5,"Risco Alto",IF(NETWORKDAYS(C2626,TODAY())&gt;=3,IF(NETWORKDAYS(C2626,TODAY())&lt;5,"Risco Médio",""),IF(NETWORKDAYS(C2626,TODAY())&lt;=2,"Risco Baixo",""))))</f>
        <v>Expedido</v>
      </c>
      <c r="P2626" s="5" t="s">
        <v>25</v>
      </c>
      <c r="S2626" s="7">
        <f>IF(ISBLANK(M2626),"Aguardando Previsão/Data",NETWORKDAYS(L2626,M2626)-1)</f>
        <v>-4</v>
      </c>
      <c r="T2626" s="5" t="s">
        <v>942</v>
      </c>
    </row>
    <row r="2627" spans="1:20" x14ac:dyDescent="0.35">
      <c r="A2627" s="5">
        <v>8100279814</v>
      </c>
      <c r="B2627" s="5">
        <v>12347</v>
      </c>
      <c r="C2627" s="6">
        <v>45677</v>
      </c>
      <c r="D2627" s="5" t="s">
        <v>158</v>
      </c>
      <c r="E2627" s="5" t="s">
        <v>159</v>
      </c>
      <c r="F2627" s="5" t="s">
        <v>160</v>
      </c>
      <c r="G2627" s="5" t="s">
        <v>161</v>
      </c>
      <c r="H2627" s="5" t="s">
        <v>108</v>
      </c>
      <c r="I2627" s="5" t="s">
        <v>162</v>
      </c>
      <c r="J2627" s="5" t="s">
        <v>1050</v>
      </c>
      <c r="K2627" s="5" t="s">
        <v>175</v>
      </c>
      <c r="L2627" s="6">
        <v>45685</v>
      </c>
      <c r="M2627" s="6">
        <v>45684</v>
      </c>
      <c r="N2627" s="6" t="s">
        <v>811</v>
      </c>
      <c r="O2627" s="5" t="str">
        <f ca="1">IF(P2627&lt;&gt;"EXPEDIÇÃO","Expedido",IF(NETWORKDAYS(C2627,TODAY())&gt;=5,"Risco Alto",IF(NETWORKDAYS(C2627,TODAY())&gt;=3,IF(NETWORKDAYS(C2627,TODAY())&lt;5,"Risco Médio",""),IF(NETWORKDAYS(C2627,TODAY())&lt;=2,"Risco Baixo",""))))</f>
        <v>Expedido</v>
      </c>
      <c r="P2627" s="5" t="s">
        <v>25</v>
      </c>
      <c r="S2627" s="7">
        <f>IF(ISBLANK(M2627),"Aguardando Previsão/Data",NETWORKDAYS(L2627,M2627)-1)</f>
        <v>-3</v>
      </c>
      <c r="T2627" s="5" t="s">
        <v>942</v>
      </c>
    </row>
    <row r="2628" spans="1:20" x14ac:dyDescent="0.35">
      <c r="A2628" s="5">
        <v>8100279815</v>
      </c>
      <c r="B2628" s="5">
        <v>12329</v>
      </c>
      <c r="C2628" s="6">
        <v>45677</v>
      </c>
      <c r="D2628" s="5" t="s">
        <v>158</v>
      </c>
      <c r="E2628" s="5" t="s">
        <v>159</v>
      </c>
      <c r="F2628" s="5" t="s">
        <v>160</v>
      </c>
      <c r="G2628" s="5" t="s">
        <v>161</v>
      </c>
      <c r="H2628" s="5" t="s">
        <v>108</v>
      </c>
      <c r="I2628" s="5" t="s">
        <v>162</v>
      </c>
      <c r="J2628" s="5" t="s">
        <v>1146</v>
      </c>
      <c r="K2628" s="5" t="s">
        <v>80</v>
      </c>
      <c r="L2628" s="6">
        <v>45685</v>
      </c>
      <c r="M2628" s="6">
        <v>45681</v>
      </c>
      <c r="N2628" s="6" t="s">
        <v>811</v>
      </c>
      <c r="O2628" s="5" t="str">
        <f ca="1">IF(P2628&lt;&gt;"EXPEDIÇÃO","Expedido",IF(NETWORKDAYS(C2628,TODAY())&gt;=5,"Risco Alto",IF(NETWORKDAYS(C2628,TODAY())&gt;=3,IF(NETWORKDAYS(C2628,TODAY())&lt;5,"Risco Médio",""),IF(NETWORKDAYS(C2628,TODAY())&lt;=2,"Risco Baixo",""))))</f>
        <v>Expedido</v>
      </c>
      <c r="P2628" s="5" t="s">
        <v>25</v>
      </c>
      <c r="S2628" s="7">
        <f>IF(ISBLANK(M2628),"Aguardando Previsão/Data",NETWORKDAYS(L2628,M2628)-1)</f>
        <v>-4</v>
      </c>
      <c r="T2628" s="5" t="s">
        <v>942</v>
      </c>
    </row>
    <row r="2629" spans="1:20" x14ac:dyDescent="0.35">
      <c r="A2629" s="5">
        <v>8100279816</v>
      </c>
      <c r="B2629" s="5">
        <v>12327</v>
      </c>
      <c r="C2629" s="6">
        <v>45677</v>
      </c>
      <c r="D2629" s="5" t="s">
        <v>158</v>
      </c>
      <c r="E2629" s="5" t="s">
        <v>159</v>
      </c>
      <c r="F2629" s="5" t="s">
        <v>160</v>
      </c>
      <c r="G2629" s="5" t="s">
        <v>161</v>
      </c>
      <c r="H2629" s="5" t="s">
        <v>108</v>
      </c>
      <c r="I2629" s="5" t="s">
        <v>162</v>
      </c>
      <c r="J2629" s="5" t="s">
        <v>163</v>
      </c>
      <c r="K2629" s="5" t="s">
        <v>80</v>
      </c>
      <c r="L2629" s="6">
        <v>45685</v>
      </c>
      <c r="M2629" s="6">
        <v>45685</v>
      </c>
      <c r="N2629" s="6" t="s">
        <v>811</v>
      </c>
      <c r="O2629" s="5" t="str">
        <f ca="1">IF(P2629&lt;&gt;"EXPEDIÇÃO","Expedido",IF(NETWORKDAYS(C2629,TODAY())&gt;=5,"Risco Alto",IF(NETWORKDAYS(C2629,TODAY())&gt;=3,IF(NETWORKDAYS(C2629,TODAY())&lt;5,"Risco Médio",""),IF(NETWORKDAYS(C2629,TODAY())&lt;=2,"Risco Baixo",""))))</f>
        <v>Expedido</v>
      </c>
      <c r="P2629" s="5" t="s">
        <v>25</v>
      </c>
      <c r="Q2629" s="5" t="s">
        <v>810</v>
      </c>
      <c r="R2629" s="5">
        <v>3110837</v>
      </c>
      <c r="S2629" s="7">
        <f>IF(ISBLANK(M2629),"Aguardando Previsão/Data",NETWORKDAYS(L2629,M2629)-1)</f>
        <v>0</v>
      </c>
      <c r="T2629" s="5" t="s">
        <v>942</v>
      </c>
    </row>
    <row r="2630" spans="1:20" x14ac:dyDescent="0.35">
      <c r="A2630" s="5">
        <v>8100279818</v>
      </c>
      <c r="B2630" s="5">
        <v>12356</v>
      </c>
      <c r="C2630" s="6">
        <v>45677</v>
      </c>
      <c r="D2630" s="5" t="s">
        <v>158</v>
      </c>
      <c r="E2630" s="5" t="s">
        <v>159</v>
      </c>
      <c r="F2630" s="5" t="s">
        <v>136</v>
      </c>
      <c r="G2630" s="5" t="s">
        <v>137</v>
      </c>
      <c r="H2630" s="5" t="s">
        <v>108</v>
      </c>
      <c r="I2630" s="5" t="s">
        <v>404</v>
      </c>
      <c r="J2630" s="5" t="s">
        <v>405</v>
      </c>
      <c r="K2630" s="5" t="s">
        <v>170</v>
      </c>
      <c r="L2630" s="6">
        <v>45684</v>
      </c>
      <c r="M2630" s="6">
        <v>45684</v>
      </c>
      <c r="N2630" s="6" t="s">
        <v>811</v>
      </c>
      <c r="O2630" s="5" t="str">
        <f ca="1">IF(P2630&lt;&gt;"EXPEDIÇÃO","Expedido",IF(NETWORKDAYS(C2630,TODAY())&gt;=5,"Risco Alto",IF(NETWORKDAYS(C2630,TODAY())&gt;=3,IF(NETWORKDAYS(C2630,TODAY())&lt;5,"Risco Médio",""),IF(NETWORKDAYS(C2630,TODAY())&lt;=2,"Risco Baixo",""))))</f>
        <v>Expedido</v>
      </c>
      <c r="P2630" s="5" t="s">
        <v>25</v>
      </c>
      <c r="S2630" s="7">
        <f>IF(ISBLANK(M2630),"Aguardando Previsão/Data",NETWORKDAYS(L2630,M2630)-1)</f>
        <v>0</v>
      </c>
      <c r="T2630" s="5" t="s">
        <v>942</v>
      </c>
    </row>
    <row r="2631" spans="1:20" x14ac:dyDescent="0.35">
      <c r="A2631" s="5">
        <v>8100279819</v>
      </c>
      <c r="B2631" s="5">
        <v>12348</v>
      </c>
      <c r="C2631" s="6">
        <v>45677</v>
      </c>
      <c r="D2631" s="5" t="s">
        <v>158</v>
      </c>
      <c r="E2631" s="5" t="s">
        <v>159</v>
      </c>
      <c r="F2631" s="5" t="s">
        <v>160</v>
      </c>
      <c r="G2631" s="5" t="s">
        <v>161</v>
      </c>
      <c r="H2631" s="5" t="s">
        <v>108</v>
      </c>
      <c r="I2631" s="5" t="s">
        <v>162</v>
      </c>
      <c r="J2631" s="5" t="s">
        <v>1050</v>
      </c>
      <c r="K2631" s="5" t="s">
        <v>175</v>
      </c>
      <c r="L2631" s="6">
        <v>45685</v>
      </c>
      <c r="M2631" s="6">
        <v>45684</v>
      </c>
      <c r="N2631" s="6" t="s">
        <v>811</v>
      </c>
      <c r="O2631" s="5" t="str">
        <f ca="1">IF(P2631&lt;&gt;"EXPEDIÇÃO","Expedido",IF(NETWORKDAYS(C2631,TODAY())&gt;=5,"Risco Alto",IF(NETWORKDAYS(C2631,TODAY())&gt;=3,IF(NETWORKDAYS(C2631,TODAY())&lt;5,"Risco Médio",""),IF(NETWORKDAYS(C2631,TODAY())&lt;=2,"Risco Baixo",""))))</f>
        <v>Expedido</v>
      </c>
      <c r="P2631" s="5" t="s">
        <v>25</v>
      </c>
      <c r="S2631" s="7">
        <f>IF(ISBLANK(M2631),"Aguardando Previsão/Data",NETWORKDAYS(L2631,M2631)-1)</f>
        <v>-3</v>
      </c>
      <c r="T2631" s="5" t="s">
        <v>942</v>
      </c>
    </row>
    <row r="2632" spans="1:20" x14ac:dyDescent="0.35">
      <c r="A2632" s="5">
        <v>8100279820</v>
      </c>
      <c r="B2632" s="5">
        <v>12349</v>
      </c>
      <c r="C2632" s="6">
        <v>45677</v>
      </c>
      <c r="D2632" s="5" t="s">
        <v>158</v>
      </c>
      <c r="E2632" s="5" t="s">
        <v>159</v>
      </c>
      <c r="F2632" s="5" t="s">
        <v>176</v>
      </c>
      <c r="G2632" s="5" t="s">
        <v>177</v>
      </c>
      <c r="H2632" s="5" t="s">
        <v>108</v>
      </c>
      <c r="I2632" s="5" t="s">
        <v>162</v>
      </c>
      <c r="J2632" s="5" t="s">
        <v>348</v>
      </c>
      <c r="K2632" s="5" t="s">
        <v>175</v>
      </c>
      <c r="L2632" s="6">
        <v>45685</v>
      </c>
      <c r="M2632" s="6">
        <v>45684</v>
      </c>
      <c r="N2632" s="6" t="s">
        <v>811</v>
      </c>
      <c r="O2632" s="5" t="str">
        <f ca="1">IF(P2632&lt;&gt;"EXPEDIÇÃO","Expedido",IF(NETWORKDAYS(C2632,TODAY())&gt;=5,"Risco Alto",IF(NETWORKDAYS(C2632,TODAY())&gt;=3,IF(NETWORKDAYS(C2632,TODAY())&lt;5,"Risco Médio",""),IF(NETWORKDAYS(C2632,TODAY())&lt;=2,"Risco Baixo",""))))</f>
        <v>Expedido</v>
      </c>
      <c r="P2632" s="5" t="s">
        <v>25</v>
      </c>
      <c r="S2632" s="7">
        <f>IF(ISBLANK(M2632),"Aguardando Previsão/Data",NETWORKDAYS(L2632,M2632)-1)</f>
        <v>-3</v>
      </c>
      <c r="T2632" s="5" t="s">
        <v>942</v>
      </c>
    </row>
    <row r="2633" spans="1:20" x14ac:dyDescent="0.35">
      <c r="A2633" s="5">
        <v>8100279821</v>
      </c>
      <c r="B2633" s="5">
        <v>12330</v>
      </c>
      <c r="C2633" s="6">
        <v>45677</v>
      </c>
      <c r="D2633" s="5" t="s">
        <v>158</v>
      </c>
      <c r="E2633" s="5" t="s">
        <v>159</v>
      </c>
      <c r="F2633" s="5" t="s">
        <v>160</v>
      </c>
      <c r="G2633" s="5" t="s">
        <v>161</v>
      </c>
      <c r="H2633" s="5" t="s">
        <v>108</v>
      </c>
      <c r="I2633" s="5" t="s">
        <v>162</v>
      </c>
      <c r="J2633" s="5" t="s">
        <v>403</v>
      </c>
      <c r="K2633" s="5" t="s">
        <v>80</v>
      </c>
      <c r="L2633" s="6">
        <v>45685</v>
      </c>
      <c r="M2633" s="6">
        <v>45684</v>
      </c>
      <c r="N2633" s="6" t="s">
        <v>811</v>
      </c>
      <c r="O2633" s="5" t="str">
        <f ca="1">IF(P2633&lt;&gt;"EXPEDIÇÃO","Expedido",IF(NETWORKDAYS(C2633,TODAY())&gt;=5,"Risco Alto",IF(NETWORKDAYS(C2633,TODAY())&gt;=3,IF(NETWORKDAYS(C2633,TODAY())&lt;5,"Risco Médio",""),IF(NETWORKDAYS(C2633,TODAY())&lt;=2,"Risco Baixo",""))))</f>
        <v>Expedido</v>
      </c>
      <c r="P2633" s="5" t="s">
        <v>25</v>
      </c>
      <c r="S2633" s="7">
        <f>IF(ISBLANK(M2633),"Aguardando Previsão/Data",NETWORKDAYS(L2633,M2633)-1)</f>
        <v>-3</v>
      </c>
      <c r="T2633" s="5" t="s">
        <v>942</v>
      </c>
    </row>
    <row r="2634" spans="1:20" x14ac:dyDescent="0.35">
      <c r="A2634" s="5">
        <v>8100279822</v>
      </c>
      <c r="B2634" s="5">
        <v>12345</v>
      </c>
      <c r="C2634" s="6">
        <v>45677</v>
      </c>
      <c r="D2634" s="5" t="s">
        <v>158</v>
      </c>
      <c r="E2634" s="5" t="s">
        <v>159</v>
      </c>
      <c r="F2634" s="5" t="s">
        <v>176</v>
      </c>
      <c r="G2634" s="5" t="s">
        <v>177</v>
      </c>
      <c r="H2634" s="5" t="s">
        <v>108</v>
      </c>
      <c r="I2634" s="5" t="s">
        <v>191</v>
      </c>
      <c r="J2634" s="5" t="s">
        <v>192</v>
      </c>
      <c r="K2634" s="5" t="s">
        <v>175</v>
      </c>
      <c r="L2634" s="6">
        <v>45686</v>
      </c>
      <c r="M2634" s="6">
        <v>45685</v>
      </c>
      <c r="N2634" s="6" t="s">
        <v>811</v>
      </c>
      <c r="O2634" s="5" t="str">
        <f ca="1">IF(P2634&lt;&gt;"EXPEDIÇÃO","Expedido",IF(NETWORKDAYS(C2634,TODAY())&gt;=5,"Risco Alto",IF(NETWORKDAYS(C2634,TODAY())&gt;=3,IF(NETWORKDAYS(C2634,TODAY())&lt;5,"Risco Médio",""),IF(NETWORKDAYS(C2634,TODAY())&lt;=2,"Risco Baixo",""))))</f>
        <v>Expedido</v>
      </c>
      <c r="P2634" s="5" t="s">
        <v>25</v>
      </c>
      <c r="S2634" s="7">
        <f>IF(ISBLANK(M2634),"Aguardando Previsão/Data",NETWORKDAYS(L2634,M2634)-1)</f>
        <v>-3</v>
      </c>
      <c r="T2634" s="5" t="s">
        <v>942</v>
      </c>
    </row>
    <row r="2635" spans="1:20" x14ac:dyDescent="0.35">
      <c r="A2635" s="5">
        <v>8100279823</v>
      </c>
      <c r="B2635" s="5">
        <v>12342</v>
      </c>
      <c r="C2635" s="6">
        <v>45677</v>
      </c>
      <c r="D2635" s="5" t="s">
        <v>158</v>
      </c>
      <c r="E2635" s="5" t="s">
        <v>159</v>
      </c>
      <c r="F2635" s="5" t="s">
        <v>171</v>
      </c>
      <c r="G2635" s="5" t="s">
        <v>172</v>
      </c>
      <c r="H2635" s="5" t="s">
        <v>108</v>
      </c>
      <c r="I2635" s="5" t="s">
        <v>173</v>
      </c>
      <c r="J2635" s="5" t="s">
        <v>174</v>
      </c>
      <c r="K2635" s="5" t="s">
        <v>175</v>
      </c>
      <c r="L2635" s="6">
        <v>45685</v>
      </c>
      <c r="M2635" s="6">
        <v>45684</v>
      </c>
      <c r="N2635" s="6" t="s">
        <v>811</v>
      </c>
      <c r="O2635" s="5" t="str">
        <f ca="1">IF(P2635&lt;&gt;"EXPEDIÇÃO","Expedido",IF(NETWORKDAYS(C2635,TODAY())&gt;=5,"Risco Alto",IF(NETWORKDAYS(C2635,TODAY())&gt;=3,IF(NETWORKDAYS(C2635,TODAY())&lt;5,"Risco Médio",""),IF(NETWORKDAYS(C2635,TODAY())&lt;=2,"Risco Baixo",""))))</f>
        <v>Expedido</v>
      </c>
      <c r="P2635" s="5" t="s">
        <v>25</v>
      </c>
      <c r="S2635" s="7">
        <f>IF(ISBLANK(M2635),"Aguardando Previsão/Data",NETWORKDAYS(L2635,M2635)-1)</f>
        <v>-3</v>
      </c>
      <c r="T2635" s="5" t="s">
        <v>942</v>
      </c>
    </row>
    <row r="2636" spans="1:20" x14ac:dyDescent="0.35">
      <c r="A2636" s="5">
        <v>8100279941</v>
      </c>
      <c r="B2636" s="5">
        <v>12350</v>
      </c>
      <c r="C2636" s="6">
        <v>45677</v>
      </c>
      <c r="D2636" s="5" t="s">
        <v>158</v>
      </c>
      <c r="E2636" s="5" t="s">
        <v>159</v>
      </c>
      <c r="F2636" s="5" t="s">
        <v>136</v>
      </c>
      <c r="G2636" s="5" t="s">
        <v>137</v>
      </c>
      <c r="H2636" s="5" t="s">
        <v>108</v>
      </c>
      <c r="I2636" s="5" t="s">
        <v>614</v>
      </c>
      <c r="J2636" s="5" t="s">
        <v>215</v>
      </c>
      <c r="K2636" s="5" t="s">
        <v>170</v>
      </c>
      <c r="L2636" s="6">
        <v>45684</v>
      </c>
      <c r="M2636" s="6">
        <v>45681</v>
      </c>
      <c r="N2636" s="6" t="s">
        <v>811</v>
      </c>
      <c r="O2636" s="5" t="str">
        <f ca="1">IF(P2636&lt;&gt;"EXPEDIÇÃO","Expedido",IF(NETWORKDAYS(C2636,TODAY())&gt;=5,"Risco Alto",IF(NETWORKDAYS(C2636,TODAY())&gt;=3,IF(NETWORKDAYS(C2636,TODAY())&lt;5,"Risco Médio",""),IF(NETWORKDAYS(C2636,TODAY())&lt;=2,"Risco Baixo",""))))</f>
        <v>Expedido</v>
      </c>
      <c r="P2636" s="5" t="s">
        <v>25</v>
      </c>
      <c r="S2636" s="7">
        <f>IF(ISBLANK(M2636),"Aguardando Previsão/Data",NETWORKDAYS(L2636,M2636)-1)</f>
        <v>-3</v>
      </c>
      <c r="T2636" s="5" t="s">
        <v>942</v>
      </c>
    </row>
    <row r="2637" spans="1:20" x14ac:dyDescent="0.35">
      <c r="A2637" s="5">
        <v>8100279942</v>
      </c>
      <c r="B2637" s="5">
        <v>12351</v>
      </c>
      <c r="C2637" s="6">
        <v>45677</v>
      </c>
      <c r="D2637" s="5" t="s">
        <v>158</v>
      </c>
      <c r="E2637" s="5" t="s">
        <v>159</v>
      </c>
      <c r="F2637" s="5" t="s">
        <v>136</v>
      </c>
      <c r="G2637" s="5" t="s">
        <v>137</v>
      </c>
      <c r="H2637" s="5" t="s">
        <v>108</v>
      </c>
      <c r="I2637" s="5" t="s">
        <v>614</v>
      </c>
      <c r="J2637" s="5" t="s">
        <v>215</v>
      </c>
      <c r="K2637" s="5" t="s">
        <v>170</v>
      </c>
      <c r="L2637" s="6">
        <v>45684</v>
      </c>
      <c r="M2637" s="6">
        <v>45681</v>
      </c>
      <c r="N2637" s="6" t="s">
        <v>811</v>
      </c>
      <c r="O2637" s="5" t="str">
        <f ca="1">IF(P2637&lt;&gt;"EXPEDIÇÃO","Expedido",IF(NETWORKDAYS(C2637,TODAY())&gt;=5,"Risco Alto",IF(NETWORKDAYS(C2637,TODAY())&gt;=3,IF(NETWORKDAYS(C2637,TODAY())&lt;5,"Risco Médio",""),IF(NETWORKDAYS(C2637,TODAY())&lt;=2,"Risco Baixo",""))))</f>
        <v>Expedido</v>
      </c>
      <c r="P2637" s="5" t="s">
        <v>25</v>
      </c>
      <c r="S2637" s="7">
        <f>IF(ISBLANK(M2637),"Aguardando Previsão/Data",NETWORKDAYS(L2637,M2637)-1)</f>
        <v>-3</v>
      </c>
      <c r="T2637" s="5" t="s">
        <v>942</v>
      </c>
    </row>
    <row r="2638" spans="1:20" x14ac:dyDescent="0.35">
      <c r="A2638" s="5">
        <v>8100279944</v>
      </c>
      <c r="B2638" s="5">
        <v>12352</v>
      </c>
      <c r="C2638" s="6">
        <v>45677</v>
      </c>
      <c r="D2638" s="5" t="s">
        <v>158</v>
      </c>
      <c r="E2638" s="5" t="s">
        <v>159</v>
      </c>
      <c r="F2638" s="5" t="s">
        <v>136</v>
      </c>
      <c r="G2638" s="5" t="s">
        <v>137</v>
      </c>
      <c r="H2638" s="5" t="s">
        <v>108</v>
      </c>
      <c r="I2638" s="5" t="s">
        <v>614</v>
      </c>
      <c r="J2638" s="5" t="s">
        <v>215</v>
      </c>
      <c r="K2638" s="5" t="s">
        <v>170</v>
      </c>
      <c r="L2638" s="6">
        <v>45684</v>
      </c>
      <c r="M2638" s="6">
        <v>45681</v>
      </c>
      <c r="N2638" s="6" t="s">
        <v>811</v>
      </c>
      <c r="O2638" s="5" t="str">
        <f ca="1">IF(P2638&lt;&gt;"EXPEDIÇÃO","Expedido",IF(NETWORKDAYS(C2638,TODAY())&gt;=5,"Risco Alto",IF(NETWORKDAYS(C2638,TODAY())&gt;=3,IF(NETWORKDAYS(C2638,TODAY())&lt;5,"Risco Médio",""),IF(NETWORKDAYS(C2638,TODAY())&lt;=2,"Risco Baixo",""))))</f>
        <v>Expedido</v>
      </c>
      <c r="P2638" s="5" t="s">
        <v>25</v>
      </c>
      <c r="S2638" s="7">
        <f>IF(ISBLANK(M2638),"Aguardando Previsão/Data",NETWORKDAYS(L2638,M2638)-1)</f>
        <v>-3</v>
      </c>
      <c r="T2638" s="5" t="s">
        <v>942</v>
      </c>
    </row>
    <row r="2639" spans="1:20" x14ac:dyDescent="0.35">
      <c r="A2639" s="5">
        <v>8100280129</v>
      </c>
      <c r="B2639" s="5">
        <v>12359</v>
      </c>
      <c r="C2639" s="6">
        <v>45677</v>
      </c>
      <c r="D2639" s="5" t="s">
        <v>158</v>
      </c>
      <c r="E2639" s="5" t="s">
        <v>159</v>
      </c>
      <c r="F2639" s="5" t="s">
        <v>136</v>
      </c>
      <c r="G2639" s="5" t="s">
        <v>137</v>
      </c>
      <c r="H2639" s="5" t="s">
        <v>108</v>
      </c>
      <c r="I2639" s="5" t="s">
        <v>404</v>
      </c>
      <c r="J2639" s="5" t="s">
        <v>405</v>
      </c>
      <c r="K2639" s="5" t="s">
        <v>170</v>
      </c>
      <c r="L2639" s="6">
        <v>45684</v>
      </c>
      <c r="M2639" s="6">
        <v>45684</v>
      </c>
      <c r="N2639" s="6" t="s">
        <v>811</v>
      </c>
      <c r="O2639" s="5" t="str">
        <f ca="1">IF(P2639&lt;&gt;"EXPEDIÇÃO","Expedido",IF(NETWORKDAYS(C2639,TODAY())&gt;=5,"Risco Alto",IF(NETWORKDAYS(C2639,TODAY())&gt;=3,IF(NETWORKDAYS(C2639,TODAY())&lt;5,"Risco Médio",""),IF(NETWORKDAYS(C2639,TODAY())&lt;=2,"Risco Baixo",""))))</f>
        <v>Expedido</v>
      </c>
      <c r="P2639" s="5" t="s">
        <v>25</v>
      </c>
      <c r="S2639" s="7">
        <f>IF(ISBLANK(M2639),"Aguardando Previsão/Data",NETWORKDAYS(L2639,M2639)-1)</f>
        <v>0</v>
      </c>
      <c r="T2639" s="5" t="s">
        <v>942</v>
      </c>
    </row>
    <row r="2640" spans="1:20" x14ac:dyDescent="0.35">
      <c r="A2640" s="5">
        <v>8100280296</v>
      </c>
      <c r="B2640" s="5">
        <v>12354</v>
      </c>
      <c r="C2640" s="6">
        <v>45677</v>
      </c>
      <c r="D2640" s="5" t="s">
        <v>158</v>
      </c>
      <c r="E2640" s="5" t="s">
        <v>159</v>
      </c>
      <c r="F2640" s="5" t="s">
        <v>136</v>
      </c>
      <c r="G2640" s="5" t="s">
        <v>137</v>
      </c>
      <c r="H2640" s="5" t="s">
        <v>108</v>
      </c>
      <c r="I2640" s="5" t="s">
        <v>614</v>
      </c>
      <c r="J2640" s="5" t="s">
        <v>215</v>
      </c>
      <c r="K2640" s="5" t="s">
        <v>170</v>
      </c>
      <c r="L2640" s="6">
        <v>45684</v>
      </c>
      <c r="M2640" s="6">
        <v>45681</v>
      </c>
      <c r="N2640" s="6" t="s">
        <v>811</v>
      </c>
      <c r="O2640" s="5" t="str">
        <f ca="1">IF(P2640&lt;&gt;"EXPEDIÇÃO","Expedido",IF(NETWORKDAYS(C2640,TODAY())&gt;=5,"Risco Alto",IF(NETWORKDAYS(C2640,TODAY())&gt;=3,IF(NETWORKDAYS(C2640,TODAY())&lt;5,"Risco Médio",""),IF(NETWORKDAYS(C2640,TODAY())&lt;=2,"Risco Baixo",""))))</f>
        <v>Expedido</v>
      </c>
      <c r="P2640" s="5" t="s">
        <v>25</v>
      </c>
      <c r="S2640" s="7">
        <f>IF(ISBLANK(M2640),"Aguardando Previsão/Data",NETWORKDAYS(L2640,M2640)-1)</f>
        <v>-3</v>
      </c>
      <c r="T2640" s="5" t="s">
        <v>942</v>
      </c>
    </row>
    <row r="2641" spans="1:20" x14ac:dyDescent="0.35">
      <c r="A2641" s="5">
        <v>8100280297</v>
      </c>
      <c r="B2641" s="5">
        <v>12357</v>
      </c>
      <c r="C2641" s="6">
        <v>45677</v>
      </c>
      <c r="D2641" s="5" t="s">
        <v>158</v>
      </c>
      <c r="E2641" s="5" t="s">
        <v>159</v>
      </c>
      <c r="F2641" s="5" t="s">
        <v>136</v>
      </c>
      <c r="G2641" s="5" t="s">
        <v>137</v>
      </c>
      <c r="H2641" s="5" t="s">
        <v>108</v>
      </c>
      <c r="I2641" s="5" t="s">
        <v>614</v>
      </c>
      <c r="J2641" s="5" t="s">
        <v>215</v>
      </c>
      <c r="K2641" s="5" t="s">
        <v>170</v>
      </c>
      <c r="L2641" s="6">
        <v>45684</v>
      </c>
      <c r="M2641" s="6">
        <v>45681</v>
      </c>
      <c r="N2641" s="6" t="s">
        <v>811</v>
      </c>
      <c r="O2641" s="5" t="str">
        <f ca="1">IF(P2641&lt;&gt;"EXPEDIÇÃO","Expedido",IF(NETWORKDAYS(C2641,TODAY())&gt;=5,"Risco Alto",IF(NETWORKDAYS(C2641,TODAY())&gt;=3,IF(NETWORKDAYS(C2641,TODAY())&lt;5,"Risco Médio",""),IF(NETWORKDAYS(C2641,TODAY())&lt;=2,"Risco Baixo",""))))</f>
        <v>Expedido</v>
      </c>
      <c r="P2641" s="5" t="s">
        <v>25</v>
      </c>
      <c r="S2641" s="7">
        <f>IF(ISBLANK(M2641),"Aguardando Previsão/Data",NETWORKDAYS(L2641,M2641)-1)</f>
        <v>-3</v>
      </c>
      <c r="T2641" s="5" t="s">
        <v>942</v>
      </c>
    </row>
    <row r="2642" spans="1:20" x14ac:dyDescent="0.35">
      <c r="A2642" s="5">
        <v>8100280298</v>
      </c>
      <c r="B2642" s="5">
        <v>12358</v>
      </c>
      <c r="C2642" s="6">
        <v>45677</v>
      </c>
      <c r="D2642" s="5" t="s">
        <v>158</v>
      </c>
      <c r="E2642" s="5" t="s">
        <v>159</v>
      </c>
      <c r="F2642" s="5" t="s">
        <v>136</v>
      </c>
      <c r="G2642" s="5" t="s">
        <v>137</v>
      </c>
      <c r="H2642" s="5" t="s">
        <v>108</v>
      </c>
      <c r="I2642" s="5" t="s">
        <v>614</v>
      </c>
      <c r="J2642" s="5" t="s">
        <v>215</v>
      </c>
      <c r="K2642" s="5" t="s">
        <v>170</v>
      </c>
      <c r="L2642" s="6">
        <v>45684</v>
      </c>
      <c r="M2642" s="6">
        <v>45681</v>
      </c>
      <c r="N2642" s="6" t="s">
        <v>811</v>
      </c>
      <c r="O2642" s="5" t="str">
        <f ca="1">IF(P2642&lt;&gt;"EXPEDIÇÃO","Expedido",IF(NETWORKDAYS(C2642,TODAY())&gt;=5,"Risco Alto",IF(NETWORKDAYS(C2642,TODAY())&gt;=3,IF(NETWORKDAYS(C2642,TODAY())&lt;5,"Risco Médio",""),IF(NETWORKDAYS(C2642,TODAY())&lt;=2,"Risco Baixo",""))))</f>
        <v>Expedido</v>
      </c>
      <c r="P2642" s="5" t="s">
        <v>25</v>
      </c>
      <c r="S2642" s="7">
        <f>IF(ISBLANK(M2642),"Aguardando Previsão/Data",NETWORKDAYS(L2642,M2642)-1)</f>
        <v>-3</v>
      </c>
      <c r="T2642" s="5" t="s">
        <v>942</v>
      </c>
    </row>
    <row r="2643" spans="1:20" x14ac:dyDescent="0.35">
      <c r="A2643" s="5">
        <v>8100278970</v>
      </c>
      <c r="B2643" s="5">
        <v>12325</v>
      </c>
      <c r="C2643" s="6">
        <v>45677</v>
      </c>
      <c r="D2643" s="5" t="s">
        <v>158</v>
      </c>
      <c r="E2643" s="5" t="s">
        <v>159</v>
      </c>
      <c r="F2643" s="5" t="s">
        <v>171</v>
      </c>
      <c r="G2643" s="5" t="s">
        <v>172</v>
      </c>
      <c r="H2643" s="5" t="s">
        <v>108</v>
      </c>
      <c r="I2643" s="5" t="s">
        <v>510</v>
      </c>
      <c r="J2643" s="5" t="s">
        <v>172</v>
      </c>
      <c r="K2643" s="5" t="s">
        <v>170</v>
      </c>
      <c r="L2643" s="6">
        <v>45684</v>
      </c>
      <c r="M2643" s="6">
        <v>45679</v>
      </c>
      <c r="N2643" s="5" t="s">
        <v>811</v>
      </c>
      <c r="O2643" s="5" t="str">
        <f ca="1">IF(P2643&lt;&gt;"EXPEDIÇÃO","Expedido",IF(NETWORKDAYS(C2643,TODAY())&gt;=5,"Risco Alto",IF(NETWORKDAYS(C2643,TODAY())&gt;=3,IF(NETWORKDAYS(C2643,TODAY())&lt;5,"Risco Médio",""),IF(NETWORKDAYS(C2643,TODAY())&lt;=2,"Risco Baixo",""))))</f>
        <v>Expedido</v>
      </c>
      <c r="P2643" s="5" t="s">
        <v>25</v>
      </c>
      <c r="Q2643" s="5" t="s">
        <v>897</v>
      </c>
      <c r="S2643" s="7">
        <f>IF(ISBLANK(M2643),"Aguardando Previsão/Data",NETWORKDAYS(L2643,M2643)-1)</f>
        <v>-5</v>
      </c>
      <c r="T2643" s="5" t="s">
        <v>942</v>
      </c>
    </row>
    <row r="2644" spans="1:20" x14ac:dyDescent="0.35">
      <c r="A2644" s="5">
        <v>8100278974</v>
      </c>
      <c r="B2644" s="5">
        <v>12326</v>
      </c>
      <c r="C2644" s="6">
        <v>45677</v>
      </c>
      <c r="D2644" s="5" t="s">
        <v>158</v>
      </c>
      <c r="E2644" s="5" t="s">
        <v>159</v>
      </c>
      <c r="F2644" s="5" t="s">
        <v>167</v>
      </c>
      <c r="G2644" s="5" t="s">
        <v>168</v>
      </c>
      <c r="H2644" s="5" t="s">
        <v>108</v>
      </c>
      <c r="I2644" s="5" t="s">
        <v>510</v>
      </c>
      <c r="J2644" s="5" t="s">
        <v>172</v>
      </c>
      <c r="K2644" s="5" t="s">
        <v>170</v>
      </c>
      <c r="L2644" s="6">
        <v>45684</v>
      </c>
      <c r="M2644" s="6">
        <v>45679</v>
      </c>
      <c r="N2644" s="5" t="s">
        <v>811</v>
      </c>
      <c r="O2644" s="5" t="str">
        <f ca="1">IF(P2644&lt;&gt;"EXPEDIÇÃO","Expedido",IF(NETWORKDAYS(C2644,TODAY())&gt;=5,"Risco Alto",IF(NETWORKDAYS(C2644,TODAY())&gt;=3,IF(NETWORKDAYS(C2644,TODAY())&lt;5,"Risco Médio",""),IF(NETWORKDAYS(C2644,TODAY())&lt;=2,"Risco Baixo",""))))</f>
        <v>Expedido</v>
      </c>
      <c r="P2644" s="5" t="s">
        <v>25</v>
      </c>
      <c r="Q2644" s="5" t="s">
        <v>897</v>
      </c>
      <c r="S2644" s="7">
        <f>IF(ISBLANK(M2644),"Aguardando Previsão/Data",NETWORKDAYS(L2644,M2644)-1)</f>
        <v>-5</v>
      </c>
      <c r="T2644" s="5" t="s">
        <v>942</v>
      </c>
    </row>
    <row r="2645" spans="1:20" x14ac:dyDescent="0.35">
      <c r="A2645" s="5">
        <v>8100279612</v>
      </c>
      <c r="B2645" s="5">
        <v>12338</v>
      </c>
      <c r="C2645" s="6">
        <v>45677</v>
      </c>
      <c r="D2645" s="5" t="s">
        <v>158</v>
      </c>
      <c r="E2645" s="5" t="s">
        <v>159</v>
      </c>
      <c r="F2645" s="5" t="s">
        <v>147</v>
      </c>
      <c r="G2645" s="5" t="s">
        <v>148</v>
      </c>
      <c r="H2645" s="5" t="s">
        <v>108</v>
      </c>
      <c r="I2645" s="5" t="s">
        <v>82</v>
      </c>
      <c r="J2645" s="5" t="s">
        <v>186</v>
      </c>
      <c r="K2645" s="5" t="s">
        <v>170</v>
      </c>
      <c r="L2645" s="6">
        <v>45681</v>
      </c>
      <c r="M2645" s="6">
        <v>45678</v>
      </c>
      <c r="N2645" s="6" t="s">
        <v>811</v>
      </c>
      <c r="O2645" s="5" t="str">
        <f ca="1">IF(P2645&lt;&gt;"EXPEDIÇÃO","Expedido",IF(NETWORKDAYS(C2645,TODAY())&gt;=5,"Risco Alto",IF(NETWORKDAYS(C2645,TODAY())&gt;=3,IF(NETWORKDAYS(C2645,TODAY())&lt;5,"Risco Médio",""),IF(NETWORKDAYS(C2645,TODAY())&lt;=2,"Risco Baixo",""))))</f>
        <v>Expedido</v>
      </c>
      <c r="P2645" s="5" t="s">
        <v>25</v>
      </c>
      <c r="S2645" s="7">
        <f>IF(ISBLANK(M2645),"Aguardando Previsão/Data",NETWORKDAYS(L2645,M2645)-1)</f>
        <v>-5</v>
      </c>
      <c r="T2645" s="5" t="s">
        <v>942</v>
      </c>
    </row>
    <row r="2646" spans="1:20" x14ac:dyDescent="0.35">
      <c r="A2646" s="5">
        <v>8100279670</v>
      </c>
      <c r="B2646" s="5">
        <v>12339</v>
      </c>
      <c r="C2646" s="6">
        <v>45677</v>
      </c>
      <c r="D2646" s="5" t="s">
        <v>158</v>
      </c>
      <c r="E2646" s="5" t="s">
        <v>159</v>
      </c>
      <c r="F2646" s="5" t="s">
        <v>171</v>
      </c>
      <c r="G2646" s="5" t="s">
        <v>172</v>
      </c>
      <c r="H2646" s="5" t="s">
        <v>108</v>
      </c>
      <c r="I2646" s="5" t="s">
        <v>456</v>
      </c>
      <c r="J2646" s="5" t="s">
        <v>172</v>
      </c>
      <c r="K2646" s="5" t="s">
        <v>170</v>
      </c>
      <c r="L2646" s="6">
        <v>45684</v>
      </c>
      <c r="M2646" s="6">
        <v>45679</v>
      </c>
      <c r="N2646" s="6" t="s">
        <v>811</v>
      </c>
      <c r="O2646" s="5" t="str">
        <f ca="1">IF(P2646&lt;&gt;"EXPEDIÇÃO","Expedido",IF(NETWORKDAYS(C2646,TODAY())&gt;=5,"Risco Alto",IF(NETWORKDAYS(C2646,TODAY())&gt;=3,IF(NETWORKDAYS(C2646,TODAY())&lt;5,"Risco Médio",""),IF(NETWORKDAYS(C2646,TODAY())&lt;=2,"Risco Baixo",""))))</f>
        <v>Expedido</v>
      </c>
      <c r="P2646" s="5" t="s">
        <v>25</v>
      </c>
      <c r="S2646" s="7">
        <f>IF(ISBLANK(M2646),"Aguardando Previsão/Data",NETWORKDAYS(L2646,M2646)-1)</f>
        <v>-5</v>
      </c>
      <c r="T2646" s="5" t="s">
        <v>942</v>
      </c>
    </row>
    <row r="2647" spans="1:20" x14ac:dyDescent="0.35">
      <c r="A2647" s="5">
        <v>8100279817</v>
      </c>
      <c r="B2647" s="5">
        <v>12355</v>
      </c>
      <c r="C2647" s="6">
        <v>45677</v>
      </c>
      <c r="D2647" s="5" t="s">
        <v>158</v>
      </c>
      <c r="E2647" s="5" t="s">
        <v>159</v>
      </c>
      <c r="F2647" s="5" t="s">
        <v>176</v>
      </c>
      <c r="G2647" s="5" t="s">
        <v>177</v>
      </c>
      <c r="H2647" s="5" t="s">
        <v>108</v>
      </c>
      <c r="I2647" s="5" t="s">
        <v>1144</v>
      </c>
      <c r="J2647" s="5" t="s">
        <v>1145</v>
      </c>
      <c r="K2647" s="5" t="s">
        <v>170</v>
      </c>
      <c r="L2647" s="6">
        <v>45684</v>
      </c>
      <c r="M2647" s="6">
        <v>45680</v>
      </c>
      <c r="N2647" s="6" t="s">
        <v>811</v>
      </c>
      <c r="O2647" s="5" t="str">
        <f ca="1">IF(P2647&lt;&gt;"EXPEDIÇÃO","Expedido",IF(NETWORKDAYS(C2647,TODAY())&gt;=5,"Risco Alto",IF(NETWORKDAYS(C2647,TODAY())&gt;=3,IF(NETWORKDAYS(C2647,TODAY())&lt;5,"Risco Médio",""),IF(NETWORKDAYS(C2647,TODAY())&lt;=2,"Risco Baixo",""))))</f>
        <v>Expedido</v>
      </c>
      <c r="P2647" s="5" t="s">
        <v>25</v>
      </c>
      <c r="S2647" s="7">
        <f>IF(ISBLANK(M2647),"Aguardando Previsão/Data",NETWORKDAYS(L2647,M2647)-1)</f>
        <v>-4</v>
      </c>
      <c r="T2647" s="5" t="s">
        <v>942</v>
      </c>
    </row>
    <row r="2648" spans="1:20" x14ac:dyDescent="0.35">
      <c r="A2648" s="5">
        <v>8100279018</v>
      </c>
      <c r="B2648" s="5">
        <v>17512</v>
      </c>
      <c r="C2648" s="6">
        <v>45678</v>
      </c>
      <c r="D2648" s="5" t="s">
        <v>51</v>
      </c>
      <c r="E2648" s="5" t="s">
        <v>52</v>
      </c>
      <c r="F2648" s="5" t="s">
        <v>406</v>
      </c>
      <c r="G2648" s="5" t="s">
        <v>407</v>
      </c>
      <c r="H2648" s="5" t="s">
        <v>21</v>
      </c>
      <c r="I2648" s="5" t="s">
        <v>751</v>
      </c>
      <c r="J2648" s="5" t="s">
        <v>265</v>
      </c>
      <c r="K2648" s="5" t="s">
        <v>80</v>
      </c>
      <c r="L2648" s="6">
        <v>45685</v>
      </c>
      <c r="M2648" s="6">
        <v>45684</v>
      </c>
      <c r="N2648" s="6" t="s">
        <v>811</v>
      </c>
      <c r="O2648" s="5" t="str">
        <f ca="1">IF(P2648&lt;&gt;"EXPEDIÇÃO","Expedido",IF(NETWORKDAYS(C2648,TODAY())&gt;=5,"Risco Alto",IF(NETWORKDAYS(C2648,TODAY())&gt;=3,IF(NETWORKDAYS(C2648,TODAY())&lt;5,"Risco Médio",""),IF(NETWORKDAYS(C2648,TODAY())&lt;=2,"Risco Baixo",""))))</f>
        <v>Expedido</v>
      </c>
      <c r="P2648" s="5" t="s">
        <v>25</v>
      </c>
      <c r="S2648" s="7">
        <f>IF(ISBLANK(M2648),"Aguardando Previsão/Data",NETWORKDAYS(L2648,M2648)-1)</f>
        <v>-3</v>
      </c>
      <c r="T2648" s="5" t="s">
        <v>942</v>
      </c>
    </row>
    <row r="2649" spans="1:20" x14ac:dyDescent="0.35">
      <c r="A2649" s="5">
        <v>8100279876</v>
      </c>
      <c r="B2649" s="5">
        <v>17517</v>
      </c>
      <c r="C2649" s="6">
        <v>45678</v>
      </c>
      <c r="D2649" s="5" t="s">
        <v>51</v>
      </c>
      <c r="E2649" s="5" t="s">
        <v>52</v>
      </c>
      <c r="F2649" s="5" t="s">
        <v>58</v>
      </c>
      <c r="G2649" s="5" t="s">
        <v>59</v>
      </c>
      <c r="H2649" s="5" t="s">
        <v>21</v>
      </c>
      <c r="I2649" s="5" t="s">
        <v>22</v>
      </c>
      <c r="J2649" s="5" t="s">
        <v>65</v>
      </c>
      <c r="K2649" s="5" t="s">
        <v>57</v>
      </c>
      <c r="L2649" s="6">
        <v>45681</v>
      </c>
      <c r="M2649" s="6">
        <v>45678</v>
      </c>
      <c r="N2649" s="6" t="s">
        <v>811</v>
      </c>
      <c r="O2649" s="5" t="str">
        <f ca="1">IF(P2649&lt;&gt;"EXPEDIÇÃO","Expedido",IF(NETWORKDAYS(C2649,TODAY())&gt;=5,"Risco Alto",IF(NETWORKDAYS(C2649,TODAY())&gt;=3,IF(NETWORKDAYS(C2649,TODAY())&lt;5,"Risco Médio",""),IF(NETWORKDAYS(C2649,TODAY())&lt;=2,"Risco Baixo",""))))</f>
        <v>Expedido</v>
      </c>
      <c r="P2649" s="5" t="s">
        <v>25</v>
      </c>
      <c r="Q2649" s="5" t="s">
        <v>900</v>
      </c>
      <c r="S2649" s="7">
        <f>IF(ISBLANK(M2649),"Aguardando Previsão/Data",NETWORKDAYS(L2649,M2649)-1)</f>
        <v>-5</v>
      </c>
      <c r="T2649" s="5" t="s">
        <v>942</v>
      </c>
    </row>
    <row r="2650" spans="1:20" x14ac:dyDescent="0.35">
      <c r="A2650" s="5">
        <v>8100279880</v>
      </c>
      <c r="B2650" s="5">
        <v>17511</v>
      </c>
      <c r="C2650" s="6">
        <v>45678</v>
      </c>
      <c r="D2650" s="5" t="s">
        <v>51</v>
      </c>
      <c r="E2650" s="5" t="s">
        <v>52</v>
      </c>
      <c r="F2650" s="5" t="s">
        <v>406</v>
      </c>
      <c r="G2650" s="5" t="s">
        <v>407</v>
      </c>
      <c r="H2650" s="5" t="s">
        <v>21</v>
      </c>
      <c r="I2650" s="5" t="s">
        <v>1112</v>
      </c>
      <c r="J2650" s="5" t="s">
        <v>265</v>
      </c>
      <c r="K2650" s="5" t="s">
        <v>80</v>
      </c>
      <c r="L2650" s="6">
        <v>45685</v>
      </c>
      <c r="M2650" s="6">
        <v>45684</v>
      </c>
      <c r="N2650" s="6" t="s">
        <v>811</v>
      </c>
      <c r="O2650" s="5" t="str">
        <f ca="1">IF(P2650&lt;&gt;"EXPEDIÇÃO","Expedido",IF(NETWORKDAYS(C2650,TODAY())&gt;=5,"Risco Alto",IF(NETWORKDAYS(C2650,TODAY())&gt;=3,IF(NETWORKDAYS(C2650,TODAY())&lt;5,"Risco Médio",""),IF(NETWORKDAYS(C2650,TODAY())&lt;=2,"Risco Baixo",""))))</f>
        <v>Expedido</v>
      </c>
      <c r="P2650" s="5" t="s">
        <v>25</v>
      </c>
      <c r="S2650" s="7">
        <f>IF(ISBLANK(M2650),"Aguardando Previsão/Data",NETWORKDAYS(L2650,M2650)-1)</f>
        <v>-3</v>
      </c>
      <c r="T2650" s="5" t="s">
        <v>942</v>
      </c>
    </row>
    <row r="2651" spans="1:20" x14ac:dyDescent="0.35">
      <c r="A2651" s="5">
        <v>8100279881</v>
      </c>
      <c r="B2651" s="5">
        <v>17513</v>
      </c>
      <c r="C2651" s="6">
        <v>45678</v>
      </c>
      <c r="D2651" s="5" t="s">
        <v>51</v>
      </c>
      <c r="E2651" s="5" t="s">
        <v>52</v>
      </c>
      <c r="F2651" s="5" t="s">
        <v>406</v>
      </c>
      <c r="G2651" s="5" t="s">
        <v>407</v>
      </c>
      <c r="H2651" s="5" t="s">
        <v>21</v>
      </c>
      <c r="I2651" s="5" t="s">
        <v>1035</v>
      </c>
      <c r="J2651" s="5" t="s">
        <v>265</v>
      </c>
      <c r="K2651" s="5" t="s">
        <v>80</v>
      </c>
      <c r="L2651" s="6">
        <v>45685</v>
      </c>
      <c r="M2651" s="6">
        <v>45684</v>
      </c>
      <c r="N2651" s="6" t="s">
        <v>811</v>
      </c>
      <c r="O2651" s="5" t="str">
        <f ca="1">IF(P2651&lt;&gt;"EXPEDIÇÃO","Expedido",IF(NETWORKDAYS(C2651,TODAY())&gt;=5,"Risco Alto",IF(NETWORKDAYS(C2651,TODAY())&gt;=3,IF(NETWORKDAYS(C2651,TODAY())&lt;5,"Risco Médio",""),IF(NETWORKDAYS(C2651,TODAY())&lt;=2,"Risco Baixo",""))))</f>
        <v>Expedido</v>
      </c>
      <c r="P2651" s="5" t="s">
        <v>25</v>
      </c>
      <c r="S2651" s="7">
        <f>IF(ISBLANK(M2651),"Aguardando Previsão/Data",NETWORKDAYS(L2651,M2651)-1)</f>
        <v>-3</v>
      </c>
      <c r="T2651" s="5" t="s">
        <v>942</v>
      </c>
    </row>
    <row r="2652" spans="1:20" x14ac:dyDescent="0.35">
      <c r="A2652" s="5">
        <v>8100280410</v>
      </c>
      <c r="B2652" s="5">
        <v>17514</v>
      </c>
      <c r="C2652" s="6">
        <v>45678</v>
      </c>
      <c r="D2652" s="5" t="s">
        <v>51</v>
      </c>
      <c r="E2652" s="5" t="s">
        <v>52</v>
      </c>
      <c r="F2652" s="5" t="s">
        <v>69</v>
      </c>
      <c r="G2652" s="5" t="s">
        <v>70</v>
      </c>
      <c r="H2652" s="5" t="s">
        <v>21</v>
      </c>
      <c r="I2652" s="5" t="s">
        <v>350</v>
      </c>
      <c r="J2652" s="5" t="s">
        <v>65</v>
      </c>
      <c r="K2652" s="5" t="s">
        <v>57</v>
      </c>
      <c r="L2652" s="6">
        <v>45681</v>
      </c>
      <c r="M2652" s="6">
        <v>45684</v>
      </c>
      <c r="N2652" s="6" t="s">
        <v>811</v>
      </c>
      <c r="O2652" s="5" t="str">
        <f ca="1">IF(P2652&lt;&gt;"EXPEDIÇÃO","Expedido",IF(NETWORKDAYS(C2652,TODAY())&gt;=5,"Risco Alto",IF(NETWORKDAYS(C2652,TODAY())&gt;=3,IF(NETWORKDAYS(C2652,TODAY())&lt;5,"Risco Médio",""),IF(NETWORKDAYS(C2652,TODAY())&lt;=2,"Risco Baixo",""))))</f>
        <v>Expedido</v>
      </c>
      <c r="P2652" s="5" t="s">
        <v>25</v>
      </c>
      <c r="Q2652" s="5" t="s">
        <v>897</v>
      </c>
      <c r="R2652" s="5">
        <v>1689816</v>
      </c>
      <c r="S2652" s="7">
        <f>IF(ISBLANK(M2652),"Aguardando Previsão/Data",NETWORKDAYS(L2652,M2652)-1)</f>
        <v>1</v>
      </c>
      <c r="T2652" s="5" t="s">
        <v>942</v>
      </c>
    </row>
    <row r="2653" spans="1:20" x14ac:dyDescent="0.35">
      <c r="A2653" s="5">
        <v>8100280636</v>
      </c>
      <c r="B2653" s="5">
        <v>17515</v>
      </c>
      <c r="C2653" s="6">
        <v>45678</v>
      </c>
      <c r="D2653" s="5" t="s">
        <v>51</v>
      </c>
      <c r="E2653" s="5" t="s">
        <v>52</v>
      </c>
      <c r="F2653" s="5" t="s">
        <v>53</v>
      </c>
      <c r="G2653" s="5" t="s">
        <v>54</v>
      </c>
      <c r="H2653" s="5" t="s">
        <v>21</v>
      </c>
      <c r="I2653" s="5" t="s">
        <v>856</v>
      </c>
      <c r="J2653" s="5" t="s">
        <v>549</v>
      </c>
      <c r="K2653" s="5" t="s">
        <v>57</v>
      </c>
      <c r="L2653" s="6">
        <v>45685</v>
      </c>
      <c r="M2653" s="6">
        <v>45684</v>
      </c>
      <c r="N2653" s="6" t="s">
        <v>811</v>
      </c>
      <c r="O2653" s="5" t="str">
        <f ca="1">IF(P2653&lt;&gt;"EXPEDIÇÃO","Expedido",IF(NETWORKDAYS(C2653,TODAY())&gt;=5,"Risco Alto",IF(NETWORKDAYS(C2653,TODAY())&gt;=3,IF(NETWORKDAYS(C2653,TODAY())&lt;5,"Risco Médio",""),IF(NETWORKDAYS(C2653,TODAY())&lt;=2,"Risco Baixo",""))))</f>
        <v>Expedido</v>
      </c>
      <c r="P2653" s="5" t="s">
        <v>25</v>
      </c>
      <c r="S2653" s="7">
        <f>IF(ISBLANK(M2653),"Aguardando Previsão/Data",NETWORKDAYS(L2653,M2653)-1)</f>
        <v>-3</v>
      </c>
      <c r="T2653" s="5" t="s">
        <v>942</v>
      </c>
    </row>
    <row r="2654" spans="1:20" x14ac:dyDescent="0.35">
      <c r="A2654" s="5">
        <v>8100280637</v>
      </c>
      <c r="B2654" s="5">
        <v>17516</v>
      </c>
      <c r="C2654" s="6">
        <v>45678</v>
      </c>
      <c r="D2654" s="5" t="s">
        <v>51</v>
      </c>
      <c r="E2654" s="5" t="s">
        <v>52</v>
      </c>
      <c r="F2654" s="5" t="s">
        <v>69</v>
      </c>
      <c r="G2654" s="5" t="s">
        <v>70</v>
      </c>
      <c r="H2654" s="5" t="s">
        <v>21</v>
      </c>
      <c r="I2654" s="5" t="s">
        <v>128</v>
      </c>
      <c r="J2654" s="5" t="s">
        <v>65</v>
      </c>
      <c r="K2654" s="5" t="s">
        <v>57</v>
      </c>
      <c r="L2654" s="6">
        <v>45681</v>
      </c>
      <c r="M2654" s="6">
        <v>45684</v>
      </c>
      <c r="N2654" s="6" t="s">
        <v>811</v>
      </c>
      <c r="O2654" s="5" t="str">
        <f ca="1">IF(P2654&lt;&gt;"EXPEDIÇÃO","Expedido",IF(NETWORKDAYS(C2654,TODAY())&gt;=5,"Risco Alto",IF(NETWORKDAYS(C2654,TODAY())&gt;=3,IF(NETWORKDAYS(C2654,TODAY())&lt;5,"Risco Médio",""),IF(NETWORKDAYS(C2654,TODAY())&lt;=2,"Risco Baixo",""))))</f>
        <v>Expedido</v>
      </c>
      <c r="P2654" s="5" t="s">
        <v>25</v>
      </c>
      <c r="Q2654" s="5" t="s">
        <v>897</v>
      </c>
      <c r="R2654" s="5" t="s">
        <v>1498</v>
      </c>
      <c r="S2654" s="7">
        <f>IF(ISBLANK(M2654),"Aguardando Previsão/Data",NETWORKDAYS(L2654,M2654)-1)</f>
        <v>1</v>
      </c>
      <c r="T2654" s="5" t="s">
        <v>942</v>
      </c>
    </row>
    <row r="2655" spans="1:20" x14ac:dyDescent="0.35">
      <c r="A2655" s="5">
        <v>8100280851</v>
      </c>
      <c r="B2655" s="5">
        <v>17551</v>
      </c>
      <c r="C2655" s="6">
        <v>45678</v>
      </c>
      <c r="D2655" s="5" t="s">
        <v>51</v>
      </c>
      <c r="E2655" s="5" t="s">
        <v>52</v>
      </c>
      <c r="F2655" s="5" t="s">
        <v>406</v>
      </c>
      <c r="G2655" s="5" t="s">
        <v>407</v>
      </c>
      <c r="H2655" s="5" t="s">
        <v>21</v>
      </c>
      <c r="I2655" s="5" t="s">
        <v>751</v>
      </c>
      <c r="J2655" s="5" t="s">
        <v>265</v>
      </c>
      <c r="K2655" s="5" t="s">
        <v>80</v>
      </c>
      <c r="L2655" s="6">
        <v>45685</v>
      </c>
      <c r="M2655" s="6">
        <v>45684</v>
      </c>
      <c r="N2655" s="6" t="s">
        <v>811</v>
      </c>
      <c r="O2655" s="5" t="str">
        <f ca="1">IF(P2655&lt;&gt;"EXPEDIÇÃO","Expedido",IF(NETWORKDAYS(C2655,TODAY())&gt;=5,"Risco Alto",IF(NETWORKDAYS(C2655,TODAY())&gt;=3,IF(NETWORKDAYS(C2655,TODAY())&lt;5,"Risco Médio",""),IF(NETWORKDAYS(C2655,TODAY())&lt;=2,"Risco Baixo",""))))</f>
        <v>Expedido</v>
      </c>
      <c r="P2655" s="5" t="s">
        <v>25</v>
      </c>
      <c r="S2655" s="7">
        <f>IF(ISBLANK(M2655),"Aguardando Previsão/Data",NETWORKDAYS(L2655,M2655)-1)</f>
        <v>-3</v>
      </c>
      <c r="T2655" s="5" t="s">
        <v>942</v>
      </c>
    </row>
    <row r="2656" spans="1:20" x14ac:dyDescent="0.35">
      <c r="A2656" s="5">
        <v>8100280852</v>
      </c>
      <c r="B2656" s="5">
        <v>17522</v>
      </c>
      <c r="C2656" s="6">
        <v>45678</v>
      </c>
      <c r="D2656" s="5" t="s">
        <v>51</v>
      </c>
      <c r="E2656" s="5" t="s">
        <v>52</v>
      </c>
      <c r="F2656" s="5" t="s">
        <v>58</v>
      </c>
      <c r="G2656" s="5" t="s">
        <v>59</v>
      </c>
      <c r="H2656" s="5" t="s">
        <v>21</v>
      </c>
      <c r="I2656" s="5" t="s">
        <v>410</v>
      </c>
      <c r="J2656" s="5" t="s">
        <v>611</v>
      </c>
      <c r="K2656" s="5" t="s">
        <v>57</v>
      </c>
      <c r="L2656" s="6">
        <v>45684</v>
      </c>
      <c r="M2656" s="6">
        <v>45681</v>
      </c>
      <c r="N2656" s="6" t="s">
        <v>811</v>
      </c>
      <c r="O2656" s="5" t="str">
        <f ca="1">IF(P2656&lt;&gt;"EXPEDIÇÃO","Expedido",IF(NETWORKDAYS(C2656,TODAY())&gt;=5,"Risco Alto",IF(NETWORKDAYS(C2656,TODAY())&gt;=3,IF(NETWORKDAYS(C2656,TODAY())&lt;5,"Risco Médio",""),IF(NETWORKDAYS(C2656,TODAY())&lt;=2,"Risco Baixo",""))))</f>
        <v>Expedido</v>
      </c>
      <c r="P2656" s="5" t="s">
        <v>25</v>
      </c>
      <c r="S2656" s="7">
        <f>IF(ISBLANK(M2656),"Aguardando Previsão/Data",NETWORKDAYS(L2656,M2656)-1)</f>
        <v>-3</v>
      </c>
      <c r="T2656" s="5" t="s">
        <v>942</v>
      </c>
    </row>
    <row r="2657" spans="1:20" x14ac:dyDescent="0.35">
      <c r="A2657" s="5">
        <v>8100280853</v>
      </c>
      <c r="B2657" s="5">
        <v>17524</v>
      </c>
      <c r="C2657" s="6">
        <v>45678</v>
      </c>
      <c r="D2657" s="5" t="s">
        <v>51</v>
      </c>
      <c r="E2657" s="5" t="s">
        <v>52</v>
      </c>
      <c r="F2657" s="5" t="s">
        <v>58</v>
      </c>
      <c r="G2657" s="5" t="s">
        <v>59</v>
      </c>
      <c r="H2657" s="5" t="s">
        <v>21</v>
      </c>
      <c r="I2657" s="5" t="s">
        <v>376</v>
      </c>
      <c r="J2657" s="5" t="s">
        <v>377</v>
      </c>
      <c r="K2657" s="5" t="s">
        <v>57</v>
      </c>
      <c r="L2657" s="6">
        <v>45685</v>
      </c>
      <c r="M2657" s="6">
        <v>45686</v>
      </c>
      <c r="N2657" s="6" t="s">
        <v>811</v>
      </c>
      <c r="O2657" s="5" t="str">
        <f ca="1">IF(P2657&lt;&gt;"EXPEDIÇÃO","Expedido",IF(NETWORKDAYS(C2657,TODAY())&gt;=5,"Risco Alto",IF(NETWORKDAYS(C2657,TODAY())&gt;=3,IF(NETWORKDAYS(C2657,TODAY())&lt;5,"Risco Médio",""),IF(NETWORKDAYS(C2657,TODAY())&lt;=2,"Risco Baixo",""))))</f>
        <v>Expedido</v>
      </c>
      <c r="P2657" s="5" t="s">
        <v>25</v>
      </c>
      <c r="Q2657" s="5" t="s">
        <v>897</v>
      </c>
      <c r="R2657" s="5" t="s">
        <v>1580</v>
      </c>
      <c r="S2657" s="7">
        <f>IF(ISBLANK(M2657),"Aguardando Previsão/Data",NETWORKDAYS(L2657,M2657)-1)</f>
        <v>1</v>
      </c>
      <c r="T2657" s="5" t="s">
        <v>942</v>
      </c>
    </row>
    <row r="2658" spans="1:20" x14ac:dyDescent="0.35">
      <c r="A2658" s="5">
        <v>8100280854</v>
      </c>
      <c r="B2658" s="5">
        <v>17525</v>
      </c>
      <c r="C2658" s="6">
        <v>45678</v>
      </c>
      <c r="D2658" s="5" t="s">
        <v>51</v>
      </c>
      <c r="E2658" s="5" t="s">
        <v>52</v>
      </c>
      <c r="F2658" s="5" t="s">
        <v>58</v>
      </c>
      <c r="G2658" s="5" t="s">
        <v>59</v>
      </c>
      <c r="H2658" s="5" t="s">
        <v>21</v>
      </c>
      <c r="I2658" s="5" t="s">
        <v>497</v>
      </c>
      <c r="J2658" s="5" t="s">
        <v>498</v>
      </c>
      <c r="K2658" s="5" t="s">
        <v>57</v>
      </c>
      <c r="L2658" s="6">
        <v>45686</v>
      </c>
      <c r="M2658" s="6">
        <v>45684</v>
      </c>
      <c r="N2658" s="6" t="s">
        <v>811</v>
      </c>
      <c r="O2658" s="5" t="str">
        <f ca="1">IF(P2658&lt;&gt;"EXPEDIÇÃO","Expedido",IF(NETWORKDAYS(C2658,TODAY())&gt;=5,"Risco Alto",IF(NETWORKDAYS(C2658,TODAY())&gt;=3,IF(NETWORKDAYS(C2658,TODAY())&lt;5,"Risco Médio",""),IF(NETWORKDAYS(C2658,TODAY())&lt;=2,"Risco Baixo",""))))</f>
        <v>Expedido</v>
      </c>
      <c r="P2658" s="5" t="s">
        <v>25</v>
      </c>
      <c r="S2658" s="7">
        <f>IF(ISBLANK(M2658),"Aguardando Previsão/Data",NETWORKDAYS(L2658,M2658)-1)</f>
        <v>-4</v>
      </c>
      <c r="T2658" s="5" t="s">
        <v>942</v>
      </c>
    </row>
    <row r="2659" spans="1:20" x14ac:dyDescent="0.35">
      <c r="A2659" s="5">
        <v>8100280855</v>
      </c>
      <c r="B2659" s="5">
        <v>17523</v>
      </c>
      <c r="C2659" s="6">
        <v>45678</v>
      </c>
      <c r="D2659" s="5" t="s">
        <v>51</v>
      </c>
      <c r="E2659" s="5" t="s">
        <v>52</v>
      </c>
      <c r="F2659" s="5" t="s">
        <v>66</v>
      </c>
      <c r="G2659" s="5" t="s">
        <v>67</v>
      </c>
      <c r="H2659" s="5" t="s">
        <v>21</v>
      </c>
      <c r="I2659" s="5" t="s">
        <v>517</v>
      </c>
      <c r="J2659" s="5" t="s">
        <v>651</v>
      </c>
      <c r="K2659" s="5" t="s">
        <v>57</v>
      </c>
      <c r="L2659" s="6">
        <v>45686</v>
      </c>
      <c r="M2659" s="6">
        <v>45685</v>
      </c>
      <c r="N2659" s="6" t="s">
        <v>811</v>
      </c>
      <c r="O2659" s="5" t="str">
        <f ca="1">IF(P2659&lt;&gt;"EXPEDIÇÃO","Expedido",IF(NETWORKDAYS(C2659,TODAY())&gt;=5,"Risco Alto",IF(NETWORKDAYS(C2659,TODAY())&gt;=3,IF(NETWORKDAYS(C2659,TODAY())&lt;5,"Risco Médio",""),IF(NETWORKDAYS(C2659,TODAY())&lt;=2,"Risco Baixo",""))))</f>
        <v>Expedido</v>
      </c>
      <c r="P2659" s="5" t="s">
        <v>25</v>
      </c>
      <c r="S2659" s="7">
        <f>IF(ISBLANK(M2659),"Aguardando Previsão/Data",NETWORKDAYS(L2659,M2659)-1)</f>
        <v>-3</v>
      </c>
      <c r="T2659" s="5" t="s">
        <v>942</v>
      </c>
    </row>
    <row r="2660" spans="1:20" x14ac:dyDescent="0.35">
      <c r="A2660" s="5">
        <v>8100280856</v>
      </c>
      <c r="B2660" s="5">
        <v>17526</v>
      </c>
      <c r="C2660" s="6">
        <v>45678</v>
      </c>
      <c r="D2660" s="5" t="s">
        <v>51</v>
      </c>
      <c r="E2660" s="5" t="s">
        <v>52</v>
      </c>
      <c r="F2660" s="5" t="s">
        <v>58</v>
      </c>
      <c r="G2660" s="5" t="s">
        <v>59</v>
      </c>
      <c r="H2660" s="5" t="s">
        <v>21</v>
      </c>
      <c r="I2660" s="5" t="s">
        <v>497</v>
      </c>
      <c r="J2660" s="5" t="s">
        <v>498</v>
      </c>
      <c r="K2660" s="5" t="s">
        <v>57</v>
      </c>
      <c r="L2660" s="6">
        <v>45686</v>
      </c>
      <c r="M2660" s="6">
        <v>45684</v>
      </c>
      <c r="N2660" s="6" t="s">
        <v>811</v>
      </c>
      <c r="O2660" s="5" t="str">
        <f ca="1">IF(P2660&lt;&gt;"EXPEDIÇÃO","Expedido",IF(NETWORKDAYS(C2660,TODAY())&gt;=5,"Risco Alto",IF(NETWORKDAYS(C2660,TODAY())&gt;=3,IF(NETWORKDAYS(C2660,TODAY())&lt;5,"Risco Médio",""),IF(NETWORKDAYS(C2660,TODAY())&lt;=2,"Risco Baixo",""))))</f>
        <v>Expedido</v>
      </c>
      <c r="P2660" s="5" t="s">
        <v>25</v>
      </c>
      <c r="S2660" s="7">
        <f>IF(ISBLANK(M2660),"Aguardando Previsão/Data",NETWORKDAYS(L2660,M2660)-1)</f>
        <v>-4</v>
      </c>
      <c r="T2660" s="5" t="s">
        <v>942</v>
      </c>
    </row>
    <row r="2661" spans="1:20" x14ac:dyDescent="0.35">
      <c r="A2661" s="5">
        <v>8100280857</v>
      </c>
      <c r="B2661" s="5">
        <v>17527</v>
      </c>
      <c r="C2661" s="6">
        <v>45678</v>
      </c>
      <c r="D2661" s="5" t="s">
        <v>51</v>
      </c>
      <c r="E2661" s="5" t="s">
        <v>52</v>
      </c>
      <c r="F2661" s="5" t="s">
        <v>66</v>
      </c>
      <c r="G2661" s="5" t="s">
        <v>67</v>
      </c>
      <c r="H2661" s="5" t="s">
        <v>21</v>
      </c>
      <c r="I2661" s="5" t="s">
        <v>304</v>
      </c>
      <c r="J2661" s="5" t="s">
        <v>65</v>
      </c>
      <c r="K2661" s="5" t="s">
        <v>57</v>
      </c>
      <c r="L2661" s="6">
        <v>45681</v>
      </c>
      <c r="M2661" s="6">
        <v>45680</v>
      </c>
      <c r="N2661" s="6" t="s">
        <v>811</v>
      </c>
      <c r="O2661" s="5" t="str">
        <f ca="1">IF(P2661&lt;&gt;"EXPEDIÇÃO","Expedido",IF(NETWORKDAYS(C2661,TODAY())&gt;=5,"Risco Alto",IF(NETWORKDAYS(C2661,TODAY())&gt;=3,IF(NETWORKDAYS(C2661,TODAY())&lt;5,"Risco Médio",""),IF(NETWORKDAYS(C2661,TODAY())&lt;=2,"Risco Baixo",""))))</f>
        <v>Expedido</v>
      </c>
      <c r="P2661" s="5" t="s">
        <v>25</v>
      </c>
      <c r="S2661" s="7">
        <f>IF(ISBLANK(M2661),"Aguardando Previsão/Data",NETWORKDAYS(L2661,M2661)-1)</f>
        <v>-3</v>
      </c>
      <c r="T2661" s="5" t="s">
        <v>942</v>
      </c>
    </row>
    <row r="2662" spans="1:20" x14ac:dyDescent="0.35">
      <c r="A2662" s="5">
        <v>8100280858</v>
      </c>
      <c r="B2662" s="5">
        <v>17532</v>
      </c>
      <c r="C2662" s="6">
        <v>45678</v>
      </c>
      <c r="D2662" s="5" t="s">
        <v>51</v>
      </c>
      <c r="E2662" s="5" t="s">
        <v>52</v>
      </c>
      <c r="F2662" s="5" t="s">
        <v>66</v>
      </c>
      <c r="G2662" s="5" t="s">
        <v>67</v>
      </c>
      <c r="H2662" s="5" t="s">
        <v>21</v>
      </c>
      <c r="I2662" s="5" t="s">
        <v>528</v>
      </c>
      <c r="J2662" s="5" t="s">
        <v>268</v>
      </c>
      <c r="K2662" s="5" t="s">
        <v>57</v>
      </c>
      <c r="L2662" s="6">
        <v>45686</v>
      </c>
      <c r="M2662" s="6">
        <v>45684</v>
      </c>
      <c r="N2662" s="6" t="s">
        <v>811</v>
      </c>
      <c r="O2662" s="5" t="str">
        <f ca="1">IF(P2662&lt;&gt;"EXPEDIÇÃO","Expedido",IF(NETWORKDAYS(C2662,TODAY())&gt;=5,"Risco Alto",IF(NETWORKDAYS(C2662,TODAY())&gt;=3,IF(NETWORKDAYS(C2662,TODAY())&lt;5,"Risco Médio",""),IF(NETWORKDAYS(C2662,TODAY())&lt;=2,"Risco Baixo",""))))</f>
        <v>Expedido</v>
      </c>
      <c r="P2662" s="5" t="s">
        <v>25</v>
      </c>
      <c r="S2662" s="7">
        <f>IF(ISBLANK(M2662),"Aguardando Previsão/Data",NETWORKDAYS(L2662,M2662)-1)</f>
        <v>-4</v>
      </c>
      <c r="T2662" s="5" t="s">
        <v>942</v>
      </c>
    </row>
    <row r="2663" spans="1:20" x14ac:dyDescent="0.35">
      <c r="A2663" s="5">
        <v>8100280859</v>
      </c>
      <c r="B2663" s="5">
        <v>17530</v>
      </c>
      <c r="C2663" s="6">
        <v>45678</v>
      </c>
      <c r="D2663" s="5" t="s">
        <v>51</v>
      </c>
      <c r="E2663" s="5" t="s">
        <v>52</v>
      </c>
      <c r="F2663" s="5" t="s">
        <v>66</v>
      </c>
      <c r="G2663" s="5" t="s">
        <v>67</v>
      </c>
      <c r="H2663" s="5" t="s">
        <v>21</v>
      </c>
      <c r="I2663" s="5" t="s">
        <v>1174</v>
      </c>
      <c r="J2663" s="5" t="s">
        <v>1055</v>
      </c>
      <c r="K2663" s="5" t="s">
        <v>57</v>
      </c>
      <c r="L2663" s="6">
        <v>45686</v>
      </c>
      <c r="M2663" s="6">
        <v>45684</v>
      </c>
      <c r="N2663" s="6" t="s">
        <v>811</v>
      </c>
      <c r="O2663" s="5" t="str">
        <f ca="1">IF(P2663&lt;&gt;"EXPEDIÇÃO","Expedido",IF(NETWORKDAYS(C2663,TODAY())&gt;=5,"Risco Alto",IF(NETWORKDAYS(C2663,TODAY())&gt;=3,IF(NETWORKDAYS(C2663,TODAY())&lt;5,"Risco Médio",""),IF(NETWORKDAYS(C2663,TODAY())&lt;=2,"Risco Baixo",""))))</f>
        <v>Expedido</v>
      </c>
      <c r="P2663" s="5" t="s">
        <v>25</v>
      </c>
      <c r="S2663" s="7">
        <f>IF(ISBLANK(M2663),"Aguardando Previsão/Data",NETWORKDAYS(L2663,M2663)-1)</f>
        <v>-4</v>
      </c>
      <c r="T2663" s="5" t="s">
        <v>942</v>
      </c>
    </row>
    <row r="2664" spans="1:20" x14ac:dyDescent="0.35">
      <c r="A2664" s="5">
        <v>8100280860</v>
      </c>
      <c r="B2664" s="5">
        <v>17528</v>
      </c>
      <c r="C2664" s="6">
        <v>45678</v>
      </c>
      <c r="D2664" s="5" t="s">
        <v>51</v>
      </c>
      <c r="E2664" s="5" t="s">
        <v>52</v>
      </c>
      <c r="F2664" s="5" t="s">
        <v>66</v>
      </c>
      <c r="G2664" s="5" t="s">
        <v>67</v>
      </c>
      <c r="H2664" s="5" t="s">
        <v>21</v>
      </c>
      <c r="I2664" s="5" t="s">
        <v>266</v>
      </c>
      <c r="J2664" s="5" t="s">
        <v>267</v>
      </c>
      <c r="K2664" s="5" t="s">
        <v>57</v>
      </c>
      <c r="L2664" s="6">
        <v>45681</v>
      </c>
      <c r="M2664" s="6">
        <v>45680</v>
      </c>
      <c r="N2664" s="6" t="s">
        <v>811</v>
      </c>
      <c r="O2664" s="5" t="str">
        <f ca="1">IF(P2664&lt;&gt;"EXPEDIÇÃO","Expedido",IF(NETWORKDAYS(C2664,TODAY())&gt;=5,"Risco Alto",IF(NETWORKDAYS(C2664,TODAY())&gt;=3,IF(NETWORKDAYS(C2664,TODAY())&lt;5,"Risco Médio",""),IF(NETWORKDAYS(C2664,TODAY())&lt;=2,"Risco Baixo",""))))</f>
        <v>Expedido</v>
      </c>
      <c r="P2664" s="5" t="s">
        <v>25</v>
      </c>
      <c r="S2664" s="7">
        <f>IF(ISBLANK(M2664),"Aguardando Previsão/Data",NETWORKDAYS(L2664,M2664)-1)</f>
        <v>-3</v>
      </c>
      <c r="T2664" s="5" t="s">
        <v>942</v>
      </c>
    </row>
    <row r="2665" spans="1:20" x14ac:dyDescent="0.35">
      <c r="A2665" s="5">
        <v>8100280861</v>
      </c>
      <c r="B2665" s="5">
        <v>17533</v>
      </c>
      <c r="C2665" s="6">
        <v>45678</v>
      </c>
      <c r="D2665" s="5" t="s">
        <v>51</v>
      </c>
      <c r="E2665" s="5" t="s">
        <v>52</v>
      </c>
      <c r="F2665" s="5" t="s">
        <v>66</v>
      </c>
      <c r="G2665" s="5" t="s">
        <v>67</v>
      </c>
      <c r="H2665" s="5" t="s">
        <v>21</v>
      </c>
      <c r="I2665" s="5" t="s">
        <v>73</v>
      </c>
      <c r="J2665" s="5" t="s">
        <v>268</v>
      </c>
      <c r="K2665" s="5" t="s">
        <v>57</v>
      </c>
      <c r="L2665" s="6">
        <v>45686</v>
      </c>
      <c r="M2665" s="6">
        <v>45684</v>
      </c>
      <c r="N2665" s="6" t="s">
        <v>811</v>
      </c>
      <c r="O2665" s="5" t="str">
        <f ca="1">IF(P2665&lt;&gt;"EXPEDIÇÃO","Expedido",IF(NETWORKDAYS(C2665,TODAY())&gt;=5,"Risco Alto",IF(NETWORKDAYS(C2665,TODAY())&gt;=3,IF(NETWORKDAYS(C2665,TODAY())&lt;5,"Risco Médio",""),IF(NETWORKDAYS(C2665,TODAY())&lt;=2,"Risco Baixo",""))))</f>
        <v>Expedido</v>
      </c>
      <c r="P2665" s="5" t="s">
        <v>25</v>
      </c>
      <c r="S2665" s="7">
        <f>IF(ISBLANK(M2665),"Aguardando Previsão/Data",NETWORKDAYS(L2665,M2665)-1)</f>
        <v>-4</v>
      </c>
      <c r="T2665" s="5" t="s">
        <v>942</v>
      </c>
    </row>
    <row r="2666" spans="1:20" x14ac:dyDescent="0.35">
      <c r="A2666" s="5">
        <v>8100280862</v>
      </c>
      <c r="B2666" s="5">
        <v>17535</v>
      </c>
      <c r="C2666" s="6">
        <v>45678</v>
      </c>
      <c r="D2666" s="5" t="s">
        <v>51</v>
      </c>
      <c r="E2666" s="5" t="s">
        <v>52</v>
      </c>
      <c r="F2666" s="5" t="s">
        <v>66</v>
      </c>
      <c r="G2666" s="5" t="s">
        <v>67</v>
      </c>
      <c r="H2666" s="5" t="s">
        <v>21</v>
      </c>
      <c r="I2666" s="5" t="s">
        <v>1337</v>
      </c>
      <c r="J2666" s="5" t="s">
        <v>68</v>
      </c>
      <c r="K2666" s="5" t="s">
        <v>57</v>
      </c>
      <c r="L2666" s="6">
        <v>45685</v>
      </c>
      <c r="M2666" s="6">
        <v>45685</v>
      </c>
      <c r="N2666" s="6" t="s">
        <v>811</v>
      </c>
      <c r="O2666" s="5" t="str">
        <f ca="1">IF(P2666&lt;&gt;"EXPEDIÇÃO","Expedido",IF(NETWORKDAYS(C2666,TODAY())&gt;=5,"Risco Alto",IF(NETWORKDAYS(C2666,TODAY())&gt;=3,IF(NETWORKDAYS(C2666,TODAY())&lt;5,"Risco Médio",""),IF(NETWORKDAYS(C2666,TODAY())&lt;=2,"Risco Baixo",""))))</f>
        <v>Expedido</v>
      </c>
      <c r="P2666" s="5" t="s">
        <v>25</v>
      </c>
      <c r="Q2666" s="5" t="s">
        <v>897</v>
      </c>
      <c r="S2666" s="7">
        <f>IF(ISBLANK(M2666),"Aguardando Previsão/Data",NETWORKDAYS(L2666,M2666)-1)</f>
        <v>0</v>
      </c>
      <c r="T2666" s="5" t="s">
        <v>942</v>
      </c>
    </row>
    <row r="2667" spans="1:20" x14ac:dyDescent="0.35">
      <c r="A2667" s="5">
        <v>8100280863</v>
      </c>
      <c r="B2667" s="5">
        <v>17536</v>
      </c>
      <c r="C2667" s="6">
        <v>45678</v>
      </c>
      <c r="D2667" s="5" t="s">
        <v>51</v>
      </c>
      <c r="E2667" s="5" t="s">
        <v>52</v>
      </c>
      <c r="F2667" s="5" t="s">
        <v>66</v>
      </c>
      <c r="G2667" s="5" t="s">
        <v>67</v>
      </c>
      <c r="H2667" s="5" t="s">
        <v>21</v>
      </c>
      <c r="I2667" s="5" t="s">
        <v>1337</v>
      </c>
      <c r="J2667" s="5" t="s">
        <v>68</v>
      </c>
      <c r="K2667" s="5" t="s">
        <v>57</v>
      </c>
      <c r="L2667" s="6">
        <v>45685</v>
      </c>
      <c r="M2667" s="6">
        <v>45685</v>
      </c>
      <c r="N2667" s="6" t="s">
        <v>811</v>
      </c>
      <c r="O2667" s="5" t="str">
        <f ca="1">IF(P2667&lt;&gt;"EXPEDIÇÃO","Expedido",IF(NETWORKDAYS(C2667,TODAY())&gt;=5,"Risco Alto",IF(NETWORKDAYS(C2667,TODAY())&gt;=3,IF(NETWORKDAYS(C2667,TODAY())&lt;5,"Risco Médio",""),IF(NETWORKDAYS(C2667,TODAY())&lt;=2,"Risco Baixo",""))))</f>
        <v>Expedido</v>
      </c>
      <c r="P2667" s="5" t="s">
        <v>25</v>
      </c>
      <c r="Q2667" s="5" t="s">
        <v>897</v>
      </c>
      <c r="S2667" s="7">
        <f>IF(ISBLANK(M2667),"Aguardando Previsão/Data",NETWORKDAYS(L2667,M2667)-1)</f>
        <v>0</v>
      </c>
      <c r="T2667" s="5" t="s">
        <v>942</v>
      </c>
    </row>
    <row r="2668" spans="1:20" x14ac:dyDescent="0.35">
      <c r="A2668" s="5">
        <v>8100280864</v>
      </c>
      <c r="B2668" s="5">
        <v>17529</v>
      </c>
      <c r="C2668" s="6">
        <v>45678</v>
      </c>
      <c r="D2668" s="5" t="s">
        <v>51</v>
      </c>
      <c r="E2668" s="5" t="s">
        <v>52</v>
      </c>
      <c r="F2668" s="5" t="s">
        <v>66</v>
      </c>
      <c r="G2668" s="5" t="s">
        <v>67</v>
      </c>
      <c r="H2668" s="5" t="s">
        <v>21</v>
      </c>
      <c r="I2668" s="5" t="s">
        <v>269</v>
      </c>
      <c r="J2668" s="5" t="s">
        <v>270</v>
      </c>
      <c r="K2668" s="5" t="s">
        <v>57</v>
      </c>
      <c r="L2668" s="6">
        <v>45686</v>
      </c>
      <c r="M2668" s="6">
        <v>45685</v>
      </c>
      <c r="N2668" s="6" t="s">
        <v>811</v>
      </c>
      <c r="O2668" s="5" t="str">
        <f ca="1">IF(P2668&lt;&gt;"EXPEDIÇÃO","Expedido",IF(NETWORKDAYS(C2668,TODAY())&gt;=5,"Risco Alto",IF(NETWORKDAYS(C2668,TODAY())&gt;=3,IF(NETWORKDAYS(C2668,TODAY())&lt;5,"Risco Médio",""),IF(NETWORKDAYS(C2668,TODAY())&lt;=2,"Risco Baixo",""))))</f>
        <v>Expedido</v>
      </c>
      <c r="P2668" s="5" t="s">
        <v>25</v>
      </c>
      <c r="S2668" s="7">
        <f>IF(ISBLANK(M2668),"Aguardando Previsão/Data",NETWORKDAYS(L2668,M2668)-1)</f>
        <v>-3</v>
      </c>
      <c r="T2668" s="5" t="s">
        <v>942</v>
      </c>
    </row>
    <row r="2669" spans="1:20" x14ac:dyDescent="0.35">
      <c r="A2669" s="5">
        <v>8100280865</v>
      </c>
      <c r="B2669" s="5">
        <v>17537</v>
      </c>
      <c r="C2669" s="6">
        <v>45678</v>
      </c>
      <c r="D2669" s="5" t="s">
        <v>51</v>
      </c>
      <c r="E2669" s="5" t="s">
        <v>52</v>
      </c>
      <c r="F2669" s="5" t="s">
        <v>66</v>
      </c>
      <c r="G2669" s="5" t="s">
        <v>67</v>
      </c>
      <c r="H2669" s="5" t="s">
        <v>21</v>
      </c>
      <c r="I2669" s="5" t="s">
        <v>552</v>
      </c>
      <c r="J2669" s="5" t="s">
        <v>553</v>
      </c>
      <c r="K2669" s="5" t="s">
        <v>57</v>
      </c>
      <c r="L2669" s="6">
        <v>45686</v>
      </c>
      <c r="M2669" s="6">
        <v>45684</v>
      </c>
      <c r="N2669" s="6" t="s">
        <v>811</v>
      </c>
      <c r="O2669" s="5" t="str">
        <f ca="1">IF(P2669&lt;&gt;"EXPEDIÇÃO","Expedido",IF(NETWORKDAYS(C2669,TODAY())&gt;=5,"Risco Alto",IF(NETWORKDAYS(C2669,TODAY())&gt;=3,IF(NETWORKDAYS(C2669,TODAY())&lt;5,"Risco Médio",""),IF(NETWORKDAYS(C2669,TODAY())&lt;=2,"Risco Baixo",""))))</f>
        <v>Expedido</v>
      </c>
      <c r="P2669" s="5" t="s">
        <v>25</v>
      </c>
      <c r="S2669" s="7">
        <f>IF(ISBLANK(M2669),"Aguardando Previsão/Data",NETWORKDAYS(L2669,M2669)-1)</f>
        <v>-4</v>
      </c>
      <c r="T2669" s="5" t="s">
        <v>942</v>
      </c>
    </row>
    <row r="2670" spans="1:20" x14ac:dyDescent="0.35">
      <c r="A2670" s="5">
        <v>8100280866</v>
      </c>
      <c r="B2670" s="5">
        <v>17518</v>
      </c>
      <c r="C2670" s="6">
        <v>45678</v>
      </c>
      <c r="D2670" s="5" t="s">
        <v>51</v>
      </c>
      <c r="E2670" s="5" t="s">
        <v>52</v>
      </c>
      <c r="F2670" s="5" t="s">
        <v>58</v>
      </c>
      <c r="G2670" s="5" t="s">
        <v>59</v>
      </c>
      <c r="H2670" s="5" t="s">
        <v>21</v>
      </c>
      <c r="I2670" s="5" t="s">
        <v>22</v>
      </c>
      <c r="J2670" s="5" t="s">
        <v>65</v>
      </c>
      <c r="K2670" s="5" t="s">
        <v>57</v>
      </c>
      <c r="L2670" s="6">
        <v>45681</v>
      </c>
      <c r="M2670" s="6">
        <v>45678</v>
      </c>
      <c r="N2670" s="6" t="s">
        <v>811</v>
      </c>
      <c r="O2670" s="5" t="str">
        <f ca="1">IF(P2670&lt;&gt;"EXPEDIÇÃO","Expedido",IF(NETWORKDAYS(C2670,TODAY())&gt;=5,"Risco Alto",IF(NETWORKDAYS(C2670,TODAY())&gt;=3,IF(NETWORKDAYS(C2670,TODAY())&lt;5,"Risco Médio",""),IF(NETWORKDAYS(C2670,TODAY())&lt;=2,"Risco Baixo",""))))</f>
        <v>Expedido</v>
      </c>
      <c r="P2670" s="5" t="s">
        <v>25</v>
      </c>
      <c r="Q2670" s="5" t="s">
        <v>900</v>
      </c>
      <c r="S2670" s="7">
        <f>IF(ISBLANK(M2670),"Aguardando Previsão/Data",NETWORKDAYS(L2670,M2670)-1)</f>
        <v>-5</v>
      </c>
      <c r="T2670" s="5" t="s">
        <v>942</v>
      </c>
    </row>
    <row r="2671" spans="1:20" x14ac:dyDescent="0.35">
      <c r="A2671" s="5">
        <v>8100280867</v>
      </c>
      <c r="B2671" s="5">
        <v>17531</v>
      </c>
      <c r="C2671" s="6">
        <v>45678</v>
      </c>
      <c r="D2671" s="5" t="s">
        <v>51</v>
      </c>
      <c r="E2671" s="5" t="s">
        <v>52</v>
      </c>
      <c r="F2671" s="5" t="s">
        <v>53</v>
      </c>
      <c r="G2671" s="5" t="s">
        <v>54</v>
      </c>
      <c r="H2671" s="5" t="s">
        <v>21</v>
      </c>
      <c r="I2671" s="5" t="s">
        <v>1174</v>
      </c>
      <c r="J2671" s="5" t="s">
        <v>1055</v>
      </c>
      <c r="K2671" s="5" t="s">
        <v>57</v>
      </c>
      <c r="L2671" s="6">
        <v>45686</v>
      </c>
      <c r="M2671" s="6">
        <v>45684</v>
      </c>
      <c r="N2671" s="6" t="s">
        <v>811</v>
      </c>
      <c r="O2671" s="5" t="str">
        <f ca="1">IF(P2671&lt;&gt;"EXPEDIÇÃO","Expedido",IF(NETWORKDAYS(C2671,TODAY())&gt;=5,"Risco Alto",IF(NETWORKDAYS(C2671,TODAY())&gt;=3,IF(NETWORKDAYS(C2671,TODAY())&lt;5,"Risco Médio",""),IF(NETWORKDAYS(C2671,TODAY())&lt;=2,"Risco Baixo",""))))</f>
        <v>Expedido</v>
      </c>
      <c r="P2671" s="5" t="s">
        <v>25</v>
      </c>
      <c r="S2671" s="7">
        <f>IF(ISBLANK(M2671),"Aguardando Previsão/Data",NETWORKDAYS(L2671,M2671)-1)</f>
        <v>-4</v>
      </c>
      <c r="T2671" s="5" t="s">
        <v>942</v>
      </c>
    </row>
    <row r="2672" spans="1:20" x14ac:dyDescent="0.35">
      <c r="A2672" s="5">
        <v>8100280868</v>
      </c>
      <c r="B2672" s="5">
        <v>17540</v>
      </c>
      <c r="C2672" s="6">
        <v>45678</v>
      </c>
      <c r="D2672" s="5" t="s">
        <v>51</v>
      </c>
      <c r="E2672" s="5" t="s">
        <v>52</v>
      </c>
      <c r="F2672" s="5" t="s">
        <v>66</v>
      </c>
      <c r="G2672" s="5" t="s">
        <v>67</v>
      </c>
      <c r="H2672" s="5" t="s">
        <v>21</v>
      </c>
      <c r="I2672" s="5" t="s">
        <v>261</v>
      </c>
      <c r="J2672" s="5" t="s">
        <v>72</v>
      </c>
      <c r="K2672" s="5" t="s">
        <v>57</v>
      </c>
      <c r="L2672" s="6">
        <v>45684</v>
      </c>
      <c r="M2672" s="6">
        <v>45681</v>
      </c>
      <c r="N2672" s="6" t="s">
        <v>811</v>
      </c>
      <c r="O2672" s="5" t="str">
        <f ca="1">IF(P2672&lt;&gt;"EXPEDIÇÃO","Expedido",IF(NETWORKDAYS(C2672,TODAY())&gt;=5,"Risco Alto",IF(NETWORKDAYS(C2672,TODAY())&gt;=3,IF(NETWORKDAYS(C2672,TODAY())&lt;5,"Risco Médio",""),IF(NETWORKDAYS(C2672,TODAY())&lt;=2,"Risco Baixo",""))))</f>
        <v>Expedido</v>
      </c>
      <c r="P2672" s="5" t="s">
        <v>25</v>
      </c>
      <c r="S2672" s="7">
        <f>IF(ISBLANK(M2672),"Aguardando Previsão/Data",NETWORKDAYS(L2672,M2672)-1)</f>
        <v>-3</v>
      </c>
      <c r="T2672" s="5" t="s">
        <v>942</v>
      </c>
    </row>
    <row r="2673" spans="1:20" x14ac:dyDescent="0.35">
      <c r="A2673" s="5">
        <v>8100280869</v>
      </c>
      <c r="B2673" s="5">
        <v>17542</v>
      </c>
      <c r="C2673" s="6">
        <v>45678</v>
      </c>
      <c r="D2673" s="5" t="s">
        <v>51</v>
      </c>
      <c r="E2673" s="5" t="s">
        <v>52</v>
      </c>
      <c r="F2673" s="5" t="s">
        <v>66</v>
      </c>
      <c r="G2673" s="5" t="s">
        <v>67</v>
      </c>
      <c r="H2673" s="5" t="s">
        <v>21</v>
      </c>
      <c r="I2673" s="5" t="s">
        <v>261</v>
      </c>
      <c r="J2673" s="5" t="s">
        <v>65</v>
      </c>
      <c r="K2673" s="5" t="s">
        <v>57</v>
      </c>
      <c r="L2673" s="6">
        <v>45681</v>
      </c>
      <c r="M2673" s="6">
        <v>45680</v>
      </c>
      <c r="N2673" s="6" t="s">
        <v>811</v>
      </c>
      <c r="O2673" s="5" t="str">
        <f ca="1">IF(P2673&lt;&gt;"EXPEDIÇÃO","Expedido",IF(NETWORKDAYS(C2673,TODAY())&gt;=5,"Risco Alto",IF(NETWORKDAYS(C2673,TODAY())&gt;=3,IF(NETWORKDAYS(C2673,TODAY())&lt;5,"Risco Médio",""),IF(NETWORKDAYS(C2673,TODAY())&lt;=2,"Risco Baixo",""))))</f>
        <v>Expedido</v>
      </c>
      <c r="P2673" s="5" t="s">
        <v>25</v>
      </c>
      <c r="S2673" s="7">
        <f>IF(ISBLANK(M2673),"Aguardando Previsão/Data",NETWORKDAYS(L2673,M2673)-1)</f>
        <v>-3</v>
      </c>
      <c r="T2673" s="5" t="s">
        <v>942</v>
      </c>
    </row>
    <row r="2674" spans="1:20" x14ac:dyDescent="0.35">
      <c r="A2674" s="5">
        <v>8100280870</v>
      </c>
      <c r="B2674" s="5">
        <v>17538</v>
      </c>
      <c r="C2674" s="6">
        <v>45678</v>
      </c>
      <c r="D2674" s="5" t="s">
        <v>51</v>
      </c>
      <c r="E2674" s="5" t="s">
        <v>52</v>
      </c>
      <c r="F2674" s="5" t="s">
        <v>58</v>
      </c>
      <c r="G2674" s="5" t="s">
        <v>59</v>
      </c>
      <c r="H2674" s="5" t="s">
        <v>21</v>
      </c>
      <c r="I2674" s="5" t="s">
        <v>1038</v>
      </c>
      <c r="J2674" s="5" t="s">
        <v>1039</v>
      </c>
      <c r="K2674" s="5" t="s">
        <v>57</v>
      </c>
      <c r="L2674" s="6">
        <v>45684</v>
      </c>
      <c r="M2674" s="6">
        <v>45681</v>
      </c>
      <c r="N2674" s="6" t="s">
        <v>811</v>
      </c>
      <c r="O2674" s="5" t="str">
        <f ca="1">IF(P2674&lt;&gt;"EXPEDIÇÃO","Expedido",IF(NETWORKDAYS(C2674,TODAY())&gt;=5,"Risco Alto",IF(NETWORKDAYS(C2674,TODAY())&gt;=3,IF(NETWORKDAYS(C2674,TODAY())&lt;5,"Risco Médio",""),IF(NETWORKDAYS(C2674,TODAY())&lt;=2,"Risco Baixo",""))))</f>
        <v>Expedido</v>
      </c>
      <c r="P2674" s="5" t="s">
        <v>25</v>
      </c>
      <c r="S2674" s="7">
        <f>IF(ISBLANK(M2674),"Aguardando Previsão/Data",NETWORKDAYS(L2674,M2674)-1)</f>
        <v>-3</v>
      </c>
      <c r="T2674" s="5" t="s">
        <v>942</v>
      </c>
    </row>
    <row r="2675" spans="1:20" x14ac:dyDescent="0.35">
      <c r="A2675" s="5">
        <v>8100280871</v>
      </c>
      <c r="B2675" s="5">
        <v>17541</v>
      </c>
      <c r="C2675" s="6">
        <v>45678</v>
      </c>
      <c r="D2675" s="5" t="s">
        <v>51</v>
      </c>
      <c r="E2675" s="5" t="s">
        <v>52</v>
      </c>
      <c r="F2675" s="5" t="s">
        <v>58</v>
      </c>
      <c r="G2675" s="5" t="s">
        <v>59</v>
      </c>
      <c r="H2675" s="5" t="s">
        <v>21</v>
      </c>
      <c r="I2675" s="5" t="s">
        <v>1452</v>
      </c>
      <c r="J2675" s="5" t="s">
        <v>433</v>
      </c>
      <c r="K2675" s="5" t="s">
        <v>57</v>
      </c>
      <c r="L2675" s="6">
        <v>45684</v>
      </c>
      <c r="M2675" s="6">
        <v>45680</v>
      </c>
      <c r="N2675" s="6" t="s">
        <v>811</v>
      </c>
      <c r="O2675" s="5" t="str">
        <f ca="1">IF(P2675&lt;&gt;"EXPEDIÇÃO","Expedido",IF(NETWORKDAYS(C2675,TODAY())&gt;=5,"Risco Alto",IF(NETWORKDAYS(C2675,TODAY())&gt;=3,IF(NETWORKDAYS(C2675,TODAY())&lt;5,"Risco Médio",""),IF(NETWORKDAYS(C2675,TODAY())&lt;=2,"Risco Baixo",""))))</f>
        <v>Expedido</v>
      </c>
      <c r="P2675" s="5" t="s">
        <v>25</v>
      </c>
      <c r="S2675" s="7">
        <f>IF(ISBLANK(M2675),"Aguardando Previsão/Data",NETWORKDAYS(L2675,M2675)-1)</f>
        <v>-4</v>
      </c>
      <c r="T2675" s="5" t="s">
        <v>942</v>
      </c>
    </row>
    <row r="2676" spans="1:20" x14ac:dyDescent="0.35">
      <c r="A2676" s="5">
        <v>8100280872</v>
      </c>
      <c r="B2676" s="5">
        <v>17539</v>
      </c>
      <c r="C2676" s="6">
        <v>45678</v>
      </c>
      <c r="D2676" s="5" t="s">
        <v>51</v>
      </c>
      <c r="E2676" s="5" t="s">
        <v>52</v>
      </c>
      <c r="F2676" s="5" t="s">
        <v>66</v>
      </c>
      <c r="G2676" s="5" t="s">
        <v>67</v>
      </c>
      <c r="H2676" s="5" t="s">
        <v>21</v>
      </c>
      <c r="I2676" s="5" t="s">
        <v>528</v>
      </c>
      <c r="J2676" s="5" t="s">
        <v>268</v>
      </c>
      <c r="K2676" s="5" t="s">
        <v>57</v>
      </c>
      <c r="L2676" s="6">
        <v>45686</v>
      </c>
      <c r="M2676" s="6">
        <v>45684</v>
      </c>
      <c r="N2676" s="6" t="s">
        <v>811</v>
      </c>
      <c r="O2676" s="5" t="str">
        <f ca="1">IF(P2676&lt;&gt;"EXPEDIÇÃO","Expedido",IF(NETWORKDAYS(C2676,TODAY())&gt;=5,"Risco Alto",IF(NETWORKDAYS(C2676,TODAY())&gt;=3,IF(NETWORKDAYS(C2676,TODAY())&lt;5,"Risco Médio",""),IF(NETWORKDAYS(C2676,TODAY())&lt;=2,"Risco Baixo",""))))</f>
        <v>Expedido</v>
      </c>
      <c r="P2676" s="5" t="s">
        <v>25</v>
      </c>
      <c r="S2676" s="7">
        <f>IF(ISBLANK(M2676),"Aguardando Previsão/Data",NETWORKDAYS(L2676,M2676)-1)</f>
        <v>-4</v>
      </c>
      <c r="T2676" s="5" t="s">
        <v>942</v>
      </c>
    </row>
    <row r="2677" spans="1:20" x14ac:dyDescent="0.35">
      <c r="A2677" s="5">
        <v>8100280873</v>
      </c>
      <c r="B2677" s="5">
        <v>17534</v>
      </c>
      <c r="C2677" s="6">
        <v>45678</v>
      </c>
      <c r="D2677" s="5" t="s">
        <v>51</v>
      </c>
      <c r="E2677" s="5" t="s">
        <v>52</v>
      </c>
      <c r="F2677" s="5" t="s">
        <v>58</v>
      </c>
      <c r="G2677" s="5" t="s">
        <v>59</v>
      </c>
      <c r="H2677" s="5" t="s">
        <v>21</v>
      </c>
      <c r="I2677" s="5" t="s">
        <v>88</v>
      </c>
      <c r="J2677" s="5" t="s">
        <v>72</v>
      </c>
      <c r="K2677" s="5" t="s">
        <v>57</v>
      </c>
      <c r="L2677" s="6">
        <v>45684</v>
      </c>
      <c r="M2677" s="6">
        <v>45681</v>
      </c>
      <c r="N2677" s="6" t="s">
        <v>811</v>
      </c>
      <c r="O2677" s="5" t="str">
        <f ca="1">IF(P2677&lt;&gt;"EXPEDIÇÃO","Expedido",IF(NETWORKDAYS(C2677,TODAY())&gt;=5,"Risco Alto",IF(NETWORKDAYS(C2677,TODAY())&gt;=3,IF(NETWORKDAYS(C2677,TODAY())&lt;5,"Risco Médio",""),IF(NETWORKDAYS(C2677,TODAY())&lt;=2,"Risco Baixo",""))))</f>
        <v>Expedido</v>
      </c>
      <c r="P2677" s="5" t="s">
        <v>25</v>
      </c>
      <c r="S2677" s="7">
        <f>IF(ISBLANK(M2677),"Aguardando Previsão/Data",NETWORKDAYS(L2677,M2677)-1)</f>
        <v>-3</v>
      </c>
      <c r="T2677" s="5" t="s">
        <v>942</v>
      </c>
    </row>
    <row r="2678" spans="1:20" x14ac:dyDescent="0.35">
      <c r="A2678" s="5">
        <v>8100280907</v>
      </c>
      <c r="B2678" s="5">
        <v>17543</v>
      </c>
      <c r="C2678" s="6">
        <v>45678</v>
      </c>
      <c r="D2678" s="5" t="s">
        <v>51</v>
      </c>
      <c r="E2678" s="5" t="s">
        <v>52</v>
      </c>
      <c r="F2678" s="5" t="s">
        <v>58</v>
      </c>
      <c r="G2678" s="5" t="s">
        <v>59</v>
      </c>
      <c r="H2678" s="5" t="s">
        <v>21</v>
      </c>
      <c r="I2678" s="5" t="s">
        <v>269</v>
      </c>
      <c r="J2678" s="5" t="s">
        <v>270</v>
      </c>
      <c r="K2678" s="5" t="s">
        <v>57</v>
      </c>
      <c r="L2678" s="6">
        <v>45686</v>
      </c>
      <c r="M2678" s="6">
        <v>45685</v>
      </c>
      <c r="N2678" s="6" t="s">
        <v>811</v>
      </c>
      <c r="O2678" s="5" t="str">
        <f ca="1">IF(P2678&lt;&gt;"EXPEDIÇÃO","Expedido",IF(NETWORKDAYS(C2678,TODAY())&gt;=5,"Risco Alto",IF(NETWORKDAYS(C2678,TODAY())&gt;=3,IF(NETWORKDAYS(C2678,TODAY())&lt;5,"Risco Médio",""),IF(NETWORKDAYS(C2678,TODAY())&lt;=2,"Risco Baixo",""))))</f>
        <v>Expedido</v>
      </c>
      <c r="P2678" s="5" t="s">
        <v>25</v>
      </c>
      <c r="S2678" s="7">
        <f>IF(ISBLANK(M2678),"Aguardando Previsão/Data",NETWORKDAYS(L2678,M2678)-1)</f>
        <v>-3</v>
      </c>
      <c r="T2678" s="5" t="s">
        <v>942</v>
      </c>
    </row>
    <row r="2679" spans="1:20" x14ac:dyDescent="0.35">
      <c r="A2679" s="5">
        <v>8100280908</v>
      </c>
      <c r="B2679" s="5">
        <v>17519</v>
      </c>
      <c r="C2679" s="6">
        <v>45678</v>
      </c>
      <c r="D2679" s="5" t="s">
        <v>51</v>
      </c>
      <c r="E2679" s="5" t="s">
        <v>52</v>
      </c>
      <c r="F2679" s="5" t="s">
        <v>58</v>
      </c>
      <c r="G2679" s="5" t="s">
        <v>59</v>
      </c>
      <c r="H2679" s="5" t="s">
        <v>21</v>
      </c>
      <c r="I2679" s="5" t="s">
        <v>269</v>
      </c>
      <c r="J2679" s="5" t="s">
        <v>270</v>
      </c>
      <c r="K2679" s="5" t="s">
        <v>57</v>
      </c>
      <c r="L2679" s="6">
        <v>45686</v>
      </c>
      <c r="M2679" s="6">
        <v>45685</v>
      </c>
      <c r="N2679" s="6" t="s">
        <v>811</v>
      </c>
      <c r="O2679" s="5" t="str">
        <f ca="1">IF(P2679&lt;&gt;"EXPEDIÇÃO","Expedido",IF(NETWORKDAYS(C2679,TODAY())&gt;=5,"Risco Alto",IF(NETWORKDAYS(C2679,TODAY())&gt;=3,IF(NETWORKDAYS(C2679,TODAY())&lt;5,"Risco Médio",""),IF(NETWORKDAYS(C2679,TODAY())&lt;=2,"Risco Baixo",""))))</f>
        <v>Expedido</v>
      </c>
      <c r="P2679" s="5" t="s">
        <v>25</v>
      </c>
      <c r="S2679" s="7">
        <f>IF(ISBLANK(M2679),"Aguardando Previsão/Data",NETWORKDAYS(L2679,M2679)-1)</f>
        <v>-3</v>
      </c>
      <c r="T2679" s="5" t="s">
        <v>942</v>
      </c>
    </row>
    <row r="2680" spans="1:20" x14ac:dyDescent="0.35">
      <c r="A2680" s="5">
        <v>8100280909</v>
      </c>
      <c r="B2680" s="5">
        <v>17520</v>
      </c>
      <c r="C2680" s="6">
        <v>45678</v>
      </c>
      <c r="D2680" s="5" t="s">
        <v>51</v>
      </c>
      <c r="E2680" s="5" t="s">
        <v>52</v>
      </c>
      <c r="F2680" s="5" t="s">
        <v>58</v>
      </c>
      <c r="G2680" s="5" t="s">
        <v>59</v>
      </c>
      <c r="H2680" s="5" t="s">
        <v>21</v>
      </c>
      <c r="I2680" s="5" t="s">
        <v>269</v>
      </c>
      <c r="J2680" s="5" t="s">
        <v>270</v>
      </c>
      <c r="K2680" s="5" t="s">
        <v>57</v>
      </c>
      <c r="L2680" s="6">
        <v>45686</v>
      </c>
      <c r="M2680" s="6">
        <v>45685</v>
      </c>
      <c r="N2680" s="6" t="s">
        <v>811</v>
      </c>
      <c r="O2680" s="5" t="str">
        <f ca="1">IF(P2680&lt;&gt;"EXPEDIÇÃO","Expedido",IF(NETWORKDAYS(C2680,TODAY())&gt;=5,"Risco Alto",IF(NETWORKDAYS(C2680,TODAY())&gt;=3,IF(NETWORKDAYS(C2680,TODAY())&lt;5,"Risco Médio",""),IF(NETWORKDAYS(C2680,TODAY())&lt;=2,"Risco Baixo",""))))</f>
        <v>Expedido</v>
      </c>
      <c r="P2680" s="5" t="s">
        <v>25</v>
      </c>
      <c r="S2680" s="7">
        <f>IF(ISBLANK(M2680),"Aguardando Previsão/Data",NETWORKDAYS(L2680,M2680)-1)</f>
        <v>-3</v>
      </c>
      <c r="T2680" s="5" t="s">
        <v>942</v>
      </c>
    </row>
    <row r="2681" spans="1:20" x14ac:dyDescent="0.35">
      <c r="A2681" s="5">
        <v>8100280910</v>
      </c>
      <c r="B2681" s="5">
        <v>17521</v>
      </c>
      <c r="C2681" s="6">
        <v>45678</v>
      </c>
      <c r="D2681" s="5" t="s">
        <v>51</v>
      </c>
      <c r="E2681" s="5" t="s">
        <v>52</v>
      </c>
      <c r="F2681" s="5" t="s">
        <v>58</v>
      </c>
      <c r="G2681" s="5" t="s">
        <v>59</v>
      </c>
      <c r="H2681" s="5" t="s">
        <v>21</v>
      </c>
      <c r="I2681" s="5" t="s">
        <v>269</v>
      </c>
      <c r="J2681" s="5" t="s">
        <v>270</v>
      </c>
      <c r="K2681" s="5" t="s">
        <v>57</v>
      </c>
      <c r="L2681" s="6">
        <v>45686</v>
      </c>
      <c r="M2681" s="6">
        <v>45685</v>
      </c>
      <c r="N2681" s="6" t="s">
        <v>811</v>
      </c>
      <c r="O2681" s="5" t="str">
        <f ca="1">IF(P2681&lt;&gt;"EXPEDIÇÃO","Expedido",IF(NETWORKDAYS(C2681,TODAY())&gt;=5,"Risco Alto",IF(NETWORKDAYS(C2681,TODAY())&gt;=3,IF(NETWORKDAYS(C2681,TODAY())&lt;5,"Risco Médio",""),IF(NETWORKDAYS(C2681,TODAY())&lt;=2,"Risco Baixo",""))))</f>
        <v>Expedido</v>
      </c>
      <c r="P2681" s="5" t="s">
        <v>25</v>
      </c>
      <c r="S2681" s="7">
        <f>IF(ISBLANK(M2681),"Aguardando Previsão/Data",NETWORKDAYS(L2681,M2681)-1)</f>
        <v>-3</v>
      </c>
      <c r="T2681" s="5" t="s">
        <v>942</v>
      </c>
    </row>
    <row r="2682" spans="1:20" x14ac:dyDescent="0.35">
      <c r="A2682" s="5">
        <v>8100280976</v>
      </c>
      <c r="B2682" s="5">
        <v>17545</v>
      </c>
      <c r="C2682" s="6">
        <v>45678</v>
      </c>
      <c r="D2682" s="5" t="s">
        <v>51</v>
      </c>
      <c r="E2682" s="5" t="s">
        <v>52</v>
      </c>
      <c r="F2682" s="5" t="s">
        <v>329</v>
      </c>
      <c r="G2682" s="5" t="s">
        <v>330</v>
      </c>
      <c r="H2682" s="5" t="s">
        <v>21</v>
      </c>
      <c r="I2682" s="5" t="s">
        <v>261</v>
      </c>
      <c r="J2682" s="5" t="s">
        <v>262</v>
      </c>
      <c r="K2682" s="5" t="s">
        <v>57</v>
      </c>
      <c r="L2682" s="6">
        <v>45681</v>
      </c>
      <c r="M2682" s="6">
        <v>45684</v>
      </c>
      <c r="N2682" s="6" t="s">
        <v>811</v>
      </c>
      <c r="O2682" s="5" t="str">
        <f ca="1">IF(P2682&lt;&gt;"EXPEDIÇÃO","Expedido",IF(NETWORKDAYS(C2682,TODAY())&gt;=5,"Risco Alto",IF(NETWORKDAYS(C2682,TODAY())&gt;=3,IF(NETWORKDAYS(C2682,TODAY())&lt;5,"Risco Médio",""),IF(NETWORKDAYS(C2682,TODAY())&lt;=2,"Risco Baixo",""))))</f>
        <v>Expedido</v>
      </c>
      <c r="P2682" s="5" t="s">
        <v>25</v>
      </c>
      <c r="Q2682" s="5" t="s">
        <v>897</v>
      </c>
      <c r="R2682" s="5">
        <v>1689565</v>
      </c>
      <c r="S2682" s="7">
        <f>IF(ISBLANK(M2682),"Aguardando Previsão/Data",NETWORKDAYS(L2682,M2682)-1)</f>
        <v>1</v>
      </c>
      <c r="T2682" s="5" t="s">
        <v>942</v>
      </c>
    </row>
    <row r="2683" spans="1:20" x14ac:dyDescent="0.35">
      <c r="A2683" s="5">
        <v>8100280977</v>
      </c>
      <c r="B2683" s="5">
        <v>17550</v>
      </c>
      <c r="C2683" s="6">
        <v>45678</v>
      </c>
      <c r="D2683" s="5" t="s">
        <v>51</v>
      </c>
      <c r="E2683" s="5" t="s">
        <v>52</v>
      </c>
      <c r="F2683" s="5" t="s">
        <v>329</v>
      </c>
      <c r="G2683" s="5" t="s">
        <v>330</v>
      </c>
      <c r="H2683" s="5" t="s">
        <v>21</v>
      </c>
      <c r="I2683" s="5" t="s">
        <v>261</v>
      </c>
      <c r="J2683" s="5" t="s">
        <v>550</v>
      </c>
      <c r="K2683" s="5" t="s">
        <v>57</v>
      </c>
      <c r="L2683" s="6">
        <v>45684</v>
      </c>
      <c r="M2683" s="6">
        <v>45681</v>
      </c>
      <c r="N2683" s="6" t="s">
        <v>811</v>
      </c>
      <c r="O2683" s="5" t="str">
        <f ca="1">IF(P2683&lt;&gt;"EXPEDIÇÃO","Expedido",IF(NETWORKDAYS(C2683,TODAY())&gt;=5,"Risco Alto",IF(NETWORKDAYS(C2683,TODAY())&gt;=3,IF(NETWORKDAYS(C2683,TODAY())&lt;5,"Risco Médio",""),IF(NETWORKDAYS(C2683,TODAY())&lt;=2,"Risco Baixo",""))))</f>
        <v>Expedido</v>
      </c>
      <c r="P2683" s="5" t="s">
        <v>25</v>
      </c>
      <c r="S2683" s="7">
        <f>IF(ISBLANK(M2683),"Aguardando Previsão/Data",NETWORKDAYS(L2683,M2683)-1)</f>
        <v>-3</v>
      </c>
      <c r="T2683" s="5" t="s">
        <v>942</v>
      </c>
    </row>
    <row r="2684" spans="1:20" x14ac:dyDescent="0.35">
      <c r="A2684" s="5">
        <v>8100280978</v>
      </c>
      <c r="B2684" s="5">
        <v>17548</v>
      </c>
      <c r="C2684" s="6">
        <v>45678</v>
      </c>
      <c r="D2684" s="5" t="s">
        <v>51</v>
      </c>
      <c r="E2684" s="5" t="s">
        <v>52</v>
      </c>
      <c r="F2684" s="5" t="s">
        <v>329</v>
      </c>
      <c r="G2684" s="5" t="s">
        <v>330</v>
      </c>
      <c r="H2684" s="5" t="s">
        <v>21</v>
      </c>
      <c r="I2684" s="5" t="s">
        <v>261</v>
      </c>
      <c r="J2684" s="5" t="s">
        <v>442</v>
      </c>
      <c r="K2684" s="5" t="s">
        <v>57</v>
      </c>
      <c r="L2684" s="6">
        <v>45685</v>
      </c>
      <c r="M2684" s="6">
        <v>45684</v>
      </c>
      <c r="N2684" s="6" t="s">
        <v>811</v>
      </c>
      <c r="O2684" s="5" t="str">
        <f ca="1">IF(P2684&lt;&gt;"EXPEDIÇÃO","Expedido",IF(NETWORKDAYS(C2684,TODAY())&gt;=5,"Risco Alto",IF(NETWORKDAYS(C2684,TODAY())&gt;=3,IF(NETWORKDAYS(C2684,TODAY())&lt;5,"Risco Médio",""),IF(NETWORKDAYS(C2684,TODAY())&lt;=2,"Risco Baixo",""))))</f>
        <v>Expedido</v>
      </c>
      <c r="P2684" s="5" t="s">
        <v>25</v>
      </c>
      <c r="S2684" s="7">
        <f>IF(ISBLANK(M2684),"Aguardando Previsão/Data",NETWORKDAYS(L2684,M2684)-1)</f>
        <v>-3</v>
      </c>
      <c r="T2684" s="5" t="s">
        <v>942</v>
      </c>
    </row>
    <row r="2685" spans="1:20" x14ac:dyDescent="0.35">
      <c r="A2685" s="5">
        <v>8100281003</v>
      </c>
      <c r="B2685" s="5">
        <v>17546</v>
      </c>
      <c r="C2685" s="6">
        <v>45678</v>
      </c>
      <c r="D2685" s="5" t="s">
        <v>51</v>
      </c>
      <c r="E2685" s="5" t="s">
        <v>52</v>
      </c>
      <c r="F2685" s="5" t="s">
        <v>66</v>
      </c>
      <c r="G2685" s="5" t="s">
        <v>67</v>
      </c>
      <c r="H2685" s="5" t="s">
        <v>21</v>
      </c>
      <c r="I2685" s="5" t="s">
        <v>89</v>
      </c>
      <c r="J2685" s="5" t="s">
        <v>90</v>
      </c>
      <c r="K2685" s="5" t="s">
        <v>57</v>
      </c>
      <c r="L2685" s="6">
        <v>45686</v>
      </c>
      <c r="M2685" s="6">
        <v>45685</v>
      </c>
      <c r="N2685" s="6" t="s">
        <v>811</v>
      </c>
      <c r="O2685" s="5" t="str">
        <f ca="1">IF(P2685&lt;&gt;"EXPEDIÇÃO","Expedido",IF(NETWORKDAYS(C2685,TODAY())&gt;=5,"Risco Alto",IF(NETWORKDAYS(C2685,TODAY())&gt;=3,IF(NETWORKDAYS(C2685,TODAY())&lt;5,"Risco Médio",""),IF(NETWORKDAYS(C2685,TODAY())&lt;=2,"Risco Baixo",""))))</f>
        <v>Expedido</v>
      </c>
      <c r="P2685" s="5" t="s">
        <v>25</v>
      </c>
      <c r="S2685" s="7">
        <f>IF(ISBLANK(M2685),"Aguardando Previsão/Data",NETWORKDAYS(L2685,M2685)-1)</f>
        <v>-3</v>
      </c>
      <c r="T2685" s="5" t="s">
        <v>942</v>
      </c>
    </row>
    <row r="2686" spans="1:20" x14ac:dyDescent="0.35">
      <c r="A2686" s="5">
        <v>8100281004</v>
      </c>
      <c r="B2686" s="5">
        <v>17547</v>
      </c>
      <c r="C2686" s="6">
        <v>45678</v>
      </c>
      <c r="D2686" s="5" t="s">
        <v>51</v>
      </c>
      <c r="E2686" s="5" t="s">
        <v>52</v>
      </c>
      <c r="F2686" s="5" t="s">
        <v>329</v>
      </c>
      <c r="G2686" s="5" t="s">
        <v>330</v>
      </c>
      <c r="H2686" s="5" t="s">
        <v>21</v>
      </c>
      <c r="I2686" s="5" t="s">
        <v>261</v>
      </c>
      <c r="J2686" s="5" t="s">
        <v>550</v>
      </c>
      <c r="K2686" s="5" t="s">
        <v>57</v>
      </c>
      <c r="L2686" s="6">
        <v>45684</v>
      </c>
      <c r="M2686" s="6">
        <v>45681</v>
      </c>
      <c r="N2686" s="6" t="s">
        <v>811</v>
      </c>
      <c r="O2686" s="5" t="str">
        <f ca="1">IF(P2686&lt;&gt;"EXPEDIÇÃO","Expedido",IF(NETWORKDAYS(C2686,TODAY())&gt;=5,"Risco Alto",IF(NETWORKDAYS(C2686,TODAY())&gt;=3,IF(NETWORKDAYS(C2686,TODAY())&lt;5,"Risco Médio",""),IF(NETWORKDAYS(C2686,TODAY())&lt;=2,"Risco Baixo",""))))</f>
        <v>Expedido</v>
      </c>
      <c r="P2686" s="5" t="s">
        <v>25</v>
      </c>
      <c r="S2686" s="7">
        <f>IF(ISBLANK(M2686),"Aguardando Previsão/Data",NETWORKDAYS(L2686,M2686)-1)</f>
        <v>-3</v>
      </c>
      <c r="T2686" s="5" t="s">
        <v>942</v>
      </c>
    </row>
    <row r="2687" spans="1:20" x14ac:dyDescent="0.35">
      <c r="A2687" s="5">
        <v>8100281005</v>
      </c>
      <c r="B2687" s="5">
        <v>17544</v>
      </c>
      <c r="C2687" s="6">
        <v>45678</v>
      </c>
      <c r="D2687" s="5" t="s">
        <v>51</v>
      </c>
      <c r="E2687" s="5" t="s">
        <v>52</v>
      </c>
      <c r="F2687" s="5" t="s">
        <v>66</v>
      </c>
      <c r="G2687" s="5" t="s">
        <v>67</v>
      </c>
      <c r="H2687" s="5" t="s">
        <v>21</v>
      </c>
      <c r="I2687" s="5" t="s">
        <v>438</v>
      </c>
      <c r="J2687" s="5" t="s">
        <v>439</v>
      </c>
      <c r="K2687" s="5" t="s">
        <v>57</v>
      </c>
      <c r="L2687" s="6">
        <v>45684</v>
      </c>
      <c r="M2687" s="6">
        <v>45681</v>
      </c>
      <c r="N2687" s="6" t="s">
        <v>811</v>
      </c>
      <c r="O2687" s="5" t="str">
        <f ca="1">IF(P2687&lt;&gt;"EXPEDIÇÃO","Expedido",IF(NETWORKDAYS(C2687,TODAY())&gt;=5,"Risco Alto",IF(NETWORKDAYS(C2687,TODAY())&gt;=3,IF(NETWORKDAYS(C2687,TODAY())&lt;5,"Risco Médio",""),IF(NETWORKDAYS(C2687,TODAY())&lt;=2,"Risco Baixo",""))))</f>
        <v>Expedido</v>
      </c>
      <c r="P2687" s="5" t="s">
        <v>25</v>
      </c>
      <c r="S2687" s="7">
        <f>IF(ISBLANK(M2687),"Aguardando Previsão/Data",NETWORKDAYS(L2687,M2687)-1)</f>
        <v>-3</v>
      </c>
      <c r="T2687" s="5" t="s">
        <v>942</v>
      </c>
    </row>
    <row r="2688" spans="1:20" x14ac:dyDescent="0.35">
      <c r="A2688" s="5">
        <v>8100281006</v>
      </c>
      <c r="B2688" s="5">
        <v>17549</v>
      </c>
      <c r="C2688" s="6">
        <v>45678</v>
      </c>
      <c r="D2688" s="5" t="s">
        <v>51</v>
      </c>
      <c r="E2688" s="5" t="s">
        <v>52</v>
      </c>
      <c r="F2688" s="5" t="s">
        <v>66</v>
      </c>
      <c r="G2688" s="5" t="s">
        <v>67</v>
      </c>
      <c r="H2688" s="5" t="s">
        <v>21</v>
      </c>
      <c r="I2688" s="5" t="s">
        <v>304</v>
      </c>
      <c r="J2688" s="5" t="s">
        <v>65</v>
      </c>
      <c r="K2688" s="5" t="s">
        <v>57</v>
      </c>
      <c r="L2688" s="6">
        <v>45681</v>
      </c>
      <c r="M2688" s="6">
        <v>45680</v>
      </c>
      <c r="N2688" s="6" t="s">
        <v>811</v>
      </c>
      <c r="O2688" s="5" t="str">
        <f ca="1">IF(P2688&lt;&gt;"EXPEDIÇÃO","Expedido",IF(NETWORKDAYS(C2688,TODAY())&gt;=5,"Risco Alto",IF(NETWORKDAYS(C2688,TODAY())&gt;=3,IF(NETWORKDAYS(C2688,TODAY())&lt;5,"Risco Médio",""),IF(NETWORKDAYS(C2688,TODAY())&lt;=2,"Risco Baixo",""))))</f>
        <v>Expedido</v>
      </c>
      <c r="P2688" s="5" t="s">
        <v>25</v>
      </c>
      <c r="S2688" s="7">
        <f>IF(ISBLANK(M2688),"Aguardando Previsão/Data",NETWORKDAYS(L2688,M2688)-1)</f>
        <v>-3</v>
      </c>
      <c r="T2688" s="5" t="s">
        <v>942</v>
      </c>
    </row>
    <row r="2689" spans="1:20" x14ac:dyDescent="0.35">
      <c r="A2689" s="5">
        <v>8100281083</v>
      </c>
      <c r="B2689" s="5">
        <v>17557</v>
      </c>
      <c r="C2689" s="6">
        <v>45678</v>
      </c>
      <c r="D2689" s="5" t="s">
        <v>51</v>
      </c>
      <c r="E2689" s="5" t="s">
        <v>52</v>
      </c>
      <c r="F2689" s="5" t="s">
        <v>69</v>
      </c>
      <c r="G2689" s="5" t="s">
        <v>70</v>
      </c>
      <c r="H2689" s="5" t="s">
        <v>21</v>
      </c>
      <c r="I2689" s="5" t="s">
        <v>554</v>
      </c>
      <c r="J2689" s="5" t="s">
        <v>529</v>
      </c>
      <c r="K2689" s="5" t="s">
        <v>57</v>
      </c>
      <c r="L2689" s="6">
        <v>45685</v>
      </c>
      <c r="M2689" s="6">
        <v>45681</v>
      </c>
      <c r="N2689" s="6" t="s">
        <v>811</v>
      </c>
      <c r="O2689" s="5" t="str">
        <f ca="1">IF(P2689&lt;&gt;"EXPEDIÇÃO","Expedido",IF(NETWORKDAYS(C2689,TODAY())&gt;=5,"Risco Alto",IF(NETWORKDAYS(C2689,TODAY())&gt;=3,IF(NETWORKDAYS(C2689,TODAY())&lt;5,"Risco Médio",""),IF(NETWORKDAYS(C2689,TODAY())&lt;=2,"Risco Baixo",""))))</f>
        <v>Expedido</v>
      </c>
      <c r="P2689" s="5" t="s">
        <v>25</v>
      </c>
      <c r="S2689" s="7">
        <f>IF(ISBLANK(M2689),"Aguardando Previsão/Data",NETWORKDAYS(L2689,M2689)-1)</f>
        <v>-4</v>
      </c>
      <c r="T2689" s="5" t="s">
        <v>942</v>
      </c>
    </row>
    <row r="2690" spans="1:20" x14ac:dyDescent="0.35">
      <c r="A2690" s="5">
        <v>8100281113</v>
      </c>
      <c r="B2690" s="5">
        <v>17552</v>
      </c>
      <c r="C2690" s="6">
        <v>45678</v>
      </c>
      <c r="D2690" s="5" t="s">
        <v>51</v>
      </c>
      <c r="E2690" s="5" t="s">
        <v>52</v>
      </c>
      <c r="F2690" s="5" t="s">
        <v>329</v>
      </c>
      <c r="G2690" s="5" t="s">
        <v>330</v>
      </c>
      <c r="H2690" s="5" t="s">
        <v>21</v>
      </c>
      <c r="I2690" s="5" t="s">
        <v>675</v>
      </c>
      <c r="J2690" s="5" t="s">
        <v>676</v>
      </c>
      <c r="K2690" s="5" t="s">
        <v>57</v>
      </c>
      <c r="L2690" s="6">
        <v>45681</v>
      </c>
      <c r="M2690" s="6">
        <v>45680</v>
      </c>
      <c r="N2690" s="6" t="s">
        <v>811</v>
      </c>
      <c r="O2690" s="5" t="str">
        <f ca="1">IF(P2690&lt;&gt;"EXPEDIÇÃO","Expedido",IF(NETWORKDAYS(C2690,TODAY())&gt;=5,"Risco Alto",IF(NETWORKDAYS(C2690,TODAY())&gt;=3,IF(NETWORKDAYS(C2690,TODAY())&lt;5,"Risco Médio",""),IF(NETWORKDAYS(C2690,TODAY())&lt;=2,"Risco Baixo",""))))</f>
        <v>Expedido</v>
      </c>
      <c r="P2690" s="5" t="s">
        <v>25</v>
      </c>
      <c r="S2690" s="7">
        <f>IF(ISBLANK(M2690),"Aguardando Previsão/Data",NETWORKDAYS(L2690,M2690)-1)</f>
        <v>-3</v>
      </c>
      <c r="T2690" s="5" t="s">
        <v>942</v>
      </c>
    </row>
    <row r="2691" spans="1:20" x14ac:dyDescent="0.35">
      <c r="A2691" s="5">
        <v>8100281114</v>
      </c>
      <c r="B2691" s="5">
        <v>17553</v>
      </c>
      <c r="C2691" s="6">
        <v>45678</v>
      </c>
      <c r="D2691" s="5" t="s">
        <v>51</v>
      </c>
      <c r="E2691" s="5" t="s">
        <v>52</v>
      </c>
      <c r="F2691" s="5" t="s">
        <v>329</v>
      </c>
      <c r="G2691" s="5" t="s">
        <v>330</v>
      </c>
      <c r="H2691" s="5" t="s">
        <v>21</v>
      </c>
      <c r="I2691" s="5" t="s">
        <v>675</v>
      </c>
      <c r="J2691" s="5" t="s">
        <v>676</v>
      </c>
      <c r="K2691" s="5" t="s">
        <v>57</v>
      </c>
      <c r="L2691" s="6">
        <v>45681</v>
      </c>
      <c r="M2691" s="6">
        <v>45680</v>
      </c>
      <c r="N2691" s="6" t="s">
        <v>811</v>
      </c>
      <c r="O2691" s="5" t="str">
        <f ca="1">IF(P2691&lt;&gt;"EXPEDIÇÃO","Expedido",IF(NETWORKDAYS(C2691,TODAY())&gt;=5,"Risco Alto",IF(NETWORKDAYS(C2691,TODAY())&gt;=3,IF(NETWORKDAYS(C2691,TODAY())&lt;5,"Risco Médio",""),IF(NETWORKDAYS(C2691,TODAY())&lt;=2,"Risco Baixo",""))))</f>
        <v>Expedido</v>
      </c>
      <c r="P2691" s="5" t="s">
        <v>25</v>
      </c>
      <c r="S2691" s="7">
        <f>IF(ISBLANK(M2691),"Aguardando Previsão/Data",NETWORKDAYS(L2691,M2691)-1)</f>
        <v>-3</v>
      </c>
      <c r="T2691" s="5" t="s">
        <v>942</v>
      </c>
    </row>
    <row r="2692" spans="1:20" x14ac:dyDescent="0.35">
      <c r="A2692" s="5">
        <v>8100281115</v>
      </c>
      <c r="B2692" s="5">
        <v>17558</v>
      </c>
      <c r="C2692" s="6">
        <v>45678</v>
      </c>
      <c r="D2692" s="5" t="s">
        <v>51</v>
      </c>
      <c r="E2692" s="5" t="s">
        <v>52</v>
      </c>
      <c r="F2692" s="5" t="s">
        <v>329</v>
      </c>
      <c r="G2692" s="5" t="s">
        <v>330</v>
      </c>
      <c r="H2692" s="5" t="s">
        <v>21</v>
      </c>
      <c r="I2692" s="5" t="s">
        <v>675</v>
      </c>
      <c r="J2692" s="5" t="s">
        <v>676</v>
      </c>
      <c r="K2692" s="5" t="s">
        <v>57</v>
      </c>
      <c r="L2692" s="6">
        <v>45681</v>
      </c>
      <c r="M2692" s="6">
        <v>45680</v>
      </c>
      <c r="N2692" s="6" t="s">
        <v>811</v>
      </c>
      <c r="O2692" s="5" t="str">
        <f ca="1">IF(P2692&lt;&gt;"EXPEDIÇÃO","Expedido",IF(NETWORKDAYS(C2692,TODAY())&gt;=5,"Risco Alto",IF(NETWORKDAYS(C2692,TODAY())&gt;=3,IF(NETWORKDAYS(C2692,TODAY())&lt;5,"Risco Médio",""),IF(NETWORKDAYS(C2692,TODAY())&lt;=2,"Risco Baixo",""))))</f>
        <v>Expedido</v>
      </c>
      <c r="P2692" s="5" t="s">
        <v>25</v>
      </c>
      <c r="S2692" s="7">
        <f>IF(ISBLANK(M2692),"Aguardando Previsão/Data",NETWORKDAYS(L2692,M2692)-1)</f>
        <v>-3</v>
      </c>
      <c r="T2692" s="5" t="s">
        <v>942</v>
      </c>
    </row>
    <row r="2693" spans="1:20" x14ac:dyDescent="0.35">
      <c r="A2693" s="5">
        <v>8100281116</v>
      </c>
      <c r="B2693" s="5">
        <v>17559</v>
      </c>
      <c r="C2693" s="6">
        <v>45678</v>
      </c>
      <c r="D2693" s="5" t="s">
        <v>51</v>
      </c>
      <c r="E2693" s="5" t="s">
        <v>52</v>
      </c>
      <c r="F2693" s="5" t="s">
        <v>329</v>
      </c>
      <c r="G2693" s="5" t="s">
        <v>330</v>
      </c>
      <c r="H2693" s="5" t="s">
        <v>21</v>
      </c>
      <c r="I2693" s="5" t="s">
        <v>675</v>
      </c>
      <c r="J2693" s="5" t="s">
        <v>676</v>
      </c>
      <c r="K2693" s="5" t="s">
        <v>57</v>
      </c>
      <c r="L2693" s="6">
        <v>45681</v>
      </c>
      <c r="M2693" s="6">
        <v>45680</v>
      </c>
      <c r="N2693" s="6" t="s">
        <v>811</v>
      </c>
      <c r="O2693" s="5" t="str">
        <f ca="1">IF(P2693&lt;&gt;"EXPEDIÇÃO","Expedido",IF(NETWORKDAYS(C2693,TODAY())&gt;=5,"Risco Alto",IF(NETWORKDAYS(C2693,TODAY())&gt;=3,IF(NETWORKDAYS(C2693,TODAY())&lt;5,"Risco Médio",""),IF(NETWORKDAYS(C2693,TODAY())&lt;=2,"Risco Baixo",""))))</f>
        <v>Expedido</v>
      </c>
      <c r="P2693" s="5" t="s">
        <v>25</v>
      </c>
      <c r="S2693" s="7">
        <f>IF(ISBLANK(M2693),"Aguardando Previsão/Data",NETWORKDAYS(L2693,M2693)-1)</f>
        <v>-3</v>
      </c>
      <c r="T2693" s="5" t="s">
        <v>942</v>
      </c>
    </row>
    <row r="2694" spans="1:20" x14ac:dyDescent="0.35">
      <c r="A2694" s="5">
        <v>8100281117</v>
      </c>
      <c r="B2694" s="5">
        <v>17554</v>
      </c>
      <c r="C2694" s="6">
        <v>45678</v>
      </c>
      <c r="D2694" s="5" t="s">
        <v>51</v>
      </c>
      <c r="E2694" s="5" t="s">
        <v>52</v>
      </c>
      <c r="F2694" s="5" t="s">
        <v>329</v>
      </c>
      <c r="G2694" s="5" t="s">
        <v>330</v>
      </c>
      <c r="H2694" s="5" t="s">
        <v>21</v>
      </c>
      <c r="I2694" s="5" t="s">
        <v>675</v>
      </c>
      <c r="J2694" s="5" t="s">
        <v>676</v>
      </c>
      <c r="K2694" s="5" t="s">
        <v>57</v>
      </c>
      <c r="L2694" s="6">
        <v>45681</v>
      </c>
      <c r="M2694" s="6">
        <v>45680</v>
      </c>
      <c r="N2694" s="6" t="s">
        <v>811</v>
      </c>
      <c r="O2694" s="5" t="str">
        <f ca="1">IF(P2694&lt;&gt;"EXPEDIÇÃO","Expedido",IF(NETWORKDAYS(C2694,TODAY())&gt;=5,"Risco Alto",IF(NETWORKDAYS(C2694,TODAY())&gt;=3,IF(NETWORKDAYS(C2694,TODAY())&lt;5,"Risco Médio",""),IF(NETWORKDAYS(C2694,TODAY())&lt;=2,"Risco Baixo",""))))</f>
        <v>Expedido</v>
      </c>
      <c r="P2694" s="5" t="s">
        <v>25</v>
      </c>
      <c r="S2694" s="7">
        <f>IF(ISBLANK(M2694),"Aguardando Previsão/Data",NETWORKDAYS(L2694,M2694)-1)</f>
        <v>-3</v>
      </c>
      <c r="T2694" s="5" t="s">
        <v>942</v>
      </c>
    </row>
    <row r="2695" spans="1:20" x14ac:dyDescent="0.35">
      <c r="A2695" s="5">
        <v>8100281118</v>
      </c>
      <c r="B2695" s="5">
        <v>17555</v>
      </c>
      <c r="C2695" s="6">
        <v>45678</v>
      </c>
      <c r="D2695" s="5" t="s">
        <v>51</v>
      </c>
      <c r="E2695" s="5" t="s">
        <v>52</v>
      </c>
      <c r="F2695" s="5" t="s">
        <v>329</v>
      </c>
      <c r="G2695" s="5" t="s">
        <v>330</v>
      </c>
      <c r="H2695" s="5" t="s">
        <v>21</v>
      </c>
      <c r="I2695" s="5" t="s">
        <v>675</v>
      </c>
      <c r="J2695" s="5" t="s">
        <v>676</v>
      </c>
      <c r="K2695" s="5" t="s">
        <v>57</v>
      </c>
      <c r="L2695" s="6">
        <v>45681</v>
      </c>
      <c r="M2695" s="6">
        <v>45680</v>
      </c>
      <c r="N2695" s="6" t="s">
        <v>811</v>
      </c>
      <c r="O2695" s="5" t="str">
        <f ca="1">IF(P2695&lt;&gt;"EXPEDIÇÃO","Expedido",IF(NETWORKDAYS(C2695,TODAY())&gt;=5,"Risco Alto",IF(NETWORKDAYS(C2695,TODAY())&gt;=3,IF(NETWORKDAYS(C2695,TODAY())&lt;5,"Risco Médio",""),IF(NETWORKDAYS(C2695,TODAY())&lt;=2,"Risco Baixo",""))))</f>
        <v>Expedido</v>
      </c>
      <c r="P2695" s="5" t="s">
        <v>25</v>
      </c>
      <c r="S2695" s="7">
        <f>IF(ISBLANK(M2695),"Aguardando Previsão/Data",NETWORKDAYS(L2695,M2695)-1)</f>
        <v>-3</v>
      </c>
      <c r="T2695" s="5" t="s">
        <v>942</v>
      </c>
    </row>
    <row r="2696" spans="1:20" x14ac:dyDescent="0.35">
      <c r="A2696" s="5">
        <v>8100281119</v>
      </c>
      <c r="B2696" s="5">
        <v>17556</v>
      </c>
      <c r="C2696" s="6">
        <v>45678</v>
      </c>
      <c r="D2696" s="5" t="s">
        <v>51</v>
      </c>
      <c r="E2696" s="5" t="s">
        <v>52</v>
      </c>
      <c r="F2696" s="5" t="s">
        <v>329</v>
      </c>
      <c r="G2696" s="5" t="s">
        <v>330</v>
      </c>
      <c r="H2696" s="5" t="s">
        <v>21</v>
      </c>
      <c r="I2696" s="5" t="s">
        <v>675</v>
      </c>
      <c r="J2696" s="5" t="s">
        <v>676</v>
      </c>
      <c r="K2696" s="5" t="s">
        <v>57</v>
      </c>
      <c r="L2696" s="6">
        <v>45681</v>
      </c>
      <c r="M2696" s="6">
        <v>45680</v>
      </c>
      <c r="N2696" s="6" t="s">
        <v>811</v>
      </c>
      <c r="O2696" s="5" t="str">
        <f ca="1">IF(P2696&lt;&gt;"EXPEDIÇÃO","Expedido",IF(NETWORKDAYS(C2696,TODAY())&gt;=5,"Risco Alto",IF(NETWORKDAYS(C2696,TODAY())&gt;=3,IF(NETWORKDAYS(C2696,TODAY())&lt;5,"Risco Médio",""),IF(NETWORKDAYS(C2696,TODAY())&lt;=2,"Risco Baixo",""))))</f>
        <v>Expedido</v>
      </c>
      <c r="P2696" s="5" t="s">
        <v>25</v>
      </c>
      <c r="S2696" s="7">
        <f>IF(ISBLANK(M2696),"Aguardando Previsão/Data",NETWORKDAYS(L2696,M2696)-1)</f>
        <v>-3</v>
      </c>
      <c r="T2696" s="5" t="s">
        <v>942</v>
      </c>
    </row>
    <row r="2697" spans="1:20" x14ac:dyDescent="0.35">
      <c r="A2697" s="5">
        <v>8100279004</v>
      </c>
      <c r="B2697" s="5">
        <v>21534</v>
      </c>
      <c r="C2697" s="6">
        <v>45678</v>
      </c>
      <c r="D2697" s="5" t="s">
        <v>17</v>
      </c>
      <c r="E2697" s="5" t="s">
        <v>18</v>
      </c>
      <c r="F2697" s="5" t="s">
        <v>32</v>
      </c>
      <c r="G2697" s="5" t="s">
        <v>33</v>
      </c>
      <c r="H2697" s="5" t="s">
        <v>21</v>
      </c>
      <c r="I2697" s="5" t="s">
        <v>1427</v>
      </c>
      <c r="J2697" s="5" t="s">
        <v>1428</v>
      </c>
      <c r="K2697" s="5" t="s">
        <v>24</v>
      </c>
      <c r="L2697" s="6">
        <v>45691</v>
      </c>
      <c r="M2697" s="6">
        <v>45688</v>
      </c>
      <c r="N2697" s="6" t="s">
        <v>811</v>
      </c>
      <c r="O2697" s="5" t="str">
        <f ca="1">IF(P2697&lt;&gt;"EXPEDIÇÃO","Expedido",IF(NETWORKDAYS(C2697,TODAY())&gt;=5,"Risco Alto",IF(NETWORKDAYS(C2697,TODAY())&gt;=3,IF(NETWORKDAYS(C2697,TODAY())&lt;5,"Risco Médio",""),IF(NETWORKDAYS(C2697,TODAY())&lt;=2,"Risco Baixo",""))))</f>
        <v>Expedido</v>
      </c>
      <c r="P2697" s="5" t="s">
        <v>617</v>
      </c>
      <c r="S2697" s="7">
        <f>IF(ISBLANK(M2697),"Aguardando Previsão/Data",NETWORKDAYS(L2697,M2697)-1)</f>
        <v>-3</v>
      </c>
    </row>
    <row r="2698" spans="1:20" x14ac:dyDescent="0.35">
      <c r="A2698" s="5">
        <v>8100279005</v>
      </c>
      <c r="B2698" s="5">
        <v>21503</v>
      </c>
      <c r="C2698" s="6">
        <v>45678</v>
      </c>
      <c r="D2698" s="5" t="s">
        <v>17</v>
      </c>
      <c r="E2698" s="5" t="s">
        <v>18</v>
      </c>
      <c r="F2698" s="5" t="s">
        <v>39</v>
      </c>
      <c r="G2698" s="5" t="s">
        <v>40</v>
      </c>
      <c r="H2698" s="5" t="s">
        <v>21</v>
      </c>
      <c r="I2698" s="5" t="s">
        <v>780</v>
      </c>
      <c r="J2698" s="5" t="s">
        <v>522</v>
      </c>
      <c r="K2698" s="5" t="s">
        <v>24</v>
      </c>
      <c r="L2698" s="6">
        <v>45691</v>
      </c>
      <c r="M2698" s="6">
        <v>45688</v>
      </c>
      <c r="N2698" s="6" t="s">
        <v>811</v>
      </c>
      <c r="O2698" s="5" t="str">
        <f ca="1">IF(P2698&lt;&gt;"EXPEDIÇÃO","Expedido",IF(NETWORKDAYS(C2698,TODAY())&gt;=5,"Risco Alto",IF(NETWORKDAYS(C2698,TODAY())&gt;=3,IF(NETWORKDAYS(C2698,TODAY())&lt;5,"Risco Médio",""),IF(NETWORKDAYS(C2698,TODAY())&lt;=2,"Risco Baixo",""))))</f>
        <v>Expedido</v>
      </c>
      <c r="P2698" s="5" t="s">
        <v>617</v>
      </c>
      <c r="S2698" s="7">
        <f>IF(ISBLANK(M2698),"Aguardando Previsão/Data",NETWORKDAYS(L2698,M2698)-1)</f>
        <v>-3</v>
      </c>
    </row>
    <row r="2699" spans="1:20" x14ac:dyDescent="0.35">
      <c r="A2699" s="5">
        <v>8100279007</v>
      </c>
      <c r="B2699" s="5">
        <v>21504</v>
      </c>
      <c r="C2699" s="6">
        <v>45678</v>
      </c>
      <c r="D2699" s="5" t="s">
        <v>17</v>
      </c>
      <c r="E2699" s="5" t="s">
        <v>18</v>
      </c>
      <c r="F2699" s="5" t="s">
        <v>39</v>
      </c>
      <c r="G2699" s="5" t="s">
        <v>40</v>
      </c>
      <c r="H2699" s="5" t="s">
        <v>21</v>
      </c>
      <c r="I2699" s="5" t="s">
        <v>1370</v>
      </c>
      <c r="J2699" s="5" t="s">
        <v>601</v>
      </c>
      <c r="K2699" s="5" t="s">
        <v>24</v>
      </c>
      <c r="L2699" s="6">
        <v>45691</v>
      </c>
      <c r="M2699" s="6">
        <v>45688</v>
      </c>
      <c r="N2699" s="6" t="s">
        <v>811</v>
      </c>
      <c r="O2699" s="5" t="str">
        <f ca="1">IF(P2699&lt;&gt;"EXPEDIÇÃO","Expedido",IF(NETWORKDAYS(C2699,TODAY())&gt;=5,"Risco Alto",IF(NETWORKDAYS(C2699,TODAY())&gt;=3,IF(NETWORKDAYS(C2699,TODAY())&lt;5,"Risco Médio",""),IF(NETWORKDAYS(C2699,TODAY())&lt;=2,"Risco Baixo",""))))</f>
        <v>Risco Alto</v>
      </c>
      <c r="P2699" s="5" t="s">
        <v>726</v>
      </c>
      <c r="S2699" s="7">
        <f>IF(ISBLANK(M2699),"Aguardando Previsão/Data",NETWORKDAYS(L2699,M2699)-1)</f>
        <v>-3</v>
      </c>
    </row>
    <row r="2700" spans="1:20" x14ac:dyDescent="0.35">
      <c r="A2700" s="5">
        <v>8100279011</v>
      </c>
      <c r="B2700" s="5">
        <v>21535</v>
      </c>
      <c r="C2700" s="6">
        <v>45678</v>
      </c>
      <c r="D2700" s="5" t="s">
        <v>17</v>
      </c>
      <c r="E2700" s="5" t="s">
        <v>18</v>
      </c>
      <c r="F2700" s="5" t="s">
        <v>27</v>
      </c>
      <c r="G2700" s="5" t="s">
        <v>28</v>
      </c>
      <c r="H2700" s="5" t="s">
        <v>21</v>
      </c>
      <c r="I2700" s="5" t="s">
        <v>1429</v>
      </c>
      <c r="J2700" s="5" t="s">
        <v>591</v>
      </c>
      <c r="K2700" s="5" t="s">
        <v>24</v>
      </c>
      <c r="L2700" s="6">
        <v>45685</v>
      </c>
      <c r="M2700" s="6">
        <v>45684</v>
      </c>
      <c r="N2700" s="6" t="s">
        <v>811</v>
      </c>
      <c r="O2700" s="5" t="str">
        <f ca="1">IF(P2700&lt;&gt;"EXPEDIÇÃO","Expedido",IF(NETWORKDAYS(C2700,TODAY())&gt;=5,"Risco Alto",IF(NETWORKDAYS(C2700,TODAY())&gt;=3,IF(NETWORKDAYS(C2700,TODAY())&lt;5,"Risco Médio",""),IF(NETWORKDAYS(C2700,TODAY())&lt;=2,"Risco Baixo",""))))</f>
        <v>Expedido</v>
      </c>
      <c r="P2700" s="5" t="s">
        <v>25</v>
      </c>
      <c r="S2700" s="7">
        <f>IF(ISBLANK(M2700),"Aguardando Previsão/Data",NETWORKDAYS(L2700,M2700)-1)</f>
        <v>-3</v>
      </c>
      <c r="T2700" s="5" t="s">
        <v>942</v>
      </c>
    </row>
    <row r="2701" spans="1:20" x14ac:dyDescent="0.35">
      <c r="A2701" s="5">
        <v>8100279694</v>
      </c>
      <c r="B2701" s="5">
        <v>21530</v>
      </c>
      <c r="C2701" s="6">
        <v>45678</v>
      </c>
      <c r="D2701" s="5" t="s">
        <v>17</v>
      </c>
      <c r="E2701" s="5" t="s">
        <v>18</v>
      </c>
      <c r="F2701" s="5" t="s">
        <v>32</v>
      </c>
      <c r="G2701" s="5" t="s">
        <v>33</v>
      </c>
      <c r="H2701" s="5" t="s">
        <v>21</v>
      </c>
      <c r="I2701" s="5" t="s">
        <v>22</v>
      </c>
      <c r="J2701" s="5" t="s">
        <v>23</v>
      </c>
      <c r="K2701" s="5" t="s">
        <v>24</v>
      </c>
      <c r="L2701" s="6">
        <v>45684</v>
      </c>
      <c r="M2701" s="6">
        <v>45678</v>
      </c>
      <c r="N2701" s="6" t="s">
        <v>811</v>
      </c>
      <c r="O2701" s="5" t="str">
        <f ca="1">IF(P2701&lt;&gt;"EXPEDIÇÃO","Expedido",IF(NETWORKDAYS(C2701,TODAY())&gt;=5,"Risco Alto",IF(NETWORKDAYS(C2701,TODAY())&gt;=3,IF(NETWORKDAYS(C2701,TODAY())&lt;5,"Risco Médio",""),IF(NETWORKDAYS(C2701,TODAY())&lt;=2,"Risco Baixo",""))))</f>
        <v>Expedido</v>
      </c>
      <c r="P2701" s="5" t="s">
        <v>25</v>
      </c>
      <c r="Q2701" s="5" t="s">
        <v>900</v>
      </c>
      <c r="S2701" s="7">
        <f>IF(ISBLANK(M2701),"Aguardando Previsão/Data",NETWORKDAYS(L2701,M2701)-1)</f>
        <v>-6</v>
      </c>
      <c r="T2701" s="5" t="s">
        <v>942</v>
      </c>
    </row>
    <row r="2702" spans="1:20" x14ac:dyDescent="0.35">
      <c r="A2702" s="5">
        <v>8100279695</v>
      </c>
      <c r="B2702" s="5">
        <v>21529</v>
      </c>
      <c r="C2702" s="6">
        <v>45678</v>
      </c>
      <c r="D2702" s="5" t="s">
        <v>17</v>
      </c>
      <c r="E2702" s="5" t="s">
        <v>18</v>
      </c>
      <c r="F2702" s="5" t="s">
        <v>32</v>
      </c>
      <c r="G2702" s="5" t="s">
        <v>33</v>
      </c>
      <c r="H2702" s="5" t="s">
        <v>21</v>
      </c>
      <c r="I2702" s="5" t="s">
        <v>22</v>
      </c>
      <c r="J2702" s="5" t="s">
        <v>23</v>
      </c>
      <c r="K2702" s="5" t="s">
        <v>24</v>
      </c>
      <c r="L2702" s="6">
        <v>45684</v>
      </c>
      <c r="M2702" s="6">
        <v>45678</v>
      </c>
      <c r="N2702" s="6" t="s">
        <v>811</v>
      </c>
      <c r="O2702" s="5" t="str">
        <f ca="1">IF(P2702&lt;&gt;"EXPEDIÇÃO","Expedido",IF(NETWORKDAYS(C2702,TODAY())&gt;=5,"Risco Alto",IF(NETWORKDAYS(C2702,TODAY())&gt;=3,IF(NETWORKDAYS(C2702,TODAY())&lt;5,"Risco Médio",""),IF(NETWORKDAYS(C2702,TODAY())&lt;=2,"Risco Baixo",""))))</f>
        <v>Expedido</v>
      </c>
      <c r="P2702" s="5" t="s">
        <v>25</v>
      </c>
      <c r="Q2702" s="5" t="s">
        <v>900</v>
      </c>
      <c r="S2702" s="7">
        <f>IF(ISBLANK(M2702),"Aguardando Previsão/Data",NETWORKDAYS(L2702,M2702)-1)</f>
        <v>-6</v>
      </c>
      <c r="T2702" s="5" t="s">
        <v>942</v>
      </c>
    </row>
    <row r="2703" spans="1:20" x14ac:dyDescent="0.35">
      <c r="A2703" s="5">
        <v>8100279701</v>
      </c>
      <c r="B2703" s="5">
        <v>21532</v>
      </c>
      <c r="C2703" s="6">
        <v>45678</v>
      </c>
      <c r="D2703" s="5" t="s">
        <v>17</v>
      </c>
      <c r="E2703" s="5" t="s">
        <v>18</v>
      </c>
      <c r="F2703" s="5" t="s">
        <v>84</v>
      </c>
      <c r="G2703" s="5" t="s">
        <v>85</v>
      </c>
      <c r="H2703" s="5" t="s">
        <v>21</v>
      </c>
      <c r="I2703" s="5" t="s">
        <v>777</v>
      </c>
      <c r="J2703" s="5" t="s">
        <v>45</v>
      </c>
      <c r="K2703" s="5" t="s">
        <v>24</v>
      </c>
      <c r="L2703" s="6">
        <v>45685</v>
      </c>
      <c r="M2703" s="6">
        <v>45684</v>
      </c>
      <c r="N2703" s="6" t="s">
        <v>811</v>
      </c>
      <c r="O2703" s="5" t="str">
        <f ca="1">IF(P2703&lt;&gt;"EXPEDIÇÃO","Expedido",IF(NETWORKDAYS(C2703,TODAY())&gt;=5,"Risco Alto",IF(NETWORKDAYS(C2703,TODAY())&gt;=3,IF(NETWORKDAYS(C2703,TODAY())&lt;5,"Risco Médio",""),IF(NETWORKDAYS(C2703,TODAY())&lt;=2,"Risco Baixo",""))))</f>
        <v>Expedido</v>
      </c>
      <c r="P2703" s="5" t="s">
        <v>25</v>
      </c>
      <c r="S2703" s="7">
        <f>IF(ISBLANK(M2703),"Aguardando Previsão/Data",NETWORKDAYS(L2703,M2703)-1)</f>
        <v>-3</v>
      </c>
      <c r="T2703" s="5" t="s">
        <v>942</v>
      </c>
    </row>
    <row r="2704" spans="1:20" x14ac:dyDescent="0.35">
      <c r="A2704" s="5">
        <v>8100279703</v>
      </c>
      <c r="B2704" s="5">
        <v>21524</v>
      </c>
      <c r="C2704" s="6">
        <v>45678</v>
      </c>
      <c r="D2704" s="5" t="s">
        <v>17</v>
      </c>
      <c r="E2704" s="5" t="s">
        <v>18</v>
      </c>
      <c r="F2704" s="5" t="s">
        <v>27</v>
      </c>
      <c r="G2704" s="5" t="s">
        <v>28</v>
      </c>
      <c r="H2704" s="5" t="s">
        <v>21</v>
      </c>
      <c r="I2704" s="5" t="s">
        <v>493</v>
      </c>
      <c r="J2704" s="5" t="s">
        <v>28</v>
      </c>
      <c r="K2704" s="5" t="s">
        <v>24</v>
      </c>
      <c r="L2704" s="6">
        <v>45685</v>
      </c>
      <c r="M2704" s="6">
        <v>45684</v>
      </c>
      <c r="N2704" s="6" t="s">
        <v>811</v>
      </c>
      <c r="O2704" s="5" t="str">
        <f ca="1">IF(P2704&lt;&gt;"EXPEDIÇÃO","Expedido",IF(NETWORKDAYS(C2704,TODAY())&gt;=5,"Risco Alto",IF(NETWORKDAYS(C2704,TODAY())&gt;=3,IF(NETWORKDAYS(C2704,TODAY())&lt;5,"Risco Médio",""),IF(NETWORKDAYS(C2704,TODAY())&lt;=2,"Risco Baixo",""))))</f>
        <v>Expedido</v>
      </c>
      <c r="P2704" s="5" t="s">
        <v>25</v>
      </c>
      <c r="Q2704" s="5" t="s">
        <v>897</v>
      </c>
      <c r="S2704" s="7">
        <f>IF(ISBLANK(M2704),"Aguardando Previsão/Data",NETWORKDAYS(L2704,M2704)-1)</f>
        <v>-3</v>
      </c>
      <c r="T2704" s="5" t="s">
        <v>942</v>
      </c>
    </row>
    <row r="2705" spans="1:20" x14ac:dyDescent="0.35">
      <c r="A2705" s="5">
        <v>8100279706</v>
      </c>
      <c r="B2705" s="5">
        <v>21513</v>
      </c>
      <c r="C2705" s="6">
        <v>45678</v>
      </c>
      <c r="D2705" s="5" t="s">
        <v>17</v>
      </c>
      <c r="E2705" s="5" t="s">
        <v>18</v>
      </c>
      <c r="F2705" s="5" t="s">
        <v>32</v>
      </c>
      <c r="G2705" s="5" t="s">
        <v>33</v>
      </c>
      <c r="H2705" s="5" t="s">
        <v>21</v>
      </c>
      <c r="I2705" s="5" t="s">
        <v>22</v>
      </c>
      <c r="J2705" s="5" t="s">
        <v>23</v>
      </c>
      <c r="K2705" s="5" t="s">
        <v>24</v>
      </c>
      <c r="L2705" s="6">
        <v>45684</v>
      </c>
      <c r="M2705" s="6">
        <v>45678</v>
      </c>
      <c r="N2705" s="6" t="s">
        <v>811</v>
      </c>
      <c r="O2705" s="5" t="str">
        <f ca="1">IF(P2705&lt;&gt;"EXPEDIÇÃO","Expedido",IF(NETWORKDAYS(C2705,TODAY())&gt;=5,"Risco Alto",IF(NETWORKDAYS(C2705,TODAY())&gt;=3,IF(NETWORKDAYS(C2705,TODAY())&lt;5,"Risco Médio",""),IF(NETWORKDAYS(C2705,TODAY())&lt;=2,"Risco Baixo",""))))</f>
        <v>Expedido</v>
      </c>
      <c r="P2705" s="5" t="s">
        <v>25</v>
      </c>
      <c r="Q2705" s="5" t="s">
        <v>900</v>
      </c>
      <c r="S2705" s="7">
        <f>IF(ISBLANK(M2705),"Aguardando Previsão/Data",NETWORKDAYS(L2705,M2705)-1)</f>
        <v>-6</v>
      </c>
      <c r="T2705" s="5" t="s">
        <v>942</v>
      </c>
    </row>
    <row r="2706" spans="1:20" x14ac:dyDescent="0.35">
      <c r="A2706" s="5">
        <v>8100279890</v>
      </c>
      <c r="B2706" s="5">
        <v>21497</v>
      </c>
      <c r="C2706" s="6">
        <v>45678</v>
      </c>
      <c r="D2706" s="5" t="s">
        <v>17</v>
      </c>
      <c r="E2706" s="5" t="s">
        <v>18</v>
      </c>
      <c r="F2706" s="5" t="s">
        <v>32</v>
      </c>
      <c r="G2706" s="5" t="s">
        <v>33</v>
      </c>
      <c r="H2706" s="5" t="s">
        <v>21</v>
      </c>
      <c r="I2706" s="5" t="s">
        <v>22</v>
      </c>
      <c r="J2706" s="5" t="s">
        <v>23</v>
      </c>
      <c r="K2706" s="5" t="s">
        <v>24</v>
      </c>
      <c r="L2706" s="6">
        <v>45684</v>
      </c>
      <c r="M2706" s="6">
        <v>45678</v>
      </c>
      <c r="N2706" s="6" t="s">
        <v>811</v>
      </c>
      <c r="O2706" s="5" t="str">
        <f ca="1">IF(P2706&lt;&gt;"EXPEDIÇÃO","Expedido",IF(NETWORKDAYS(C2706,TODAY())&gt;=5,"Risco Alto",IF(NETWORKDAYS(C2706,TODAY())&gt;=3,IF(NETWORKDAYS(C2706,TODAY())&lt;5,"Risco Médio",""),IF(NETWORKDAYS(C2706,TODAY())&lt;=2,"Risco Baixo",""))))</f>
        <v>Expedido</v>
      </c>
      <c r="P2706" s="5" t="s">
        <v>25</v>
      </c>
      <c r="Q2706" s="5" t="s">
        <v>900</v>
      </c>
      <c r="S2706" s="7">
        <f>IF(ISBLANK(M2706),"Aguardando Previsão/Data",NETWORKDAYS(L2706,M2706)-1)</f>
        <v>-6</v>
      </c>
      <c r="T2706" s="5" t="s">
        <v>942</v>
      </c>
    </row>
    <row r="2707" spans="1:20" x14ac:dyDescent="0.35">
      <c r="A2707" s="5">
        <v>8100280175</v>
      </c>
      <c r="B2707" s="5">
        <v>21490</v>
      </c>
      <c r="C2707" s="6">
        <v>45678</v>
      </c>
      <c r="D2707" s="5" t="s">
        <v>17</v>
      </c>
      <c r="E2707" s="5" t="s">
        <v>18</v>
      </c>
      <c r="F2707" s="5" t="s">
        <v>32</v>
      </c>
      <c r="G2707" s="5" t="s">
        <v>33</v>
      </c>
      <c r="H2707" s="5" t="s">
        <v>21</v>
      </c>
      <c r="I2707" s="5" t="s">
        <v>1033</v>
      </c>
      <c r="J2707" s="5" t="s">
        <v>31</v>
      </c>
      <c r="K2707" s="5" t="s">
        <v>24</v>
      </c>
      <c r="L2707" s="6">
        <v>45686</v>
      </c>
      <c r="M2707" s="6">
        <v>45685</v>
      </c>
      <c r="N2707" s="6" t="s">
        <v>811</v>
      </c>
      <c r="O2707" s="5" t="str">
        <f ca="1">IF(P2707&lt;&gt;"EXPEDIÇÃO","Expedido",IF(NETWORKDAYS(C2707,TODAY())&gt;=5,"Risco Alto",IF(NETWORKDAYS(C2707,TODAY())&gt;=3,IF(NETWORKDAYS(C2707,TODAY())&lt;5,"Risco Médio",""),IF(NETWORKDAYS(C2707,TODAY())&lt;=2,"Risco Baixo",""))))</f>
        <v>Expedido</v>
      </c>
      <c r="P2707" s="5" t="s">
        <v>25</v>
      </c>
      <c r="S2707" s="7">
        <f>IF(ISBLANK(M2707),"Aguardando Previsão/Data",NETWORKDAYS(L2707,M2707)-1)</f>
        <v>-3</v>
      </c>
      <c r="T2707" s="5" t="s">
        <v>942</v>
      </c>
    </row>
    <row r="2708" spans="1:20" x14ac:dyDescent="0.35">
      <c r="A2708" s="5">
        <v>8100280253</v>
      </c>
      <c r="B2708" s="5">
        <v>21514</v>
      </c>
      <c r="C2708" s="6">
        <v>45678</v>
      </c>
      <c r="D2708" s="5" t="s">
        <v>17</v>
      </c>
      <c r="E2708" s="5" t="s">
        <v>18</v>
      </c>
      <c r="F2708" s="5" t="s">
        <v>19</v>
      </c>
      <c r="G2708" s="5" t="s">
        <v>20</v>
      </c>
      <c r="H2708" s="5" t="s">
        <v>21</v>
      </c>
      <c r="I2708" s="5" t="s">
        <v>22</v>
      </c>
      <c r="J2708" s="5" t="s">
        <v>23</v>
      </c>
      <c r="K2708" s="5" t="s">
        <v>24</v>
      </c>
      <c r="L2708" s="6">
        <v>45684</v>
      </c>
      <c r="M2708" s="6">
        <v>45678</v>
      </c>
      <c r="N2708" s="6" t="s">
        <v>811</v>
      </c>
      <c r="O2708" s="5" t="str">
        <f ca="1">IF(P2708&lt;&gt;"EXPEDIÇÃO","Expedido",IF(NETWORKDAYS(C2708,TODAY())&gt;=5,"Risco Alto",IF(NETWORKDAYS(C2708,TODAY())&gt;=3,IF(NETWORKDAYS(C2708,TODAY())&lt;5,"Risco Médio",""),IF(NETWORKDAYS(C2708,TODAY())&lt;=2,"Risco Baixo",""))))</f>
        <v>Expedido</v>
      </c>
      <c r="P2708" s="5" t="s">
        <v>25</v>
      </c>
      <c r="Q2708" s="5" t="s">
        <v>900</v>
      </c>
      <c r="S2708" s="7">
        <f>IF(ISBLANK(M2708),"Aguardando Previsão/Data",NETWORKDAYS(L2708,M2708)-1)</f>
        <v>-6</v>
      </c>
      <c r="T2708" s="5" t="s">
        <v>942</v>
      </c>
    </row>
    <row r="2709" spans="1:20" x14ac:dyDescent="0.35">
      <c r="A2709" s="5">
        <v>8100280385</v>
      </c>
      <c r="B2709" s="5">
        <v>21527</v>
      </c>
      <c r="C2709" s="6">
        <v>45678</v>
      </c>
      <c r="D2709" s="5" t="s">
        <v>17</v>
      </c>
      <c r="E2709" s="5" t="s">
        <v>18</v>
      </c>
      <c r="F2709" s="5" t="s">
        <v>27</v>
      </c>
      <c r="G2709" s="5" t="s">
        <v>28</v>
      </c>
      <c r="H2709" s="5" t="s">
        <v>21</v>
      </c>
      <c r="I2709" s="5" t="s">
        <v>415</v>
      </c>
      <c r="J2709" s="5" t="s">
        <v>364</v>
      </c>
      <c r="K2709" s="5" t="s">
        <v>24</v>
      </c>
      <c r="L2709" s="6">
        <v>45685</v>
      </c>
      <c r="M2709" s="6">
        <v>45680</v>
      </c>
      <c r="N2709" s="6" t="s">
        <v>811</v>
      </c>
      <c r="O2709" s="5" t="str">
        <f ca="1">IF(P2709&lt;&gt;"EXPEDIÇÃO","Expedido",IF(NETWORKDAYS(C2709,TODAY())&gt;=5,"Risco Alto",IF(NETWORKDAYS(C2709,TODAY())&gt;=3,IF(NETWORKDAYS(C2709,TODAY())&lt;5,"Risco Médio",""),IF(NETWORKDAYS(C2709,TODAY())&lt;=2,"Risco Baixo",""))))</f>
        <v>Expedido</v>
      </c>
      <c r="P2709" s="5" t="s">
        <v>25</v>
      </c>
      <c r="S2709" s="7">
        <f>IF(ISBLANK(M2709),"Aguardando Previsão/Data",NETWORKDAYS(L2709,M2709)-1)</f>
        <v>-5</v>
      </c>
      <c r="T2709" s="5" t="s">
        <v>942</v>
      </c>
    </row>
    <row r="2710" spans="1:20" x14ac:dyDescent="0.35">
      <c r="A2710" s="5">
        <v>8100280386</v>
      </c>
      <c r="B2710" s="5">
        <v>21498</v>
      </c>
      <c r="C2710" s="6">
        <v>45678</v>
      </c>
      <c r="D2710" s="5" t="s">
        <v>17</v>
      </c>
      <c r="E2710" s="5" t="s">
        <v>18</v>
      </c>
      <c r="F2710" s="5" t="s">
        <v>19</v>
      </c>
      <c r="G2710" s="5" t="s">
        <v>20</v>
      </c>
      <c r="H2710" s="5" t="s">
        <v>21</v>
      </c>
      <c r="I2710" s="5" t="s">
        <v>22</v>
      </c>
      <c r="J2710" s="5" t="s">
        <v>23</v>
      </c>
      <c r="K2710" s="5" t="s">
        <v>24</v>
      </c>
      <c r="L2710" s="6">
        <v>45684</v>
      </c>
      <c r="M2710" s="6">
        <v>45678</v>
      </c>
      <c r="N2710" s="6" t="s">
        <v>811</v>
      </c>
      <c r="O2710" s="5" t="str">
        <f ca="1">IF(P2710&lt;&gt;"EXPEDIÇÃO","Expedido",IF(NETWORKDAYS(C2710,TODAY())&gt;=5,"Risco Alto",IF(NETWORKDAYS(C2710,TODAY())&gt;=3,IF(NETWORKDAYS(C2710,TODAY())&lt;5,"Risco Médio",""),IF(NETWORKDAYS(C2710,TODAY())&lt;=2,"Risco Baixo",""))))</f>
        <v>Expedido</v>
      </c>
      <c r="P2710" s="5" t="s">
        <v>25</v>
      </c>
      <c r="Q2710" s="5" t="s">
        <v>900</v>
      </c>
      <c r="S2710" s="7">
        <f>IF(ISBLANK(M2710),"Aguardando Previsão/Data",NETWORKDAYS(L2710,M2710)-1)</f>
        <v>-6</v>
      </c>
      <c r="T2710" s="5" t="s">
        <v>942</v>
      </c>
    </row>
    <row r="2711" spans="1:20" x14ac:dyDescent="0.35">
      <c r="A2711" s="5">
        <v>8100280387</v>
      </c>
      <c r="B2711" s="5">
        <v>21495</v>
      </c>
      <c r="C2711" s="6">
        <v>45678</v>
      </c>
      <c r="D2711" s="5" t="s">
        <v>17</v>
      </c>
      <c r="E2711" s="5" t="s">
        <v>18</v>
      </c>
      <c r="F2711" s="5" t="s">
        <v>84</v>
      </c>
      <c r="G2711" s="5" t="s">
        <v>85</v>
      </c>
      <c r="H2711" s="5" t="s">
        <v>21</v>
      </c>
      <c r="I2711" s="5" t="s">
        <v>593</v>
      </c>
      <c r="J2711" s="5" t="s">
        <v>28</v>
      </c>
      <c r="K2711" s="5" t="s">
        <v>24</v>
      </c>
      <c r="L2711" s="6">
        <v>45685</v>
      </c>
      <c r="M2711" s="6">
        <v>45684</v>
      </c>
      <c r="N2711" s="6" t="s">
        <v>811</v>
      </c>
      <c r="O2711" s="5" t="str">
        <f ca="1">IF(P2711&lt;&gt;"EXPEDIÇÃO","Expedido",IF(NETWORKDAYS(C2711,TODAY())&gt;=5,"Risco Alto",IF(NETWORKDAYS(C2711,TODAY())&gt;=3,IF(NETWORKDAYS(C2711,TODAY())&lt;5,"Risco Médio",""),IF(NETWORKDAYS(C2711,TODAY())&lt;=2,"Risco Baixo",""))))</f>
        <v>Expedido</v>
      </c>
      <c r="P2711" s="5" t="s">
        <v>25</v>
      </c>
      <c r="Q2711" s="5" t="s">
        <v>897</v>
      </c>
      <c r="S2711" s="7">
        <f>IF(ISBLANK(M2711),"Aguardando Previsão/Data",NETWORKDAYS(L2711,M2711)-1)</f>
        <v>-3</v>
      </c>
      <c r="T2711" s="5" t="s">
        <v>942</v>
      </c>
    </row>
    <row r="2712" spans="1:20" x14ac:dyDescent="0.35">
      <c r="A2712" s="5">
        <v>8100280388</v>
      </c>
      <c r="B2712" s="5">
        <v>21496</v>
      </c>
      <c r="C2712" s="6">
        <v>45678</v>
      </c>
      <c r="D2712" s="5" t="s">
        <v>17</v>
      </c>
      <c r="E2712" s="5" t="s">
        <v>18</v>
      </c>
      <c r="F2712" s="5" t="s">
        <v>84</v>
      </c>
      <c r="G2712" s="5" t="s">
        <v>85</v>
      </c>
      <c r="H2712" s="5" t="s">
        <v>21</v>
      </c>
      <c r="I2712" s="5" t="s">
        <v>593</v>
      </c>
      <c r="J2712" s="5" t="s">
        <v>28</v>
      </c>
      <c r="K2712" s="5" t="s">
        <v>24</v>
      </c>
      <c r="L2712" s="6">
        <v>45685</v>
      </c>
      <c r="M2712" s="6">
        <v>45684</v>
      </c>
      <c r="N2712" s="6" t="s">
        <v>811</v>
      </c>
      <c r="O2712" s="5" t="str">
        <f ca="1">IF(P2712&lt;&gt;"EXPEDIÇÃO","Expedido",IF(NETWORKDAYS(C2712,TODAY())&gt;=5,"Risco Alto",IF(NETWORKDAYS(C2712,TODAY())&gt;=3,IF(NETWORKDAYS(C2712,TODAY())&lt;5,"Risco Médio",""),IF(NETWORKDAYS(C2712,TODAY())&lt;=2,"Risco Baixo",""))))</f>
        <v>Expedido</v>
      </c>
      <c r="P2712" s="5" t="s">
        <v>25</v>
      </c>
      <c r="Q2712" s="5" t="s">
        <v>897</v>
      </c>
      <c r="S2712" s="7">
        <f>IF(ISBLANK(M2712),"Aguardando Previsão/Data",NETWORKDAYS(L2712,M2712)-1)</f>
        <v>-3</v>
      </c>
      <c r="T2712" s="5" t="s">
        <v>942</v>
      </c>
    </row>
    <row r="2713" spans="1:20" x14ac:dyDescent="0.35">
      <c r="A2713" s="5">
        <v>8100280389</v>
      </c>
      <c r="B2713" s="5">
        <v>21489</v>
      </c>
      <c r="C2713" s="6">
        <v>45678</v>
      </c>
      <c r="D2713" s="5" t="s">
        <v>17</v>
      </c>
      <c r="E2713" s="5" t="s">
        <v>18</v>
      </c>
      <c r="F2713" s="5" t="s">
        <v>32</v>
      </c>
      <c r="G2713" s="5" t="s">
        <v>33</v>
      </c>
      <c r="H2713" s="5" t="s">
        <v>21</v>
      </c>
      <c r="I2713" s="5" t="s">
        <v>1327</v>
      </c>
      <c r="J2713" s="5" t="s">
        <v>38</v>
      </c>
      <c r="K2713" s="5" t="s">
        <v>24</v>
      </c>
      <c r="L2713" s="6">
        <v>45686</v>
      </c>
      <c r="M2713" s="6">
        <v>45687</v>
      </c>
      <c r="N2713" s="6" t="s">
        <v>812</v>
      </c>
      <c r="O2713" s="5" t="str">
        <f ca="1">IF(P2713&lt;&gt;"EXPEDIÇÃO","Expedido",IF(NETWORKDAYS(C2713,TODAY())&gt;=5,"Risco Alto",IF(NETWORKDAYS(C2713,TODAY())&gt;=3,IF(NETWORKDAYS(C2713,TODAY())&lt;5,"Risco Médio",""),IF(NETWORKDAYS(C2713,TODAY())&lt;=2,"Risco Baixo",""))))</f>
        <v>Expedido</v>
      </c>
      <c r="P2713" s="5" t="s">
        <v>617</v>
      </c>
      <c r="Q2713" s="5" t="s">
        <v>898</v>
      </c>
      <c r="S2713" s="7">
        <f>IF(ISBLANK(M2713),"Aguardando Previsão/Data",NETWORKDAYS(L2713,M2713)-1)</f>
        <v>1</v>
      </c>
    </row>
    <row r="2714" spans="1:20" x14ac:dyDescent="0.35">
      <c r="A2714" s="5">
        <v>8100280390</v>
      </c>
      <c r="B2714" s="5">
        <v>21493</v>
      </c>
      <c r="C2714" s="6">
        <v>45678</v>
      </c>
      <c r="D2714" s="5" t="s">
        <v>17</v>
      </c>
      <c r="E2714" s="5" t="s">
        <v>18</v>
      </c>
      <c r="F2714" s="5" t="s">
        <v>32</v>
      </c>
      <c r="G2714" s="5" t="s">
        <v>33</v>
      </c>
      <c r="H2714" s="5" t="s">
        <v>21</v>
      </c>
      <c r="I2714" s="5" t="s">
        <v>494</v>
      </c>
      <c r="J2714" s="5" t="s">
        <v>370</v>
      </c>
      <c r="K2714" s="5" t="s">
        <v>24</v>
      </c>
      <c r="L2714" s="6">
        <v>45688</v>
      </c>
      <c r="M2714" s="6">
        <v>45681</v>
      </c>
      <c r="N2714" s="6" t="s">
        <v>811</v>
      </c>
      <c r="O2714" s="5" t="str">
        <f ca="1">IF(P2714&lt;&gt;"EXPEDIÇÃO","Expedido",IF(NETWORKDAYS(C2714,TODAY())&gt;=5,"Risco Alto",IF(NETWORKDAYS(C2714,TODAY())&gt;=3,IF(NETWORKDAYS(C2714,TODAY())&lt;5,"Risco Médio",""),IF(NETWORKDAYS(C2714,TODAY())&lt;=2,"Risco Baixo",""))))</f>
        <v>Expedido</v>
      </c>
      <c r="P2714" s="5" t="s">
        <v>25</v>
      </c>
      <c r="S2714" s="7">
        <f>IF(ISBLANK(M2714),"Aguardando Previsão/Data",NETWORKDAYS(L2714,M2714)-1)</f>
        <v>-7</v>
      </c>
      <c r="T2714" s="5" t="s">
        <v>942</v>
      </c>
    </row>
    <row r="2715" spans="1:20" x14ac:dyDescent="0.35">
      <c r="A2715" s="5">
        <v>8100280391</v>
      </c>
      <c r="B2715" s="5">
        <v>21491</v>
      </c>
      <c r="C2715" s="6">
        <v>45678</v>
      </c>
      <c r="D2715" s="5" t="s">
        <v>17</v>
      </c>
      <c r="E2715" s="5" t="s">
        <v>18</v>
      </c>
      <c r="F2715" s="5" t="s">
        <v>39</v>
      </c>
      <c r="G2715" s="5" t="s">
        <v>40</v>
      </c>
      <c r="H2715" s="5" t="s">
        <v>21</v>
      </c>
      <c r="I2715" s="5" t="s">
        <v>1086</v>
      </c>
      <c r="J2715" s="5" t="s">
        <v>600</v>
      </c>
      <c r="K2715" s="5" t="s">
        <v>24</v>
      </c>
      <c r="L2715" s="6">
        <v>45686</v>
      </c>
      <c r="M2715" s="6">
        <v>45681</v>
      </c>
      <c r="N2715" s="6" t="s">
        <v>811</v>
      </c>
      <c r="O2715" s="5" t="str">
        <f ca="1">IF(P2715&lt;&gt;"EXPEDIÇÃO","Expedido",IF(NETWORKDAYS(C2715,TODAY())&gt;=5,"Risco Alto",IF(NETWORKDAYS(C2715,TODAY())&gt;=3,IF(NETWORKDAYS(C2715,TODAY())&lt;5,"Risco Médio",""),IF(NETWORKDAYS(C2715,TODAY())&lt;=2,"Risco Baixo",""))))</f>
        <v>Expedido</v>
      </c>
      <c r="P2715" s="5" t="s">
        <v>25</v>
      </c>
      <c r="S2715" s="7">
        <f>IF(ISBLANK(M2715),"Aguardando Previsão/Data",NETWORKDAYS(L2715,M2715)-1)</f>
        <v>-5</v>
      </c>
      <c r="T2715" s="5" t="s">
        <v>942</v>
      </c>
    </row>
    <row r="2716" spans="1:20" x14ac:dyDescent="0.35">
      <c r="A2716" s="5">
        <v>8100280392</v>
      </c>
      <c r="B2716" s="5">
        <v>21492</v>
      </c>
      <c r="C2716" s="6">
        <v>45678</v>
      </c>
      <c r="D2716" s="5" t="s">
        <v>17</v>
      </c>
      <c r="E2716" s="5" t="s">
        <v>18</v>
      </c>
      <c r="F2716" s="5" t="s">
        <v>39</v>
      </c>
      <c r="G2716" s="5" t="s">
        <v>40</v>
      </c>
      <c r="H2716" s="5" t="s">
        <v>21</v>
      </c>
      <c r="I2716" s="5" t="s">
        <v>1439</v>
      </c>
      <c r="J2716" s="5" t="s">
        <v>41</v>
      </c>
      <c r="K2716" s="5" t="s">
        <v>24</v>
      </c>
      <c r="L2716" s="6">
        <v>45688</v>
      </c>
      <c r="M2716" s="6">
        <v>45687</v>
      </c>
      <c r="N2716" s="6" t="s">
        <v>811</v>
      </c>
      <c r="O2716" s="5" t="str">
        <f ca="1">IF(P2716&lt;&gt;"EXPEDIÇÃO","Expedido",IF(NETWORKDAYS(C2716,TODAY())&gt;=5,"Risco Alto",IF(NETWORKDAYS(C2716,TODAY())&gt;=3,IF(NETWORKDAYS(C2716,TODAY())&lt;5,"Risco Médio",""),IF(NETWORKDAYS(C2716,TODAY())&lt;=2,"Risco Baixo",""))))</f>
        <v>Expedido</v>
      </c>
      <c r="P2716" s="5" t="s">
        <v>617</v>
      </c>
      <c r="S2716" s="7">
        <f>IF(ISBLANK(M2716),"Aguardando Previsão/Data",NETWORKDAYS(L2716,M2716)-1)</f>
        <v>-3</v>
      </c>
    </row>
    <row r="2717" spans="1:20" x14ac:dyDescent="0.35">
      <c r="A2717" s="5">
        <v>8100280393</v>
      </c>
      <c r="B2717" s="5">
        <v>21494</v>
      </c>
      <c r="C2717" s="6">
        <v>45678</v>
      </c>
      <c r="D2717" s="5" t="s">
        <v>17</v>
      </c>
      <c r="E2717" s="5" t="s">
        <v>18</v>
      </c>
      <c r="F2717" s="5" t="s">
        <v>44</v>
      </c>
      <c r="G2717" s="5" t="s">
        <v>45</v>
      </c>
      <c r="H2717" s="5" t="s">
        <v>21</v>
      </c>
      <c r="I2717" s="5" t="s">
        <v>494</v>
      </c>
      <c r="J2717" s="5" t="s">
        <v>370</v>
      </c>
      <c r="K2717" s="5" t="s">
        <v>24</v>
      </c>
      <c r="L2717" s="6">
        <v>45688</v>
      </c>
      <c r="M2717" s="6">
        <v>45688</v>
      </c>
      <c r="N2717" s="6" t="s">
        <v>811</v>
      </c>
      <c r="O2717" s="5" t="str">
        <f ca="1">IF(P2717&lt;&gt;"EXPEDIÇÃO","Expedido",IF(NETWORKDAYS(C2717,TODAY())&gt;=5,"Risco Alto",IF(NETWORKDAYS(C2717,TODAY())&gt;=3,IF(NETWORKDAYS(C2717,TODAY())&lt;5,"Risco Médio",""),IF(NETWORKDAYS(C2717,TODAY())&lt;=2,"Risco Baixo",""))))</f>
        <v>Expedido</v>
      </c>
      <c r="P2717" s="5" t="s">
        <v>617</v>
      </c>
      <c r="S2717" s="7">
        <f>IF(ISBLANK(M2717),"Aguardando Previsão/Data",NETWORKDAYS(L2717,M2717)-1)</f>
        <v>0</v>
      </c>
    </row>
    <row r="2718" spans="1:20" x14ac:dyDescent="0.35">
      <c r="A2718" s="5">
        <v>8100280394</v>
      </c>
      <c r="B2718" s="5">
        <v>21518</v>
      </c>
      <c r="C2718" s="6">
        <v>45678</v>
      </c>
      <c r="D2718" s="5" t="s">
        <v>17</v>
      </c>
      <c r="E2718" s="5" t="s">
        <v>18</v>
      </c>
      <c r="F2718" s="5" t="s">
        <v>39</v>
      </c>
      <c r="G2718" s="5" t="s">
        <v>40</v>
      </c>
      <c r="H2718" s="5" t="s">
        <v>21</v>
      </c>
      <c r="I2718" s="5" t="s">
        <v>1440</v>
      </c>
      <c r="J2718" s="5" t="s">
        <v>41</v>
      </c>
      <c r="K2718" s="5" t="s">
        <v>24</v>
      </c>
      <c r="L2718" s="6">
        <v>45688</v>
      </c>
      <c r="M2718" s="6">
        <v>45688</v>
      </c>
      <c r="N2718" s="6" t="s">
        <v>811</v>
      </c>
      <c r="O2718" s="5" t="str">
        <f ca="1">IF(P2718&lt;&gt;"EXPEDIÇÃO","Expedido",IF(NETWORKDAYS(C2718,TODAY())&gt;=5,"Risco Alto",IF(NETWORKDAYS(C2718,TODAY())&gt;=3,IF(NETWORKDAYS(C2718,TODAY())&lt;5,"Risco Médio",""),IF(NETWORKDAYS(C2718,TODAY())&lt;=2,"Risco Baixo",""))))</f>
        <v>Expedido</v>
      </c>
      <c r="P2718" s="5" t="s">
        <v>617</v>
      </c>
      <c r="S2718" s="7">
        <f>IF(ISBLANK(M2718),"Aguardando Previsão/Data",NETWORKDAYS(L2718,M2718)-1)</f>
        <v>0</v>
      </c>
    </row>
    <row r="2719" spans="1:20" x14ac:dyDescent="0.35">
      <c r="A2719" s="5">
        <v>8100280395</v>
      </c>
      <c r="B2719" s="5">
        <v>21525</v>
      </c>
      <c r="C2719" s="6">
        <v>45678</v>
      </c>
      <c r="D2719" s="5" t="s">
        <v>17</v>
      </c>
      <c r="E2719" s="5" t="s">
        <v>18</v>
      </c>
      <c r="F2719" s="5" t="s">
        <v>39</v>
      </c>
      <c r="G2719" s="5" t="s">
        <v>40</v>
      </c>
      <c r="H2719" s="5" t="s">
        <v>21</v>
      </c>
      <c r="I2719" s="5" t="s">
        <v>1441</v>
      </c>
      <c r="J2719" s="5" t="s">
        <v>41</v>
      </c>
      <c r="K2719" s="5" t="s">
        <v>24</v>
      </c>
      <c r="L2719" s="6">
        <v>45688</v>
      </c>
      <c r="M2719" s="6">
        <v>45687</v>
      </c>
      <c r="N2719" s="6" t="s">
        <v>811</v>
      </c>
      <c r="O2719" s="5" t="str">
        <f ca="1">IF(P2719&lt;&gt;"EXPEDIÇÃO","Expedido",IF(NETWORKDAYS(C2719,TODAY())&gt;=5,"Risco Alto",IF(NETWORKDAYS(C2719,TODAY())&gt;=3,IF(NETWORKDAYS(C2719,TODAY())&lt;5,"Risco Médio",""),IF(NETWORKDAYS(C2719,TODAY())&lt;=2,"Risco Baixo",""))))</f>
        <v>Expedido</v>
      </c>
      <c r="P2719" s="5" t="s">
        <v>617</v>
      </c>
      <c r="S2719" s="7">
        <f>IF(ISBLANK(M2719),"Aguardando Previsão/Data",NETWORKDAYS(L2719,M2719)-1)</f>
        <v>-3</v>
      </c>
    </row>
    <row r="2720" spans="1:20" x14ac:dyDescent="0.35">
      <c r="A2720" s="5">
        <v>8100280396</v>
      </c>
      <c r="B2720" s="5">
        <v>21517</v>
      </c>
      <c r="C2720" s="6">
        <v>45678</v>
      </c>
      <c r="D2720" s="5" t="s">
        <v>17</v>
      </c>
      <c r="E2720" s="5" t="s">
        <v>18</v>
      </c>
      <c r="F2720" s="5" t="s">
        <v>39</v>
      </c>
      <c r="G2720" s="5" t="s">
        <v>40</v>
      </c>
      <c r="H2720" s="5" t="s">
        <v>21</v>
      </c>
      <c r="I2720" s="5" t="s">
        <v>1442</v>
      </c>
      <c r="J2720" s="5" t="s">
        <v>466</v>
      </c>
      <c r="K2720" s="5" t="s">
        <v>24</v>
      </c>
      <c r="L2720" s="6">
        <v>45688</v>
      </c>
      <c r="M2720" s="6">
        <v>45687</v>
      </c>
      <c r="N2720" s="6" t="s">
        <v>811</v>
      </c>
      <c r="O2720" s="5" t="str">
        <f ca="1">IF(P2720&lt;&gt;"EXPEDIÇÃO","Expedido",IF(NETWORKDAYS(C2720,TODAY())&gt;=5,"Risco Alto",IF(NETWORKDAYS(C2720,TODAY())&gt;=3,IF(NETWORKDAYS(C2720,TODAY())&lt;5,"Risco Médio",""),IF(NETWORKDAYS(C2720,TODAY())&lt;=2,"Risco Baixo",""))))</f>
        <v>Expedido</v>
      </c>
      <c r="P2720" s="5" t="s">
        <v>617</v>
      </c>
      <c r="S2720" s="7">
        <f>IF(ISBLANK(M2720),"Aguardando Previsão/Data",NETWORKDAYS(L2720,M2720)-1)</f>
        <v>-3</v>
      </c>
    </row>
    <row r="2721" spans="1:20" x14ac:dyDescent="0.35">
      <c r="A2721" s="5">
        <v>8100280397</v>
      </c>
      <c r="B2721" s="5">
        <v>21526</v>
      </c>
      <c r="C2721" s="6">
        <v>45678</v>
      </c>
      <c r="D2721" s="5" t="s">
        <v>17</v>
      </c>
      <c r="E2721" s="5" t="s">
        <v>18</v>
      </c>
      <c r="F2721" s="5" t="s">
        <v>44</v>
      </c>
      <c r="G2721" s="5" t="s">
        <v>45</v>
      </c>
      <c r="H2721" s="5" t="s">
        <v>21</v>
      </c>
      <c r="I2721" s="5" t="s">
        <v>1443</v>
      </c>
      <c r="J2721" s="5" t="s">
        <v>566</v>
      </c>
      <c r="K2721" s="5" t="s">
        <v>24</v>
      </c>
      <c r="L2721" s="6">
        <v>45686</v>
      </c>
      <c r="M2721" s="6">
        <v>45685</v>
      </c>
      <c r="N2721" s="6" t="s">
        <v>811</v>
      </c>
      <c r="O2721" s="5" t="str">
        <f ca="1">IF(P2721&lt;&gt;"EXPEDIÇÃO","Expedido",IF(NETWORKDAYS(C2721,TODAY())&gt;=5,"Risco Alto",IF(NETWORKDAYS(C2721,TODAY())&gt;=3,IF(NETWORKDAYS(C2721,TODAY())&lt;5,"Risco Médio",""),IF(NETWORKDAYS(C2721,TODAY())&lt;=2,"Risco Baixo",""))))</f>
        <v>Expedido</v>
      </c>
      <c r="P2721" s="5" t="s">
        <v>25</v>
      </c>
      <c r="S2721" s="7">
        <f>IF(ISBLANK(M2721),"Aguardando Previsão/Data",NETWORKDAYS(L2721,M2721)-1)</f>
        <v>-3</v>
      </c>
      <c r="T2721" s="5" t="s">
        <v>942</v>
      </c>
    </row>
    <row r="2722" spans="1:20" x14ac:dyDescent="0.35">
      <c r="A2722" s="5">
        <v>8100280400</v>
      </c>
      <c r="B2722" s="5">
        <v>21499</v>
      </c>
      <c r="C2722" s="6">
        <v>45678</v>
      </c>
      <c r="D2722" s="5" t="s">
        <v>17</v>
      </c>
      <c r="E2722" s="5" t="s">
        <v>18</v>
      </c>
      <c r="F2722" s="5" t="s">
        <v>19</v>
      </c>
      <c r="G2722" s="5" t="s">
        <v>20</v>
      </c>
      <c r="H2722" s="5" t="s">
        <v>21</v>
      </c>
      <c r="I2722" s="5" t="s">
        <v>22</v>
      </c>
      <c r="J2722" s="5" t="s">
        <v>23</v>
      </c>
      <c r="K2722" s="5" t="s">
        <v>24</v>
      </c>
      <c r="L2722" s="6">
        <v>45684</v>
      </c>
      <c r="M2722" s="6">
        <v>45678</v>
      </c>
      <c r="N2722" s="6" t="s">
        <v>811</v>
      </c>
      <c r="O2722" s="5" t="str">
        <f ca="1">IF(P2722&lt;&gt;"EXPEDIÇÃO","Expedido",IF(NETWORKDAYS(C2722,TODAY())&gt;=5,"Risco Alto",IF(NETWORKDAYS(C2722,TODAY())&gt;=3,IF(NETWORKDAYS(C2722,TODAY())&lt;5,"Risco Médio",""),IF(NETWORKDAYS(C2722,TODAY())&lt;=2,"Risco Baixo",""))))</f>
        <v>Expedido</v>
      </c>
      <c r="P2722" s="5" t="s">
        <v>25</v>
      </c>
      <c r="Q2722" s="5" t="s">
        <v>900</v>
      </c>
      <c r="S2722" s="7">
        <f>IF(ISBLANK(M2722),"Aguardando Previsão/Data",NETWORKDAYS(L2722,M2722)-1)</f>
        <v>-6</v>
      </c>
      <c r="T2722" s="5" t="s">
        <v>942</v>
      </c>
    </row>
    <row r="2723" spans="1:20" x14ac:dyDescent="0.35">
      <c r="A2723" s="5">
        <v>8100280402</v>
      </c>
      <c r="B2723" s="5">
        <v>21500</v>
      </c>
      <c r="C2723" s="6">
        <v>45678</v>
      </c>
      <c r="D2723" s="5" t="s">
        <v>17</v>
      </c>
      <c r="E2723" s="5" t="s">
        <v>18</v>
      </c>
      <c r="F2723" s="5" t="s">
        <v>19</v>
      </c>
      <c r="G2723" s="5" t="s">
        <v>20</v>
      </c>
      <c r="H2723" s="5" t="s">
        <v>21</v>
      </c>
      <c r="I2723" s="5" t="s">
        <v>22</v>
      </c>
      <c r="J2723" s="5" t="s">
        <v>23</v>
      </c>
      <c r="K2723" s="5" t="s">
        <v>24</v>
      </c>
      <c r="L2723" s="6">
        <v>45684</v>
      </c>
      <c r="M2723" s="6">
        <v>45678</v>
      </c>
      <c r="N2723" s="6" t="s">
        <v>811</v>
      </c>
      <c r="O2723" s="5" t="str">
        <f ca="1">IF(P2723&lt;&gt;"EXPEDIÇÃO","Expedido",IF(NETWORKDAYS(C2723,TODAY())&gt;=5,"Risco Alto",IF(NETWORKDAYS(C2723,TODAY())&gt;=3,IF(NETWORKDAYS(C2723,TODAY())&lt;5,"Risco Médio",""),IF(NETWORKDAYS(C2723,TODAY())&lt;=2,"Risco Baixo",""))))</f>
        <v>Expedido</v>
      </c>
      <c r="P2723" s="5" t="s">
        <v>25</v>
      </c>
      <c r="Q2723" s="5" t="s">
        <v>900</v>
      </c>
      <c r="S2723" s="7">
        <f>IF(ISBLANK(M2723),"Aguardando Previsão/Data",NETWORKDAYS(L2723,M2723)-1)</f>
        <v>-6</v>
      </c>
      <c r="T2723" s="5" t="s">
        <v>942</v>
      </c>
    </row>
    <row r="2724" spans="1:20" x14ac:dyDescent="0.35">
      <c r="A2724" s="5">
        <v>8100280409</v>
      </c>
      <c r="B2724" s="5">
        <v>21501</v>
      </c>
      <c r="C2724" s="6">
        <v>45678</v>
      </c>
      <c r="D2724" s="5" t="s">
        <v>17</v>
      </c>
      <c r="E2724" s="5" t="s">
        <v>18</v>
      </c>
      <c r="F2724" s="5" t="s">
        <v>19</v>
      </c>
      <c r="G2724" s="5" t="s">
        <v>20</v>
      </c>
      <c r="H2724" s="5" t="s">
        <v>21</v>
      </c>
      <c r="I2724" s="5" t="s">
        <v>22</v>
      </c>
      <c r="J2724" s="5" t="s">
        <v>23</v>
      </c>
      <c r="K2724" s="5" t="s">
        <v>24</v>
      </c>
      <c r="L2724" s="6">
        <v>45684</v>
      </c>
      <c r="M2724" s="6">
        <v>45678</v>
      </c>
      <c r="N2724" s="6" t="s">
        <v>811</v>
      </c>
      <c r="O2724" s="5" t="str">
        <f ca="1">IF(P2724&lt;&gt;"EXPEDIÇÃO","Expedido",IF(NETWORKDAYS(C2724,TODAY())&gt;=5,"Risco Alto",IF(NETWORKDAYS(C2724,TODAY())&gt;=3,IF(NETWORKDAYS(C2724,TODAY())&lt;5,"Risco Médio",""),IF(NETWORKDAYS(C2724,TODAY())&lt;=2,"Risco Baixo",""))))</f>
        <v>Expedido</v>
      </c>
      <c r="P2724" s="5" t="s">
        <v>25</v>
      </c>
      <c r="Q2724" s="5" t="s">
        <v>900</v>
      </c>
      <c r="S2724" s="7">
        <f>IF(ISBLANK(M2724),"Aguardando Previsão/Data",NETWORKDAYS(L2724,M2724)-1)</f>
        <v>-6</v>
      </c>
      <c r="T2724" s="5" t="s">
        <v>942</v>
      </c>
    </row>
    <row r="2725" spans="1:20" x14ac:dyDescent="0.35">
      <c r="A2725" s="5">
        <v>8100280629</v>
      </c>
      <c r="B2725" s="5">
        <v>21519</v>
      </c>
      <c r="C2725" s="6">
        <v>45678</v>
      </c>
      <c r="D2725" s="5" t="s">
        <v>17</v>
      </c>
      <c r="E2725" s="5" t="s">
        <v>18</v>
      </c>
      <c r="F2725" s="5" t="s">
        <v>39</v>
      </c>
      <c r="G2725" s="5" t="s">
        <v>40</v>
      </c>
      <c r="H2725" s="5" t="s">
        <v>21</v>
      </c>
      <c r="I2725" s="5" t="s">
        <v>849</v>
      </c>
      <c r="J2725" s="5" t="s">
        <v>603</v>
      </c>
      <c r="K2725" s="5" t="s">
        <v>24</v>
      </c>
      <c r="L2725" s="6">
        <v>45688</v>
      </c>
      <c r="M2725" s="6">
        <v>45687</v>
      </c>
      <c r="N2725" s="6" t="s">
        <v>811</v>
      </c>
      <c r="O2725" s="5" t="str">
        <f ca="1">IF(P2725&lt;&gt;"EXPEDIÇÃO","Expedido",IF(NETWORKDAYS(C2725,TODAY())&gt;=5,"Risco Alto",IF(NETWORKDAYS(C2725,TODAY())&gt;=3,IF(NETWORKDAYS(C2725,TODAY())&lt;5,"Risco Médio",""),IF(NETWORKDAYS(C2725,TODAY())&lt;=2,"Risco Baixo",""))))</f>
        <v>Expedido</v>
      </c>
      <c r="P2725" s="5" t="s">
        <v>617</v>
      </c>
      <c r="S2725" s="7">
        <f>IF(ISBLANK(M2725),"Aguardando Previsão/Data",NETWORKDAYS(L2725,M2725)-1)</f>
        <v>-3</v>
      </c>
    </row>
    <row r="2726" spans="1:20" x14ac:dyDescent="0.35">
      <c r="A2726" s="5">
        <v>8100280630</v>
      </c>
      <c r="B2726" s="5">
        <v>21538</v>
      </c>
      <c r="C2726" s="6">
        <v>45678</v>
      </c>
      <c r="D2726" s="5" t="s">
        <v>17</v>
      </c>
      <c r="E2726" s="5" t="s">
        <v>18</v>
      </c>
      <c r="F2726" s="5" t="s">
        <v>44</v>
      </c>
      <c r="G2726" s="5" t="s">
        <v>45</v>
      </c>
      <c r="H2726" s="5" t="s">
        <v>21</v>
      </c>
      <c r="I2726" s="5" t="s">
        <v>1446</v>
      </c>
      <c r="J2726" s="5" t="s">
        <v>48</v>
      </c>
      <c r="K2726" s="5" t="s">
        <v>24</v>
      </c>
      <c r="L2726" s="6">
        <v>45686</v>
      </c>
      <c r="M2726" s="6">
        <v>45685</v>
      </c>
      <c r="N2726" s="6" t="s">
        <v>811</v>
      </c>
      <c r="O2726" s="5" t="str">
        <f ca="1">IF(P2726&lt;&gt;"EXPEDIÇÃO","Expedido",IF(NETWORKDAYS(C2726,TODAY())&gt;=5,"Risco Alto",IF(NETWORKDAYS(C2726,TODAY())&gt;=3,IF(NETWORKDAYS(C2726,TODAY())&lt;5,"Risco Médio",""),IF(NETWORKDAYS(C2726,TODAY())&lt;=2,"Risco Baixo",""))))</f>
        <v>Expedido</v>
      </c>
      <c r="P2726" s="5" t="s">
        <v>25</v>
      </c>
      <c r="S2726" s="7">
        <f>IF(ISBLANK(M2726),"Aguardando Previsão/Data",NETWORKDAYS(L2726,M2726)-1)</f>
        <v>-3</v>
      </c>
      <c r="T2726" s="5" t="s">
        <v>942</v>
      </c>
    </row>
    <row r="2727" spans="1:20" x14ac:dyDescent="0.35">
      <c r="A2727" s="5">
        <v>8100280631</v>
      </c>
      <c r="B2727" s="5">
        <v>21522</v>
      </c>
      <c r="C2727" s="6">
        <v>45678</v>
      </c>
      <c r="D2727" s="5" t="s">
        <v>17</v>
      </c>
      <c r="E2727" s="5" t="s">
        <v>18</v>
      </c>
      <c r="F2727" s="5" t="s">
        <v>32</v>
      </c>
      <c r="G2727" s="5" t="s">
        <v>33</v>
      </c>
      <c r="H2727" s="5" t="s">
        <v>21</v>
      </c>
      <c r="I2727" s="5" t="s">
        <v>999</v>
      </c>
      <c r="J2727" s="5" t="s">
        <v>604</v>
      </c>
      <c r="K2727" s="5" t="s">
        <v>24</v>
      </c>
      <c r="L2727" s="6">
        <v>45686</v>
      </c>
      <c r="M2727" s="6">
        <v>45684</v>
      </c>
      <c r="N2727" s="6" t="s">
        <v>811</v>
      </c>
      <c r="O2727" s="5" t="str">
        <f ca="1">IF(P2727&lt;&gt;"EXPEDIÇÃO","Expedido",IF(NETWORKDAYS(C2727,TODAY())&gt;=5,"Risco Alto",IF(NETWORKDAYS(C2727,TODAY())&gt;=3,IF(NETWORKDAYS(C2727,TODAY())&lt;5,"Risco Médio",""),IF(NETWORKDAYS(C2727,TODAY())&lt;=2,"Risco Baixo",""))))</f>
        <v>Expedido</v>
      </c>
      <c r="P2727" s="5" t="s">
        <v>25</v>
      </c>
      <c r="S2727" s="7">
        <f>IF(ISBLANK(M2727),"Aguardando Previsão/Data",NETWORKDAYS(L2727,M2727)-1)</f>
        <v>-4</v>
      </c>
      <c r="T2727" s="5" t="s">
        <v>942</v>
      </c>
    </row>
    <row r="2728" spans="1:20" x14ac:dyDescent="0.35">
      <c r="A2728" s="5">
        <v>8100280632</v>
      </c>
      <c r="B2728" s="5">
        <v>21505</v>
      </c>
      <c r="C2728" s="6">
        <v>45678</v>
      </c>
      <c r="D2728" s="5" t="s">
        <v>17</v>
      </c>
      <c r="E2728" s="5" t="s">
        <v>18</v>
      </c>
      <c r="F2728" s="5" t="s">
        <v>44</v>
      </c>
      <c r="G2728" s="5" t="s">
        <v>45</v>
      </c>
      <c r="H2728" s="5" t="s">
        <v>21</v>
      </c>
      <c r="I2728" s="5" t="s">
        <v>255</v>
      </c>
      <c r="J2728" s="5" t="s">
        <v>256</v>
      </c>
      <c r="K2728" s="5" t="s">
        <v>24</v>
      </c>
      <c r="L2728" s="6">
        <v>45685</v>
      </c>
      <c r="M2728" s="6">
        <v>45684</v>
      </c>
      <c r="N2728" s="6" t="s">
        <v>811</v>
      </c>
      <c r="O2728" s="5" t="str">
        <f ca="1">IF(P2728&lt;&gt;"EXPEDIÇÃO","Expedido",IF(NETWORKDAYS(C2728,TODAY())&gt;=5,"Risco Alto",IF(NETWORKDAYS(C2728,TODAY())&gt;=3,IF(NETWORKDAYS(C2728,TODAY())&lt;5,"Risco Médio",""),IF(NETWORKDAYS(C2728,TODAY())&lt;=2,"Risco Baixo",""))))</f>
        <v>Expedido</v>
      </c>
      <c r="P2728" s="5" t="s">
        <v>25</v>
      </c>
      <c r="S2728" s="7">
        <f>IF(ISBLANK(M2728),"Aguardando Previsão/Data",NETWORKDAYS(L2728,M2728)-1)</f>
        <v>-3</v>
      </c>
      <c r="T2728" s="5" t="s">
        <v>942</v>
      </c>
    </row>
    <row r="2729" spans="1:20" x14ac:dyDescent="0.35">
      <c r="A2729" s="5">
        <v>8100280633</v>
      </c>
      <c r="B2729" s="5">
        <v>21509</v>
      </c>
      <c r="C2729" s="6">
        <v>45678</v>
      </c>
      <c r="D2729" s="5" t="s">
        <v>17</v>
      </c>
      <c r="E2729" s="5" t="s">
        <v>18</v>
      </c>
      <c r="F2729" s="5" t="s">
        <v>44</v>
      </c>
      <c r="G2729" s="5" t="s">
        <v>45</v>
      </c>
      <c r="H2729" s="5" t="s">
        <v>21</v>
      </c>
      <c r="I2729" s="5" t="s">
        <v>642</v>
      </c>
      <c r="J2729" s="5" t="s">
        <v>372</v>
      </c>
      <c r="K2729" s="5" t="s">
        <v>24</v>
      </c>
      <c r="L2729" s="6">
        <v>45686</v>
      </c>
      <c r="M2729" s="6">
        <v>45681</v>
      </c>
      <c r="N2729" s="6" t="s">
        <v>811</v>
      </c>
      <c r="O2729" s="5" t="str">
        <f ca="1">IF(P2729&lt;&gt;"EXPEDIÇÃO","Expedido",IF(NETWORKDAYS(C2729,TODAY())&gt;=5,"Risco Alto",IF(NETWORKDAYS(C2729,TODAY())&gt;=3,IF(NETWORKDAYS(C2729,TODAY())&lt;5,"Risco Médio",""),IF(NETWORKDAYS(C2729,TODAY())&lt;=2,"Risco Baixo",""))))</f>
        <v>Expedido</v>
      </c>
      <c r="P2729" s="5" t="s">
        <v>25</v>
      </c>
      <c r="S2729" s="7">
        <f>IF(ISBLANK(M2729),"Aguardando Previsão/Data",NETWORKDAYS(L2729,M2729)-1)</f>
        <v>-5</v>
      </c>
      <c r="T2729" s="5" t="s">
        <v>942</v>
      </c>
    </row>
    <row r="2730" spans="1:20" x14ac:dyDescent="0.35">
      <c r="A2730" s="5">
        <v>8100280804</v>
      </c>
      <c r="B2730" s="5">
        <v>21506</v>
      </c>
      <c r="C2730" s="6">
        <v>45678</v>
      </c>
      <c r="D2730" s="5" t="s">
        <v>17</v>
      </c>
      <c r="E2730" s="5" t="s">
        <v>18</v>
      </c>
      <c r="F2730" s="5" t="s">
        <v>44</v>
      </c>
      <c r="G2730" s="5" t="s">
        <v>45</v>
      </c>
      <c r="H2730" s="5" t="s">
        <v>21</v>
      </c>
      <c r="I2730" s="5" t="s">
        <v>255</v>
      </c>
      <c r="J2730" s="5" t="s">
        <v>256</v>
      </c>
      <c r="K2730" s="5" t="s">
        <v>24</v>
      </c>
      <c r="L2730" s="6">
        <v>45685</v>
      </c>
      <c r="M2730" s="6">
        <v>45684</v>
      </c>
      <c r="N2730" s="6" t="s">
        <v>811</v>
      </c>
      <c r="O2730" s="5" t="str">
        <f ca="1">IF(P2730&lt;&gt;"EXPEDIÇÃO","Expedido",IF(NETWORKDAYS(C2730,TODAY())&gt;=5,"Risco Alto",IF(NETWORKDAYS(C2730,TODAY())&gt;=3,IF(NETWORKDAYS(C2730,TODAY())&lt;5,"Risco Médio",""),IF(NETWORKDAYS(C2730,TODAY())&lt;=2,"Risco Baixo",""))))</f>
        <v>Expedido</v>
      </c>
      <c r="P2730" s="5" t="s">
        <v>25</v>
      </c>
      <c r="S2730" s="7">
        <f>IF(ISBLANK(M2730),"Aguardando Previsão/Data",NETWORKDAYS(L2730,M2730)-1)</f>
        <v>-3</v>
      </c>
      <c r="T2730" s="5" t="s">
        <v>942</v>
      </c>
    </row>
    <row r="2731" spans="1:20" x14ac:dyDescent="0.35">
      <c r="A2731" s="5">
        <v>8100280805</v>
      </c>
      <c r="B2731" s="5">
        <v>21512</v>
      </c>
      <c r="C2731" s="6">
        <v>45678</v>
      </c>
      <c r="D2731" s="5" t="s">
        <v>17</v>
      </c>
      <c r="E2731" s="5" t="s">
        <v>18</v>
      </c>
      <c r="F2731" s="5" t="s">
        <v>147</v>
      </c>
      <c r="G2731" s="5" t="s">
        <v>148</v>
      </c>
      <c r="H2731" s="5" t="s">
        <v>21</v>
      </c>
      <c r="I2731" s="5" t="s">
        <v>263</v>
      </c>
      <c r="J2731" s="5" t="s">
        <v>264</v>
      </c>
      <c r="K2731" s="5" t="s">
        <v>24</v>
      </c>
      <c r="L2731" s="6">
        <v>45685</v>
      </c>
      <c r="M2731" s="6">
        <v>45681</v>
      </c>
      <c r="N2731" s="6" t="s">
        <v>811</v>
      </c>
      <c r="O2731" s="5" t="str">
        <f ca="1">IF(P2731&lt;&gt;"EXPEDIÇÃO","Expedido",IF(NETWORKDAYS(C2731,TODAY())&gt;=5,"Risco Alto",IF(NETWORKDAYS(C2731,TODAY())&gt;=3,IF(NETWORKDAYS(C2731,TODAY())&lt;5,"Risco Médio",""),IF(NETWORKDAYS(C2731,TODAY())&lt;=2,"Risco Baixo",""))))</f>
        <v>Expedido</v>
      </c>
      <c r="P2731" s="5" t="s">
        <v>25</v>
      </c>
      <c r="Q2731" s="5" t="s">
        <v>897</v>
      </c>
      <c r="S2731" s="7">
        <f>IF(ISBLANK(M2731),"Aguardando Previsão/Data",NETWORKDAYS(L2731,M2731)-1)</f>
        <v>-4</v>
      </c>
      <c r="T2731" s="5" t="s">
        <v>942</v>
      </c>
    </row>
    <row r="2732" spans="1:20" x14ac:dyDescent="0.35">
      <c r="A2732" s="5">
        <v>8100280806</v>
      </c>
      <c r="B2732" s="5">
        <v>21507</v>
      </c>
      <c r="C2732" s="6">
        <v>45678</v>
      </c>
      <c r="D2732" s="5" t="s">
        <v>17</v>
      </c>
      <c r="E2732" s="5" t="s">
        <v>18</v>
      </c>
      <c r="F2732" s="5" t="s">
        <v>44</v>
      </c>
      <c r="G2732" s="5" t="s">
        <v>45</v>
      </c>
      <c r="H2732" s="5" t="s">
        <v>21</v>
      </c>
      <c r="I2732" s="5" t="s">
        <v>635</v>
      </c>
      <c r="J2732" s="5" t="s">
        <v>47</v>
      </c>
      <c r="K2732" s="5" t="s">
        <v>24</v>
      </c>
      <c r="L2732" s="6">
        <v>45685</v>
      </c>
      <c r="M2732" s="6">
        <v>45681</v>
      </c>
      <c r="N2732" s="6" t="s">
        <v>811</v>
      </c>
      <c r="O2732" s="5" t="str">
        <f ca="1">IF(P2732&lt;&gt;"EXPEDIÇÃO","Expedido",IF(NETWORKDAYS(C2732,TODAY())&gt;=5,"Risco Alto",IF(NETWORKDAYS(C2732,TODAY())&gt;=3,IF(NETWORKDAYS(C2732,TODAY())&lt;5,"Risco Médio",""),IF(NETWORKDAYS(C2732,TODAY())&lt;=2,"Risco Baixo",""))))</f>
        <v>Expedido</v>
      </c>
      <c r="P2732" s="5" t="s">
        <v>25</v>
      </c>
      <c r="S2732" s="7">
        <f>IF(ISBLANK(M2732),"Aguardando Previsão/Data",NETWORKDAYS(L2732,M2732)-1)</f>
        <v>-4</v>
      </c>
      <c r="T2732" s="5" t="s">
        <v>942</v>
      </c>
    </row>
    <row r="2733" spans="1:20" x14ac:dyDescent="0.35">
      <c r="A2733" s="5">
        <v>8100280807</v>
      </c>
      <c r="B2733" s="5">
        <v>21510</v>
      </c>
      <c r="C2733" s="6">
        <v>45678</v>
      </c>
      <c r="D2733" s="5" t="s">
        <v>17</v>
      </c>
      <c r="E2733" s="5" t="s">
        <v>18</v>
      </c>
      <c r="F2733" s="5" t="s">
        <v>44</v>
      </c>
      <c r="G2733" s="5" t="s">
        <v>45</v>
      </c>
      <c r="H2733" s="5" t="s">
        <v>21</v>
      </c>
      <c r="I2733" s="5" t="s">
        <v>642</v>
      </c>
      <c r="J2733" s="5" t="s">
        <v>372</v>
      </c>
      <c r="K2733" s="5" t="s">
        <v>24</v>
      </c>
      <c r="L2733" s="6">
        <v>45686</v>
      </c>
      <c r="M2733" s="6">
        <v>45681</v>
      </c>
      <c r="N2733" s="6" t="s">
        <v>811</v>
      </c>
      <c r="O2733" s="5" t="str">
        <f ca="1">IF(P2733&lt;&gt;"EXPEDIÇÃO","Expedido",IF(NETWORKDAYS(C2733,TODAY())&gt;=5,"Risco Alto",IF(NETWORKDAYS(C2733,TODAY())&gt;=3,IF(NETWORKDAYS(C2733,TODAY())&lt;5,"Risco Médio",""),IF(NETWORKDAYS(C2733,TODAY())&lt;=2,"Risco Baixo",""))))</f>
        <v>Expedido</v>
      </c>
      <c r="P2733" s="5" t="s">
        <v>25</v>
      </c>
      <c r="S2733" s="7">
        <f>IF(ISBLANK(M2733),"Aguardando Previsão/Data",NETWORKDAYS(L2733,M2733)-1)</f>
        <v>-5</v>
      </c>
      <c r="T2733" s="5" t="s">
        <v>942</v>
      </c>
    </row>
    <row r="2734" spans="1:20" x14ac:dyDescent="0.35">
      <c r="A2734" s="5">
        <v>8100280808</v>
      </c>
      <c r="B2734" s="5">
        <v>21511</v>
      </c>
      <c r="C2734" s="6">
        <v>45678</v>
      </c>
      <c r="D2734" s="5" t="s">
        <v>17</v>
      </c>
      <c r="E2734" s="5" t="s">
        <v>18</v>
      </c>
      <c r="F2734" s="5" t="s">
        <v>44</v>
      </c>
      <c r="G2734" s="5" t="s">
        <v>45</v>
      </c>
      <c r="H2734" s="5" t="s">
        <v>21</v>
      </c>
      <c r="I2734" s="5" t="s">
        <v>1450</v>
      </c>
      <c r="J2734" s="5" t="s">
        <v>45</v>
      </c>
      <c r="K2734" s="5" t="s">
        <v>24</v>
      </c>
      <c r="L2734" s="6">
        <v>45685</v>
      </c>
      <c r="M2734" s="6">
        <v>45680</v>
      </c>
      <c r="N2734" s="6" t="s">
        <v>811</v>
      </c>
      <c r="O2734" s="5" t="str">
        <f ca="1">IF(P2734&lt;&gt;"EXPEDIÇÃO","Expedido",IF(NETWORKDAYS(C2734,TODAY())&gt;=5,"Risco Alto",IF(NETWORKDAYS(C2734,TODAY())&gt;=3,IF(NETWORKDAYS(C2734,TODAY())&lt;5,"Risco Médio",""),IF(NETWORKDAYS(C2734,TODAY())&lt;=2,"Risco Baixo",""))))</f>
        <v>Expedido</v>
      </c>
      <c r="P2734" s="5" t="s">
        <v>25</v>
      </c>
      <c r="S2734" s="7">
        <f>IF(ISBLANK(M2734),"Aguardando Previsão/Data",NETWORKDAYS(L2734,M2734)-1)</f>
        <v>-5</v>
      </c>
      <c r="T2734" s="5" t="s">
        <v>942</v>
      </c>
    </row>
    <row r="2735" spans="1:20" x14ac:dyDescent="0.35">
      <c r="A2735" s="5">
        <v>8100280809</v>
      </c>
      <c r="B2735" s="5">
        <v>21508</v>
      </c>
      <c r="C2735" s="6">
        <v>45678</v>
      </c>
      <c r="D2735" s="5" t="s">
        <v>17</v>
      </c>
      <c r="E2735" s="5" t="s">
        <v>18</v>
      </c>
      <c r="F2735" s="5" t="s">
        <v>44</v>
      </c>
      <c r="G2735" s="5" t="s">
        <v>45</v>
      </c>
      <c r="H2735" s="5" t="s">
        <v>21</v>
      </c>
      <c r="I2735" s="5" t="s">
        <v>618</v>
      </c>
      <c r="J2735" s="5" t="s">
        <v>45</v>
      </c>
      <c r="K2735" s="5" t="s">
        <v>24</v>
      </c>
      <c r="L2735" s="6">
        <v>45685</v>
      </c>
      <c r="M2735" s="6">
        <v>45685</v>
      </c>
      <c r="N2735" s="6" t="s">
        <v>811</v>
      </c>
      <c r="O2735" s="5" t="str">
        <f ca="1">IF(P2735&lt;&gt;"EXPEDIÇÃO","Expedido",IF(NETWORKDAYS(C2735,TODAY())&gt;=5,"Risco Alto",IF(NETWORKDAYS(C2735,TODAY())&gt;=3,IF(NETWORKDAYS(C2735,TODAY())&lt;5,"Risco Médio",""),IF(NETWORKDAYS(C2735,TODAY())&lt;=2,"Risco Baixo",""))))</f>
        <v>Expedido</v>
      </c>
      <c r="P2735" s="5" t="s">
        <v>25</v>
      </c>
      <c r="Q2735" s="5" t="s">
        <v>921</v>
      </c>
      <c r="R2735" s="5">
        <v>1693564</v>
      </c>
      <c r="S2735" s="7">
        <f>IF(ISBLANK(M2735),"Aguardando Previsão/Data",NETWORKDAYS(L2735,M2735)-1)</f>
        <v>0</v>
      </c>
      <c r="T2735" s="5" t="s">
        <v>942</v>
      </c>
    </row>
    <row r="2736" spans="1:20" x14ac:dyDescent="0.35">
      <c r="A2736" s="5">
        <v>8100280823</v>
      </c>
      <c r="B2736" s="5">
        <v>21516</v>
      </c>
      <c r="C2736" s="6">
        <v>45678</v>
      </c>
      <c r="D2736" s="5" t="s">
        <v>17</v>
      </c>
      <c r="E2736" s="5" t="s">
        <v>18</v>
      </c>
      <c r="F2736" s="5" t="s">
        <v>44</v>
      </c>
      <c r="G2736" s="5" t="s">
        <v>45</v>
      </c>
      <c r="H2736" s="5" t="s">
        <v>21</v>
      </c>
      <c r="I2736" s="5" t="s">
        <v>786</v>
      </c>
      <c r="J2736" s="5" t="s">
        <v>606</v>
      </c>
      <c r="K2736" s="5" t="s">
        <v>24</v>
      </c>
      <c r="L2736" s="6">
        <v>45688</v>
      </c>
      <c r="M2736" s="6">
        <v>45686</v>
      </c>
      <c r="N2736" s="6" t="s">
        <v>811</v>
      </c>
      <c r="O2736" s="5" t="str">
        <f ca="1">IF(P2736&lt;&gt;"EXPEDIÇÃO","Expedido",IF(NETWORKDAYS(C2736,TODAY())&gt;=5,"Risco Alto",IF(NETWORKDAYS(C2736,TODAY())&gt;=3,IF(NETWORKDAYS(C2736,TODAY())&lt;5,"Risco Médio",""),IF(NETWORKDAYS(C2736,TODAY())&lt;=2,"Risco Baixo",""))))</f>
        <v>Expedido</v>
      </c>
      <c r="P2736" s="5" t="s">
        <v>25</v>
      </c>
      <c r="S2736" s="7">
        <f>IF(ISBLANK(M2736),"Aguardando Previsão/Data",NETWORKDAYS(L2736,M2736)-1)</f>
        <v>-4</v>
      </c>
      <c r="T2736" s="5" t="s">
        <v>942</v>
      </c>
    </row>
    <row r="2737" spans="1:20" x14ac:dyDescent="0.35">
      <c r="A2737" s="5">
        <v>8100280824</v>
      </c>
      <c r="B2737" s="5">
        <v>21521</v>
      </c>
      <c r="C2737" s="6">
        <v>45678</v>
      </c>
      <c r="D2737" s="5" t="s">
        <v>17</v>
      </c>
      <c r="E2737" s="5" t="s">
        <v>18</v>
      </c>
      <c r="F2737" s="5" t="s">
        <v>39</v>
      </c>
      <c r="G2737" s="5" t="s">
        <v>40</v>
      </c>
      <c r="H2737" s="5" t="s">
        <v>21</v>
      </c>
      <c r="I2737" s="5" t="s">
        <v>1451</v>
      </c>
      <c r="J2737" s="5" t="s">
        <v>466</v>
      </c>
      <c r="K2737" s="5" t="s">
        <v>24</v>
      </c>
      <c r="L2737" s="6">
        <v>45688</v>
      </c>
      <c r="M2737" s="6">
        <v>45687</v>
      </c>
      <c r="N2737" s="6" t="s">
        <v>811</v>
      </c>
      <c r="O2737" s="5" t="str">
        <f ca="1">IF(P2737&lt;&gt;"EXPEDIÇÃO","Expedido",IF(NETWORKDAYS(C2737,TODAY())&gt;=5,"Risco Alto",IF(NETWORKDAYS(C2737,TODAY())&gt;=3,IF(NETWORKDAYS(C2737,TODAY())&lt;5,"Risco Médio",""),IF(NETWORKDAYS(C2737,TODAY())&lt;=2,"Risco Baixo",""))))</f>
        <v>Expedido</v>
      </c>
      <c r="P2737" s="5" t="s">
        <v>617</v>
      </c>
      <c r="S2737" s="7">
        <f>IF(ISBLANK(M2737),"Aguardando Previsão/Data",NETWORKDAYS(L2737,M2737)-1)</f>
        <v>-3</v>
      </c>
    </row>
    <row r="2738" spans="1:20" x14ac:dyDescent="0.35">
      <c r="A2738" s="5">
        <v>8100280839</v>
      </c>
      <c r="B2738" s="5">
        <v>21520</v>
      </c>
      <c r="C2738" s="6">
        <v>45678</v>
      </c>
      <c r="D2738" s="5" t="s">
        <v>17</v>
      </c>
      <c r="E2738" s="5" t="s">
        <v>18</v>
      </c>
      <c r="F2738" s="5" t="s">
        <v>44</v>
      </c>
      <c r="G2738" s="5" t="s">
        <v>45</v>
      </c>
      <c r="H2738" s="5" t="s">
        <v>21</v>
      </c>
      <c r="I2738" s="5" t="s">
        <v>644</v>
      </c>
      <c r="J2738" s="5" t="s">
        <v>256</v>
      </c>
      <c r="K2738" s="5" t="s">
        <v>24</v>
      </c>
      <c r="L2738" s="6">
        <v>45685</v>
      </c>
      <c r="M2738" s="6">
        <v>45681</v>
      </c>
      <c r="N2738" s="6" t="s">
        <v>811</v>
      </c>
      <c r="O2738" s="5" t="str">
        <f ca="1">IF(P2738&lt;&gt;"EXPEDIÇÃO","Expedido",IF(NETWORKDAYS(C2738,TODAY())&gt;=5,"Risco Alto",IF(NETWORKDAYS(C2738,TODAY())&gt;=3,IF(NETWORKDAYS(C2738,TODAY())&lt;5,"Risco Médio",""),IF(NETWORKDAYS(C2738,TODAY())&lt;=2,"Risco Baixo",""))))</f>
        <v>Expedido</v>
      </c>
      <c r="P2738" s="5" t="s">
        <v>25</v>
      </c>
      <c r="S2738" s="7">
        <f>IF(ISBLANK(M2738),"Aguardando Previsão/Data",NETWORKDAYS(L2738,M2738)-1)</f>
        <v>-4</v>
      </c>
      <c r="T2738" s="5" t="s">
        <v>942</v>
      </c>
    </row>
    <row r="2739" spans="1:20" x14ac:dyDescent="0.35">
      <c r="A2739" s="5">
        <v>8100280874</v>
      </c>
      <c r="B2739" s="5">
        <v>21533</v>
      </c>
      <c r="C2739" s="6">
        <v>45678</v>
      </c>
      <c r="D2739" s="5" t="s">
        <v>17</v>
      </c>
      <c r="E2739" s="5" t="s">
        <v>18</v>
      </c>
      <c r="F2739" s="5" t="s">
        <v>27</v>
      </c>
      <c r="G2739" s="5" t="s">
        <v>28</v>
      </c>
      <c r="H2739" s="5" t="s">
        <v>21</v>
      </c>
      <c r="I2739" s="5" t="s">
        <v>1383</v>
      </c>
      <c r="J2739" s="5" t="s">
        <v>49</v>
      </c>
      <c r="K2739" s="5" t="s">
        <v>24</v>
      </c>
      <c r="L2739" s="6">
        <v>45686</v>
      </c>
      <c r="M2739" s="6">
        <v>45685</v>
      </c>
      <c r="N2739" s="6" t="s">
        <v>811</v>
      </c>
      <c r="O2739" s="5" t="str">
        <f ca="1">IF(P2739&lt;&gt;"EXPEDIÇÃO","Expedido",IF(NETWORKDAYS(C2739,TODAY())&gt;=5,"Risco Alto",IF(NETWORKDAYS(C2739,TODAY())&gt;=3,IF(NETWORKDAYS(C2739,TODAY())&lt;5,"Risco Médio",""),IF(NETWORKDAYS(C2739,TODAY())&lt;=2,"Risco Baixo",""))))</f>
        <v>Expedido</v>
      </c>
      <c r="P2739" s="5" t="s">
        <v>25</v>
      </c>
      <c r="S2739" s="7">
        <f>IF(ISBLANK(M2739),"Aguardando Previsão/Data",NETWORKDAYS(L2739,M2739)-1)</f>
        <v>-3</v>
      </c>
      <c r="T2739" s="5" t="s">
        <v>942</v>
      </c>
    </row>
    <row r="2740" spans="1:20" x14ac:dyDescent="0.35">
      <c r="A2740" s="5">
        <v>8100280875</v>
      </c>
      <c r="B2740" s="5">
        <v>21523</v>
      </c>
      <c r="C2740" s="6">
        <v>45678</v>
      </c>
      <c r="D2740" s="5" t="s">
        <v>17</v>
      </c>
      <c r="E2740" s="5" t="s">
        <v>18</v>
      </c>
      <c r="F2740" s="5" t="s">
        <v>32</v>
      </c>
      <c r="G2740" s="5" t="s">
        <v>33</v>
      </c>
      <c r="H2740" s="5" t="s">
        <v>21</v>
      </c>
      <c r="I2740" s="5" t="s">
        <v>34</v>
      </c>
      <c r="J2740" s="5" t="s">
        <v>35</v>
      </c>
      <c r="K2740" s="5" t="s">
        <v>36</v>
      </c>
      <c r="L2740" s="6">
        <v>45693</v>
      </c>
      <c r="M2740" s="6">
        <v>45685</v>
      </c>
      <c r="N2740" s="6" t="s">
        <v>811</v>
      </c>
      <c r="O2740" s="5" t="str">
        <f ca="1">IF(P2740&lt;&gt;"EXPEDIÇÃO","Expedido",IF(NETWORKDAYS(C2740,TODAY())&gt;=5,"Risco Alto",IF(NETWORKDAYS(C2740,TODAY())&gt;=3,IF(NETWORKDAYS(C2740,TODAY())&lt;5,"Risco Médio",""),IF(NETWORKDAYS(C2740,TODAY())&lt;=2,"Risco Baixo",""))))</f>
        <v>Expedido</v>
      </c>
      <c r="P2740" s="5" t="s">
        <v>25</v>
      </c>
      <c r="S2740" s="7">
        <f>IF(ISBLANK(M2740),"Aguardando Previsão/Data",NETWORKDAYS(L2740,M2740)-1)</f>
        <v>-8</v>
      </c>
      <c r="T2740" s="5" t="s">
        <v>942</v>
      </c>
    </row>
    <row r="2741" spans="1:20" x14ac:dyDescent="0.35">
      <c r="A2741" s="5">
        <v>8100280876</v>
      </c>
      <c r="B2741" s="5">
        <v>21536</v>
      </c>
      <c r="C2741" s="6">
        <v>45678</v>
      </c>
      <c r="D2741" s="5" t="s">
        <v>17</v>
      </c>
      <c r="E2741" s="5" t="s">
        <v>18</v>
      </c>
      <c r="F2741" s="5" t="s">
        <v>84</v>
      </c>
      <c r="G2741" s="5" t="s">
        <v>85</v>
      </c>
      <c r="H2741" s="5" t="s">
        <v>21</v>
      </c>
      <c r="I2741" s="5" t="s">
        <v>826</v>
      </c>
      <c r="J2741" s="5" t="s">
        <v>50</v>
      </c>
      <c r="K2741" s="5" t="s">
        <v>24</v>
      </c>
      <c r="L2741" s="6">
        <v>45686</v>
      </c>
      <c r="M2741" s="6">
        <v>45682</v>
      </c>
      <c r="N2741" s="6" t="s">
        <v>811</v>
      </c>
      <c r="O2741" s="5" t="str">
        <f ca="1">IF(P2741&lt;&gt;"EXPEDIÇÃO","Expedido",IF(NETWORKDAYS(C2741,TODAY())&gt;=5,"Risco Alto",IF(NETWORKDAYS(C2741,TODAY())&gt;=3,IF(NETWORKDAYS(C2741,TODAY())&lt;5,"Risco Médio",""),IF(NETWORKDAYS(C2741,TODAY())&lt;=2,"Risco Baixo",""))))</f>
        <v>Expedido</v>
      </c>
      <c r="P2741" s="5" t="s">
        <v>25</v>
      </c>
      <c r="S2741" s="7">
        <f>IF(ISBLANK(M2741),"Aguardando Previsão/Data",NETWORKDAYS(L2741,M2741)-1)</f>
        <v>-4</v>
      </c>
      <c r="T2741" s="5" t="s">
        <v>942</v>
      </c>
    </row>
    <row r="2742" spans="1:20" x14ac:dyDescent="0.35">
      <c r="A2742" s="5">
        <v>8100280877</v>
      </c>
      <c r="B2742" s="5">
        <v>21537</v>
      </c>
      <c r="C2742" s="6">
        <v>45678</v>
      </c>
      <c r="D2742" s="5" t="s">
        <v>17</v>
      </c>
      <c r="E2742" s="5" t="s">
        <v>18</v>
      </c>
      <c r="F2742" s="5" t="s">
        <v>32</v>
      </c>
      <c r="G2742" s="5" t="s">
        <v>33</v>
      </c>
      <c r="H2742" s="5" t="s">
        <v>21</v>
      </c>
      <c r="I2742" s="5" t="s">
        <v>1332</v>
      </c>
      <c r="J2742" s="5" t="s">
        <v>369</v>
      </c>
      <c r="K2742" s="5" t="s">
        <v>24</v>
      </c>
      <c r="L2742" s="6">
        <v>45688</v>
      </c>
      <c r="M2742" s="6">
        <v>45685</v>
      </c>
      <c r="N2742" s="6" t="s">
        <v>811</v>
      </c>
      <c r="O2742" s="5" t="str">
        <f ca="1">IF(P2742&lt;&gt;"EXPEDIÇÃO","Expedido",IF(NETWORKDAYS(C2742,TODAY())&gt;=5,"Risco Alto",IF(NETWORKDAYS(C2742,TODAY())&gt;=3,IF(NETWORKDAYS(C2742,TODAY())&lt;5,"Risco Médio",""),IF(NETWORKDAYS(C2742,TODAY())&lt;=2,"Risco Baixo",""))))</f>
        <v>Expedido</v>
      </c>
      <c r="P2742" s="5" t="s">
        <v>25</v>
      </c>
      <c r="S2742" s="7">
        <f>IF(ISBLANK(M2742),"Aguardando Previsão/Data",NETWORKDAYS(L2742,M2742)-1)</f>
        <v>-5</v>
      </c>
      <c r="T2742" s="5" t="s">
        <v>942</v>
      </c>
    </row>
    <row r="2743" spans="1:20" x14ac:dyDescent="0.35">
      <c r="A2743" s="5">
        <v>8100280912</v>
      </c>
      <c r="B2743" s="5">
        <v>21528</v>
      </c>
      <c r="C2743" s="6">
        <v>45678</v>
      </c>
      <c r="D2743" s="5" t="s">
        <v>17</v>
      </c>
      <c r="E2743" s="5" t="s">
        <v>18</v>
      </c>
      <c r="F2743" s="5" t="s">
        <v>147</v>
      </c>
      <c r="G2743" s="5" t="s">
        <v>148</v>
      </c>
      <c r="H2743" s="5" t="s">
        <v>21</v>
      </c>
      <c r="I2743" s="5" t="s">
        <v>263</v>
      </c>
      <c r="J2743" s="5" t="s">
        <v>264</v>
      </c>
      <c r="K2743" s="5" t="s">
        <v>24</v>
      </c>
      <c r="L2743" s="6">
        <v>45685</v>
      </c>
      <c r="M2743" s="6">
        <v>45681</v>
      </c>
      <c r="N2743" s="6" t="s">
        <v>811</v>
      </c>
      <c r="O2743" s="5" t="str">
        <f ca="1">IF(P2743&lt;&gt;"EXPEDIÇÃO","Expedido",IF(NETWORKDAYS(C2743,TODAY())&gt;=5,"Risco Alto",IF(NETWORKDAYS(C2743,TODAY())&gt;=3,IF(NETWORKDAYS(C2743,TODAY())&lt;5,"Risco Médio",""),IF(NETWORKDAYS(C2743,TODAY())&lt;=2,"Risco Baixo",""))))</f>
        <v>Expedido</v>
      </c>
      <c r="P2743" s="5" t="s">
        <v>25</v>
      </c>
      <c r="Q2743" s="5" t="s">
        <v>897</v>
      </c>
      <c r="S2743" s="7">
        <f>IF(ISBLANK(M2743),"Aguardando Previsão/Data",NETWORKDAYS(L2743,M2743)-1)</f>
        <v>-4</v>
      </c>
      <c r="T2743" s="5" t="s">
        <v>942</v>
      </c>
    </row>
    <row r="2744" spans="1:20" x14ac:dyDescent="0.35">
      <c r="A2744" s="5">
        <v>8100280919</v>
      </c>
      <c r="B2744" s="5">
        <v>21515</v>
      </c>
      <c r="C2744" s="6">
        <v>45678</v>
      </c>
      <c r="D2744" s="5" t="s">
        <v>17</v>
      </c>
      <c r="E2744" s="5" t="s">
        <v>18</v>
      </c>
      <c r="F2744" s="5" t="s">
        <v>147</v>
      </c>
      <c r="G2744" s="5" t="s">
        <v>148</v>
      </c>
      <c r="H2744" s="5" t="s">
        <v>21</v>
      </c>
      <c r="I2744" s="5" t="s">
        <v>263</v>
      </c>
      <c r="J2744" s="5" t="s">
        <v>264</v>
      </c>
      <c r="K2744" s="5" t="s">
        <v>24</v>
      </c>
      <c r="L2744" s="6">
        <v>45685</v>
      </c>
      <c r="M2744" s="6">
        <v>45681</v>
      </c>
      <c r="N2744" s="6" t="s">
        <v>811</v>
      </c>
      <c r="O2744" s="5" t="str">
        <f ca="1">IF(P2744&lt;&gt;"EXPEDIÇÃO","Expedido",IF(NETWORKDAYS(C2744,TODAY())&gt;=5,"Risco Alto",IF(NETWORKDAYS(C2744,TODAY())&gt;=3,IF(NETWORKDAYS(C2744,TODAY())&lt;5,"Risco Médio",""),IF(NETWORKDAYS(C2744,TODAY())&lt;=2,"Risco Baixo",""))))</f>
        <v>Expedido</v>
      </c>
      <c r="P2744" s="5" t="s">
        <v>25</v>
      </c>
      <c r="Q2744" s="5" t="s">
        <v>897</v>
      </c>
      <c r="S2744" s="7">
        <f>IF(ISBLANK(M2744),"Aguardando Previsão/Data",NETWORKDAYS(L2744,M2744)-1)</f>
        <v>-4</v>
      </c>
      <c r="T2744" s="5" t="s">
        <v>942</v>
      </c>
    </row>
    <row r="2745" spans="1:20" x14ac:dyDescent="0.35">
      <c r="A2745" s="5">
        <v>8100280986</v>
      </c>
      <c r="B2745" s="5">
        <v>21531</v>
      </c>
      <c r="C2745" s="6">
        <v>45678</v>
      </c>
      <c r="D2745" s="5" t="s">
        <v>17</v>
      </c>
      <c r="E2745" s="5" t="s">
        <v>18</v>
      </c>
      <c r="F2745" s="5" t="s">
        <v>147</v>
      </c>
      <c r="G2745" s="5" t="s">
        <v>148</v>
      </c>
      <c r="H2745" s="5" t="s">
        <v>21</v>
      </c>
      <c r="I2745" s="5" t="s">
        <v>263</v>
      </c>
      <c r="J2745" s="5" t="s">
        <v>264</v>
      </c>
      <c r="K2745" s="5" t="s">
        <v>24</v>
      </c>
      <c r="L2745" s="6">
        <v>45685</v>
      </c>
      <c r="M2745" s="6">
        <v>45681</v>
      </c>
      <c r="N2745" s="6" t="s">
        <v>811</v>
      </c>
      <c r="O2745" s="5" t="str">
        <f ca="1">IF(P2745&lt;&gt;"EXPEDIÇÃO","Expedido",IF(NETWORKDAYS(C2745,TODAY())&gt;=5,"Risco Alto",IF(NETWORKDAYS(C2745,TODAY())&gt;=3,IF(NETWORKDAYS(C2745,TODAY())&lt;5,"Risco Médio",""),IF(NETWORKDAYS(C2745,TODAY())&lt;=2,"Risco Baixo",""))))</f>
        <v>Expedido</v>
      </c>
      <c r="P2745" s="5" t="s">
        <v>25</v>
      </c>
      <c r="Q2745" s="5" t="s">
        <v>897</v>
      </c>
      <c r="S2745" s="7">
        <f>IF(ISBLANK(M2745),"Aguardando Previsão/Data",NETWORKDAYS(L2745,M2745)-1)</f>
        <v>-4</v>
      </c>
      <c r="T2745" s="5" t="s">
        <v>942</v>
      </c>
    </row>
    <row r="2746" spans="1:20" x14ac:dyDescent="0.35">
      <c r="A2746" s="5">
        <v>8100281025</v>
      </c>
      <c r="B2746" s="5">
        <v>21539</v>
      </c>
      <c r="C2746" s="6">
        <v>45678</v>
      </c>
      <c r="D2746" s="5" t="s">
        <v>17</v>
      </c>
      <c r="E2746" s="5" t="s">
        <v>18</v>
      </c>
      <c r="F2746" s="5" t="s">
        <v>84</v>
      </c>
      <c r="G2746" s="5" t="s">
        <v>85</v>
      </c>
      <c r="H2746" s="5" t="s">
        <v>21</v>
      </c>
      <c r="I2746" s="5" t="s">
        <v>593</v>
      </c>
      <c r="J2746" s="5" t="s">
        <v>28</v>
      </c>
      <c r="K2746" s="5" t="s">
        <v>24</v>
      </c>
      <c r="L2746" s="6">
        <v>45685</v>
      </c>
      <c r="M2746" s="6">
        <v>45684</v>
      </c>
      <c r="N2746" s="6" t="s">
        <v>811</v>
      </c>
      <c r="O2746" s="5" t="str">
        <f ca="1">IF(P2746&lt;&gt;"EXPEDIÇÃO","Expedido",IF(NETWORKDAYS(C2746,TODAY())&gt;=5,"Risco Alto",IF(NETWORKDAYS(C2746,TODAY())&gt;=3,IF(NETWORKDAYS(C2746,TODAY())&lt;5,"Risco Médio",""),IF(NETWORKDAYS(C2746,TODAY())&lt;=2,"Risco Baixo",""))))</f>
        <v>Expedido</v>
      </c>
      <c r="P2746" s="5" t="s">
        <v>25</v>
      </c>
      <c r="Q2746" s="5" t="s">
        <v>897</v>
      </c>
      <c r="S2746" s="7">
        <f>IF(ISBLANK(M2746),"Aguardando Previsão/Data",NETWORKDAYS(L2746,M2746)-1)</f>
        <v>-3</v>
      </c>
      <c r="T2746" s="5" t="s">
        <v>942</v>
      </c>
    </row>
    <row r="2747" spans="1:20" x14ac:dyDescent="0.35">
      <c r="A2747" s="5">
        <v>8100281029</v>
      </c>
      <c r="B2747" s="5">
        <v>21540</v>
      </c>
      <c r="C2747" s="6">
        <v>45678</v>
      </c>
      <c r="D2747" s="5" t="s">
        <v>17</v>
      </c>
      <c r="E2747" s="5" t="s">
        <v>18</v>
      </c>
      <c r="F2747" s="5" t="s">
        <v>27</v>
      </c>
      <c r="G2747" s="5" t="s">
        <v>28</v>
      </c>
      <c r="H2747" s="5" t="s">
        <v>21</v>
      </c>
      <c r="I2747" s="5" t="s">
        <v>1457</v>
      </c>
      <c r="J2747" s="5" t="s">
        <v>42</v>
      </c>
      <c r="K2747" s="5" t="s">
        <v>24</v>
      </c>
      <c r="L2747" s="6">
        <v>45686</v>
      </c>
      <c r="M2747" s="6">
        <v>45682</v>
      </c>
      <c r="N2747" s="6" t="s">
        <v>811</v>
      </c>
      <c r="O2747" s="5" t="str">
        <f ca="1">IF(P2747&lt;&gt;"EXPEDIÇÃO","Expedido",IF(NETWORKDAYS(C2747,TODAY())&gt;=5,"Risco Alto",IF(NETWORKDAYS(C2747,TODAY())&gt;=3,IF(NETWORKDAYS(C2747,TODAY())&lt;5,"Risco Médio",""),IF(NETWORKDAYS(C2747,TODAY())&lt;=2,"Risco Baixo",""))))</f>
        <v>Expedido</v>
      </c>
      <c r="P2747" s="5" t="s">
        <v>25</v>
      </c>
      <c r="S2747" s="7">
        <f>IF(ISBLANK(M2747),"Aguardando Previsão/Data",NETWORKDAYS(L2747,M2747)-1)</f>
        <v>-4</v>
      </c>
      <c r="T2747" s="5" t="s">
        <v>942</v>
      </c>
    </row>
    <row r="2748" spans="1:20" x14ac:dyDescent="0.35">
      <c r="A2748" s="5">
        <v>8100276068</v>
      </c>
      <c r="B2748" s="5">
        <v>13380</v>
      </c>
      <c r="C2748" s="6">
        <v>45678</v>
      </c>
      <c r="D2748" s="5" t="s">
        <v>91</v>
      </c>
      <c r="E2748" s="5" t="s">
        <v>92</v>
      </c>
      <c r="F2748" s="5" t="s">
        <v>103</v>
      </c>
      <c r="G2748" s="5" t="s">
        <v>104</v>
      </c>
      <c r="H2748" s="5" t="s">
        <v>21</v>
      </c>
      <c r="I2748" s="5" t="s">
        <v>753</v>
      </c>
      <c r="J2748" s="5" t="s">
        <v>754</v>
      </c>
      <c r="K2748" s="5" t="s">
        <v>423</v>
      </c>
      <c r="L2748" s="6">
        <v>45688</v>
      </c>
      <c r="M2748" s="6">
        <v>45685</v>
      </c>
      <c r="N2748" s="6" t="s">
        <v>811</v>
      </c>
      <c r="O2748" s="5" t="str">
        <f ca="1">IF(P2748&lt;&gt;"EXPEDIÇÃO","Expedido",IF(NETWORKDAYS(C2748,TODAY())&gt;=5,"Risco Alto",IF(NETWORKDAYS(C2748,TODAY())&gt;=3,IF(NETWORKDAYS(C2748,TODAY())&lt;5,"Risco Médio",""),IF(NETWORKDAYS(C2748,TODAY())&lt;=2,"Risco Baixo",""))))</f>
        <v>Expedido</v>
      </c>
      <c r="P2748" s="5" t="s">
        <v>25</v>
      </c>
      <c r="S2748" s="7">
        <f>IF(ISBLANK(M2748),"Aguardando Previsão/Data",NETWORKDAYS(L2748,M2748)-1)</f>
        <v>-5</v>
      </c>
      <c r="T2748" s="5" t="s">
        <v>942</v>
      </c>
    </row>
    <row r="2749" spans="1:20" x14ac:dyDescent="0.35">
      <c r="A2749" s="5">
        <v>8100278995</v>
      </c>
      <c r="B2749" s="5">
        <v>13383</v>
      </c>
      <c r="C2749" s="6">
        <v>45678</v>
      </c>
      <c r="D2749" s="5" t="s">
        <v>91</v>
      </c>
      <c r="E2749" s="5" t="s">
        <v>92</v>
      </c>
      <c r="F2749" s="5" t="s">
        <v>103</v>
      </c>
      <c r="G2749" s="5" t="s">
        <v>104</v>
      </c>
      <c r="H2749" s="5" t="s">
        <v>21</v>
      </c>
      <c r="I2749" s="5" t="s">
        <v>1426</v>
      </c>
      <c r="J2749" s="5" t="s">
        <v>273</v>
      </c>
      <c r="K2749" s="5" t="s">
        <v>274</v>
      </c>
      <c r="L2749" s="6">
        <v>45687</v>
      </c>
      <c r="M2749" s="6">
        <v>45685</v>
      </c>
      <c r="N2749" s="6" t="s">
        <v>811</v>
      </c>
      <c r="O2749" s="5" t="str">
        <f ca="1">IF(P2749&lt;&gt;"EXPEDIÇÃO","Expedido",IF(NETWORKDAYS(C2749,TODAY())&gt;=5,"Risco Alto",IF(NETWORKDAYS(C2749,TODAY())&gt;=3,IF(NETWORKDAYS(C2749,TODAY())&lt;5,"Risco Médio",""),IF(NETWORKDAYS(C2749,TODAY())&lt;=2,"Risco Baixo",""))))</f>
        <v>Expedido</v>
      </c>
      <c r="P2749" s="5" t="s">
        <v>25</v>
      </c>
      <c r="S2749" s="7">
        <f>IF(ISBLANK(M2749),"Aguardando Previsão/Data",NETWORKDAYS(L2749,M2749)-1)</f>
        <v>-4</v>
      </c>
      <c r="T2749" s="5" t="s">
        <v>942</v>
      </c>
    </row>
    <row r="2750" spans="1:20" x14ac:dyDescent="0.35">
      <c r="A2750" s="5">
        <v>8100278996</v>
      </c>
      <c r="B2750" s="5">
        <v>13395</v>
      </c>
      <c r="C2750" s="6">
        <v>45678</v>
      </c>
      <c r="D2750" s="5" t="s">
        <v>91</v>
      </c>
      <c r="E2750" s="5" t="s">
        <v>92</v>
      </c>
      <c r="F2750" s="5" t="s">
        <v>96</v>
      </c>
      <c r="G2750" s="5" t="s">
        <v>97</v>
      </c>
      <c r="H2750" s="5" t="s">
        <v>21</v>
      </c>
      <c r="I2750" s="5" t="s">
        <v>201</v>
      </c>
      <c r="J2750" s="5" t="s">
        <v>387</v>
      </c>
      <c r="K2750" s="5" t="s">
        <v>101</v>
      </c>
      <c r="L2750" s="6">
        <v>45687</v>
      </c>
      <c r="M2750" s="6">
        <v>45686</v>
      </c>
      <c r="N2750" s="6" t="s">
        <v>811</v>
      </c>
      <c r="O2750" s="5" t="str">
        <f ca="1">IF(P2750&lt;&gt;"EXPEDIÇÃO","Expedido",IF(NETWORKDAYS(C2750,TODAY())&gt;=5,"Risco Alto",IF(NETWORKDAYS(C2750,TODAY())&gt;=3,IF(NETWORKDAYS(C2750,TODAY())&lt;5,"Risco Médio",""),IF(NETWORKDAYS(C2750,TODAY())&lt;=2,"Risco Baixo",""))))</f>
        <v>Expedido</v>
      </c>
      <c r="P2750" s="5" t="s">
        <v>25</v>
      </c>
      <c r="S2750" s="7">
        <f>IF(ISBLANK(M2750),"Aguardando Previsão/Data",NETWORKDAYS(L2750,M2750)-1)</f>
        <v>-3</v>
      </c>
      <c r="T2750" s="5" t="s">
        <v>942</v>
      </c>
    </row>
    <row r="2751" spans="1:20" x14ac:dyDescent="0.35">
      <c r="A2751" s="5">
        <v>8100278997</v>
      </c>
      <c r="B2751" s="5">
        <v>13392</v>
      </c>
      <c r="C2751" s="6">
        <v>45678</v>
      </c>
      <c r="D2751" s="5" t="s">
        <v>91</v>
      </c>
      <c r="E2751" s="5" t="s">
        <v>92</v>
      </c>
      <c r="F2751" s="5" t="s">
        <v>103</v>
      </c>
      <c r="G2751" s="5" t="s">
        <v>104</v>
      </c>
      <c r="H2751" s="5" t="s">
        <v>21</v>
      </c>
      <c r="I2751" s="5" t="s">
        <v>1079</v>
      </c>
      <c r="J2751" s="5" t="s">
        <v>674</v>
      </c>
      <c r="K2751" s="5" t="s">
        <v>105</v>
      </c>
      <c r="L2751" s="6">
        <v>45691</v>
      </c>
      <c r="M2751" s="6">
        <v>45688</v>
      </c>
      <c r="N2751" s="6" t="s">
        <v>811</v>
      </c>
      <c r="O2751" s="5" t="str">
        <f ca="1">IF(P2751&lt;&gt;"EXPEDIÇÃO","Expedido",IF(NETWORKDAYS(C2751,TODAY())&gt;=5,"Risco Alto",IF(NETWORKDAYS(C2751,TODAY())&gt;=3,IF(NETWORKDAYS(C2751,TODAY())&lt;5,"Risco Médio",""),IF(NETWORKDAYS(C2751,TODAY())&lt;=2,"Risco Baixo",""))))</f>
        <v>Expedido</v>
      </c>
      <c r="P2751" s="5" t="s">
        <v>617</v>
      </c>
      <c r="S2751" s="7">
        <f>IF(ISBLANK(M2751),"Aguardando Previsão/Data",NETWORKDAYS(L2751,M2751)-1)</f>
        <v>-3</v>
      </c>
    </row>
    <row r="2752" spans="1:20" x14ac:dyDescent="0.35">
      <c r="A2752" s="5">
        <v>8100278998</v>
      </c>
      <c r="B2752" s="5">
        <v>13391</v>
      </c>
      <c r="C2752" s="6">
        <v>45678</v>
      </c>
      <c r="D2752" s="5" t="s">
        <v>91</v>
      </c>
      <c r="E2752" s="5" t="s">
        <v>92</v>
      </c>
      <c r="F2752" s="5" t="s">
        <v>19</v>
      </c>
      <c r="G2752" s="5" t="s">
        <v>20</v>
      </c>
      <c r="H2752" s="5" t="s">
        <v>21</v>
      </c>
      <c r="I2752" s="5" t="s">
        <v>577</v>
      </c>
      <c r="J2752" s="5" t="s">
        <v>578</v>
      </c>
      <c r="K2752" s="5" t="s">
        <v>274</v>
      </c>
      <c r="L2752" s="6">
        <v>45687</v>
      </c>
      <c r="M2752" s="6">
        <v>45685</v>
      </c>
      <c r="N2752" s="6" t="s">
        <v>811</v>
      </c>
      <c r="O2752" s="5" t="str">
        <f ca="1">IF(P2752&lt;&gt;"EXPEDIÇÃO","Expedido",IF(NETWORKDAYS(C2752,TODAY())&gt;=5,"Risco Alto",IF(NETWORKDAYS(C2752,TODAY())&gt;=3,IF(NETWORKDAYS(C2752,TODAY())&lt;5,"Risco Médio",""),IF(NETWORKDAYS(C2752,TODAY())&lt;=2,"Risco Baixo",""))))</f>
        <v>Expedido</v>
      </c>
      <c r="P2752" s="5" t="s">
        <v>25</v>
      </c>
      <c r="S2752" s="7">
        <f>IF(ISBLANK(M2752),"Aguardando Previsão/Data",NETWORKDAYS(L2752,M2752)-1)</f>
        <v>-4</v>
      </c>
      <c r="T2752" s="5" t="s">
        <v>942</v>
      </c>
    </row>
    <row r="2753" spans="1:20" x14ac:dyDescent="0.35">
      <c r="A2753" s="5">
        <v>8100278999</v>
      </c>
      <c r="B2753" s="5">
        <v>13390</v>
      </c>
      <c r="C2753" s="6">
        <v>45678</v>
      </c>
      <c r="D2753" s="5" t="s">
        <v>91</v>
      </c>
      <c r="E2753" s="5" t="s">
        <v>92</v>
      </c>
      <c r="F2753" s="5" t="s">
        <v>19</v>
      </c>
      <c r="G2753" s="5" t="s">
        <v>20</v>
      </c>
      <c r="H2753" s="5" t="s">
        <v>21</v>
      </c>
      <c r="I2753" s="5" t="s">
        <v>808</v>
      </c>
      <c r="J2753" s="5" t="s">
        <v>273</v>
      </c>
      <c r="K2753" s="5" t="s">
        <v>274</v>
      </c>
      <c r="L2753" s="6">
        <v>45687</v>
      </c>
      <c r="M2753" s="6">
        <v>45687</v>
      </c>
      <c r="N2753" s="6" t="s">
        <v>811</v>
      </c>
      <c r="O2753" s="5" t="str">
        <f ca="1">IF(P2753&lt;&gt;"EXPEDIÇÃO","Expedido",IF(NETWORKDAYS(C2753,TODAY())&gt;=5,"Risco Alto",IF(NETWORKDAYS(C2753,TODAY())&gt;=3,IF(NETWORKDAYS(C2753,TODAY())&lt;5,"Risco Médio",""),IF(NETWORKDAYS(C2753,TODAY())&lt;=2,"Risco Baixo",""))))</f>
        <v>Expedido</v>
      </c>
      <c r="P2753" s="5" t="s">
        <v>617</v>
      </c>
      <c r="Q2753" s="5" t="s">
        <v>898</v>
      </c>
      <c r="S2753" s="7">
        <f>IF(ISBLANK(M2753),"Aguardando Previsão/Data",NETWORKDAYS(L2753,M2753)-1)</f>
        <v>0</v>
      </c>
    </row>
    <row r="2754" spans="1:20" x14ac:dyDescent="0.35">
      <c r="A2754" s="5">
        <v>8100279002</v>
      </c>
      <c r="B2754" s="5">
        <v>13382</v>
      </c>
      <c r="C2754" s="6">
        <v>45678</v>
      </c>
      <c r="D2754" s="5" t="s">
        <v>91</v>
      </c>
      <c r="E2754" s="5" t="s">
        <v>92</v>
      </c>
      <c r="F2754" s="5" t="s">
        <v>103</v>
      </c>
      <c r="G2754" s="5" t="s">
        <v>104</v>
      </c>
      <c r="H2754" s="5" t="s">
        <v>21</v>
      </c>
      <c r="I2754" s="5" t="s">
        <v>968</v>
      </c>
      <c r="J2754" s="5" t="s">
        <v>422</v>
      </c>
      <c r="K2754" s="5" t="s">
        <v>423</v>
      </c>
      <c r="L2754" s="6">
        <v>45687</v>
      </c>
      <c r="M2754" s="6">
        <v>45687</v>
      </c>
      <c r="N2754" s="6" t="s">
        <v>811</v>
      </c>
      <c r="O2754" s="5" t="str">
        <f ca="1">IF(P2754&lt;&gt;"EXPEDIÇÃO","Expedido",IF(NETWORKDAYS(C2754,TODAY())&gt;=5,"Risco Alto",IF(NETWORKDAYS(C2754,TODAY())&gt;=3,IF(NETWORKDAYS(C2754,TODAY())&lt;5,"Risco Médio",""),IF(NETWORKDAYS(C2754,TODAY())&lt;=2,"Risco Baixo",""))))</f>
        <v>Expedido</v>
      </c>
      <c r="P2754" s="5" t="s">
        <v>617</v>
      </c>
      <c r="Q2754" s="5" t="s">
        <v>898</v>
      </c>
      <c r="S2754" s="7">
        <f>IF(ISBLANK(M2754),"Aguardando Previsão/Data",NETWORKDAYS(L2754,M2754)-1)</f>
        <v>0</v>
      </c>
    </row>
    <row r="2755" spans="1:20" x14ac:dyDescent="0.35">
      <c r="A2755" s="5">
        <v>8100279839</v>
      </c>
      <c r="B2755" s="5">
        <v>13381</v>
      </c>
      <c r="C2755" s="6">
        <v>45678</v>
      </c>
      <c r="D2755" s="5" t="s">
        <v>91</v>
      </c>
      <c r="E2755" s="5" t="s">
        <v>92</v>
      </c>
      <c r="F2755" s="5" t="s">
        <v>79</v>
      </c>
      <c r="G2755" s="5" t="s">
        <v>80</v>
      </c>
      <c r="H2755" s="5" t="s">
        <v>21</v>
      </c>
      <c r="I2755" s="5" t="s">
        <v>1434</v>
      </c>
      <c r="J2755" s="5" t="s">
        <v>575</v>
      </c>
      <c r="K2755" s="5" t="s">
        <v>423</v>
      </c>
      <c r="L2755" s="6">
        <v>45687</v>
      </c>
      <c r="M2755" s="6">
        <v>45680</v>
      </c>
      <c r="N2755" s="5" t="s">
        <v>811</v>
      </c>
      <c r="O2755" s="5" t="str">
        <f ca="1">IF(P2755&lt;&gt;"EXPEDIÇÃO","Expedido",IF(NETWORKDAYS(C2755,TODAY())&gt;=5,"Risco Alto",IF(NETWORKDAYS(C2755,TODAY())&gt;=3,IF(NETWORKDAYS(C2755,TODAY())&lt;5,"Risco Médio",""),IF(NETWORKDAYS(C2755,TODAY())&lt;=2,"Risco Baixo",""))))</f>
        <v>Expedido</v>
      </c>
      <c r="P2755" s="5" t="s">
        <v>25</v>
      </c>
      <c r="S2755" s="7">
        <f>IF(ISBLANK(M2755),"Aguardando Previsão/Data",NETWORKDAYS(L2755,M2755)-1)</f>
        <v>-7</v>
      </c>
      <c r="T2755" s="5" t="s">
        <v>942</v>
      </c>
    </row>
    <row r="2756" spans="1:20" x14ac:dyDescent="0.35">
      <c r="A2756" s="5">
        <v>8100279842</v>
      </c>
      <c r="B2756" s="5">
        <v>13388</v>
      </c>
      <c r="C2756" s="6">
        <v>45678</v>
      </c>
      <c r="D2756" s="5" t="s">
        <v>91</v>
      </c>
      <c r="E2756" s="5" t="s">
        <v>92</v>
      </c>
      <c r="F2756" s="5" t="s">
        <v>103</v>
      </c>
      <c r="G2756" s="5" t="s">
        <v>104</v>
      </c>
      <c r="H2756" s="5" t="s">
        <v>21</v>
      </c>
      <c r="I2756" s="5" t="s">
        <v>22</v>
      </c>
      <c r="J2756" s="5" t="s">
        <v>273</v>
      </c>
      <c r="K2756" s="5" t="s">
        <v>274</v>
      </c>
      <c r="L2756" s="6">
        <v>45687</v>
      </c>
      <c r="M2756" s="6">
        <v>45685</v>
      </c>
      <c r="N2756" s="6" t="s">
        <v>811</v>
      </c>
      <c r="O2756" s="5" t="str">
        <f ca="1">IF(P2756&lt;&gt;"EXPEDIÇÃO","Expedido",IF(NETWORKDAYS(C2756,TODAY())&gt;=5,"Risco Alto",IF(NETWORKDAYS(C2756,TODAY())&gt;=3,IF(NETWORKDAYS(C2756,TODAY())&lt;5,"Risco Médio",""),IF(NETWORKDAYS(C2756,TODAY())&lt;=2,"Risco Baixo",""))))</f>
        <v>Expedido</v>
      </c>
      <c r="P2756" s="5" t="s">
        <v>25</v>
      </c>
      <c r="S2756" s="7">
        <f>IF(ISBLANK(M2756),"Aguardando Previsão/Data",NETWORKDAYS(L2756,M2756)-1)</f>
        <v>-4</v>
      </c>
      <c r="T2756" s="5" t="s">
        <v>942</v>
      </c>
    </row>
    <row r="2757" spans="1:20" x14ac:dyDescent="0.35">
      <c r="A2757" s="5">
        <v>8100279843</v>
      </c>
      <c r="B2757" s="5">
        <v>13366</v>
      </c>
      <c r="C2757" s="6">
        <v>45678</v>
      </c>
      <c r="D2757" s="5" t="s">
        <v>91</v>
      </c>
      <c r="E2757" s="5" t="s">
        <v>92</v>
      </c>
      <c r="F2757" s="5" t="s">
        <v>103</v>
      </c>
      <c r="G2757" s="5" t="s">
        <v>104</v>
      </c>
      <c r="H2757" s="5" t="s">
        <v>21</v>
      </c>
      <c r="I2757" s="5" t="s">
        <v>22</v>
      </c>
      <c r="J2757" s="5" t="s">
        <v>99</v>
      </c>
      <c r="K2757" s="5" t="s">
        <v>95</v>
      </c>
      <c r="L2757" s="6">
        <v>45684</v>
      </c>
      <c r="M2757" s="6">
        <v>45678</v>
      </c>
      <c r="N2757" s="6" t="s">
        <v>811</v>
      </c>
      <c r="O2757" s="5" t="str">
        <f ca="1">IF(P2757&lt;&gt;"EXPEDIÇÃO","Expedido",IF(NETWORKDAYS(C2757,TODAY())&gt;=5,"Risco Alto",IF(NETWORKDAYS(C2757,TODAY())&gt;=3,IF(NETWORKDAYS(C2757,TODAY())&lt;5,"Risco Médio",""),IF(NETWORKDAYS(C2757,TODAY())&lt;=2,"Risco Baixo",""))))</f>
        <v>Expedido</v>
      </c>
      <c r="P2757" s="5" t="s">
        <v>25</v>
      </c>
      <c r="Q2757" s="5" t="s">
        <v>900</v>
      </c>
      <c r="S2757" s="7">
        <f>IF(ISBLANK(M2757),"Aguardando Previsão/Data",NETWORKDAYS(L2757,M2757)-1)</f>
        <v>-6</v>
      </c>
      <c r="T2757" s="5" t="s">
        <v>942</v>
      </c>
    </row>
    <row r="2758" spans="1:20" x14ac:dyDescent="0.35">
      <c r="A2758" s="5">
        <v>8100279852</v>
      </c>
      <c r="B2758" s="5">
        <v>13393</v>
      </c>
      <c r="C2758" s="6">
        <v>45678</v>
      </c>
      <c r="D2758" s="5" t="s">
        <v>91</v>
      </c>
      <c r="E2758" s="5" t="s">
        <v>92</v>
      </c>
      <c r="F2758" s="5" t="s">
        <v>103</v>
      </c>
      <c r="G2758" s="5" t="s">
        <v>104</v>
      </c>
      <c r="H2758" s="5" t="s">
        <v>21</v>
      </c>
      <c r="I2758" s="5" t="s">
        <v>1075</v>
      </c>
      <c r="J2758" s="5" t="s">
        <v>1066</v>
      </c>
      <c r="K2758" s="5" t="s">
        <v>274</v>
      </c>
      <c r="L2758" s="6">
        <v>45691</v>
      </c>
      <c r="M2758" s="6">
        <v>45686</v>
      </c>
      <c r="N2758" s="6" t="s">
        <v>811</v>
      </c>
      <c r="O2758" s="5" t="str">
        <f ca="1">IF(P2758&lt;&gt;"EXPEDIÇÃO","Expedido",IF(NETWORKDAYS(C2758,TODAY())&gt;=5,"Risco Alto",IF(NETWORKDAYS(C2758,TODAY())&gt;=3,IF(NETWORKDAYS(C2758,TODAY())&lt;5,"Risco Médio",""),IF(NETWORKDAYS(C2758,TODAY())&lt;=2,"Risco Baixo",""))))</f>
        <v>Expedido</v>
      </c>
      <c r="P2758" s="5" t="s">
        <v>25</v>
      </c>
      <c r="S2758" s="7">
        <f>IF(ISBLANK(M2758),"Aguardando Previsão/Data",NETWORKDAYS(L2758,M2758)-1)</f>
        <v>-5</v>
      </c>
      <c r="T2758" s="5" t="s">
        <v>942</v>
      </c>
    </row>
    <row r="2759" spans="1:20" x14ac:dyDescent="0.35">
      <c r="A2759" s="5">
        <v>8100279865</v>
      </c>
      <c r="B2759" s="5">
        <v>13396</v>
      </c>
      <c r="C2759" s="6">
        <v>45678</v>
      </c>
      <c r="D2759" s="5" t="s">
        <v>91</v>
      </c>
      <c r="E2759" s="5" t="s">
        <v>92</v>
      </c>
      <c r="F2759" s="5" t="s">
        <v>96</v>
      </c>
      <c r="G2759" s="5" t="s">
        <v>97</v>
      </c>
      <c r="H2759" s="5" t="s">
        <v>21</v>
      </c>
      <c r="I2759" s="5" t="s">
        <v>201</v>
      </c>
      <c r="J2759" s="5" t="s">
        <v>387</v>
      </c>
      <c r="K2759" s="5" t="s">
        <v>101</v>
      </c>
      <c r="L2759" s="6">
        <v>45687</v>
      </c>
      <c r="M2759" s="6">
        <v>45686</v>
      </c>
      <c r="N2759" s="6" t="s">
        <v>811</v>
      </c>
      <c r="O2759" s="5" t="str">
        <f ca="1">IF(P2759&lt;&gt;"EXPEDIÇÃO","Expedido",IF(NETWORKDAYS(C2759,TODAY())&gt;=5,"Risco Alto",IF(NETWORKDAYS(C2759,TODAY())&gt;=3,IF(NETWORKDAYS(C2759,TODAY())&lt;5,"Risco Médio",""),IF(NETWORKDAYS(C2759,TODAY())&lt;=2,"Risco Baixo",""))))</f>
        <v>Expedido</v>
      </c>
      <c r="P2759" s="5" t="s">
        <v>25</v>
      </c>
      <c r="S2759" s="7">
        <f>IF(ISBLANK(M2759),"Aguardando Previsão/Data",NETWORKDAYS(L2759,M2759)-1)</f>
        <v>-3</v>
      </c>
      <c r="T2759" s="5" t="s">
        <v>942</v>
      </c>
    </row>
    <row r="2760" spans="1:20" x14ac:dyDescent="0.35">
      <c r="A2760" s="5">
        <v>8100279866</v>
      </c>
      <c r="B2760" s="5">
        <v>13397</v>
      </c>
      <c r="C2760" s="6">
        <v>45678</v>
      </c>
      <c r="D2760" s="5" t="s">
        <v>91</v>
      </c>
      <c r="E2760" s="5" t="s">
        <v>92</v>
      </c>
      <c r="F2760" s="5" t="s">
        <v>96</v>
      </c>
      <c r="G2760" s="5" t="s">
        <v>97</v>
      </c>
      <c r="H2760" s="5" t="s">
        <v>21</v>
      </c>
      <c r="I2760" s="5" t="s">
        <v>201</v>
      </c>
      <c r="J2760" s="5" t="s">
        <v>387</v>
      </c>
      <c r="K2760" s="5" t="s">
        <v>101</v>
      </c>
      <c r="L2760" s="6">
        <v>45687</v>
      </c>
      <c r="M2760" s="6">
        <v>45686</v>
      </c>
      <c r="N2760" s="6" t="s">
        <v>811</v>
      </c>
      <c r="O2760" s="5" t="str">
        <f ca="1">IF(P2760&lt;&gt;"EXPEDIÇÃO","Expedido",IF(NETWORKDAYS(C2760,TODAY())&gt;=5,"Risco Alto",IF(NETWORKDAYS(C2760,TODAY())&gt;=3,IF(NETWORKDAYS(C2760,TODAY())&lt;5,"Risco Médio",""),IF(NETWORKDAYS(C2760,TODAY())&lt;=2,"Risco Baixo",""))))</f>
        <v>Expedido</v>
      </c>
      <c r="P2760" s="5" t="s">
        <v>25</v>
      </c>
      <c r="S2760" s="7">
        <f>IF(ISBLANK(M2760),"Aguardando Previsão/Data",NETWORKDAYS(L2760,M2760)-1)</f>
        <v>-3</v>
      </c>
      <c r="T2760" s="5" t="s">
        <v>942</v>
      </c>
    </row>
    <row r="2761" spans="1:20" x14ac:dyDescent="0.35">
      <c r="A2761" s="5">
        <v>8100279870</v>
      </c>
      <c r="B2761" s="5">
        <v>13386</v>
      </c>
      <c r="C2761" s="6">
        <v>45678</v>
      </c>
      <c r="D2761" s="5" t="s">
        <v>91</v>
      </c>
      <c r="E2761" s="5" t="s">
        <v>92</v>
      </c>
      <c r="F2761" s="5" t="s">
        <v>96</v>
      </c>
      <c r="G2761" s="5" t="s">
        <v>97</v>
      </c>
      <c r="H2761" s="5" t="s">
        <v>21</v>
      </c>
      <c r="I2761" s="5" t="s">
        <v>873</v>
      </c>
      <c r="J2761" s="5" t="s">
        <v>874</v>
      </c>
      <c r="K2761" s="5" t="s">
        <v>101</v>
      </c>
      <c r="L2761" s="6">
        <v>45687</v>
      </c>
      <c r="M2761" s="6">
        <v>45685</v>
      </c>
      <c r="N2761" s="6" t="s">
        <v>811</v>
      </c>
      <c r="O2761" s="5" t="str">
        <f ca="1">IF(P2761&lt;&gt;"EXPEDIÇÃO","Expedido",IF(NETWORKDAYS(C2761,TODAY())&gt;=5,"Risco Alto",IF(NETWORKDAYS(C2761,TODAY())&gt;=3,IF(NETWORKDAYS(C2761,TODAY())&lt;5,"Risco Médio",""),IF(NETWORKDAYS(C2761,TODAY())&lt;=2,"Risco Baixo",""))))</f>
        <v>Expedido</v>
      </c>
      <c r="P2761" s="5" t="s">
        <v>25</v>
      </c>
      <c r="S2761" s="7">
        <f>IF(ISBLANK(M2761),"Aguardando Previsão/Data",NETWORKDAYS(L2761,M2761)-1)</f>
        <v>-4</v>
      </c>
      <c r="T2761" s="5" t="s">
        <v>942</v>
      </c>
    </row>
    <row r="2762" spans="1:20" x14ac:dyDescent="0.35">
      <c r="A2762" s="5">
        <v>8100279871</v>
      </c>
      <c r="B2762" s="5">
        <v>13385</v>
      </c>
      <c r="C2762" s="6">
        <v>45678</v>
      </c>
      <c r="D2762" s="5" t="s">
        <v>91</v>
      </c>
      <c r="E2762" s="5" t="s">
        <v>92</v>
      </c>
      <c r="F2762" s="5" t="s">
        <v>96</v>
      </c>
      <c r="G2762" s="5" t="s">
        <v>97</v>
      </c>
      <c r="H2762" s="5" t="s">
        <v>21</v>
      </c>
      <c r="I2762" s="5" t="s">
        <v>901</v>
      </c>
      <c r="J2762" s="5" t="s">
        <v>874</v>
      </c>
      <c r="K2762" s="5" t="s">
        <v>101</v>
      </c>
      <c r="L2762" s="6">
        <v>45687</v>
      </c>
      <c r="M2762" s="6">
        <v>45685</v>
      </c>
      <c r="N2762" s="6" t="s">
        <v>811</v>
      </c>
      <c r="O2762" s="5" t="str">
        <f ca="1">IF(P2762&lt;&gt;"EXPEDIÇÃO","Expedido",IF(NETWORKDAYS(C2762,TODAY())&gt;=5,"Risco Alto",IF(NETWORKDAYS(C2762,TODAY())&gt;=3,IF(NETWORKDAYS(C2762,TODAY())&lt;5,"Risco Médio",""),IF(NETWORKDAYS(C2762,TODAY())&lt;=2,"Risco Baixo",""))))</f>
        <v>Expedido</v>
      </c>
      <c r="P2762" s="5" t="s">
        <v>25</v>
      </c>
      <c r="S2762" s="7">
        <f>IF(ISBLANK(M2762),"Aguardando Previsão/Data",NETWORKDAYS(L2762,M2762)-1)</f>
        <v>-4</v>
      </c>
      <c r="T2762" s="5" t="s">
        <v>942</v>
      </c>
    </row>
    <row r="2763" spans="1:20" x14ac:dyDescent="0.35">
      <c r="A2763" s="5">
        <v>8100279872</v>
      </c>
      <c r="B2763" s="5">
        <v>13389</v>
      </c>
      <c r="C2763" s="6">
        <v>45678</v>
      </c>
      <c r="D2763" s="5" t="s">
        <v>91</v>
      </c>
      <c r="E2763" s="5" t="s">
        <v>92</v>
      </c>
      <c r="F2763" s="5" t="s">
        <v>103</v>
      </c>
      <c r="G2763" s="5" t="s">
        <v>104</v>
      </c>
      <c r="H2763" s="5" t="s">
        <v>21</v>
      </c>
      <c r="I2763" s="5" t="s">
        <v>1435</v>
      </c>
      <c r="J2763" s="5" t="s">
        <v>872</v>
      </c>
      <c r="K2763" s="5" t="s">
        <v>274</v>
      </c>
      <c r="L2763" s="6">
        <v>45692</v>
      </c>
      <c r="M2763" s="6">
        <v>45691</v>
      </c>
      <c r="N2763" s="6" t="s">
        <v>811</v>
      </c>
      <c r="O2763" s="5" t="str">
        <f ca="1">IF(P2763&lt;&gt;"EXPEDIÇÃO","Expedido",IF(NETWORKDAYS(C2763,TODAY())&gt;=5,"Risco Alto",IF(NETWORKDAYS(C2763,TODAY())&gt;=3,IF(NETWORKDAYS(C2763,TODAY())&lt;5,"Risco Médio",""),IF(NETWORKDAYS(C2763,TODAY())&lt;=2,"Risco Baixo",""))))</f>
        <v>Expedido</v>
      </c>
      <c r="P2763" s="5" t="s">
        <v>617</v>
      </c>
      <c r="S2763" s="7">
        <f>IF(ISBLANK(M2763),"Aguardando Previsão/Data",NETWORKDAYS(L2763,M2763)-1)</f>
        <v>-3</v>
      </c>
    </row>
    <row r="2764" spans="1:20" x14ac:dyDescent="0.35">
      <c r="A2764" s="5">
        <v>8100280125</v>
      </c>
      <c r="B2764" s="5">
        <v>13387</v>
      </c>
      <c r="C2764" s="6">
        <v>45678</v>
      </c>
      <c r="D2764" s="5" t="s">
        <v>91</v>
      </c>
      <c r="E2764" s="5" t="s">
        <v>92</v>
      </c>
      <c r="F2764" s="5" t="s">
        <v>96</v>
      </c>
      <c r="G2764" s="5" t="s">
        <v>97</v>
      </c>
      <c r="H2764" s="5" t="s">
        <v>21</v>
      </c>
      <c r="I2764" s="5" t="s">
        <v>749</v>
      </c>
      <c r="J2764" s="5" t="s">
        <v>636</v>
      </c>
      <c r="K2764" s="5" t="s">
        <v>95</v>
      </c>
      <c r="L2764" s="6">
        <v>45685</v>
      </c>
      <c r="M2764" s="6">
        <v>45684</v>
      </c>
      <c r="N2764" s="6" t="s">
        <v>811</v>
      </c>
      <c r="O2764" s="5" t="str">
        <f ca="1">IF(P2764&lt;&gt;"EXPEDIÇÃO","Expedido",IF(NETWORKDAYS(C2764,TODAY())&gt;=5,"Risco Alto",IF(NETWORKDAYS(C2764,TODAY())&gt;=3,IF(NETWORKDAYS(C2764,TODAY())&lt;5,"Risco Médio",""),IF(NETWORKDAYS(C2764,TODAY())&lt;=2,"Risco Baixo",""))))</f>
        <v>Expedido</v>
      </c>
      <c r="P2764" s="5" t="s">
        <v>25</v>
      </c>
      <c r="S2764" s="7">
        <f>IF(ISBLANK(M2764),"Aguardando Previsão/Data",NETWORKDAYS(L2764,M2764)-1)</f>
        <v>-3</v>
      </c>
      <c r="T2764" s="5" t="s">
        <v>942</v>
      </c>
    </row>
    <row r="2765" spans="1:20" x14ac:dyDescent="0.35">
      <c r="A2765" s="5">
        <v>8100280126</v>
      </c>
      <c r="B2765" s="5">
        <v>13367</v>
      </c>
      <c r="C2765" s="6">
        <v>45678</v>
      </c>
      <c r="D2765" s="5" t="s">
        <v>91</v>
      </c>
      <c r="E2765" s="5" t="s">
        <v>92</v>
      </c>
      <c r="F2765" s="5" t="s">
        <v>96</v>
      </c>
      <c r="G2765" s="5" t="s">
        <v>97</v>
      </c>
      <c r="H2765" s="5" t="s">
        <v>21</v>
      </c>
      <c r="I2765" s="5" t="s">
        <v>22</v>
      </c>
      <c r="J2765" s="5" t="s">
        <v>99</v>
      </c>
      <c r="K2765" s="5" t="s">
        <v>95</v>
      </c>
      <c r="L2765" s="6">
        <v>45684</v>
      </c>
      <c r="M2765" s="6">
        <v>45678</v>
      </c>
      <c r="N2765" s="6" t="s">
        <v>811</v>
      </c>
      <c r="O2765" s="5" t="str">
        <f ca="1">IF(P2765&lt;&gt;"EXPEDIÇÃO","Expedido",IF(NETWORKDAYS(C2765,TODAY())&gt;=5,"Risco Alto",IF(NETWORKDAYS(C2765,TODAY())&gt;=3,IF(NETWORKDAYS(C2765,TODAY())&lt;5,"Risco Médio",""),IF(NETWORKDAYS(C2765,TODAY())&lt;=2,"Risco Baixo",""))))</f>
        <v>Expedido</v>
      </c>
      <c r="P2765" s="5" t="s">
        <v>25</v>
      </c>
      <c r="Q2765" s="5" t="s">
        <v>900</v>
      </c>
      <c r="S2765" s="7">
        <f>IF(ISBLANK(M2765),"Aguardando Previsão/Data",NETWORKDAYS(L2765,M2765)-1)</f>
        <v>-6</v>
      </c>
      <c r="T2765" s="5" t="s">
        <v>942</v>
      </c>
    </row>
    <row r="2766" spans="1:20" x14ac:dyDescent="0.35">
      <c r="A2766" s="5">
        <v>8100280136</v>
      </c>
      <c r="B2766" s="5">
        <v>13384</v>
      </c>
      <c r="C2766" s="6">
        <v>45678</v>
      </c>
      <c r="D2766" s="5" t="s">
        <v>91</v>
      </c>
      <c r="E2766" s="5" t="s">
        <v>92</v>
      </c>
      <c r="F2766" s="5" t="s">
        <v>96</v>
      </c>
      <c r="G2766" s="5" t="s">
        <v>97</v>
      </c>
      <c r="H2766" s="5" t="s">
        <v>21</v>
      </c>
      <c r="I2766" s="5" t="s">
        <v>1024</v>
      </c>
      <c r="J2766" s="5" t="s">
        <v>472</v>
      </c>
      <c r="K2766" s="5" t="s">
        <v>95</v>
      </c>
      <c r="L2766" s="6">
        <v>45685</v>
      </c>
      <c r="M2766" s="6">
        <v>45681</v>
      </c>
      <c r="N2766" s="6" t="s">
        <v>811</v>
      </c>
      <c r="O2766" s="5" t="str">
        <f ca="1">IF(P2766&lt;&gt;"EXPEDIÇÃO","Expedido",IF(NETWORKDAYS(C2766,TODAY())&gt;=5,"Risco Alto",IF(NETWORKDAYS(C2766,TODAY())&gt;=3,IF(NETWORKDAYS(C2766,TODAY())&lt;5,"Risco Médio",""),IF(NETWORKDAYS(C2766,TODAY())&lt;=2,"Risco Baixo",""))))</f>
        <v>Expedido</v>
      </c>
      <c r="P2766" s="5" t="s">
        <v>25</v>
      </c>
      <c r="S2766" s="7">
        <f>IF(ISBLANK(M2766),"Aguardando Previsão/Data",NETWORKDAYS(L2766,M2766)-1)</f>
        <v>-4</v>
      </c>
      <c r="T2766" s="5" t="s">
        <v>942</v>
      </c>
    </row>
    <row r="2767" spans="1:20" x14ac:dyDescent="0.35">
      <c r="A2767" s="5">
        <v>8100280588</v>
      </c>
      <c r="B2767" s="5">
        <v>13374</v>
      </c>
      <c r="C2767" s="6">
        <v>45678</v>
      </c>
      <c r="D2767" s="5" t="s">
        <v>91</v>
      </c>
      <c r="E2767" s="5" t="s">
        <v>92</v>
      </c>
      <c r="F2767" s="5" t="s">
        <v>58</v>
      </c>
      <c r="G2767" s="5" t="s">
        <v>59</v>
      </c>
      <c r="H2767" s="5" t="s">
        <v>21</v>
      </c>
      <c r="I2767" s="5" t="s">
        <v>237</v>
      </c>
      <c r="J2767" s="5" t="s">
        <v>275</v>
      </c>
      <c r="K2767" s="5" t="s">
        <v>95</v>
      </c>
      <c r="L2767" s="6">
        <v>45691</v>
      </c>
      <c r="M2767" s="6">
        <v>45688</v>
      </c>
      <c r="N2767" s="6" t="s">
        <v>811</v>
      </c>
      <c r="O2767" s="5" t="str">
        <f ca="1">IF(P2767&lt;&gt;"EXPEDIÇÃO","Expedido",IF(NETWORKDAYS(C2767,TODAY())&gt;=5,"Risco Alto",IF(NETWORKDAYS(C2767,TODAY())&gt;=3,IF(NETWORKDAYS(C2767,TODAY())&lt;5,"Risco Médio",""),IF(NETWORKDAYS(C2767,TODAY())&lt;=2,"Risco Baixo",""))))</f>
        <v>Expedido</v>
      </c>
      <c r="P2767" s="5" t="s">
        <v>617</v>
      </c>
      <c r="S2767" s="7">
        <f>IF(ISBLANK(M2767),"Aguardando Previsão/Data",NETWORKDAYS(L2767,M2767)-1)</f>
        <v>-3</v>
      </c>
    </row>
    <row r="2768" spans="1:20" x14ac:dyDescent="0.35">
      <c r="A2768" s="5">
        <v>8100280589</v>
      </c>
      <c r="B2768" s="5">
        <v>13375</v>
      </c>
      <c r="C2768" s="6">
        <v>45678</v>
      </c>
      <c r="D2768" s="5" t="s">
        <v>91</v>
      </c>
      <c r="E2768" s="5" t="s">
        <v>92</v>
      </c>
      <c r="F2768" s="5" t="s">
        <v>58</v>
      </c>
      <c r="G2768" s="5" t="s">
        <v>59</v>
      </c>
      <c r="H2768" s="5" t="s">
        <v>21</v>
      </c>
      <c r="I2768" s="5" t="s">
        <v>237</v>
      </c>
      <c r="J2768" s="5" t="s">
        <v>275</v>
      </c>
      <c r="K2768" s="5" t="s">
        <v>95</v>
      </c>
      <c r="L2768" s="6">
        <v>45691</v>
      </c>
      <c r="M2768" s="6">
        <v>45688</v>
      </c>
      <c r="N2768" s="6" t="s">
        <v>811</v>
      </c>
      <c r="O2768" s="5" t="str">
        <f ca="1">IF(P2768&lt;&gt;"EXPEDIÇÃO","Expedido",IF(NETWORKDAYS(C2768,TODAY())&gt;=5,"Risco Alto",IF(NETWORKDAYS(C2768,TODAY())&gt;=3,IF(NETWORKDAYS(C2768,TODAY())&lt;5,"Risco Médio",""),IF(NETWORKDAYS(C2768,TODAY())&lt;=2,"Risco Baixo",""))))</f>
        <v>Expedido</v>
      </c>
      <c r="P2768" s="5" t="s">
        <v>617</v>
      </c>
      <c r="S2768" s="7">
        <f>IF(ISBLANK(M2768),"Aguardando Previsão/Data",NETWORKDAYS(L2768,M2768)-1)</f>
        <v>-3</v>
      </c>
    </row>
    <row r="2769" spans="1:20" x14ac:dyDescent="0.35">
      <c r="A2769" s="5">
        <v>8100280590</v>
      </c>
      <c r="B2769" s="5">
        <v>13376</v>
      </c>
      <c r="C2769" s="6">
        <v>45678</v>
      </c>
      <c r="D2769" s="5" t="s">
        <v>91</v>
      </c>
      <c r="E2769" s="5" t="s">
        <v>92</v>
      </c>
      <c r="F2769" s="5" t="s">
        <v>58</v>
      </c>
      <c r="G2769" s="5" t="s">
        <v>59</v>
      </c>
      <c r="H2769" s="5" t="s">
        <v>21</v>
      </c>
      <c r="I2769" s="5" t="s">
        <v>237</v>
      </c>
      <c r="J2769" s="5" t="s">
        <v>275</v>
      </c>
      <c r="K2769" s="5" t="s">
        <v>95</v>
      </c>
      <c r="L2769" s="6">
        <v>45691</v>
      </c>
      <c r="M2769" s="6">
        <v>45688</v>
      </c>
      <c r="N2769" s="6" t="s">
        <v>811</v>
      </c>
      <c r="O2769" s="5" t="str">
        <f ca="1">IF(P2769&lt;&gt;"EXPEDIÇÃO","Expedido",IF(NETWORKDAYS(C2769,TODAY())&gt;=5,"Risco Alto",IF(NETWORKDAYS(C2769,TODAY())&gt;=3,IF(NETWORKDAYS(C2769,TODAY())&lt;5,"Risco Médio",""),IF(NETWORKDAYS(C2769,TODAY())&lt;=2,"Risco Baixo",""))))</f>
        <v>Expedido</v>
      </c>
      <c r="P2769" s="5" t="s">
        <v>617</v>
      </c>
      <c r="S2769" s="7">
        <f>IF(ISBLANK(M2769),"Aguardando Previsão/Data",NETWORKDAYS(L2769,M2769)-1)</f>
        <v>-3</v>
      </c>
    </row>
    <row r="2770" spans="1:20" x14ac:dyDescent="0.35">
      <c r="A2770" s="5">
        <v>8100280591</v>
      </c>
      <c r="B2770" s="5">
        <v>13378</v>
      </c>
      <c r="C2770" s="6">
        <v>45678</v>
      </c>
      <c r="D2770" s="5" t="s">
        <v>91</v>
      </c>
      <c r="E2770" s="5" t="s">
        <v>92</v>
      </c>
      <c r="F2770" s="5" t="s">
        <v>96</v>
      </c>
      <c r="G2770" s="5" t="s">
        <v>97</v>
      </c>
      <c r="H2770" s="5" t="s">
        <v>21</v>
      </c>
      <c r="I2770" s="5" t="s">
        <v>745</v>
      </c>
      <c r="J2770" s="5" t="s">
        <v>746</v>
      </c>
      <c r="K2770" s="5" t="s">
        <v>101</v>
      </c>
      <c r="L2770" s="6">
        <v>45688</v>
      </c>
      <c r="M2770" s="6">
        <v>45684</v>
      </c>
      <c r="N2770" s="6" t="s">
        <v>811</v>
      </c>
      <c r="O2770" s="5" t="str">
        <f ca="1">IF(P2770&lt;&gt;"EXPEDIÇÃO","Expedido",IF(NETWORKDAYS(C2770,TODAY())&gt;=5,"Risco Alto",IF(NETWORKDAYS(C2770,TODAY())&gt;=3,IF(NETWORKDAYS(C2770,TODAY())&lt;5,"Risco Médio",""),IF(NETWORKDAYS(C2770,TODAY())&lt;=2,"Risco Baixo",""))))</f>
        <v>Expedido</v>
      </c>
      <c r="P2770" s="5" t="s">
        <v>25</v>
      </c>
      <c r="S2770" s="7">
        <f>IF(ISBLANK(M2770),"Aguardando Previsão/Data",NETWORKDAYS(L2770,M2770)-1)</f>
        <v>-6</v>
      </c>
      <c r="T2770" s="5" t="s">
        <v>942</v>
      </c>
    </row>
    <row r="2771" spans="1:20" x14ac:dyDescent="0.35">
      <c r="A2771" s="5">
        <v>8100280595</v>
      </c>
      <c r="B2771" s="5">
        <v>13373</v>
      </c>
      <c r="C2771" s="6">
        <v>45678</v>
      </c>
      <c r="D2771" s="5" t="s">
        <v>91</v>
      </c>
      <c r="E2771" s="5" t="s">
        <v>92</v>
      </c>
      <c r="F2771" s="5" t="s">
        <v>58</v>
      </c>
      <c r="G2771" s="5" t="s">
        <v>59</v>
      </c>
      <c r="H2771" s="5" t="s">
        <v>21</v>
      </c>
      <c r="I2771" s="5" t="s">
        <v>534</v>
      </c>
      <c r="J2771" s="5" t="s">
        <v>535</v>
      </c>
      <c r="K2771" s="5" t="s">
        <v>95</v>
      </c>
      <c r="L2771" s="6">
        <v>45691</v>
      </c>
      <c r="M2771" s="6">
        <v>45684</v>
      </c>
      <c r="N2771" s="6" t="s">
        <v>811</v>
      </c>
      <c r="O2771" s="5" t="str">
        <f ca="1">IF(P2771&lt;&gt;"EXPEDIÇÃO","Expedido",IF(NETWORKDAYS(C2771,TODAY())&gt;=5,"Risco Alto",IF(NETWORKDAYS(C2771,TODAY())&gt;=3,IF(NETWORKDAYS(C2771,TODAY())&lt;5,"Risco Médio",""),IF(NETWORKDAYS(C2771,TODAY())&lt;=2,"Risco Baixo",""))))</f>
        <v>Expedido</v>
      </c>
      <c r="P2771" s="5" t="s">
        <v>25</v>
      </c>
      <c r="S2771" s="7">
        <f>IF(ISBLANK(M2771),"Aguardando Previsão/Data",NETWORKDAYS(L2771,M2771)-1)</f>
        <v>-7</v>
      </c>
      <c r="T2771" s="5" t="s">
        <v>942</v>
      </c>
    </row>
    <row r="2772" spans="1:20" x14ac:dyDescent="0.35">
      <c r="A2772" s="5">
        <v>8100280596</v>
      </c>
      <c r="B2772" s="5">
        <v>13371</v>
      </c>
      <c r="C2772" s="6">
        <v>45678</v>
      </c>
      <c r="D2772" s="5" t="s">
        <v>91</v>
      </c>
      <c r="E2772" s="5" t="s">
        <v>92</v>
      </c>
      <c r="F2772" s="5" t="s">
        <v>58</v>
      </c>
      <c r="G2772" s="5" t="s">
        <v>59</v>
      </c>
      <c r="H2772" s="5" t="s">
        <v>21</v>
      </c>
      <c r="I2772" s="5" t="s">
        <v>219</v>
      </c>
      <c r="J2772" s="5" t="s">
        <v>535</v>
      </c>
      <c r="K2772" s="5" t="s">
        <v>95</v>
      </c>
      <c r="L2772" s="6">
        <v>45691</v>
      </c>
      <c r="M2772" s="6">
        <v>45684</v>
      </c>
      <c r="N2772" s="6" t="s">
        <v>811</v>
      </c>
      <c r="O2772" s="5" t="str">
        <f ca="1">IF(P2772&lt;&gt;"EXPEDIÇÃO","Expedido",IF(NETWORKDAYS(C2772,TODAY())&gt;=5,"Risco Alto",IF(NETWORKDAYS(C2772,TODAY())&gt;=3,IF(NETWORKDAYS(C2772,TODAY())&lt;5,"Risco Médio",""),IF(NETWORKDAYS(C2772,TODAY())&lt;=2,"Risco Baixo",""))))</f>
        <v>Expedido</v>
      </c>
      <c r="P2772" s="5" t="s">
        <v>25</v>
      </c>
      <c r="S2772" s="7">
        <f>IF(ISBLANK(M2772),"Aguardando Previsão/Data",NETWORKDAYS(L2772,M2772)-1)</f>
        <v>-7</v>
      </c>
      <c r="T2772" s="5" t="s">
        <v>942</v>
      </c>
    </row>
    <row r="2773" spans="1:20" x14ac:dyDescent="0.35">
      <c r="A2773" s="5">
        <v>8100280600</v>
      </c>
      <c r="B2773" s="5">
        <v>13379</v>
      </c>
      <c r="C2773" s="6">
        <v>45678</v>
      </c>
      <c r="D2773" s="5" t="s">
        <v>91</v>
      </c>
      <c r="E2773" s="5" t="s">
        <v>92</v>
      </c>
      <c r="F2773" s="5" t="s">
        <v>96</v>
      </c>
      <c r="G2773" s="5" t="s">
        <v>97</v>
      </c>
      <c r="H2773" s="5" t="s">
        <v>21</v>
      </c>
      <c r="I2773" s="5" t="s">
        <v>745</v>
      </c>
      <c r="J2773" s="5" t="s">
        <v>746</v>
      </c>
      <c r="K2773" s="5" t="s">
        <v>101</v>
      </c>
      <c r="L2773" s="6">
        <v>45688</v>
      </c>
      <c r="M2773" s="6">
        <v>45684</v>
      </c>
      <c r="N2773" s="6" t="s">
        <v>811</v>
      </c>
      <c r="O2773" s="5" t="str">
        <f ca="1">IF(P2773&lt;&gt;"EXPEDIÇÃO","Expedido",IF(NETWORKDAYS(C2773,TODAY())&gt;=5,"Risco Alto",IF(NETWORKDAYS(C2773,TODAY())&gt;=3,IF(NETWORKDAYS(C2773,TODAY())&lt;5,"Risco Médio",""),IF(NETWORKDAYS(C2773,TODAY())&lt;=2,"Risco Baixo",""))))</f>
        <v>Expedido</v>
      </c>
      <c r="P2773" s="5" t="s">
        <v>25</v>
      </c>
      <c r="S2773" s="7">
        <f>IF(ISBLANK(M2773),"Aguardando Previsão/Data",NETWORKDAYS(L2773,M2773)-1)</f>
        <v>-6</v>
      </c>
      <c r="T2773" s="5" t="s">
        <v>942</v>
      </c>
    </row>
    <row r="2774" spans="1:20" x14ac:dyDescent="0.35">
      <c r="A2774" s="5">
        <v>8100280601</v>
      </c>
      <c r="B2774" s="5">
        <v>13372</v>
      </c>
      <c r="C2774" s="6">
        <v>45678</v>
      </c>
      <c r="D2774" s="5" t="s">
        <v>91</v>
      </c>
      <c r="E2774" s="5" t="s">
        <v>92</v>
      </c>
      <c r="F2774" s="5" t="s">
        <v>199</v>
      </c>
      <c r="G2774" s="5" t="s">
        <v>200</v>
      </c>
      <c r="H2774" s="5" t="s">
        <v>21</v>
      </c>
      <c r="I2774" s="5" t="s">
        <v>409</v>
      </c>
      <c r="J2774" s="5" t="s">
        <v>558</v>
      </c>
      <c r="K2774" s="5" t="s">
        <v>105</v>
      </c>
      <c r="L2774" s="6">
        <v>45692</v>
      </c>
      <c r="M2774" s="6">
        <v>45686</v>
      </c>
      <c r="N2774" s="6" t="s">
        <v>811</v>
      </c>
      <c r="O2774" s="5" t="str">
        <f ca="1">IF(P2774&lt;&gt;"EXPEDIÇÃO","Expedido",IF(NETWORKDAYS(C2774,TODAY())&gt;=5,"Risco Alto",IF(NETWORKDAYS(C2774,TODAY())&gt;=3,IF(NETWORKDAYS(C2774,TODAY())&lt;5,"Risco Médio",""),IF(NETWORKDAYS(C2774,TODAY())&lt;=2,"Risco Baixo",""))))</f>
        <v>Expedido</v>
      </c>
      <c r="P2774" s="5" t="s">
        <v>25</v>
      </c>
      <c r="S2774" s="7">
        <f>IF(ISBLANK(M2774),"Aguardando Previsão/Data",NETWORKDAYS(L2774,M2774)-1)</f>
        <v>-6</v>
      </c>
      <c r="T2774" s="5" t="s">
        <v>942</v>
      </c>
    </row>
    <row r="2775" spans="1:20" x14ac:dyDescent="0.35">
      <c r="A2775" s="5">
        <v>8100280602</v>
      </c>
      <c r="B2775" s="5">
        <v>13369</v>
      </c>
      <c r="C2775" s="6">
        <v>45678</v>
      </c>
      <c r="D2775" s="5" t="s">
        <v>91</v>
      </c>
      <c r="E2775" s="5" t="s">
        <v>92</v>
      </c>
      <c r="F2775" s="5" t="s">
        <v>66</v>
      </c>
      <c r="G2775" s="5" t="s">
        <v>67</v>
      </c>
      <c r="H2775" s="5" t="s">
        <v>21</v>
      </c>
      <c r="I2775" s="5" t="s">
        <v>935</v>
      </c>
      <c r="J2775" s="5" t="s">
        <v>389</v>
      </c>
      <c r="K2775" s="5" t="s">
        <v>95</v>
      </c>
      <c r="L2775" s="6">
        <v>45691</v>
      </c>
      <c r="M2775" s="6">
        <v>45688</v>
      </c>
      <c r="N2775" s="6" t="s">
        <v>811</v>
      </c>
      <c r="O2775" s="5" t="str">
        <f ca="1">IF(P2775&lt;&gt;"EXPEDIÇÃO","Expedido",IF(NETWORKDAYS(C2775,TODAY())&gt;=5,"Risco Alto",IF(NETWORKDAYS(C2775,TODAY())&gt;=3,IF(NETWORKDAYS(C2775,TODAY())&lt;5,"Risco Médio",""),IF(NETWORKDAYS(C2775,TODAY())&lt;=2,"Risco Baixo",""))))</f>
        <v>Expedido</v>
      </c>
      <c r="P2775" s="5" t="s">
        <v>617</v>
      </c>
      <c r="S2775" s="7">
        <f>IF(ISBLANK(M2775),"Aguardando Previsão/Data",NETWORKDAYS(L2775,M2775)-1)</f>
        <v>-3</v>
      </c>
    </row>
    <row r="2776" spans="1:20" x14ac:dyDescent="0.35">
      <c r="A2776" s="5">
        <v>8100280744</v>
      </c>
      <c r="B2776" s="5">
        <v>13368</v>
      </c>
      <c r="C2776" s="6">
        <v>45678</v>
      </c>
      <c r="D2776" s="5" t="s">
        <v>91</v>
      </c>
      <c r="E2776" s="5" t="s">
        <v>92</v>
      </c>
      <c r="F2776" s="5" t="s">
        <v>58</v>
      </c>
      <c r="G2776" s="5" t="s">
        <v>59</v>
      </c>
      <c r="H2776" s="5" t="s">
        <v>21</v>
      </c>
      <c r="I2776" s="5" t="s">
        <v>384</v>
      </c>
      <c r="J2776" s="5" t="s">
        <v>385</v>
      </c>
      <c r="K2776" s="5" t="s">
        <v>95</v>
      </c>
      <c r="L2776" s="6">
        <v>45691</v>
      </c>
      <c r="M2776" s="6">
        <v>45688</v>
      </c>
      <c r="N2776" s="6" t="s">
        <v>811</v>
      </c>
      <c r="O2776" s="5" t="str">
        <f ca="1">IF(P2776&lt;&gt;"EXPEDIÇÃO","Expedido",IF(NETWORKDAYS(C2776,TODAY())&gt;=5,"Risco Alto",IF(NETWORKDAYS(C2776,TODAY())&gt;=3,IF(NETWORKDAYS(C2776,TODAY())&lt;5,"Risco Médio",""),IF(NETWORKDAYS(C2776,TODAY())&lt;=2,"Risco Baixo",""))))</f>
        <v>Expedido</v>
      </c>
      <c r="P2776" s="5" t="s">
        <v>617</v>
      </c>
      <c r="S2776" s="7">
        <f>IF(ISBLANK(M2776),"Aguardando Previsão/Data",NETWORKDAYS(L2776,M2776)-1)</f>
        <v>-3</v>
      </c>
    </row>
    <row r="2777" spans="1:20" x14ac:dyDescent="0.35">
      <c r="A2777" s="5">
        <v>8100280745</v>
      </c>
      <c r="B2777" s="5">
        <v>13377</v>
      </c>
      <c r="C2777" s="6">
        <v>45678</v>
      </c>
      <c r="D2777" s="5" t="s">
        <v>91</v>
      </c>
      <c r="E2777" s="5" t="s">
        <v>92</v>
      </c>
      <c r="F2777" s="5" t="s">
        <v>58</v>
      </c>
      <c r="G2777" s="5" t="s">
        <v>59</v>
      </c>
      <c r="H2777" s="5" t="s">
        <v>21</v>
      </c>
      <c r="I2777" s="5" t="s">
        <v>237</v>
      </c>
      <c r="J2777" s="5" t="s">
        <v>275</v>
      </c>
      <c r="K2777" s="5" t="s">
        <v>95</v>
      </c>
      <c r="L2777" s="6">
        <v>45691</v>
      </c>
      <c r="M2777" s="6">
        <v>45688</v>
      </c>
      <c r="N2777" s="6" t="s">
        <v>811</v>
      </c>
      <c r="O2777" s="5" t="str">
        <f ca="1">IF(P2777&lt;&gt;"EXPEDIÇÃO","Expedido",IF(NETWORKDAYS(C2777,TODAY())&gt;=5,"Risco Alto",IF(NETWORKDAYS(C2777,TODAY())&gt;=3,IF(NETWORKDAYS(C2777,TODAY())&lt;5,"Risco Médio",""),IF(NETWORKDAYS(C2777,TODAY())&lt;=2,"Risco Baixo",""))))</f>
        <v>Expedido</v>
      </c>
      <c r="P2777" s="5" t="s">
        <v>617</v>
      </c>
      <c r="S2777" s="7">
        <f>IF(ISBLANK(M2777),"Aguardando Previsão/Data",NETWORKDAYS(L2777,M2777)-1)</f>
        <v>-3</v>
      </c>
    </row>
    <row r="2778" spans="1:20" x14ac:dyDescent="0.35">
      <c r="A2778" s="5">
        <v>8100280747</v>
      </c>
      <c r="B2778" s="5">
        <v>13370</v>
      </c>
      <c r="C2778" s="6">
        <v>45678</v>
      </c>
      <c r="D2778" s="5" t="s">
        <v>91</v>
      </c>
      <c r="E2778" s="5" t="s">
        <v>92</v>
      </c>
      <c r="F2778" s="5" t="s">
        <v>96</v>
      </c>
      <c r="G2778" s="5" t="s">
        <v>97</v>
      </c>
      <c r="H2778" s="5" t="s">
        <v>21</v>
      </c>
      <c r="I2778" s="5" t="s">
        <v>1272</v>
      </c>
      <c r="J2778" s="5" t="s">
        <v>470</v>
      </c>
      <c r="K2778" s="5" t="s">
        <v>101</v>
      </c>
      <c r="L2778" s="6">
        <v>45687</v>
      </c>
      <c r="M2778" s="6">
        <v>45687</v>
      </c>
      <c r="N2778" s="6" t="s">
        <v>811</v>
      </c>
      <c r="O2778" s="5" t="str">
        <f ca="1">IF(P2778&lt;&gt;"EXPEDIÇÃO","Expedido",IF(NETWORKDAYS(C2778,TODAY())&gt;=5,"Risco Alto",IF(NETWORKDAYS(C2778,TODAY())&gt;=3,IF(NETWORKDAYS(C2778,TODAY())&lt;5,"Risco Médio",""),IF(NETWORKDAYS(C2778,TODAY())&lt;=2,"Risco Baixo",""))))</f>
        <v>Expedido</v>
      </c>
      <c r="P2778" s="5" t="s">
        <v>617</v>
      </c>
      <c r="Q2778" s="5" t="s">
        <v>898</v>
      </c>
      <c r="S2778" s="7">
        <f>IF(ISBLANK(M2778),"Aguardando Previsão/Data",NETWORKDAYS(L2778,M2778)-1)</f>
        <v>0</v>
      </c>
    </row>
    <row r="2779" spans="1:20" x14ac:dyDescent="0.35">
      <c r="A2779" s="5">
        <v>8100280933</v>
      </c>
      <c r="B2779" s="5">
        <v>13394</v>
      </c>
      <c r="C2779" s="6">
        <v>45678</v>
      </c>
      <c r="D2779" s="5" t="s">
        <v>91</v>
      </c>
      <c r="E2779" s="5" t="s">
        <v>92</v>
      </c>
      <c r="F2779" s="5" t="s">
        <v>103</v>
      </c>
      <c r="G2779" s="5" t="s">
        <v>104</v>
      </c>
      <c r="H2779" s="5" t="s">
        <v>21</v>
      </c>
      <c r="I2779" s="5" t="s">
        <v>1074</v>
      </c>
      <c r="J2779" s="5" t="s">
        <v>1066</v>
      </c>
      <c r="K2779" s="5" t="s">
        <v>274</v>
      </c>
      <c r="L2779" s="6">
        <v>45691</v>
      </c>
      <c r="M2779" s="6">
        <v>45686</v>
      </c>
      <c r="N2779" s="6" t="s">
        <v>811</v>
      </c>
      <c r="O2779" s="5" t="str">
        <f ca="1">IF(P2779&lt;&gt;"EXPEDIÇÃO","Expedido",IF(NETWORKDAYS(C2779,TODAY())&gt;=5,"Risco Alto",IF(NETWORKDAYS(C2779,TODAY())&gt;=3,IF(NETWORKDAYS(C2779,TODAY())&lt;5,"Risco Médio",""),IF(NETWORKDAYS(C2779,TODAY())&lt;=2,"Risco Baixo",""))))</f>
        <v>Expedido</v>
      </c>
      <c r="P2779" s="5" t="s">
        <v>25</v>
      </c>
      <c r="S2779" s="7">
        <f>IF(ISBLANK(M2779),"Aguardando Previsão/Data",NETWORKDAYS(L2779,M2779)-1)</f>
        <v>-5</v>
      </c>
      <c r="T2779" s="5" t="s">
        <v>942</v>
      </c>
    </row>
    <row r="2780" spans="1:20" x14ac:dyDescent="0.35">
      <c r="A2780" s="5">
        <v>8100280165</v>
      </c>
      <c r="B2780" s="5">
        <v>21502</v>
      </c>
      <c r="C2780" s="6">
        <v>45678</v>
      </c>
      <c r="D2780" s="5" t="s">
        <v>836</v>
      </c>
      <c r="E2780" s="5" t="s">
        <v>837</v>
      </c>
      <c r="F2780" s="5" t="s">
        <v>39</v>
      </c>
      <c r="G2780" s="5" t="s">
        <v>40</v>
      </c>
      <c r="H2780" s="5" t="s">
        <v>21</v>
      </c>
      <c r="I2780" s="5" t="s">
        <v>1096</v>
      </c>
      <c r="J2780" s="5" t="s">
        <v>41</v>
      </c>
      <c r="K2780" s="5" t="s">
        <v>24</v>
      </c>
      <c r="L2780" s="6">
        <v>45684</v>
      </c>
      <c r="M2780" s="6">
        <v>45684</v>
      </c>
      <c r="N2780" s="6" t="s">
        <v>811</v>
      </c>
      <c r="O2780" s="5" t="str">
        <f ca="1">IF(P2780&lt;&gt;"EXPEDIÇÃO","Expedido",IF(NETWORKDAYS(C2780,TODAY())&gt;=5,"Risco Alto",IF(NETWORKDAYS(C2780,TODAY())&gt;=3,IF(NETWORKDAYS(C2780,TODAY())&lt;5,"Risco Médio",""),IF(NETWORKDAYS(C2780,TODAY())&lt;=2,"Risco Baixo",""))))</f>
        <v>Expedido</v>
      </c>
      <c r="P2780" s="5" t="s">
        <v>25</v>
      </c>
      <c r="Q2780" s="5" t="s">
        <v>897</v>
      </c>
      <c r="R2780" s="5">
        <v>1694786</v>
      </c>
      <c r="S2780" s="7">
        <f>IF(ISBLANK(M2780),"Aguardando Previsão/Data",NETWORKDAYS(L2780,M2780)-1)</f>
        <v>0</v>
      </c>
      <c r="T2780" s="5" t="s">
        <v>942</v>
      </c>
    </row>
    <row r="2781" spans="1:20" x14ac:dyDescent="0.35">
      <c r="A2781" s="5">
        <v>8100280628</v>
      </c>
      <c r="B2781" s="5">
        <v>21541</v>
      </c>
      <c r="C2781" s="6">
        <v>45678</v>
      </c>
      <c r="D2781" s="5" t="s">
        <v>836</v>
      </c>
      <c r="E2781" s="5" t="s">
        <v>837</v>
      </c>
      <c r="F2781" s="5" t="s">
        <v>39</v>
      </c>
      <c r="G2781" s="5" t="s">
        <v>40</v>
      </c>
      <c r="H2781" s="5" t="s">
        <v>21</v>
      </c>
      <c r="I2781" s="5" t="s">
        <v>918</v>
      </c>
      <c r="J2781" s="5" t="s">
        <v>495</v>
      </c>
      <c r="K2781" s="5" t="s">
        <v>24</v>
      </c>
      <c r="L2781" s="6">
        <v>45687</v>
      </c>
      <c r="M2781" s="6">
        <v>45684</v>
      </c>
      <c r="N2781" s="6" t="s">
        <v>811</v>
      </c>
      <c r="O2781" s="5" t="str">
        <f ca="1">IF(P2781&lt;&gt;"EXPEDIÇÃO","Expedido",IF(NETWORKDAYS(C2781,TODAY())&gt;=5,"Risco Alto",IF(NETWORKDAYS(C2781,TODAY())&gt;=3,IF(NETWORKDAYS(C2781,TODAY())&lt;5,"Risco Médio",""),IF(NETWORKDAYS(C2781,TODAY())&lt;=2,"Risco Baixo",""))))</f>
        <v>Expedido</v>
      </c>
      <c r="P2781" s="5" t="s">
        <v>25</v>
      </c>
      <c r="S2781" s="7">
        <f>IF(ISBLANK(M2781),"Aguardando Previsão/Data",NETWORKDAYS(L2781,M2781)-1)</f>
        <v>-5</v>
      </c>
      <c r="T2781" s="5" t="s">
        <v>942</v>
      </c>
    </row>
    <row r="2782" spans="1:20" x14ac:dyDescent="0.35">
      <c r="A2782" s="5">
        <v>8100280802</v>
      </c>
      <c r="B2782" s="5">
        <v>21542</v>
      </c>
      <c r="C2782" s="6">
        <v>45678</v>
      </c>
      <c r="D2782" s="5" t="s">
        <v>836</v>
      </c>
      <c r="E2782" s="5" t="s">
        <v>837</v>
      </c>
      <c r="F2782" s="5" t="s">
        <v>84</v>
      </c>
      <c r="G2782" s="5" t="s">
        <v>85</v>
      </c>
      <c r="H2782" s="5" t="s">
        <v>21</v>
      </c>
      <c r="I2782" s="5" t="s">
        <v>1449</v>
      </c>
      <c r="J2782" s="5" t="s">
        <v>495</v>
      </c>
      <c r="K2782" s="5" t="s">
        <v>24</v>
      </c>
      <c r="L2782" s="6">
        <v>45687</v>
      </c>
      <c r="M2782" s="6">
        <v>45688</v>
      </c>
      <c r="N2782" s="6" t="s">
        <v>812</v>
      </c>
      <c r="O2782" s="5" t="str">
        <f ca="1">IF(P2782&lt;&gt;"EXPEDIÇÃO","Expedido",IF(NETWORKDAYS(C2782,TODAY())&gt;=5,"Risco Alto",IF(NETWORKDAYS(C2782,TODAY())&gt;=3,IF(NETWORKDAYS(C2782,TODAY())&lt;5,"Risco Médio",""),IF(NETWORKDAYS(C2782,TODAY())&lt;=2,"Risco Baixo",""))))</f>
        <v>Risco Alto</v>
      </c>
      <c r="P2782" s="5" t="s">
        <v>726</v>
      </c>
      <c r="S2782" s="7">
        <f>IF(ISBLANK(M2782),"Aguardando Previsão/Data",NETWORKDAYS(L2782,M2782)-1)</f>
        <v>1</v>
      </c>
    </row>
    <row r="2783" spans="1:20" x14ac:dyDescent="0.35">
      <c r="A2783" s="5">
        <v>8100279605</v>
      </c>
      <c r="B2783" s="5">
        <v>10924</v>
      </c>
      <c r="C2783" s="6">
        <v>45678</v>
      </c>
      <c r="D2783" s="5" t="s">
        <v>239</v>
      </c>
      <c r="E2783" s="5" t="s">
        <v>240</v>
      </c>
      <c r="F2783" s="5" t="s">
        <v>176</v>
      </c>
      <c r="G2783" s="5" t="s">
        <v>177</v>
      </c>
      <c r="H2783" s="5" t="s">
        <v>218</v>
      </c>
      <c r="I2783" s="5" t="s">
        <v>1318</v>
      </c>
      <c r="J2783" s="5" t="s">
        <v>1319</v>
      </c>
      <c r="K2783" s="5" t="s">
        <v>241</v>
      </c>
      <c r="L2783" s="6">
        <v>45685</v>
      </c>
      <c r="M2783" s="6">
        <v>45680</v>
      </c>
      <c r="O2783" s="5" t="str">
        <f ca="1">IF(P2783&lt;&gt;"EXPEDIÇÃO","Expedido",IF(NETWORKDAYS(C2783,TODAY())&gt;=5,"Risco Alto",IF(NETWORKDAYS(C2783,TODAY())&gt;=3,IF(NETWORKDAYS(C2783,TODAY())&lt;5,"Risco Médio",""),IF(NETWORKDAYS(C2783,TODAY())&lt;=2,"Risco Baixo",""))))</f>
        <v>Expedido</v>
      </c>
      <c r="P2783" s="5" t="s">
        <v>629</v>
      </c>
      <c r="Q2783" s="5" t="s">
        <v>363</v>
      </c>
      <c r="S2783" s="7">
        <f>IF(ISBLANK(M2783),"Aguardando Previsão/Data",NETWORKDAYS(L2783,M2783)-1)</f>
        <v>-5</v>
      </c>
      <c r="T2783" s="5" t="s">
        <v>942</v>
      </c>
    </row>
    <row r="2784" spans="1:20" x14ac:dyDescent="0.35">
      <c r="A2784" s="5">
        <v>8100279595</v>
      </c>
      <c r="B2784" s="5">
        <v>10927</v>
      </c>
      <c r="C2784" s="6">
        <v>45678</v>
      </c>
      <c r="D2784" s="5" t="s">
        <v>239</v>
      </c>
      <c r="E2784" s="5" t="s">
        <v>240</v>
      </c>
      <c r="F2784" s="5" t="s">
        <v>147</v>
      </c>
      <c r="G2784" s="5" t="s">
        <v>148</v>
      </c>
      <c r="H2784" s="5" t="s">
        <v>218</v>
      </c>
      <c r="I2784" s="5" t="s">
        <v>82</v>
      </c>
      <c r="J2784" s="5" t="s">
        <v>296</v>
      </c>
      <c r="K2784" s="5" t="s">
        <v>80</v>
      </c>
      <c r="L2784" s="6">
        <v>45688</v>
      </c>
      <c r="M2784" s="6">
        <v>45684</v>
      </c>
      <c r="N2784" s="6" t="s">
        <v>811</v>
      </c>
      <c r="O2784" s="5" t="str">
        <f ca="1">IF(P2784&lt;&gt;"EXPEDIÇÃO","Expedido",IF(NETWORKDAYS(C2784,TODAY())&gt;=5,"Risco Alto",IF(NETWORKDAYS(C2784,TODAY())&gt;=3,IF(NETWORKDAYS(C2784,TODAY())&lt;5,"Risco Médio",""),IF(NETWORKDAYS(C2784,TODAY())&lt;=2,"Risco Baixo",""))))</f>
        <v>Expedido</v>
      </c>
      <c r="P2784" s="5" t="s">
        <v>25</v>
      </c>
      <c r="Q2784" s="5" t="s">
        <v>926</v>
      </c>
      <c r="S2784" s="7">
        <f>IF(ISBLANK(M2784),"Aguardando Previsão/Data",NETWORKDAYS(L2784,M2784)-1)</f>
        <v>-6</v>
      </c>
      <c r="T2784" s="5" t="s">
        <v>942</v>
      </c>
    </row>
    <row r="2785" spans="1:20" x14ac:dyDescent="0.35">
      <c r="A2785" s="5">
        <v>8100280262</v>
      </c>
      <c r="B2785" s="5">
        <v>10929</v>
      </c>
      <c r="C2785" s="6">
        <v>45678</v>
      </c>
      <c r="D2785" s="5" t="s">
        <v>239</v>
      </c>
      <c r="E2785" s="5" t="s">
        <v>240</v>
      </c>
      <c r="F2785" s="5" t="s">
        <v>242</v>
      </c>
      <c r="G2785" s="5" t="s">
        <v>243</v>
      </c>
      <c r="H2785" s="5" t="s">
        <v>218</v>
      </c>
      <c r="I2785" s="5" t="s">
        <v>460</v>
      </c>
      <c r="J2785" s="5" t="s">
        <v>461</v>
      </c>
      <c r="K2785" s="5" t="s">
        <v>241</v>
      </c>
      <c r="L2785" s="6">
        <v>45684</v>
      </c>
      <c r="M2785" s="6">
        <v>45681</v>
      </c>
      <c r="N2785" s="6" t="s">
        <v>811</v>
      </c>
      <c r="O2785" s="5" t="str">
        <f ca="1">IF(P2785&lt;&gt;"EXPEDIÇÃO","Expedido",IF(NETWORKDAYS(C2785,TODAY())&gt;=5,"Risco Alto",IF(NETWORKDAYS(C2785,TODAY())&gt;=3,IF(NETWORKDAYS(C2785,TODAY())&lt;5,"Risco Médio",""),IF(NETWORKDAYS(C2785,TODAY())&lt;=2,"Risco Baixo",""))))</f>
        <v>Expedido</v>
      </c>
      <c r="P2785" s="5" t="s">
        <v>25</v>
      </c>
      <c r="Q2785" s="5" t="s">
        <v>793</v>
      </c>
      <c r="S2785" s="7">
        <f>IF(ISBLANK(M2785),"Aguardando Previsão/Data",NETWORKDAYS(L2785,M2785)-1)</f>
        <v>-3</v>
      </c>
      <c r="T2785" s="5" t="s">
        <v>942</v>
      </c>
    </row>
    <row r="2786" spans="1:20" x14ac:dyDescent="0.35">
      <c r="A2786" s="5">
        <v>8100280536</v>
      </c>
      <c r="B2786" s="5">
        <v>10925</v>
      </c>
      <c r="C2786" s="6">
        <v>45678</v>
      </c>
      <c r="D2786" s="5" t="s">
        <v>239</v>
      </c>
      <c r="E2786" s="5" t="s">
        <v>240</v>
      </c>
      <c r="F2786" s="5" t="s">
        <v>147</v>
      </c>
      <c r="G2786" s="5" t="s">
        <v>148</v>
      </c>
      <c r="H2786" s="5" t="s">
        <v>218</v>
      </c>
      <c r="I2786" s="5" t="s">
        <v>128</v>
      </c>
      <c r="J2786" s="5" t="s">
        <v>531</v>
      </c>
      <c r="K2786" s="5" t="s">
        <v>80</v>
      </c>
      <c r="L2786" s="6">
        <v>45681</v>
      </c>
      <c r="M2786" s="6">
        <v>45685</v>
      </c>
      <c r="N2786" s="6" t="s">
        <v>811</v>
      </c>
      <c r="O2786" s="5" t="str">
        <f ca="1">IF(P2786&lt;&gt;"EXPEDIÇÃO","Expedido",IF(NETWORKDAYS(C2786,TODAY())&gt;=5,"Risco Alto",IF(NETWORKDAYS(C2786,TODAY())&gt;=3,IF(NETWORKDAYS(C2786,TODAY())&lt;5,"Risco Médio",""),IF(NETWORKDAYS(C2786,TODAY())&lt;=2,"Risco Baixo",""))))</f>
        <v>Expedido</v>
      </c>
      <c r="P2786" s="5" t="s">
        <v>25</v>
      </c>
      <c r="Q2786" s="5" t="s">
        <v>926</v>
      </c>
      <c r="S2786" s="7">
        <f>IF(ISBLANK(M2786),"Aguardando Previsão/Data",NETWORKDAYS(L2786,M2786)-1)</f>
        <v>2</v>
      </c>
      <c r="T2786" s="5" t="s">
        <v>942</v>
      </c>
    </row>
    <row r="2787" spans="1:20" x14ac:dyDescent="0.35">
      <c r="A2787" s="5">
        <v>8100280537</v>
      </c>
      <c r="B2787" s="5">
        <v>10918</v>
      </c>
      <c r="C2787" s="6">
        <v>45678</v>
      </c>
      <c r="D2787" s="5" t="s">
        <v>239</v>
      </c>
      <c r="E2787" s="5" t="s">
        <v>240</v>
      </c>
      <c r="F2787" s="5" t="s">
        <v>176</v>
      </c>
      <c r="G2787" s="5" t="s">
        <v>177</v>
      </c>
      <c r="H2787" s="5" t="s">
        <v>218</v>
      </c>
      <c r="I2787" s="5" t="s">
        <v>324</v>
      </c>
      <c r="J2787" s="5" t="s">
        <v>325</v>
      </c>
      <c r="K2787" s="5" t="s">
        <v>241</v>
      </c>
      <c r="L2787" s="6">
        <v>45686</v>
      </c>
      <c r="M2787" s="6">
        <v>45681</v>
      </c>
      <c r="N2787" s="6" t="s">
        <v>811</v>
      </c>
      <c r="O2787" s="5" t="str">
        <f ca="1">IF(P2787&lt;&gt;"EXPEDIÇÃO","Expedido",IF(NETWORKDAYS(C2787,TODAY())&gt;=5,"Risco Alto",IF(NETWORKDAYS(C2787,TODAY())&gt;=3,IF(NETWORKDAYS(C2787,TODAY())&lt;5,"Risco Médio",""),IF(NETWORKDAYS(C2787,TODAY())&lt;=2,"Risco Baixo",""))))</f>
        <v>Expedido</v>
      </c>
      <c r="P2787" s="5" t="s">
        <v>25</v>
      </c>
      <c r="Q2787" s="5" t="s">
        <v>793</v>
      </c>
      <c r="S2787" s="7">
        <f>IF(ISBLANK(M2787),"Aguardando Previsão/Data",NETWORKDAYS(L2787,M2787)-1)</f>
        <v>-5</v>
      </c>
      <c r="T2787" s="5" t="s">
        <v>942</v>
      </c>
    </row>
    <row r="2788" spans="1:20" x14ac:dyDescent="0.35">
      <c r="A2788" s="5">
        <v>8100280538</v>
      </c>
      <c r="B2788" s="5">
        <v>10917</v>
      </c>
      <c r="C2788" s="6">
        <v>45678</v>
      </c>
      <c r="D2788" s="5" t="s">
        <v>239</v>
      </c>
      <c r="E2788" s="5" t="s">
        <v>240</v>
      </c>
      <c r="F2788" s="5" t="s">
        <v>176</v>
      </c>
      <c r="G2788" s="5" t="s">
        <v>177</v>
      </c>
      <c r="H2788" s="5" t="s">
        <v>218</v>
      </c>
      <c r="I2788" s="5" t="s">
        <v>247</v>
      </c>
      <c r="J2788" s="5" t="s">
        <v>248</v>
      </c>
      <c r="K2788" s="5" t="s">
        <v>241</v>
      </c>
      <c r="L2788" s="6">
        <v>45685</v>
      </c>
      <c r="M2788" s="6">
        <v>45680</v>
      </c>
      <c r="N2788" s="6" t="s">
        <v>811</v>
      </c>
      <c r="O2788" s="5" t="str">
        <f ca="1">IF(P2788&lt;&gt;"EXPEDIÇÃO","Expedido",IF(NETWORKDAYS(C2788,TODAY())&gt;=5,"Risco Alto",IF(NETWORKDAYS(C2788,TODAY())&gt;=3,IF(NETWORKDAYS(C2788,TODAY())&lt;5,"Risco Médio",""),IF(NETWORKDAYS(C2788,TODAY())&lt;=2,"Risco Baixo",""))))</f>
        <v>Expedido</v>
      </c>
      <c r="P2788" s="5" t="s">
        <v>25</v>
      </c>
      <c r="Q2788" s="5" t="s">
        <v>793</v>
      </c>
      <c r="S2788" s="7">
        <f>IF(ISBLANK(M2788),"Aguardando Previsão/Data",NETWORKDAYS(L2788,M2788)-1)</f>
        <v>-5</v>
      </c>
      <c r="T2788" s="5" t="s">
        <v>942</v>
      </c>
    </row>
    <row r="2789" spans="1:20" x14ac:dyDescent="0.35">
      <c r="A2789" s="5">
        <v>8100280566</v>
      </c>
      <c r="B2789" s="5">
        <v>10920</v>
      </c>
      <c r="C2789" s="6">
        <v>45678</v>
      </c>
      <c r="D2789" s="5" t="s">
        <v>239</v>
      </c>
      <c r="E2789" s="5" t="s">
        <v>240</v>
      </c>
      <c r="F2789" s="5" t="s">
        <v>242</v>
      </c>
      <c r="G2789" s="5" t="s">
        <v>243</v>
      </c>
      <c r="H2789" s="5" t="s">
        <v>218</v>
      </c>
      <c r="I2789" s="5" t="s">
        <v>354</v>
      </c>
      <c r="J2789" s="5" t="s">
        <v>641</v>
      </c>
      <c r="K2789" s="5" t="s">
        <v>241</v>
      </c>
      <c r="L2789" s="6">
        <v>45684</v>
      </c>
      <c r="M2789" s="6">
        <v>45680</v>
      </c>
      <c r="N2789" s="6" t="s">
        <v>811</v>
      </c>
      <c r="O2789" s="5" t="str">
        <f ca="1">IF(P2789&lt;&gt;"EXPEDIÇÃO","Expedido",IF(NETWORKDAYS(C2789,TODAY())&gt;=5,"Risco Alto",IF(NETWORKDAYS(C2789,TODAY())&gt;=3,IF(NETWORKDAYS(C2789,TODAY())&lt;5,"Risco Médio",""),IF(NETWORKDAYS(C2789,TODAY())&lt;=2,"Risco Baixo",""))))</f>
        <v>Expedido</v>
      </c>
      <c r="P2789" s="5" t="s">
        <v>25</v>
      </c>
      <c r="Q2789" s="5" t="s">
        <v>793</v>
      </c>
      <c r="S2789" s="7">
        <f>IF(ISBLANK(M2789),"Aguardando Previsão/Data",NETWORKDAYS(L2789,M2789)-1)</f>
        <v>-4</v>
      </c>
      <c r="T2789" s="5" t="s">
        <v>942</v>
      </c>
    </row>
    <row r="2790" spans="1:20" x14ac:dyDescent="0.35">
      <c r="A2790" s="5">
        <v>8100280567</v>
      </c>
      <c r="B2790" s="5">
        <v>10922</v>
      </c>
      <c r="C2790" s="6">
        <v>45678</v>
      </c>
      <c r="D2790" s="5" t="s">
        <v>239</v>
      </c>
      <c r="E2790" s="5" t="s">
        <v>240</v>
      </c>
      <c r="F2790" s="5" t="s">
        <v>176</v>
      </c>
      <c r="G2790" s="5" t="s">
        <v>177</v>
      </c>
      <c r="H2790" s="5" t="s">
        <v>218</v>
      </c>
      <c r="I2790" s="5" t="s">
        <v>324</v>
      </c>
      <c r="J2790" s="5" t="s">
        <v>325</v>
      </c>
      <c r="K2790" s="5" t="s">
        <v>241</v>
      </c>
      <c r="L2790" s="6">
        <v>45686</v>
      </c>
      <c r="M2790" s="6">
        <v>45681</v>
      </c>
      <c r="N2790" s="6" t="s">
        <v>811</v>
      </c>
      <c r="O2790" s="5" t="str">
        <f ca="1">IF(P2790&lt;&gt;"EXPEDIÇÃO","Expedido",IF(NETWORKDAYS(C2790,TODAY())&gt;=5,"Risco Alto",IF(NETWORKDAYS(C2790,TODAY())&gt;=3,IF(NETWORKDAYS(C2790,TODAY())&lt;5,"Risco Médio",""),IF(NETWORKDAYS(C2790,TODAY())&lt;=2,"Risco Baixo",""))))</f>
        <v>Expedido</v>
      </c>
      <c r="P2790" s="5" t="s">
        <v>25</v>
      </c>
      <c r="Q2790" s="5" t="s">
        <v>793</v>
      </c>
      <c r="S2790" s="7">
        <f>IF(ISBLANK(M2790),"Aguardando Previsão/Data",NETWORKDAYS(L2790,M2790)-1)</f>
        <v>-5</v>
      </c>
      <c r="T2790" s="5" t="s">
        <v>942</v>
      </c>
    </row>
    <row r="2791" spans="1:20" x14ac:dyDescent="0.35">
      <c r="A2791" s="5">
        <v>8100280568</v>
      </c>
      <c r="B2791" s="5">
        <v>10923</v>
      </c>
      <c r="C2791" s="6">
        <v>45678</v>
      </c>
      <c r="D2791" s="5" t="s">
        <v>239</v>
      </c>
      <c r="E2791" s="5" t="s">
        <v>240</v>
      </c>
      <c r="F2791" s="5" t="s">
        <v>176</v>
      </c>
      <c r="G2791" s="5" t="s">
        <v>177</v>
      </c>
      <c r="H2791" s="5" t="s">
        <v>218</v>
      </c>
      <c r="I2791" s="5" t="s">
        <v>324</v>
      </c>
      <c r="J2791" s="5" t="s">
        <v>325</v>
      </c>
      <c r="K2791" s="5" t="s">
        <v>241</v>
      </c>
      <c r="L2791" s="6">
        <v>45686</v>
      </c>
      <c r="M2791" s="6">
        <v>45681</v>
      </c>
      <c r="N2791" s="6" t="s">
        <v>811</v>
      </c>
      <c r="O2791" s="5" t="str">
        <f ca="1">IF(P2791&lt;&gt;"EXPEDIÇÃO","Expedido",IF(NETWORKDAYS(C2791,TODAY())&gt;=5,"Risco Alto",IF(NETWORKDAYS(C2791,TODAY())&gt;=3,IF(NETWORKDAYS(C2791,TODAY())&lt;5,"Risco Médio",""),IF(NETWORKDAYS(C2791,TODAY())&lt;=2,"Risco Baixo",""))))</f>
        <v>Expedido</v>
      </c>
      <c r="P2791" s="5" t="s">
        <v>25</v>
      </c>
      <c r="Q2791" s="5" t="s">
        <v>793</v>
      </c>
      <c r="S2791" s="7">
        <f>IF(ISBLANK(M2791),"Aguardando Previsão/Data",NETWORKDAYS(L2791,M2791)-1)</f>
        <v>-5</v>
      </c>
      <c r="T2791" s="5" t="s">
        <v>942</v>
      </c>
    </row>
    <row r="2792" spans="1:20" x14ac:dyDescent="0.35">
      <c r="A2792" s="5">
        <v>8100280700</v>
      </c>
      <c r="B2792" s="5">
        <v>10926</v>
      </c>
      <c r="C2792" s="6">
        <v>45678</v>
      </c>
      <c r="D2792" s="5" t="s">
        <v>239</v>
      </c>
      <c r="E2792" s="5" t="s">
        <v>240</v>
      </c>
      <c r="F2792" s="5" t="s">
        <v>147</v>
      </c>
      <c r="G2792" s="5" t="s">
        <v>148</v>
      </c>
      <c r="H2792" s="5" t="s">
        <v>218</v>
      </c>
      <c r="I2792" s="5" t="s">
        <v>128</v>
      </c>
      <c r="J2792" s="5" t="s">
        <v>531</v>
      </c>
      <c r="K2792" s="5" t="s">
        <v>80</v>
      </c>
      <c r="L2792" s="6">
        <v>45681</v>
      </c>
      <c r="M2792" s="6">
        <v>45685</v>
      </c>
      <c r="N2792" s="6" t="s">
        <v>811</v>
      </c>
      <c r="O2792" s="5" t="str">
        <f ca="1">IF(P2792&lt;&gt;"EXPEDIÇÃO","Expedido",IF(NETWORKDAYS(C2792,TODAY())&gt;=5,"Risco Alto",IF(NETWORKDAYS(C2792,TODAY())&gt;=3,IF(NETWORKDAYS(C2792,TODAY())&lt;5,"Risco Médio",""),IF(NETWORKDAYS(C2792,TODAY())&lt;=2,"Risco Baixo",""))))</f>
        <v>Expedido</v>
      </c>
      <c r="P2792" s="5" t="s">
        <v>25</v>
      </c>
      <c r="Q2792" s="5" t="s">
        <v>926</v>
      </c>
      <c r="S2792" s="7">
        <f>IF(ISBLANK(M2792),"Aguardando Previsão/Data",NETWORKDAYS(L2792,M2792)-1)</f>
        <v>2</v>
      </c>
      <c r="T2792" s="5" t="s">
        <v>942</v>
      </c>
    </row>
    <row r="2793" spans="1:20" x14ac:dyDescent="0.35">
      <c r="A2793" s="5">
        <v>8100280715</v>
      </c>
      <c r="B2793" s="5">
        <v>10921</v>
      </c>
      <c r="C2793" s="6">
        <v>45678</v>
      </c>
      <c r="D2793" s="5" t="s">
        <v>239</v>
      </c>
      <c r="E2793" s="5" t="s">
        <v>240</v>
      </c>
      <c r="F2793" s="5" t="s">
        <v>176</v>
      </c>
      <c r="G2793" s="5" t="s">
        <v>177</v>
      </c>
      <c r="H2793" s="5" t="s">
        <v>218</v>
      </c>
      <c r="I2793" s="5" t="s">
        <v>247</v>
      </c>
      <c r="J2793" s="5" t="s">
        <v>248</v>
      </c>
      <c r="K2793" s="5" t="s">
        <v>241</v>
      </c>
      <c r="L2793" s="6">
        <v>45685</v>
      </c>
      <c r="M2793" s="6">
        <v>45680</v>
      </c>
      <c r="N2793" s="6" t="s">
        <v>811</v>
      </c>
      <c r="O2793" s="5" t="str">
        <f ca="1">IF(P2793&lt;&gt;"EXPEDIÇÃO","Expedido",IF(NETWORKDAYS(C2793,TODAY())&gt;=5,"Risco Alto",IF(NETWORKDAYS(C2793,TODAY())&gt;=3,IF(NETWORKDAYS(C2793,TODAY())&lt;5,"Risco Médio",""),IF(NETWORKDAYS(C2793,TODAY())&lt;=2,"Risco Baixo",""))))</f>
        <v>Expedido</v>
      </c>
      <c r="P2793" s="5" t="s">
        <v>25</v>
      </c>
      <c r="Q2793" s="5" t="s">
        <v>793</v>
      </c>
      <c r="S2793" s="7">
        <f>IF(ISBLANK(M2793),"Aguardando Previsão/Data",NETWORKDAYS(L2793,M2793)-1)</f>
        <v>-5</v>
      </c>
      <c r="T2793" s="5" t="s">
        <v>942</v>
      </c>
    </row>
    <row r="2794" spans="1:20" x14ac:dyDescent="0.35">
      <c r="A2794" s="5">
        <v>8100280962</v>
      </c>
      <c r="B2794" s="5">
        <v>10928</v>
      </c>
      <c r="C2794" s="6">
        <v>45678</v>
      </c>
      <c r="D2794" s="5" t="s">
        <v>239</v>
      </c>
      <c r="E2794" s="5" t="s">
        <v>240</v>
      </c>
      <c r="F2794" s="5" t="s">
        <v>242</v>
      </c>
      <c r="G2794" s="5" t="s">
        <v>243</v>
      </c>
      <c r="H2794" s="5" t="s">
        <v>218</v>
      </c>
      <c r="I2794" s="5" t="s">
        <v>245</v>
      </c>
      <c r="J2794" s="5" t="s">
        <v>246</v>
      </c>
      <c r="K2794" s="5" t="s">
        <v>241</v>
      </c>
      <c r="L2794" s="6">
        <v>45685</v>
      </c>
      <c r="M2794" s="6">
        <v>45681</v>
      </c>
      <c r="N2794" s="6" t="s">
        <v>811</v>
      </c>
      <c r="O2794" s="5" t="str">
        <f ca="1">IF(P2794&lt;&gt;"EXPEDIÇÃO","Expedido",IF(NETWORKDAYS(C2794,TODAY())&gt;=5,"Risco Alto",IF(NETWORKDAYS(C2794,TODAY())&gt;=3,IF(NETWORKDAYS(C2794,TODAY())&lt;5,"Risco Médio",""),IF(NETWORKDAYS(C2794,TODAY())&lt;=2,"Risco Baixo",""))))</f>
        <v>Expedido</v>
      </c>
      <c r="P2794" s="5" t="s">
        <v>25</v>
      </c>
      <c r="Q2794" s="5" t="s">
        <v>793</v>
      </c>
      <c r="S2794" s="7">
        <f>IF(ISBLANK(M2794),"Aguardando Previsão/Data",NETWORKDAYS(L2794,M2794)-1)</f>
        <v>-4</v>
      </c>
      <c r="T2794" s="5" t="s">
        <v>942</v>
      </c>
    </row>
    <row r="2795" spans="1:20" x14ac:dyDescent="0.35">
      <c r="A2795" s="5">
        <v>8100279041</v>
      </c>
      <c r="B2795" s="5">
        <v>19496</v>
      </c>
      <c r="C2795" s="6">
        <v>45678</v>
      </c>
      <c r="D2795" s="5" t="s">
        <v>106</v>
      </c>
      <c r="E2795" s="5" t="s">
        <v>107</v>
      </c>
      <c r="F2795" s="5" t="s">
        <v>58</v>
      </c>
      <c r="G2795" s="5" t="s">
        <v>59</v>
      </c>
      <c r="H2795" s="5" t="s">
        <v>218</v>
      </c>
      <c r="I2795" s="5" t="s">
        <v>519</v>
      </c>
      <c r="J2795" s="5" t="s">
        <v>640</v>
      </c>
      <c r="K2795" s="5" t="s">
        <v>233</v>
      </c>
      <c r="L2795" s="6">
        <v>45695</v>
      </c>
      <c r="M2795" s="6">
        <v>45695</v>
      </c>
      <c r="N2795" s="6" t="s">
        <v>811</v>
      </c>
      <c r="O2795" s="5" t="str">
        <f ca="1">IF(P2795&lt;&gt;"EXPEDIÇÃO","Expedido",IF(NETWORKDAYS(C2795,TODAY())&gt;=5,"Risco Alto",IF(NETWORKDAYS(C2795,TODAY())&gt;=3,IF(NETWORKDAYS(C2795,TODAY())&lt;5,"Risco Médio",""),IF(NETWORKDAYS(C2795,TODAY())&lt;=2,"Risco Baixo",""))))</f>
        <v>Expedido</v>
      </c>
      <c r="P2795" s="5" t="s">
        <v>617</v>
      </c>
      <c r="S2795" s="7">
        <f>IF(ISBLANK(M2795),"Aguardando Previsão/Data",NETWORKDAYS(L2795,M2795)-1)</f>
        <v>0</v>
      </c>
    </row>
    <row r="2796" spans="1:20" x14ac:dyDescent="0.35">
      <c r="A2796" s="5">
        <v>8100279042</v>
      </c>
      <c r="B2796" s="5">
        <v>19497</v>
      </c>
      <c r="C2796" s="6">
        <v>45678</v>
      </c>
      <c r="D2796" s="5" t="s">
        <v>106</v>
      </c>
      <c r="E2796" s="5" t="s">
        <v>107</v>
      </c>
      <c r="F2796" s="5" t="s">
        <v>58</v>
      </c>
      <c r="G2796" s="5" t="s">
        <v>59</v>
      </c>
      <c r="H2796" s="5" t="s">
        <v>218</v>
      </c>
      <c r="I2796" s="5" t="s">
        <v>519</v>
      </c>
      <c r="J2796" s="5" t="s">
        <v>640</v>
      </c>
      <c r="K2796" s="5" t="s">
        <v>233</v>
      </c>
      <c r="L2796" s="6">
        <v>45695</v>
      </c>
      <c r="M2796" s="6">
        <v>45695</v>
      </c>
      <c r="N2796" s="6" t="s">
        <v>811</v>
      </c>
      <c r="O2796" s="5" t="str">
        <f ca="1">IF(P2796&lt;&gt;"EXPEDIÇÃO","Expedido",IF(NETWORKDAYS(C2796,TODAY())&gt;=5,"Risco Alto",IF(NETWORKDAYS(C2796,TODAY())&gt;=3,IF(NETWORKDAYS(C2796,TODAY())&lt;5,"Risco Médio",""),IF(NETWORKDAYS(C2796,TODAY())&lt;=2,"Risco Baixo",""))))</f>
        <v>Expedido</v>
      </c>
      <c r="P2796" s="5" t="s">
        <v>617</v>
      </c>
      <c r="S2796" s="7">
        <f>IF(ISBLANK(M2796),"Aguardando Previsão/Data",NETWORKDAYS(L2796,M2796)-1)</f>
        <v>0</v>
      </c>
    </row>
    <row r="2797" spans="1:20" x14ac:dyDescent="0.35">
      <c r="A2797" s="5">
        <v>8100279069</v>
      </c>
      <c r="B2797" s="5">
        <v>19498</v>
      </c>
      <c r="C2797" s="6">
        <v>45678</v>
      </c>
      <c r="D2797" s="5" t="s">
        <v>106</v>
      </c>
      <c r="E2797" s="5" t="s">
        <v>107</v>
      </c>
      <c r="F2797" s="5" t="s">
        <v>58</v>
      </c>
      <c r="G2797" s="5" t="s">
        <v>59</v>
      </c>
      <c r="H2797" s="5" t="s">
        <v>218</v>
      </c>
      <c r="I2797" s="5" t="s">
        <v>519</v>
      </c>
      <c r="J2797" s="5" t="s">
        <v>640</v>
      </c>
      <c r="K2797" s="5" t="s">
        <v>233</v>
      </c>
      <c r="L2797" s="6">
        <v>45695</v>
      </c>
      <c r="M2797" s="6">
        <v>45695</v>
      </c>
      <c r="N2797" s="6" t="s">
        <v>811</v>
      </c>
      <c r="O2797" s="5" t="str">
        <f ca="1">IF(P2797&lt;&gt;"EXPEDIÇÃO","Expedido",IF(NETWORKDAYS(C2797,TODAY())&gt;=5,"Risco Alto",IF(NETWORKDAYS(C2797,TODAY())&gt;=3,IF(NETWORKDAYS(C2797,TODAY())&lt;5,"Risco Médio",""),IF(NETWORKDAYS(C2797,TODAY())&lt;=2,"Risco Baixo",""))))</f>
        <v>Expedido</v>
      </c>
      <c r="P2797" s="5" t="s">
        <v>617</v>
      </c>
      <c r="S2797" s="7">
        <f>IF(ISBLANK(M2797),"Aguardando Previsão/Data",NETWORKDAYS(L2797,M2797)-1)</f>
        <v>0</v>
      </c>
    </row>
    <row r="2798" spans="1:20" x14ac:dyDescent="0.35">
      <c r="A2798" s="5">
        <v>8100279071</v>
      </c>
      <c r="B2798" s="5">
        <v>19499</v>
      </c>
      <c r="C2798" s="6">
        <v>45678</v>
      </c>
      <c r="D2798" s="5" t="s">
        <v>106</v>
      </c>
      <c r="E2798" s="5" t="s">
        <v>107</v>
      </c>
      <c r="F2798" s="5" t="s">
        <v>58</v>
      </c>
      <c r="G2798" s="5" t="s">
        <v>59</v>
      </c>
      <c r="H2798" s="5" t="s">
        <v>218</v>
      </c>
      <c r="I2798" s="5" t="s">
        <v>519</v>
      </c>
      <c r="J2798" s="5" t="s">
        <v>640</v>
      </c>
      <c r="K2798" s="5" t="s">
        <v>233</v>
      </c>
      <c r="L2798" s="6">
        <v>45695</v>
      </c>
      <c r="M2798" s="6">
        <v>45695</v>
      </c>
      <c r="N2798" s="6" t="s">
        <v>811</v>
      </c>
      <c r="O2798" s="5" t="str">
        <f ca="1">IF(P2798&lt;&gt;"EXPEDIÇÃO","Expedido",IF(NETWORKDAYS(C2798,TODAY())&gt;=5,"Risco Alto",IF(NETWORKDAYS(C2798,TODAY())&gt;=3,IF(NETWORKDAYS(C2798,TODAY())&lt;5,"Risco Médio",""),IF(NETWORKDAYS(C2798,TODAY())&lt;=2,"Risco Baixo",""))))</f>
        <v>Expedido</v>
      </c>
      <c r="P2798" s="5" t="s">
        <v>617</v>
      </c>
      <c r="S2798" s="7">
        <f>IF(ISBLANK(M2798),"Aguardando Previsão/Data",NETWORKDAYS(L2798,M2798)-1)</f>
        <v>0</v>
      </c>
    </row>
    <row r="2799" spans="1:20" x14ac:dyDescent="0.35">
      <c r="A2799" s="5">
        <v>8100280159</v>
      </c>
      <c r="B2799" s="5">
        <v>19500</v>
      </c>
      <c r="C2799" s="6">
        <v>45678</v>
      </c>
      <c r="D2799" s="5" t="s">
        <v>106</v>
      </c>
      <c r="E2799" s="5" t="s">
        <v>107</v>
      </c>
      <c r="F2799" s="5" t="s">
        <v>58</v>
      </c>
      <c r="G2799" s="5" t="s">
        <v>59</v>
      </c>
      <c r="H2799" s="5" t="s">
        <v>218</v>
      </c>
      <c r="I2799" s="5" t="s">
        <v>519</v>
      </c>
      <c r="J2799" s="5" t="s">
        <v>640</v>
      </c>
      <c r="K2799" s="5" t="s">
        <v>233</v>
      </c>
      <c r="L2799" s="6">
        <v>45695</v>
      </c>
      <c r="M2799" s="6">
        <v>45695</v>
      </c>
      <c r="N2799" s="6" t="s">
        <v>811</v>
      </c>
      <c r="O2799" s="5" t="str">
        <f ca="1">IF(P2799&lt;&gt;"EXPEDIÇÃO","Expedido",IF(NETWORKDAYS(C2799,TODAY())&gt;=5,"Risco Alto",IF(NETWORKDAYS(C2799,TODAY())&gt;=3,IF(NETWORKDAYS(C2799,TODAY())&lt;5,"Risco Médio",""),IF(NETWORKDAYS(C2799,TODAY())&lt;=2,"Risco Baixo",""))))</f>
        <v>Expedido</v>
      </c>
      <c r="P2799" s="5" t="s">
        <v>617</v>
      </c>
      <c r="S2799" s="7">
        <f>IF(ISBLANK(M2799),"Aguardando Previsão/Data",NETWORKDAYS(L2799,M2799)-1)</f>
        <v>0</v>
      </c>
    </row>
    <row r="2800" spans="1:20" x14ac:dyDescent="0.35">
      <c r="A2800" s="5">
        <v>8100279045</v>
      </c>
      <c r="B2800" s="5">
        <v>19472</v>
      </c>
      <c r="C2800" s="6">
        <v>45678</v>
      </c>
      <c r="D2800" s="5" t="s">
        <v>106</v>
      </c>
      <c r="E2800" s="5" t="s">
        <v>107</v>
      </c>
      <c r="F2800" s="5" t="s">
        <v>111</v>
      </c>
      <c r="G2800" s="5" t="s">
        <v>112</v>
      </c>
      <c r="H2800" s="5" t="s">
        <v>108</v>
      </c>
      <c r="I2800" s="5" t="s">
        <v>506</v>
      </c>
      <c r="J2800" s="5" t="s">
        <v>141</v>
      </c>
      <c r="K2800" s="5" t="s">
        <v>110</v>
      </c>
      <c r="L2800" s="6">
        <v>45681</v>
      </c>
      <c r="M2800" s="6">
        <v>45678</v>
      </c>
      <c r="N2800" s="6" t="s">
        <v>811</v>
      </c>
      <c r="O2800" s="5" t="str">
        <f ca="1">IF(P2800&lt;&gt;"EXPEDIÇÃO","Expedido",IF(NETWORKDAYS(C2800,TODAY())&gt;=5,"Risco Alto",IF(NETWORKDAYS(C2800,TODAY())&gt;=3,IF(NETWORKDAYS(C2800,TODAY())&lt;5,"Risco Médio",""),IF(NETWORKDAYS(C2800,TODAY())&lt;=2,"Risco Baixo",""))))</f>
        <v>Expedido</v>
      </c>
      <c r="P2800" s="5" t="s">
        <v>25</v>
      </c>
      <c r="Q2800" s="5" t="s">
        <v>900</v>
      </c>
      <c r="S2800" s="7">
        <f>IF(ISBLANK(M2800),"Aguardando Previsão/Data",NETWORKDAYS(L2800,M2800)-1)</f>
        <v>-5</v>
      </c>
      <c r="T2800" s="5" t="s">
        <v>942</v>
      </c>
    </row>
    <row r="2801" spans="1:20" x14ac:dyDescent="0.35">
      <c r="A2801" s="5">
        <v>8100280433</v>
      </c>
      <c r="B2801" s="5">
        <v>19468</v>
      </c>
      <c r="C2801" s="6">
        <v>45678</v>
      </c>
      <c r="D2801" s="5" t="s">
        <v>106</v>
      </c>
      <c r="E2801" s="5" t="s">
        <v>107</v>
      </c>
      <c r="F2801" s="5" t="s">
        <v>58</v>
      </c>
      <c r="G2801" s="5" t="s">
        <v>59</v>
      </c>
      <c r="H2801" s="5" t="s">
        <v>108</v>
      </c>
      <c r="I2801" s="5" t="s">
        <v>1404</v>
      </c>
      <c r="J2801" s="5" t="s">
        <v>134</v>
      </c>
      <c r="K2801" s="5" t="s">
        <v>110</v>
      </c>
      <c r="L2801" s="6">
        <v>45684</v>
      </c>
      <c r="M2801" s="6">
        <v>45679</v>
      </c>
      <c r="N2801" s="6" t="s">
        <v>811</v>
      </c>
      <c r="O2801" s="5" t="str">
        <f ca="1">IF(P2801&lt;&gt;"EXPEDIÇÃO","Expedido",IF(NETWORKDAYS(C2801,TODAY())&gt;=5,"Risco Alto",IF(NETWORKDAYS(C2801,TODAY())&gt;=3,IF(NETWORKDAYS(C2801,TODAY())&lt;5,"Risco Médio",""),IF(NETWORKDAYS(C2801,TODAY())&lt;=2,"Risco Baixo",""))))</f>
        <v>Expedido</v>
      </c>
      <c r="P2801" s="5" t="s">
        <v>25</v>
      </c>
      <c r="S2801" s="7">
        <f>IF(ISBLANK(M2801),"Aguardando Previsão/Data",NETWORKDAYS(L2801,M2801)-1)</f>
        <v>-5</v>
      </c>
      <c r="T2801" s="5" t="s">
        <v>942</v>
      </c>
    </row>
    <row r="2802" spans="1:20" x14ac:dyDescent="0.35">
      <c r="A2802" s="5">
        <v>8100280434</v>
      </c>
      <c r="B2802" s="5">
        <v>19471</v>
      </c>
      <c r="C2802" s="6">
        <v>45678</v>
      </c>
      <c r="D2802" s="5" t="s">
        <v>106</v>
      </c>
      <c r="E2802" s="5" t="s">
        <v>107</v>
      </c>
      <c r="F2802" s="5" t="s">
        <v>58</v>
      </c>
      <c r="G2802" s="5" t="s">
        <v>59</v>
      </c>
      <c r="H2802" s="5" t="s">
        <v>108</v>
      </c>
      <c r="I2802" s="5" t="s">
        <v>140</v>
      </c>
      <c r="J2802" s="5" t="s">
        <v>141</v>
      </c>
      <c r="K2802" s="5" t="s">
        <v>110</v>
      </c>
      <c r="L2802" s="6">
        <v>45681</v>
      </c>
      <c r="M2802" s="6">
        <v>45678</v>
      </c>
      <c r="N2802" s="6" t="s">
        <v>811</v>
      </c>
      <c r="O2802" s="5" t="str">
        <f ca="1">IF(P2802&lt;&gt;"EXPEDIÇÃO","Expedido",IF(NETWORKDAYS(C2802,TODAY())&gt;=5,"Risco Alto",IF(NETWORKDAYS(C2802,TODAY())&gt;=3,IF(NETWORKDAYS(C2802,TODAY())&lt;5,"Risco Médio",""),IF(NETWORKDAYS(C2802,TODAY())&lt;=2,"Risco Baixo",""))))</f>
        <v>Expedido</v>
      </c>
      <c r="P2802" s="5" t="s">
        <v>25</v>
      </c>
      <c r="S2802" s="7">
        <f>IF(ISBLANK(M2802),"Aguardando Previsão/Data",NETWORKDAYS(L2802,M2802)-1)</f>
        <v>-5</v>
      </c>
      <c r="T2802" s="5" t="s">
        <v>942</v>
      </c>
    </row>
    <row r="2803" spans="1:20" x14ac:dyDescent="0.35">
      <c r="A2803" s="5">
        <v>8100280435</v>
      </c>
      <c r="B2803" s="5">
        <v>19470</v>
      </c>
      <c r="C2803" s="6">
        <v>45678</v>
      </c>
      <c r="D2803" s="5" t="s">
        <v>106</v>
      </c>
      <c r="E2803" s="5" t="s">
        <v>107</v>
      </c>
      <c r="F2803" s="5" t="s">
        <v>111</v>
      </c>
      <c r="G2803" s="5" t="s">
        <v>112</v>
      </c>
      <c r="H2803" s="5" t="s">
        <v>108</v>
      </c>
      <c r="I2803" s="5" t="s">
        <v>113</v>
      </c>
      <c r="J2803" s="5" t="s">
        <v>114</v>
      </c>
      <c r="K2803" s="5" t="s">
        <v>110</v>
      </c>
      <c r="L2803" s="6">
        <v>45686</v>
      </c>
      <c r="M2803" s="6">
        <v>45679</v>
      </c>
      <c r="N2803" s="6" t="s">
        <v>811</v>
      </c>
      <c r="O2803" s="5" t="str">
        <f ca="1">IF(P2803&lt;&gt;"EXPEDIÇÃO","Expedido",IF(NETWORKDAYS(C2803,TODAY())&gt;=5,"Risco Alto",IF(NETWORKDAYS(C2803,TODAY())&gt;=3,IF(NETWORKDAYS(C2803,TODAY())&lt;5,"Risco Médio",""),IF(NETWORKDAYS(C2803,TODAY())&lt;=2,"Risco Baixo",""))))</f>
        <v>Expedido</v>
      </c>
      <c r="P2803" s="5" t="s">
        <v>25</v>
      </c>
      <c r="S2803" s="7">
        <f>IF(ISBLANK(M2803),"Aguardando Previsão/Data",NETWORKDAYS(L2803,M2803)-1)</f>
        <v>-7</v>
      </c>
      <c r="T2803" s="5" t="s">
        <v>942</v>
      </c>
    </row>
    <row r="2804" spans="1:20" x14ac:dyDescent="0.35">
      <c r="A2804" s="5">
        <v>8100280815</v>
      </c>
      <c r="B2804" s="5">
        <v>19473</v>
      </c>
      <c r="C2804" s="6">
        <v>45678</v>
      </c>
      <c r="D2804" s="5" t="s">
        <v>106</v>
      </c>
      <c r="E2804" s="5" t="s">
        <v>107</v>
      </c>
      <c r="F2804" s="5" t="s">
        <v>58</v>
      </c>
      <c r="G2804" s="5" t="s">
        <v>59</v>
      </c>
      <c r="H2804" s="5" t="s">
        <v>108</v>
      </c>
      <c r="I2804" s="5" t="s">
        <v>394</v>
      </c>
      <c r="J2804" s="5" t="s">
        <v>395</v>
      </c>
      <c r="K2804" s="5" t="s">
        <v>110</v>
      </c>
      <c r="L2804" s="6">
        <v>45685</v>
      </c>
      <c r="M2804" s="6">
        <v>45679</v>
      </c>
      <c r="N2804" s="6" t="s">
        <v>811</v>
      </c>
      <c r="O2804" s="5" t="str">
        <f ca="1">IF(P2804&lt;&gt;"EXPEDIÇÃO","Expedido",IF(NETWORKDAYS(C2804,TODAY())&gt;=5,"Risco Alto",IF(NETWORKDAYS(C2804,TODAY())&gt;=3,IF(NETWORKDAYS(C2804,TODAY())&lt;5,"Risco Médio",""),IF(NETWORKDAYS(C2804,TODAY())&lt;=2,"Risco Baixo",""))))</f>
        <v>Expedido</v>
      </c>
      <c r="P2804" s="5" t="s">
        <v>25</v>
      </c>
      <c r="S2804" s="7">
        <f>IF(ISBLANK(M2804),"Aguardando Previsão/Data",NETWORKDAYS(L2804,M2804)-1)</f>
        <v>-6</v>
      </c>
      <c r="T2804" s="5" t="s">
        <v>942</v>
      </c>
    </row>
    <row r="2805" spans="1:20" x14ac:dyDescent="0.35">
      <c r="A2805" s="5">
        <v>8100279744</v>
      </c>
      <c r="B2805" s="5">
        <v>19495</v>
      </c>
      <c r="C2805" s="6">
        <v>45678</v>
      </c>
      <c r="D2805" s="5" t="s">
        <v>106</v>
      </c>
      <c r="E2805" s="5" t="s">
        <v>107</v>
      </c>
      <c r="F2805" s="5" t="s">
        <v>69</v>
      </c>
      <c r="G2805" s="5" t="s">
        <v>70</v>
      </c>
      <c r="H2805" s="5" t="s">
        <v>108</v>
      </c>
      <c r="I2805" s="5" t="s">
        <v>981</v>
      </c>
      <c r="J2805" s="5" t="s">
        <v>339</v>
      </c>
      <c r="K2805" s="5" t="s">
        <v>110</v>
      </c>
      <c r="L2805" s="6">
        <v>45685</v>
      </c>
      <c r="M2805" s="6">
        <v>45680</v>
      </c>
      <c r="N2805" s="6" t="s">
        <v>811</v>
      </c>
      <c r="O2805" s="5" t="str">
        <f ca="1">IF(P2805&lt;&gt;"EXPEDIÇÃO","Expedido",IF(NETWORKDAYS(C2805,TODAY())&gt;=5,"Risco Alto",IF(NETWORKDAYS(C2805,TODAY())&gt;=3,IF(NETWORKDAYS(C2805,TODAY())&lt;5,"Risco Médio",""),IF(NETWORKDAYS(C2805,TODAY())&lt;=2,"Risco Baixo",""))))</f>
        <v>Expedido</v>
      </c>
      <c r="P2805" s="5" t="s">
        <v>25</v>
      </c>
      <c r="S2805" s="7">
        <f>IF(ISBLANK(M2805),"Aguardando Previsão/Data",NETWORKDAYS(L2805,M2805)-1)</f>
        <v>-5</v>
      </c>
      <c r="T2805" s="5" t="s">
        <v>942</v>
      </c>
    </row>
    <row r="2806" spans="1:20" x14ac:dyDescent="0.35">
      <c r="A2806" s="5">
        <v>8100280487</v>
      </c>
      <c r="B2806" s="5">
        <v>19469</v>
      </c>
      <c r="C2806" s="6">
        <v>45678</v>
      </c>
      <c r="D2806" s="5" t="s">
        <v>106</v>
      </c>
      <c r="E2806" s="5" t="s">
        <v>107</v>
      </c>
      <c r="F2806" s="5" t="s">
        <v>58</v>
      </c>
      <c r="G2806" s="5" t="s">
        <v>59</v>
      </c>
      <c r="H2806" s="5" t="s">
        <v>108</v>
      </c>
      <c r="I2806" s="5" t="s">
        <v>1384</v>
      </c>
      <c r="J2806" s="5" t="s">
        <v>1385</v>
      </c>
      <c r="K2806" s="5" t="s">
        <v>110</v>
      </c>
      <c r="L2806" s="6">
        <v>45686</v>
      </c>
      <c r="M2806" s="6">
        <v>45684</v>
      </c>
      <c r="N2806" s="6" t="s">
        <v>811</v>
      </c>
      <c r="O2806" s="5" t="str">
        <f ca="1">IF(P2806&lt;&gt;"EXPEDIÇÃO","Expedido",IF(NETWORKDAYS(C2806,TODAY())&gt;=5,"Risco Alto",IF(NETWORKDAYS(C2806,TODAY())&gt;=3,IF(NETWORKDAYS(C2806,TODAY())&lt;5,"Risco Médio",""),IF(NETWORKDAYS(C2806,TODAY())&lt;=2,"Risco Baixo",""))))</f>
        <v>Expedido</v>
      </c>
      <c r="P2806" s="5" t="s">
        <v>25</v>
      </c>
      <c r="S2806" s="7">
        <f>IF(ISBLANK(M2806),"Aguardando Previsão/Data",NETWORKDAYS(L2806,M2806)-1)</f>
        <v>-4</v>
      </c>
      <c r="T2806" s="5" t="s">
        <v>942</v>
      </c>
    </row>
    <row r="2807" spans="1:20" x14ac:dyDescent="0.35">
      <c r="A2807" s="5">
        <v>8100280624</v>
      </c>
      <c r="B2807" s="5">
        <v>19477</v>
      </c>
      <c r="C2807" s="6">
        <v>45678</v>
      </c>
      <c r="D2807" s="5" t="s">
        <v>106</v>
      </c>
      <c r="E2807" s="5" t="s">
        <v>107</v>
      </c>
      <c r="F2807" s="5" t="s">
        <v>66</v>
      </c>
      <c r="G2807" s="5" t="s">
        <v>67</v>
      </c>
      <c r="H2807" s="5" t="s">
        <v>108</v>
      </c>
      <c r="I2807" s="5" t="s">
        <v>475</v>
      </c>
      <c r="J2807" s="5" t="s">
        <v>476</v>
      </c>
      <c r="K2807" s="5" t="s">
        <v>110</v>
      </c>
      <c r="L2807" s="6">
        <v>45686</v>
      </c>
      <c r="M2807" s="6">
        <v>45684</v>
      </c>
      <c r="N2807" s="6" t="s">
        <v>811</v>
      </c>
      <c r="O2807" s="5" t="str">
        <f ca="1">IF(P2807&lt;&gt;"EXPEDIÇÃO","Expedido",IF(NETWORKDAYS(C2807,TODAY())&gt;=5,"Risco Alto",IF(NETWORKDAYS(C2807,TODAY())&gt;=3,IF(NETWORKDAYS(C2807,TODAY())&lt;5,"Risco Médio",""),IF(NETWORKDAYS(C2807,TODAY())&lt;=2,"Risco Baixo",""))))</f>
        <v>Expedido</v>
      </c>
      <c r="P2807" s="5" t="s">
        <v>25</v>
      </c>
      <c r="S2807" s="7">
        <f>IF(ISBLANK(M2807),"Aguardando Previsão/Data",NETWORKDAYS(L2807,M2807)-1)</f>
        <v>-4</v>
      </c>
      <c r="T2807" s="5" t="s">
        <v>942</v>
      </c>
    </row>
    <row r="2808" spans="1:20" x14ac:dyDescent="0.35">
      <c r="A2808" s="5">
        <v>8100280625</v>
      </c>
      <c r="B2808" s="5">
        <v>19480</v>
      </c>
      <c r="C2808" s="6">
        <v>45678</v>
      </c>
      <c r="D2808" s="5" t="s">
        <v>106</v>
      </c>
      <c r="E2808" s="5" t="s">
        <v>107</v>
      </c>
      <c r="F2808" s="5" t="s">
        <v>69</v>
      </c>
      <c r="G2808" s="5" t="s">
        <v>70</v>
      </c>
      <c r="H2808" s="5" t="s">
        <v>108</v>
      </c>
      <c r="I2808" s="5" t="s">
        <v>77</v>
      </c>
      <c r="J2808" s="5" t="s">
        <v>825</v>
      </c>
      <c r="K2808" s="5" t="s">
        <v>110</v>
      </c>
      <c r="L2808" s="6">
        <v>45685</v>
      </c>
      <c r="M2808" s="6">
        <v>45681</v>
      </c>
      <c r="N2808" s="6" t="s">
        <v>811</v>
      </c>
      <c r="O2808" s="5" t="str">
        <f ca="1">IF(P2808&lt;&gt;"EXPEDIÇÃO","Expedido",IF(NETWORKDAYS(C2808,TODAY())&gt;=5,"Risco Alto",IF(NETWORKDAYS(C2808,TODAY())&gt;=3,IF(NETWORKDAYS(C2808,TODAY())&lt;5,"Risco Médio",""),IF(NETWORKDAYS(C2808,TODAY())&lt;=2,"Risco Baixo",""))))</f>
        <v>Expedido</v>
      </c>
      <c r="P2808" s="5" t="s">
        <v>25</v>
      </c>
      <c r="Q2808" s="5" t="s">
        <v>897</v>
      </c>
      <c r="S2808" s="7">
        <f>IF(ISBLANK(M2808),"Aguardando Previsão/Data",NETWORKDAYS(L2808,M2808)-1)</f>
        <v>-4</v>
      </c>
      <c r="T2808" s="5" t="s">
        <v>942</v>
      </c>
    </row>
    <row r="2809" spans="1:20" x14ac:dyDescent="0.35">
      <c r="A2809" s="5">
        <v>8100280626</v>
      </c>
      <c r="B2809" s="5">
        <v>19478</v>
      </c>
      <c r="C2809" s="6">
        <v>45678</v>
      </c>
      <c r="D2809" s="5" t="s">
        <v>106</v>
      </c>
      <c r="E2809" s="5" t="s">
        <v>107</v>
      </c>
      <c r="F2809" s="5" t="s">
        <v>69</v>
      </c>
      <c r="G2809" s="5" t="s">
        <v>70</v>
      </c>
      <c r="H2809" s="5" t="s">
        <v>108</v>
      </c>
      <c r="I2809" s="5" t="s">
        <v>129</v>
      </c>
      <c r="J2809" s="5" t="s">
        <v>124</v>
      </c>
      <c r="K2809" s="5" t="s">
        <v>110</v>
      </c>
      <c r="L2809" s="6">
        <v>45686</v>
      </c>
      <c r="M2809" s="6">
        <v>45681</v>
      </c>
      <c r="N2809" s="6" t="s">
        <v>811</v>
      </c>
      <c r="O2809" s="5" t="str">
        <f ca="1">IF(P2809&lt;&gt;"EXPEDIÇÃO","Expedido",IF(NETWORKDAYS(C2809,TODAY())&gt;=5,"Risco Alto",IF(NETWORKDAYS(C2809,TODAY())&gt;=3,IF(NETWORKDAYS(C2809,TODAY())&lt;5,"Risco Médio",""),IF(NETWORKDAYS(C2809,TODAY())&lt;=2,"Risco Baixo",""))))</f>
        <v>Expedido</v>
      </c>
      <c r="P2809" s="5" t="s">
        <v>25</v>
      </c>
      <c r="S2809" s="7">
        <f>IF(ISBLANK(M2809),"Aguardando Previsão/Data",NETWORKDAYS(L2809,M2809)-1)</f>
        <v>-5</v>
      </c>
      <c r="T2809" s="5" t="s">
        <v>942</v>
      </c>
    </row>
    <row r="2810" spans="1:20" x14ac:dyDescent="0.35">
      <c r="A2810" s="5">
        <v>8100280793</v>
      </c>
      <c r="B2810" s="5">
        <v>19474</v>
      </c>
      <c r="C2810" s="6">
        <v>45678</v>
      </c>
      <c r="D2810" s="5" t="s">
        <v>106</v>
      </c>
      <c r="E2810" s="5" t="s">
        <v>107</v>
      </c>
      <c r="F2810" s="5" t="s">
        <v>69</v>
      </c>
      <c r="G2810" s="5" t="s">
        <v>70</v>
      </c>
      <c r="H2810" s="5" t="s">
        <v>108</v>
      </c>
      <c r="I2810" s="5" t="s">
        <v>284</v>
      </c>
      <c r="J2810" s="5" t="s">
        <v>286</v>
      </c>
      <c r="K2810" s="5" t="s">
        <v>110</v>
      </c>
      <c r="L2810" s="6">
        <v>45685</v>
      </c>
      <c r="M2810" s="6">
        <v>45681</v>
      </c>
      <c r="N2810" s="6" t="s">
        <v>811</v>
      </c>
      <c r="O2810" s="5" t="str">
        <f ca="1">IF(P2810&lt;&gt;"EXPEDIÇÃO","Expedido",IF(NETWORKDAYS(C2810,TODAY())&gt;=5,"Risco Alto",IF(NETWORKDAYS(C2810,TODAY())&gt;=3,IF(NETWORKDAYS(C2810,TODAY())&lt;5,"Risco Médio",""),IF(NETWORKDAYS(C2810,TODAY())&lt;=2,"Risco Baixo",""))))</f>
        <v>Expedido</v>
      </c>
      <c r="P2810" s="5" t="s">
        <v>25</v>
      </c>
      <c r="S2810" s="7">
        <f>IF(ISBLANK(M2810),"Aguardando Previsão/Data",NETWORKDAYS(L2810,M2810)-1)</f>
        <v>-4</v>
      </c>
      <c r="T2810" s="5" t="s">
        <v>942</v>
      </c>
    </row>
    <row r="2811" spans="1:20" x14ac:dyDescent="0.35">
      <c r="A2811" s="5">
        <v>8100280794</v>
      </c>
      <c r="B2811" s="5">
        <v>19475</v>
      </c>
      <c r="C2811" s="6">
        <v>45678</v>
      </c>
      <c r="D2811" s="5" t="s">
        <v>106</v>
      </c>
      <c r="E2811" s="5" t="s">
        <v>107</v>
      </c>
      <c r="F2811" s="5" t="s">
        <v>69</v>
      </c>
      <c r="G2811" s="5" t="s">
        <v>70</v>
      </c>
      <c r="H2811" s="5" t="s">
        <v>108</v>
      </c>
      <c r="I2811" s="5" t="s">
        <v>284</v>
      </c>
      <c r="J2811" s="5" t="s">
        <v>286</v>
      </c>
      <c r="K2811" s="5" t="s">
        <v>110</v>
      </c>
      <c r="L2811" s="6">
        <v>45685</v>
      </c>
      <c r="M2811" s="6">
        <v>45681</v>
      </c>
      <c r="N2811" s="6" t="s">
        <v>811</v>
      </c>
      <c r="O2811" s="5" t="str">
        <f ca="1">IF(P2811&lt;&gt;"EXPEDIÇÃO","Expedido",IF(NETWORKDAYS(C2811,TODAY())&gt;=5,"Risco Alto",IF(NETWORKDAYS(C2811,TODAY())&gt;=3,IF(NETWORKDAYS(C2811,TODAY())&lt;5,"Risco Médio",""),IF(NETWORKDAYS(C2811,TODAY())&lt;=2,"Risco Baixo",""))))</f>
        <v>Expedido</v>
      </c>
      <c r="P2811" s="5" t="s">
        <v>25</v>
      </c>
      <c r="S2811" s="7">
        <f>IF(ISBLANK(M2811),"Aguardando Previsão/Data",NETWORKDAYS(L2811,M2811)-1)</f>
        <v>-4</v>
      </c>
      <c r="T2811" s="5" t="s">
        <v>942</v>
      </c>
    </row>
    <row r="2812" spans="1:20" x14ac:dyDescent="0.35">
      <c r="A2812" s="5">
        <v>8100280795</v>
      </c>
      <c r="B2812" s="5">
        <v>19476</v>
      </c>
      <c r="C2812" s="6">
        <v>45678</v>
      </c>
      <c r="D2812" s="5" t="s">
        <v>106</v>
      </c>
      <c r="E2812" s="5" t="s">
        <v>107</v>
      </c>
      <c r="F2812" s="5" t="s">
        <v>69</v>
      </c>
      <c r="G2812" s="5" t="s">
        <v>70</v>
      </c>
      <c r="H2812" s="5" t="s">
        <v>108</v>
      </c>
      <c r="I2812" s="5" t="s">
        <v>284</v>
      </c>
      <c r="J2812" s="5" t="s">
        <v>286</v>
      </c>
      <c r="K2812" s="5" t="s">
        <v>110</v>
      </c>
      <c r="L2812" s="6">
        <v>45685</v>
      </c>
      <c r="M2812" s="6">
        <v>45681</v>
      </c>
      <c r="N2812" s="6" t="s">
        <v>811</v>
      </c>
      <c r="O2812" s="5" t="str">
        <f ca="1">IF(P2812&lt;&gt;"EXPEDIÇÃO","Expedido",IF(NETWORKDAYS(C2812,TODAY())&gt;=5,"Risco Alto",IF(NETWORKDAYS(C2812,TODAY())&gt;=3,IF(NETWORKDAYS(C2812,TODAY())&lt;5,"Risco Médio",""),IF(NETWORKDAYS(C2812,TODAY())&lt;=2,"Risco Baixo",""))))</f>
        <v>Expedido</v>
      </c>
      <c r="P2812" s="5" t="s">
        <v>25</v>
      </c>
      <c r="S2812" s="7">
        <f>IF(ISBLANK(M2812),"Aguardando Previsão/Data",NETWORKDAYS(L2812,M2812)-1)</f>
        <v>-4</v>
      </c>
      <c r="T2812" s="5" t="s">
        <v>942</v>
      </c>
    </row>
    <row r="2813" spans="1:20" x14ac:dyDescent="0.35">
      <c r="A2813" s="5">
        <v>8100280816</v>
      </c>
      <c r="B2813" s="5">
        <v>19481</v>
      </c>
      <c r="C2813" s="6">
        <v>45678</v>
      </c>
      <c r="D2813" s="5" t="s">
        <v>106</v>
      </c>
      <c r="E2813" s="5" t="s">
        <v>107</v>
      </c>
      <c r="F2813" s="5" t="s">
        <v>69</v>
      </c>
      <c r="G2813" s="5" t="s">
        <v>70</v>
      </c>
      <c r="H2813" s="5" t="s">
        <v>108</v>
      </c>
      <c r="I2813" s="5" t="s">
        <v>77</v>
      </c>
      <c r="J2813" s="5" t="s">
        <v>825</v>
      </c>
      <c r="K2813" s="5" t="s">
        <v>110</v>
      </c>
      <c r="L2813" s="6">
        <v>45685</v>
      </c>
      <c r="M2813" s="6">
        <v>45681</v>
      </c>
      <c r="N2813" s="6" t="s">
        <v>811</v>
      </c>
      <c r="O2813" s="5" t="str">
        <f ca="1">IF(P2813&lt;&gt;"EXPEDIÇÃO","Expedido",IF(NETWORKDAYS(C2813,TODAY())&gt;=5,"Risco Alto",IF(NETWORKDAYS(C2813,TODAY())&gt;=3,IF(NETWORKDAYS(C2813,TODAY())&lt;5,"Risco Médio",""),IF(NETWORKDAYS(C2813,TODAY())&lt;=2,"Risco Baixo",""))))</f>
        <v>Expedido</v>
      </c>
      <c r="P2813" s="5" t="s">
        <v>25</v>
      </c>
      <c r="Q2813" s="5" t="s">
        <v>897</v>
      </c>
      <c r="S2813" s="7">
        <f>IF(ISBLANK(M2813),"Aguardando Previsão/Data",NETWORKDAYS(L2813,M2813)-1)</f>
        <v>-4</v>
      </c>
      <c r="T2813" s="5" t="s">
        <v>942</v>
      </c>
    </row>
    <row r="2814" spans="1:20" x14ac:dyDescent="0.35">
      <c r="A2814" s="5">
        <v>8100280817</v>
      </c>
      <c r="B2814" s="5">
        <v>19479</v>
      </c>
      <c r="C2814" s="6">
        <v>45678</v>
      </c>
      <c r="D2814" s="5" t="s">
        <v>106</v>
      </c>
      <c r="E2814" s="5" t="s">
        <v>107</v>
      </c>
      <c r="F2814" s="5" t="s">
        <v>69</v>
      </c>
      <c r="G2814" s="5" t="s">
        <v>70</v>
      </c>
      <c r="H2814" s="5" t="s">
        <v>108</v>
      </c>
      <c r="I2814" s="5" t="s">
        <v>128</v>
      </c>
      <c r="J2814" s="5" t="s">
        <v>289</v>
      </c>
      <c r="K2814" s="5" t="s">
        <v>110</v>
      </c>
      <c r="L2814" s="6">
        <v>45685</v>
      </c>
      <c r="M2814" s="6">
        <v>45681</v>
      </c>
      <c r="N2814" s="6" t="s">
        <v>811</v>
      </c>
      <c r="O2814" s="5" t="str">
        <f ca="1">IF(P2814&lt;&gt;"EXPEDIÇÃO","Expedido",IF(NETWORKDAYS(C2814,TODAY())&gt;=5,"Risco Alto",IF(NETWORKDAYS(C2814,TODAY())&gt;=3,IF(NETWORKDAYS(C2814,TODAY())&lt;5,"Risco Médio",""),IF(NETWORKDAYS(C2814,TODAY())&lt;=2,"Risco Baixo",""))))</f>
        <v>Expedido</v>
      </c>
      <c r="P2814" s="5" t="s">
        <v>25</v>
      </c>
      <c r="S2814" s="7">
        <f>IF(ISBLANK(M2814),"Aguardando Previsão/Data",NETWORKDAYS(L2814,M2814)-1)</f>
        <v>-4</v>
      </c>
      <c r="T2814" s="5" t="s">
        <v>942</v>
      </c>
    </row>
    <row r="2815" spans="1:20" x14ac:dyDescent="0.35">
      <c r="A2815" s="5">
        <v>8100280885</v>
      </c>
      <c r="B2815" s="5">
        <v>19482</v>
      </c>
      <c r="C2815" s="6">
        <v>45678</v>
      </c>
      <c r="D2815" s="5" t="s">
        <v>106</v>
      </c>
      <c r="E2815" s="5" t="s">
        <v>107</v>
      </c>
      <c r="F2815" s="5" t="s">
        <v>147</v>
      </c>
      <c r="G2815" s="5" t="s">
        <v>148</v>
      </c>
      <c r="H2815" s="5" t="s">
        <v>108</v>
      </c>
      <c r="I2815" s="5" t="s">
        <v>82</v>
      </c>
      <c r="J2815" s="5" t="s">
        <v>505</v>
      </c>
      <c r="K2815" s="5" t="s">
        <v>110</v>
      </c>
      <c r="L2815" s="6">
        <v>45686</v>
      </c>
      <c r="M2815" s="6">
        <v>45681</v>
      </c>
      <c r="N2815" s="6" t="s">
        <v>811</v>
      </c>
      <c r="O2815" s="5" t="str">
        <f ca="1">IF(P2815&lt;&gt;"EXPEDIÇÃO","Expedido",IF(NETWORKDAYS(C2815,TODAY())&gt;=5,"Risco Alto",IF(NETWORKDAYS(C2815,TODAY())&gt;=3,IF(NETWORKDAYS(C2815,TODAY())&lt;5,"Risco Médio",""),IF(NETWORKDAYS(C2815,TODAY())&lt;=2,"Risco Baixo",""))))</f>
        <v>Expedido</v>
      </c>
      <c r="P2815" s="5" t="s">
        <v>25</v>
      </c>
      <c r="S2815" s="7">
        <f>IF(ISBLANK(M2815),"Aguardando Previsão/Data",NETWORKDAYS(L2815,M2815)-1)</f>
        <v>-5</v>
      </c>
      <c r="T2815" s="5" t="s">
        <v>942</v>
      </c>
    </row>
    <row r="2816" spans="1:20" x14ac:dyDescent="0.35">
      <c r="A2816" s="5">
        <v>8100280886</v>
      </c>
      <c r="B2816" s="5">
        <v>19483</v>
      </c>
      <c r="C2816" s="6">
        <v>45678</v>
      </c>
      <c r="D2816" s="5" t="s">
        <v>106</v>
      </c>
      <c r="E2816" s="5" t="s">
        <v>107</v>
      </c>
      <c r="F2816" s="5" t="s">
        <v>147</v>
      </c>
      <c r="G2816" s="5" t="s">
        <v>148</v>
      </c>
      <c r="H2816" s="5" t="s">
        <v>108</v>
      </c>
      <c r="I2816" s="5" t="s">
        <v>82</v>
      </c>
      <c r="J2816" s="5" t="s">
        <v>505</v>
      </c>
      <c r="K2816" s="5" t="s">
        <v>110</v>
      </c>
      <c r="L2816" s="6">
        <v>45686</v>
      </c>
      <c r="M2816" s="6">
        <v>45681</v>
      </c>
      <c r="N2816" s="6" t="s">
        <v>811</v>
      </c>
      <c r="O2816" s="5" t="str">
        <f ca="1">IF(P2816&lt;&gt;"EXPEDIÇÃO","Expedido",IF(NETWORKDAYS(C2816,TODAY())&gt;=5,"Risco Alto",IF(NETWORKDAYS(C2816,TODAY())&gt;=3,IF(NETWORKDAYS(C2816,TODAY())&lt;5,"Risco Médio",""),IF(NETWORKDAYS(C2816,TODAY())&lt;=2,"Risco Baixo",""))))</f>
        <v>Expedido</v>
      </c>
      <c r="P2816" s="5" t="s">
        <v>25</v>
      </c>
      <c r="S2816" s="7">
        <f>IF(ISBLANK(M2816),"Aguardando Previsão/Data",NETWORKDAYS(L2816,M2816)-1)</f>
        <v>-5</v>
      </c>
      <c r="T2816" s="5" t="s">
        <v>942</v>
      </c>
    </row>
    <row r="2817" spans="1:20" x14ac:dyDescent="0.35">
      <c r="A2817" s="5">
        <v>8100280887</v>
      </c>
      <c r="B2817" s="5">
        <v>19484</v>
      </c>
      <c r="C2817" s="6">
        <v>45678</v>
      </c>
      <c r="D2817" s="5" t="s">
        <v>106</v>
      </c>
      <c r="E2817" s="5" t="s">
        <v>107</v>
      </c>
      <c r="F2817" s="5" t="s">
        <v>147</v>
      </c>
      <c r="G2817" s="5" t="s">
        <v>148</v>
      </c>
      <c r="H2817" s="5" t="s">
        <v>108</v>
      </c>
      <c r="I2817" s="5" t="s">
        <v>82</v>
      </c>
      <c r="J2817" s="5" t="s">
        <v>505</v>
      </c>
      <c r="K2817" s="5" t="s">
        <v>110</v>
      </c>
      <c r="L2817" s="6">
        <v>45686</v>
      </c>
      <c r="M2817" s="6">
        <v>45681</v>
      </c>
      <c r="N2817" s="6" t="s">
        <v>811</v>
      </c>
      <c r="O2817" s="5" t="str">
        <f ca="1">IF(P2817&lt;&gt;"EXPEDIÇÃO","Expedido",IF(NETWORKDAYS(C2817,TODAY())&gt;=5,"Risco Alto",IF(NETWORKDAYS(C2817,TODAY())&gt;=3,IF(NETWORKDAYS(C2817,TODAY())&lt;5,"Risco Médio",""),IF(NETWORKDAYS(C2817,TODAY())&lt;=2,"Risco Baixo",""))))</f>
        <v>Expedido</v>
      </c>
      <c r="P2817" s="5" t="s">
        <v>25</v>
      </c>
      <c r="S2817" s="7">
        <f>IF(ISBLANK(M2817),"Aguardando Previsão/Data",NETWORKDAYS(L2817,M2817)-1)</f>
        <v>-5</v>
      </c>
      <c r="T2817" s="5" t="s">
        <v>942</v>
      </c>
    </row>
    <row r="2818" spans="1:20" x14ac:dyDescent="0.35">
      <c r="A2818" s="5">
        <v>8100280888</v>
      </c>
      <c r="B2818" s="5">
        <v>19486</v>
      </c>
      <c r="C2818" s="6">
        <v>45678</v>
      </c>
      <c r="D2818" s="5" t="s">
        <v>106</v>
      </c>
      <c r="E2818" s="5" t="s">
        <v>107</v>
      </c>
      <c r="F2818" s="5" t="s">
        <v>147</v>
      </c>
      <c r="G2818" s="5" t="s">
        <v>148</v>
      </c>
      <c r="H2818" s="5" t="s">
        <v>108</v>
      </c>
      <c r="I2818" s="5" t="s">
        <v>509</v>
      </c>
      <c r="J2818" s="5" t="s">
        <v>282</v>
      </c>
      <c r="K2818" s="5" t="s">
        <v>110</v>
      </c>
      <c r="L2818" s="6">
        <v>45686</v>
      </c>
      <c r="M2818" s="6">
        <v>45681</v>
      </c>
      <c r="N2818" s="6" t="s">
        <v>811</v>
      </c>
      <c r="O2818" s="5" t="str">
        <f ca="1">IF(P2818&lt;&gt;"EXPEDIÇÃO","Expedido",IF(NETWORKDAYS(C2818,TODAY())&gt;=5,"Risco Alto",IF(NETWORKDAYS(C2818,TODAY())&gt;=3,IF(NETWORKDAYS(C2818,TODAY())&lt;5,"Risco Médio",""),IF(NETWORKDAYS(C2818,TODAY())&lt;=2,"Risco Baixo",""))))</f>
        <v>Expedido</v>
      </c>
      <c r="P2818" s="5" t="s">
        <v>25</v>
      </c>
      <c r="S2818" s="7">
        <f>IF(ISBLANK(M2818),"Aguardando Previsão/Data",NETWORKDAYS(L2818,M2818)-1)</f>
        <v>-5</v>
      </c>
      <c r="T2818" s="5" t="s">
        <v>942</v>
      </c>
    </row>
    <row r="2819" spans="1:20" x14ac:dyDescent="0.35">
      <c r="A2819" s="5">
        <v>8100280889</v>
      </c>
      <c r="B2819" s="5">
        <v>19485</v>
      </c>
      <c r="C2819" s="6">
        <v>45678</v>
      </c>
      <c r="D2819" s="5" t="s">
        <v>106</v>
      </c>
      <c r="E2819" s="5" t="s">
        <v>107</v>
      </c>
      <c r="F2819" s="5" t="s">
        <v>147</v>
      </c>
      <c r="G2819" s="5" t="s">
        <v>148</v>
      </c>
      <c r="H2819" s="5" t="s">
        <v>108</v>
      </c>
      <c r="I2819" s="5" t="s">
        <v>1453</v>
      </c>
      <c r="J2819" s="5" t="s">
        <v>1454</v>
      </c>
      <c r="K2819" s="5" t="s">
        <v>110</v>
      </c>
      <c r="L2819" s="6">
        <v>45687</v>
      </c>
      <c r="M2819" s="6">
        <v>45681</v>
      </c>
      <c r="N2819" s="6" t="s">
        <v>811</v>
      </c>
      <c r="O2819" s="5" t="str">
        <f ca="1">IF(P2819&lt;&gt;"EXPEDIÇÃO","Expedido",IF(NETWORKDAYS(C2819,TODAY())&gt;=5,"Risco Alto",IF(NETWORKDAYS(C2819,TODAY())&gt;=3,IF(NETWORKDAYS(C2819,TODAY())&lt;5,"Risco Médio",""),IF(NETWORKDAYS(C2819,TODAY())&lt;=2,"Risco Baixo",""))))</f>
        <v>Expedido</v>
      </c>
      <c r="P2819" s="5" t="s">
        <v>25</v>
      </c>
      <c r="S2819" s="7">
        <f>IF(ISBLANK(M2819),"Aguardando Previsão/Data",NETWORKDAYS(L2819,M2819)-1)</f>
        <v>-6</v>
      </c>
      <c r="T2819" s="5" t="s">
        <v>942</v>
      </c>
    </row>
    <row r="2820" spans="1:20" x14ac:dyDescent="0.35">
      <c r="A2820" s="5">
        <v>8100279562</v>
      </c>
      <c r="B2820" s="5">
        <v>7272</v>
      </c>
      <c r="C2820" s="6">
        <v>45678</v>
      </c>
      <c r="D2820" s="5" t="s">
        <v>194</v>
      </c>
      <c r="E2820" s="5" t="s">
        <v>195</v>
      </c>
      <c r="F2820" s="5" t="s">
        <v>406</v>
      </c>
      <c r="G2820" s="5" t="s">
        <v>407</v>
      </c>
      <c r="H2820" s="5" t="s">
        <v>108</v>
      </c>
      <c r="I2820" s="5" t="s">
        <v>853</v>
      </c>
      <c r="J2820" s="5" t="s">
        <v>407</v>
      </c>
      <c r="K2820" s="5" t="s">
        <v>198</v>
      </c>
      <c r="L2820" s="6">
        <v>45684</v>
      </c>
      <c r="M2820" s="6">
        <v>45679</v>
      </c>
      <c r="N2820" s="6" t="s">
        <v>811</v>
      </c>
      <c r="O2820" s="5" t="str">
        <f ca="1">IF(P2820&lt;&gt;"EXPEDIÇÃO","Expedido",IF(NETWORKDAYS(C2820,TODAY())&gt;=5,"Risco Alto",IF(NETWORKDAYS(C2820,TODAY())&gt;=3,IF(NETWORKDAYS(C2820,TODAY())&lt;5,"Risco Médio",""),IF(NETWORKDAYS(C2820,TODAY())&lt;=2,"Risco Baixo",""))))</f>
        <v>Expedido</v>
      </c>
      <c r="P2820" s="5" t="s">
        <v>25</v>
      </c>
      <c r="S2820" s="7">
        <f>IF(ISBLANK(M2820),"Aguardando Previsão/Data",NETWORKDAYS(L2820,M2820)-1)</f>
        <v>-5</v>
      </c>
      <c r="T2820" s="5" t="s">
        <v>942</v>
      </c>
    </row>
    <row r="2821" spans="1:20" x14ac:dyDescent="0.35">
      <c r="A2821" s="5">
        <v>8100279561</v>
      </c>
      <c r="B2821" s="5">
        <v>7275</v>
      </c>
      <c r="C2821" s="6">
        <v>45678</v>
      </c>
      <c r="D2821" s="5" t="s">
        <v>194</v>
      </c>
      <c r="E2821" s="5" t="s">
        <v>195</v>
      </c>
      <c r="F2821" s="5" t="s">
        <v>19</v>
      </c>
      <c r="G2821" s="5" t="s">
        <v>20</v>
      </c>
      <c r="H2821" s="5" t="s">
        <v>108</v>
      </c>
      <c r="I2821" s="5" t="s">
        <v>612</v>
      </c>
      <c r="J2821" s="5" t="s">
        <v>205</v>
      </c>
      <c r="K2821" s="5" t="s">
        <v>198</v>
      </c>
      <c r="L2821" s="6">
        <v>45686</v>
      </c>
      <c r="M2821" s="6">
        <v>45684</v>
      </c>
      <c r="N2821" s="6" t="s">
        <v>811</v>
      </c>
      <c r="O2821" s="5" t="str">
        <f ca="1">IF(P2821&lt;&gt;"EXPEDIÇÃO","Expedido",IF(NETWORKDAYS(C2821,TODAY())&gt;=5,"Risco Alto",IF(NETWORKDAYS(C2821,TODAY())&gt;=3,IF(NETWORKDAYS(C2821,TODAY())&lt;5,"Risco Médio",""),IF(NETWORKDAYS(C2821,TODAY())&lt;=2,"Risco Baixo",""))))</f>
        <v>Expedido</v>
      </c>
      <c r="P2821" s="5" t="s">
        <v>25</v>
      </c>
      <c r="S2821" s="7">
        <f>IF(ISBLANK(M2821),"Aguardando Previsão/Data",NETWORKDAYS(L2821,M2821)-1)</f>
        <v>-4</v>
      </c>
      <c r="T2821" s="5" t="s">
        <v>942</v>
      </c>
    </row>
    <row r="2822" spans="1:20" x14ac:dyDescent="0.35">
      <c r="A2822" s="5">
        <v>8100279624</v>
      </c>
      <c r="B2822" s="5">
        <v>7279</v>
      </c>
      <c r="C2822" s="6">
        <v>45678</v>
      </c>
      <c r="D2822" s="5" t="s">
        <v>194</v>
      </c>
      <c r="E2822" s="5" t="s">
        <v>195</v>
      </c>
      <c r="F2822" s="5" t="s">
        <v>406</v>
      </c>
      <c r="G2822" s="5" t="s">
        <v>407</v>
      </c>
      <c r="H2822" s="5" t="s">
        <v>108</v>
      </c>
      <c r="I2822" s="5" t="s">
        <v>1433</v>
      </c>
      <c r="J2822" s="5" t="s">
        <v>407</v>
      </c>
      <c r="K2822" s="5" t="s">
        <v>198</v>
      </c>
      <c r="L2822" s="6">
        <v>45684</v>
      </c>
      <c r="M2822" s="6">
        <v>45679</v>
      </c>
      <c r="N2822" s="6" t="s">
        <v>811</v>
      </c>
      <c r="O2822" s="5" t="str">
        <f ca="1">IF(P2822&lt;&gt;"EXPEDIÇÃO","Expedido",IF(NETWORKDAYS(C2822,TODAY())&gt;=5,"Risco Alto",IF(NETWORKDAYS(C2822,TODAY())&gt;=3,IF(NETWORKDAYS(C2822,TODAY())&lt;5,"Risco Médio",""),IF(NETWORKDAYS(C2822,TODAY())&lt;=2,"Risco Baixo",""))))</f>
        <v>Expedido</v>
      </c>
      <c r="P2822" s="5" t="s">
        <v>25</v>
      </c>
      <c r="S2822" s="7">
        <f>IF(ISBLANK(M2822),"Aguardando Previsão/Data",NETWORKDAYS(L2822,M2822)-1)</f>
        <v>-5</v>
      </c>
      <c r="T2822" s="5" t="s">
        <v>942</v>
      </c>
    </row>
    <row r="2823" spans="1:20" x14ac:dyDescent="0.35">
      <c r="A2823" s="5">
        <v>8100279568</v>
      </c>
      <c r="B2823" s="5">
        <v>7271</v>
      </c>
      <c r="C2823" s="6">
        <v>45678</v>
      </c>
      <c r="D2823" s="5" t="s">
        <v>194</v>
      </c>
      <c r="E2823" s="5" t="s">
        <v>195</v>
      </c>
      <c r="F2823" s="5" t="s">
        <v>199</v>
      </c>
      <c r="G2823" s="5" t="s">
        <v>200</v>
      </c>
      <c r="H2823" s="5" t="s">
        <v>108</v>
      </c>
      <c r="I2823" s="5" t="s">
        <v>1295</v>
      </c>
      <c r="J2823" s="5" t="s">
        <v>205</v>
      </c>
      <c r="K2823" s="5" t="s">
        <v>198</v>
      </c>
      <c r="L2823" s="6">
        <v>45686</v>
      </c>
      <c r="M2823" s="6">
        <v>45684</v>
      </c>
      <c r="N2823" s="6" t="s">
        <v>811</v>
      </c>
      <c r="O2823" s="5" t="str">
        <f ca="1">IF(P2823&lt;&gt;"EXPEDIÇÃO","Expedido",IF(NETWORKDAYS(C2823,TODAY())&gt;=5,"Risco Alto",IF(NETWORKDAYS(C2823,TODAY())&gt;=3,IF(NETWORKDAYS(C2823,TODAY())&lt;5,"Risco Médio",""),IF(NETWORKDAYS(C2823,TODAY())&lt;=2,"Risco Baixo",""))))</f>
        <v>Expedido</v>
      </c>
      <c r="P2823" s="5" t="s">
        <v>25</v>
      </c>
      <c r="Q2823" s="5" t="s">
        <v>1571</v>
      </c>
      <c r="S2823" s="7">
        <f>IF(ISBLANK(M2823),"Aguardando Previsão/Data",NETWORKDAYS(L2823,M2823)-1)</f>
        <v>-4</v>
      </c>
      <c r="T2823" s="5" t="s">
        <v>942</v>
      </c>
    </row>
    <row r="2824" spans="1:20" x14ac:dyDescent="0.35">
      <c r="A2824" s="5">
        <v>8100279626</v>
      </c>
      <c r="B2824" s="5">
        <v>7285</v>
      </c>
      <c r="C2824" s="6">
        <v>45678</v>
      </c>
      <c r="D2824" s="5" t="s">
        <v>194</v>
      </c>
      <c r="E2824" s="5" t="s">
        <v>195</v>
      </c>
      <c r="F2824" s="5" t="s">
        <v>406</v>
      </c>
      <c r="G2824" s="5" t="s">
        <v>407</v>
      </c>
      <c r="H2824" s="5" t="s">
        <v>108</v>
      </c>
      <c r="I2824" s="5" t="s">
        <v>1433</v>
      </c>
      <c r="J2824" s="5" t="s">
        <v>671</v>
      </c>
      <c r="K2824" s="5" t="s">
        <v>198</v>
      </c>
      <c r="L2824" s="6">
        <v>45685</v>
      </c>
      <c r="M2824" s="6">
        <v>45680</v>
      </c>
      <c r="N2824" s="6" t="s">
        <v>811</v>
      </c>
      <c r="O2824" s="5" t="str">
        <f ca="1">IF(P2824&lt;&gt;"EXPEDIÇÃO","Expedido",IF(NETWORKDAYS(C2824,TODAY())&gt;=5,"Risco Alto",IF(NETWORKDAYS(C2824,TODAY())&gt;=3,IF(NETWORKDAYS(C2824,TODAY())&lt;5,"Risco Médio",""),IF(NETWORKDAYS(C2824,TODAY())&lt;=2,"Risco Baixo",""))))</f>
        <v>Expedido</v>
      </c>
      <c r="P2824" s="5" t="s">
        <v>25</v>
      </c>
      <c r="S2824" s="7">
        <f>IF(ISBLANK(M2824),"Aguardando Previsão/Data",NETWORKDAYS(L2824,M2824)-1)</f>
        <v>-5</v>
      </c>
      <c r="T2824" s="5" t="s">
        <v>942</v>
      </c>
    </row>
    <row r="2825" spans="1:20" x14ac:dyDescent="0.35">
      <c r="A2825" s="5">
        <v>8100279569</v>
      </c>
      <c r="B2825" s="5">
        <v>7276</v>
      </c>
      <c r="C2825" s="6">
        <v>45678</v>
      </c>
      <c r="D2825" s="5" t="s">
        <v>194</v>
      </c>
      <c r="E2825" s="5" t="s">
        <v>195</v>
      </c>
      <c r="F2825" s="5" t="s">
        <v>199</v>
      </c>
      <c r="G2825" s="5" t="s">
        <v>200</v>
      </c>
      <c r="H2825" s="5" t="s">
        <v>108</v>
      </c>
      <c r="I2825" s="5" t="s">
        <v>1107</v>
      </c>
      <c r="J2825" s="5" t="s">
        <v>205</v>
      </c>
      <c r="K2825" s="5" t="s">
        <v>198</v>
      </c>
      <c r="L2825" s="6">
        <v>45686</v>
      </c>
      <c r="M2825" s="6">
        <v>45681</v>
      </c>
      <c r="N2825" s="6" t="s">
        <v>811</v>
      </c>
      <c r="O2825" s="5" t="str">
        <f ca="1">IF(P2825&lt;&gt;"EXPEDIÇÃO","Expedido",IF(NETWORKDAYS(C2825,TODAY())&gt;=5,"Risco Alto",IF(NETWORKDAYS(C2825,TODAY())&gt;=3,IF(NETWORKDAYS(C2825,TODAY())&lt;5,"Risco Médio",""),IF(NETWORKDAYS(C2825,TODAY())&lt;=2,"Risco Baixo",""))))</f>
        <v>Expedido</v>
      </c>
      <c r="P2825" s="5" t="s">
        <v>25</v>
      </c>
      <c r="S2825" s="7">
        <f>IF(ISBLANK(M2825),"Aguardando Previsão/Data",NETWORKDAYS(L2825,M2825)-1)</f>
        <v>-5</v>
      </c>
      <c r="T2825" s="5" t="s">
        <v>942</v>
      </c>
    </row>
    <row r="2826" spans="1:20" x14ac:dyDescent="0.35">
      <c r="A2826" s="5">
        <v>8100279587</v>
      </c>
      <c r="B2826" s="5">
        <v>7273</v>
      </c>
      <c r="C2826" s="6">
        <v>45678</v>
      </c>
      <c r="D2826" s="5" t="s">
        <v>194</v>
      </c>
      <c r="E2826" s="5" t="s">
        <v>195</v>
      </c>
      <c r="F2826" s="5" t="s">
        <v>196</v>
      </c>
      <c r="G2826" s="5" t="s">
        <v>197</v>
      </c>
      <c r="H2826" s="5" t="s">
        <v>108</v>
      </c>
      <c r="I2826" s="5" t="s">
        <v>1430</v>
      </c>
      <c r="J2826" s="5" t="s">
        <v>1431</v>
      </c>
      <c r="K2826" s="5" t="s">
        <v>198</v>
      </c>
      <c r="L2826" s="6">
        <v>45685</v>
      </c>
      <c r="M2826" s="6">
        <v>45685</v>
      </c>
      <c r="N2826" s="6" t="s">
        <v>811</v>
      </c>
      <c r="O2826" s="5" t="str">
        <f ca="1">IF(P2826&lt;&gt;"EXPEDIÇÃO","Expedido",IF(NETWORKDAYS(C2826,TODAY())&gt;=5,"Risco Alto",IF(NETWORKDAYS(C2826,TODAY())&gt;=3,IF(NETWORKDAYS(C2826,TODAY())&lt;5,"Risco Médio",""),IF(NETWORKDAYS(C2826,TODAY())&lt;=2,"Risco Baixo",""))))</f>
        <v>Expedido</v>
      </c>
      <c r="P2826" s="5" t="s">
        <v>25</v>
      </c>
      <c r="Q2826" s="5" t="s">
        <v>899</v>
      </c>
      <c r="S2826" s="7">
        <f>IF(ISBLANK(M2826),"Aguardando Previsão/Data",NETWORKDAYS(L2826,M2826)-1)</f>
        <v>0</v>
      </c>
      <c r="T2826" s="5" t="s">
        <v>942</v>
      </c>
    </row>
    <row r="2827" spans="1:20" x14ac:dyDescent="0.35">
      <c r="A2827" s="5">
        <v>8100279616</v>
      </c>
      <c r="B2827" s="5">
        <v>7265</v>
      </c>
      <c r="C2827" s="6">
        <v>45678</v>
      </c>
      <c r="D2827" s="5" t="s">
        <v>194</v>
      </c>
      <c r="E2827" s="5" t="s">
        <v>195</v>
      </c>
      <c r="F2827" s="5" t="s">
        <v>406</v>
      </c>
      <c r="G2827" s="5" t="s">
        <v>407</v>
      </c>
      <c r="H2827" s="5" t="s">
        <v>108</v>
      </c>
      <c r="I2827" s="5" t="s">
        <v>1353</v>
      </c>
      <c r="J2827" s="5" t="s">
        <v>588</v>
      </c>
      <c r="K2827" s="5" t="s">
        <v>198</v>
      </c>
      <c r="L2827" s="6">
        <v>45685</v>
      </c>
      <c r="M2827" s="6">
        <v>45685</v>
      </c>
      <c r="N2827" s="6" t="s">
        <v>811</v>
      </c>
      <c r="O2827" s="5" t="str">
        <f ca="1">IF(P2827&lt;&gt;"EXPEDIÇÃO","Expedido",IF(NETWORKDAYS(C2827,TODAY())&gt;=5,"Risco Alto",IF(NETWORKDAYS(C2827,TODAY())&gt;=3,IF(NETWORKDAYS(C2827,TODAY())&lt;5,"Risco Médio",""),IF(NETWORKDAYS(C2827,TODAY())&lt;=2,"Risco Baixo",""))))</f>
        <v>Expedido</v>
      </c>
      <c r="P2827" s="5" t="s">
        <v>25</v>
      </c>
      <c r="S2827" s="7">
        <f>IF(ISBLANK(M2827),"Aguardando Previsão/Data",NETWORKDAYS(L2827,M2827)-1)</f>
        <v>0</v>
      </c>
      <c r="T2827" s="5" t="s">
        <v>942</v>
      </c>
    </row>
    <row r="2828" spans="1:20" x14ac:dyDescent="0.35">
      <c r="A2828" s="5">
        <v>8100279617</v>
      </c>
      <c r="B2828" s="5">
        <v>7278</v>
      </c>
      <c r="C2828" s="6">
        <v>45678</v>
      </c>
      <c r="D2828" s="5" t="s">
        <v>194</v>
      </c>
      <c r="E2828" s="5" t="s">
        <v>195</v>
      </c>
      <c r="F2828" s="5" t="s">
        <v>406</v>
      </c>
      <c r="G2828" s="5" t="s">
        <v>407</v>
      </c>
      <c r="H2828" s="5" t="s">
        <v>108</v>
      </c>
      <c r="I2828" s="5" t="s">
        <v>1354</v>
      </c>
      <c r="J2828" s="5" t="s">
        <v>735</v>
      </c>
      <c r="K2828" s="5" t="s">
        <v>198</v>
      </c>
      <c r="L2828" s="6">
        <v>45685</v>
      </c>
      <c r="M2828" s="6">
        <v>45681</v>
      </c>
      <c r="N2828" s="6" t="s">
        <v>811</v>
      </c>
      <c r="O2828" s="5" t="str">
        <f ca="1">IF(P2828&lt;&gt;"EXPEDIÇÃO","Expedido",IF(NETWORKDAYS(C2828,TODAY())&gt;=5,"Risco Alto",IF(NETWORKDAYS(C2828,TODAY())&gt;=3,IF(NETWORKDAYS(C2828,TODAY())&lt;5,"Risco Médio",""),IF(NETWORKDAYS(C2828,TODAY())&lt;=2,"Risco Baixo",""))))</f>
        <v>Expedido</v>
      </c>
      <c r="P2828" s="5" t="s">
        <v>25</v>
      </c>
      <c r="S2828" s="7">
        <f>IF(ISBLANK(M2828),"Aguardando Previsão/Data",NETWORKDAYS(L2828,M2828)-1)</f>
        <v>-4</v>
      </c>
      <c r="T2828" s="5" t="s">
        <v>942</v>
      </c>
    </row>
    <row r="2829" spans="1:20" x14ac:dyDescent="0.35">
      <c r="A2829" s="5">
        <v>8100279618</v>
      </c>
      <c r="B2829" s="5">
        <v>7267</v>
      </c>
      <c r="C2829" s="6">
        <v>45678</v>
      </c>
      <c r="D2829" s="5" t="s">
        <v>194</v>
      </c>
      <c r="E2829" s="5" t="s">
        <v>195</v>
      </c>
      <c r="F2829" s="5" t="s">
        <v>406</v>
      </c>
      <c r="G2829" s="5" t="s">
        <v>407</v>
      </c>
      <c r="H2829" s="5" t="s">
        <v>108</v>
      </c>
      <c r="I2829" s="5" t="s">
        <v>1432</v>
      </c>
      <c r="J2829" s="5" t="s">
        <v>513</v>
      </c>
      <c r="K2829" s="5" t="s">
        <v>198</v>
      </c>
      <c r="L2829" s="6">
        <v>45685</v>
      </c>
      <c r="M2829" s="6">
        <v>45686</v>
      </c>
      <c r="N2829" s="6" t="s">
        <v>812</v>
      </c>
      <c r="O2829" s="5" t="str">
        <f ca="1">IF(P2829&lt;&gt;"EXPEDIÇÃO","Expedido",IF(NETWORKDAYS(C2829,TODAY())&gt;=5,"Risco Alto",IF(NETWORKDAYS(C2829,TODAY())&gt;=3,IF(NETWORKDAYS(C2829,TODAY())&lt;5,"Risco Médio",""),IF(NETWORKDAYS(C2829,TODAY())&lt;=2,"Risco Baixo",""))))</f>
        <v>Expedido</v>
      </c>
      <c r="P2829" s="5" t="s">
        <v>25</v>
      </c>
      <c r="Q2829" s="5" t="s">
        <v>899</v>
      </c>
      <c r="S2829" s="7">
        <f>IF(ISBLANK(M2829),"Aguardando Previsão/Data",NETWORKDAYS(L2829,M2829)-1)</f>
        <v>1</v>
      </c>
      <c r="T2829" s="5" t="s">
        <v>942</v>
      </c>
    </row>
    <row r="2830" spans="1:20" x14ac:dyDescent="0.35">
      <c r="A2830" s="5">
        <v>8100279619</v>
      </c>
      <c r="B2830" s="5">
        <v>7277</v>
      </c>
      <c r="C2830" s="6">
        <v>45678</v>
      </c>
      <c r="D2830" s="5" t="s">
        <v>194</v>
      </c>
      <c r="E2830" s="5" t="s">
        <v>195</v>
      </c>
      <c r="F2830" s="5" t="s">
        <v>406</v>
      </c>
      <c r="G2830" s="5" t="s">
        <v>407</v>
      </c>
      <c r="H2830" s="5" t="s">
        <v>108</v>
      </c>
      <c r="I2830" s="5" t="s">
        <v>788</v>
      </c>
      <c r="J2830" s="5" t="s">
        <v>407</v>
      </c>
      <c r="K2830" s="5" t="s">
        <v>198</v>
      </c>
      <c r="L2830" s="6">
        <v>45684</v>
      </c>
      <c r="M2830" s="6">
        <v>45685</v>
      </c>
      <c r="N2830" s="6" t="s">
        <v>812</v>
      </c>
      <c r="O2830" s="5" t="str">
        <f ca="1">IF(P2830&lt;&gt;"EXPEDIÇÃO","Expedido",IF(NETWORKDAYS(C2830,TODAY())&gt;=5,"Risco Alto",IF(NETWORKDAYS(C2830,TODAY())&gt;=3,IF(NETWORKDAYS(C2830,TODAY())&lt;5,"Risco Médio",""),IF(NETWORKDAYS(C2830,TODAY())&lt;=2,"Risco Baixo",""))))</f>
        <v>Expedido</v>
      </c>
      <c r="P2830" s="5" t="s">
        <v>25</v>
      </c>
      <c r="Q2830" s="5" t="s">
        <v>899</v>
      </c>
      <c r="S2830" s="7">
        <f>IF(ISBLANK(M2830),"Aguardando Previsão/Data",NETWORKDAYS(L2830,M2830)-1)</f>
        <v>1</v>
      </c>
      <c r="T2830" s="5" t="s">
        <v>942</v>
      </c>
    </row>
    <row r="2831" spans="1:20" x14ac:dyDescent="0.35">
      <c r="A2831" s="5">
        <v>8100279620</v>
      </c>
      <c r="B2831" s="5">
        <v>7280</v>
      </c>
      <c r="C2831" s="6">
        <v>45678</v>
      </c>
      <c r="D2831" s="5" t="s">
        <v>194</v>
      </c>
      <c r="E2831" s="5" t="s">
        <v>195</v>
      </c>
      <c r="F2831" s="5" t="s">
        <v>199</v>
      </c>
      <c r="G2831" s="5" t="s">
        <v>200</v>
      </c>
      <c r="H2831" s="5" t="s">
        <v>108</v>
      </c>
      <c r="I2831" s="5" t="s">
        <v>1295</v>
      </c>
      <c r="J2831" s="5" t="s">
        <v>205</v>
      </c>
      <c r="K2831" s="5" t="s">
        <v>198</v>
      </c>
      <c r="L2831" s="6">
        <v>45686</v>
      </c>
      <c r="M2831" s="6">
        <v>45684</v>
      </c>
      <c r="N2831" s="6" t="s">
        <v>811</v>
      </c>
      <c r="O2831" s="5" t="str">
        <f ca="1">IF(P2831&lt;&gt;"EXPEDIÇÃO","Expedido",IF(NETWORKDAYS(C2831,TODAY())&gt;=5,"Risco Alto",IF(NETWORKDAYS(C2831,TODAY())&gt;=3,IF(NETWORKDAYS(C2831,TODAY())&lt;5,"Risco Médio",""),IF(NETWORKDAYS(C2831,TODAY())&lt;=2,"Risco Baixo",""))))</f>
        <v>Expedido</v>
      </c>
      <c r="P2831" s="5" t="s">
        <v>25</v>
      </c>
      <c r="Q2831" s="5" t="s">
        <v>1571</v>
      </c>
      <c r="S2831" s="7">
        <f>IF(ISBLANK(M2831),"Aguardando Previsão/Data",NETWORKDAYS(L2831,M2831)-1)</f>
        <v>-4</v>
      </c>
      <c r="T2831" s="5" t="s">
        <v>942</v>
      </c>
    </row>
    <row r="2832" spans="1:20" x14ac:dyDescent="0.35">
      <c r="A2832" s="5">
        <v>8100279622</v>
      </c>
      <c r="B2832" s="5">
        <v>7283</v>
      </c>
      <c r="C2832" s="6">
        <v>45678</v>
      </c>
      <c r="D2832" s="5" t="s">
        <v>194</v>
      </c>
      <c r="E2832" s="5" t="s">
        <v>195</v>
      </c>
      <c r="F2832" s="5" t="s">
        <v>406</v>
      </c>
      <c r="G2832" s="5" t="s">
        <v>407</v>
      </c>
      <c r="H2832" s="5" t="s">
        <v>108</v>
      </c>
      <c r="I2832" s="5" t="s">
        <v>708</v>
      </c>
      <c r="J2832" s="5" t="s">
        <v>616</v>
      </c>
      <c r="K2832" s="5" t="s">
        <v>198</v>
      </c>
      <c r="L2832" s="6">
        <v>45684</v>
      </c>
      <c r="M2832" s="6">
        <v>45681</v>
      </c>
      <c r="N2832" s="6" t="s">
        <v>811</v>
      </c>
      <c r="O2832" s="5" t="str">
        <f ca="1">IF(P2832&lt;&gt;"EXPEDIÇÃO","Expedido",IF(NETWORKDAYS(C2832,TODAY())&gt;=5,"Risco Alto",IF(NETWORKDAYS(C2832,TODAY())&gt;=3,IF(NETWORKDAYS(C2832,TODAY())&lt;5,"Risco Médio",""),IF(NETWORKDAYS(C2832,TODAY())&lt;=2,"Risco Baixo",""))))</f>
        <v>Expedido</v>
      </c>
      <c r="P2832" s="5" t="s">
        <v>25</v>
      </c>
      <c r="Q2832" s="5" t="s">
        <v>899</v>
      </c>
      <c r="S2832" s="7">
        <f>IF(ISBLANK(M2832),"Aguardando Previsão/Data",NETWORKDAYS(L2832,M2832)-1)</f>
        <v>-3</v>
      </c>
      <c r="T2832" s="5" t="s">
        <v>942</v>
      </c>
    </row>
    <row r="2833" spans="1:20" x14ac:dyDescent="0.35">
      <c r="A2833" s="5">
        <v>8100279623</v>
      </c>
      <c r="B2833" s="5">
        <v>7284</v>
      </c>
      <c r="C2833" s="6">
        <v>45678</v>
      </c>
      <c r="D2833" s="5" t="s">
        <v>194</v>
      </c>
      <c r="E2833" s="5" t="s">
        <v>195</v>
      </c>
      <c r="F2833" s="5" t="s">
        <v>199</v>
      </c>
      <c r="G2833" s="5" t="s">
        <v>200</v>
      </c>
      <c r="H2833" s="5" t="s">
        <v>108</v>
      </c>
      <c r="I2833" s="5" t="s">
        <v>1107</v>
      </c>
      <c r="J2833" s="5" t="s">
        <v>205</v>
      </c>
      <c r="K2833" s="5" t="s">
        <v>198</v>
      </c>
      <c r="L2833" s="6">
        <v>45686</v>
      </c>
      <c r="M2833" s="6">
        <v>45681</v>
      </c>
      <c r="N2833" s="6" t="s">
        <v>811</v>
      </c>
      <c r="O2833" s="5" t="str">
        <f ca="1">IF(P2833&lt;&gt;"EXPEDIÇÃO","Expedido",IF(NETWORKDAYS(C2833,TODAY())&gt;=5,"Risco Alto",IF(NETWORKDAYS(C2833,TODAY())&gt;=3,IF(NETWORKDAYS(C2833,TODAY())&lt;5,"Risco Médio",""),IF(NETWORKDAYS(C2833,TODAY())&lt;=2,"Risco Baixo",""))))</f>
        <v>Expedido</v>
      </c>
      <c r="P2833" s="5" t="s">
        <v>25</v>
      </c>
      <c r="S2833" s="7">
        <f>IF(ISBLANK(M2833),"Aguardando Previsão/Data",NETWORKDAYS(L2833,M2833)-1)</f>
        <v>-5</v>
      </c>
      <c r="T2833" s="5" t="s">
        <v>942</v>
      </c>
    </row>
    <row r="2834" spans="1:20" x14ac:dyDescent="0.35">
      <c r="A2834" s="5">
        <v>8100279625</v>
      </c>
      <c r="B2834" s="5">
        <v>7281</v>
      </c>
      <c r="C2834" s="6">
        <v>45678</v>
      </c>
      <c r="D2834" s="5" t="s">
        <v>194</v>
      </c>
      <c r="E2834" s="5" t="s">
        <v>195</v>
      </c>
      <c r="F2834" s="5" t="s">
        <v>406</v>
      </c>
      <c r="G2834" s="5" t="s">
        <v>407</v>
      </c>
      <c r="H2834" s="5" t="s">
        <v>108</v>
      </c>
      <c r="I2834" s="5" t="s">
        <v>1224</v>
      </c>
      <c r="J2834" s="5" t="s">
        <v>407</v>
      </c>
      <c r="K2834" s="5" t="s">
        <v>198</v>
      </c>
      <c r="L2834" s="6">
        <v>45684</v>
      </c>
      <c r="M2834" s="6">
        <v>45680</v>
      </c>
      <c r="N2834" s="6" t="s">
        <v>811</v>
      </c>
      <c r="O2834" s="5" t="str">
        <f ca="1">IF(P2834&lt;&gt;"EXPEDIÇÃO","Expedido",IF(NETWORKDAYS(C2834,TODAY())&gt;=5,"Risco Alto",IF(NETWORKDAYS(C2834,TODAY())&gt;=3,IF(NETWORKDAYS(C2834,TODAY())&lt;5,"Risco Médio",""),IF(NETWORKDAYS(C2834,TODAY())&lt;=2,"Risco Baixo",""))))</f>
        <v>Expedido</v>
      </c>
      <c r="P2834" s="5" t="s">
        <v>25</v>
      </c>
      <c r="S2834" s="7">
        <f>IF(ISBLANK(M2834),"Aguardando Previsão/Data",NETWORKDAYS(L2834,M2834)-1)</f>
        <v>-4</v>
      </c>
      <c r="T2834" s="5" t="s">
        <v>942</v>
      </c>
    </row>
    <row r="2835" spans="1:20" x14ac:dyDescent="0.35">
      <c r="A2835" s="5">
        <v>8100279627</v>
      </c>
      <c r="B2835" s="5">
        <v>7282</v>
      </c>
      <c r="C2835" s="6">
        <v>45678</v>
      </c>
      <c r="D2835" s="5" t="s">
        <v>194</v>
      </c>
      <c r="E2835" s="5" t="s">
        <v>195</v>
      </c>
      <c r="F2835" s="5" t="s">
        <v>199</v>
      </c>
      <c r="G2835" s="5" t="s">
        <v>200</v>
      </c>
      <c r="H2835" s="5" t="s">
        <v>108</v>
      </c>
      <c r="I2835" s="5" t="s">
        <v>1283</v>
      </c>
      <c r="J2835" s="5" t="s">
        <v>628</v>
      </c>
      <c r="K2835" s="5" t="s">
        <v>198</v>
      </c>
      <c r="L2835" s="6">
        <v>45686</v>
      </c>
      <c r="M2835" s="6">
        <v>45687</v>
      </c>
      <c r="N2835" s="6" t="s">
        <v>812</v>
      </c>
      <c r="O2835" s="5" t="str">
        <f ca="1">IF(P2835&lt;&gt;"EXPEDIÇÃO","Expedido",IF(NETWORKDAYS(C2835,TODAY())&gt;=5,"Risco Alto",IF(NETWORKDAYS(C2835,TODAY())&gt;=3,IF(NETWORKDAYS(C2835,TODAY())&lt;5,"Risco Médio",""),IF(NETWORKDAYS(C2835,TODAY())&lt;=2,"Risco Baixo",""))))</f>
        <v>Expedido</v>
      </c>
      <c r="P2835" s="5" t="s">
        <v>617</v>
      </c>
      <c r="Q2835" s="5" t="s">
        <v>899</v>
      </c>
      <c r="S2835" s="7">
        <f>IF(ISBLANK(M2835),"Aguardando Previsão/Data",NETWORKDAYS(L2835,M2835)-1)</f>
        <v>1</v>
      </c>
    </row>
    <row r="2836" spans="1:20" x14ac:dyDescent="0.35">
      <c r="A2836" s="5">
        <v>8100279628</v>
      </c>
      <c r="B2836" s="5">
        <v>7269</v>
      </c>
      <c r="C2836" s="6">
        <v>45678</v>
      </c>
      <c r="D2836" s="5" t="s">
        <v>194</v>
      </c>
      <c r="E2836" s="5" t="s">
        <v>195</v>
      </c>
      <c r="F2836" s="5" t="s">
        <v>406</v>
      </c>
      <c r="G2836" s="5" t="s">
        <v>407</v>
      </c>
      <c r="H2836" s="5" t="s">
        <v>108</v>
      </c>
      <c r="I2836" s="5" t="s">
        <v>201</v>
      </c>
      <c r="J2836" s="5" t="s">
        <v>202</v>
      </c>
      <c r="K2836" s="5" t="s">
        <v>198</v>
      </c>
      <c r="L2836" s="6">
        <v>45685</v>
      </c>
      <c r="M2836" s="6">
        <v>45681</v>
      </c>
      <c r="N2836" s="6" t="s">
        <v>811</v>
      </c>
      <c r="O2836" s="5" t="str">
        <f ca="1">IF(P2836&lt;&gt;"EXPEDIÇÃO","Expedido",IF(NETWORKDAYS(C2836,TODAY())&gt;=5,"Risco Alto",IF(NETWORKDAYS(C2836,TODAY())&gt;=3,IF(NETWORKDAYS(C2836,TODAY())&lt;5,"Risco Médio",""),IF(NETWORKDAYS(C2836,TODAY())&lt;=2,"Risco Baixo",""))))</f>
        <v>Expedido</v>
      </c>
      <c r="P2836" s="5" t="s">
        <v>25</v>
      </c>
      <c r="Q2836" s="5" t="s">
        <v>1493</v>
      </c>
      <c r="S2836" s="7">
        <f>IF(ISBLANK(M2836),"Aguardando Previsão/Data",NETWORKDAYS(L2836,M2836)-1)</f>
        <v>-4</v>
      </c>
      <c r="T2836" s="5" t="s">
        <v>942</v>
      </c>
    </row>
    <row r="2837" spans="1:20" x14ac:dyDescent="0.35">
      <c r="A2837" s="5">
        <v>8100279629</v>
      </c>
      <c r="B2837" s="5">
        <v>7270</v>
      </c>
      <c r="C2837" s="6">
        <v>45678</v>
      </c>
      <c r="D2837" s="5" t="s">
        <v>194</v>
      </c>
      <c r="E2837" s="5" t="s">
        <v>195</v>
      </c>
      <c r="F2837" s="5" t="s">
        <v>406</v>
      </c>
      <c r="G2837" s="5" t="s">
        <v>407</v>
      </c>
      <c r="H2837" s="5" t="s">
        <v>108</v>
      </c>
      <c r="I2837" s="5" t="s">
        <v>201</v>
      </c>
      <c r="J2837" s="5" t="s">
        <v>202</v>
      </c>
      <c r="K2837" s="5" t="s">
        <v>198</v>
      </c>
      <c r="L2837" s="6">
        <v>45685</v>
      </c>
      <c r="M2837" s="6">
        <v>45681</v>
      </c>
      <c r="N2837" s="6" t="s">
        <v>811</v>
      </c>
      <c r="O2837" s="5" t="str">
        <f ca="1">IF(P2837&lt;&gt;"EXPEDIÇÃO","Expedido",IF(NETWORKDAYS(C2837,TODAY())&gt;=5,"Risco Alto",IF(NETWORKDAYS(C2837,TODAY())&gt;=3,IF(NETWORKDAYS(C2837,TODAY())&lt;5,"Risco Médio",""),IF(NETWORKDAYS(C2837,TODAY())&lt;=2,"Risco Baixo",""))))</f>
        <v>Expedido</v>
      </c>
      <c r="P2837" s="5" t="s">
        <v>25</v>
      </c>
      <c r="Q2837" s="5" t="s">
        <v>1493</v>
      </c>
      <c r="S2837" s="7">
        <f>IF(ISBLANK(M2837),"Aguardando Previsão/Data",NETWORKDAYS(L2837,M2837)-1)</f>
        <v>-4</v>
      </c>
      <c r="T2837" s="5" t="s">
        <v>942</v>
      </c>
    </row>
    <row r="2838" spans="1:20" x14ac:dyDescent="0.35">
      <c r="A2838" s="5">
        <v>8100279630</v>
      </c>
      <c r="B2838" s="5">
        <v>7266</v>
      </c>
      <c r="C2838" s="6">
        <v>45678</v>
      </c>
      <c r="D2838" s="5" t="s">
        <v>194</v>
      </c>
      <c r="E2838" s="5" t="s">
        <v>195</v>
      </c>
      <c r="F2838" s="5" t="s">
        <v>199</v>
      </c>
      <c r="G2838" s="5" t="s">
        <v>200</v>
      </c>
      <c r="H2838" s="5" t="s">
        <v>108</v>
      </c>
      <c r="I2838" s="5" t="s">
        <v>1090</v>
      </c>
      <c r="J2838" s="5" t="s">
        <v>205</v>
      </c>
      <c r="K2838" s="5" t="s">
        <v>198</v>
      </c>
      <c r="L2838" s="6">
        <v>45686</v>
      </c>
      <c r="M2838" s="6">
        <v>45684</v>
      </c>
      <c r="N2838" s="6" t="s">
        <v>811</v>
      </c>
      <c r="O2838" s="5" t="str">
        <f ca="1">IF(P2838&lt;&gt;"EXPEDIÇÃO","Expedido",IF(NETWORKDAYS(C2838,TODAY())&gt;=5,"Risco Alto",IF(NETWORKDAYS(C2838,TODAY())&gt;=3,IF(NETWORKDAYS(C2838,TODAY())&lt;5,"Risco Médio",""),IF(NETWORKDAYS(C2838,TODAY())&lt;=2,"Risco Baixo",""))))</f>
        <v>Expedido</v>
      </c>
      <c r="P2838" s="5" t="s">
        <v>25</v>
      </c>
      <c r="Q2838" s="5" t="s">
        <v>899</v>
      </c>
      <c r="S2838" s="7">
        <f>IF(ISBLANK(M2838),"Aguardando Previsão/Data",NETWORKDAYS(L2838,M2838)-1)</f>
        <v>-4</v>
      </c>
      <c r="T2838" s="5" t="s">
        <v>942</v>
      </c>
    </row>
    <row r="2839" spans="1:20" x14ac:dyDescent="0.35">
      <c r="A2839" s="5">
        <v>8100279631</v>
      </c>
      <c r="B2839" s="5">
        <v>7268</v>
      </c>
      <c r="C2839" s="6">
        <v>45678</v>
      </c>
      <c r="D2839" s="5" t="s">
        <v>194</v>
      </c>
      <c r="E2839" s="5" t="s">
        <v>195</v>
      </c>
      <c r="F2839" s="5" t="s">
        <v>329</v>
      </c>
      <c r="G2839" s="5" t="s">
        <v>330</v>
      </c>
      <c r="H2839" s="5" t="s">
        <v>108</v>
      </c>
      <c r="I2839" s="5" t="s">
        <v>979</v>
      </c>
      <c r="J2839" s="5" t="s">
        <v>205</v>
      </c>
      <c r="K2839" s="5" t="s">
        <v>198</v>
      </c>
      <c r="L2839" s="6">
        <v>45686</v>
      </c>
      <c r="M2839" s="6">
        <v>45682</v>
      </c>
      <c r="N2839" s="6" t="s">
        <v>811</v>
      </c>
      <c r="O2839" s="5" t="str">
        <f ca="1">IF(P2839&lt;&gt;"EXPEDIÇÃO","Expedido",IF(NETWORKDAYS(C2839,TODAY())&gt;=5,"Risco Alto",IF(NETWORKDAYS(C2839,TODAY())&gt;=3,IF(NETWORKDAYS(C2839,TODAY())&lt;5,"Risco Médio",""),IF(NETWORKDAYS(C2839,TODAY())&lt;=2,"Risco Baixo",""))))</f>
        <v>Expedido</v>
      </c>
      <c r="P2839" s="5" t="s">
        <v>25</v>
      </c>
      <c r="S2839" s="7">
        <f>IF(ISBLANK(M2839),"Aguardando Previsão/Data",NETWORKDAYS(L2839,M2839)-1)</f>
        <v>-4</v>
      </c>
      <c r="T2839" s="5" t="s">
        <v>942</v>
      </c>
    </row>
    <row r="2840" spans="1:20" x14ac:dyDescent="0.35">
      <c r="A2840" s="5">
        <v>8100280038</v>
      </c>
      <c r="B2840" s="5">
        <v>7295</v>
      </c>
      <c r="C2840" s="6">
        <v>45678</v>
      </c>
      <c r="D2840" s="5" t="s">
        <v>194</v>
      </c>
      <c r="E2840" s="5" t="s">
        <v>195</v>
      </c>
      <c r="F2840" s="5" t="s">
        <v>199</v>
      </c>
      <c r="G2840" s="5" t="s">
        <v>200</v>
      </c>
      <c r="H2840" s="5" t="s">
        <v>108</v>
      </c>
      <c r="I2840" s="5" t="s">
        <v>1436</v>
      </c>
      <c r="J2840" s="5" t="s">
        <v>785</v>
      </c>
      <c r="K2840" s="5" t="s">
        <v>198</v>
      </c>
      <c r="L2840" s="6">
        <v>45686</v>
      </c>
      <c r="M2840" s="6">
        <v>45686</v>
      </c>
      <c r="N2840" s="6" t="s">
        <v>811</v>
      </c>
      <c r="O2840" s="5" t="str">
        <f ca="1">IF(P2840&lt;&gt;"EXPEDIÇÃO","Expedido",IF(NETWORKDAYS(C2840,TODAY())&gt;=5,"Risco Alto",IF(NETWORKDAYS(C2840,TODAY())&gt;=3,IF(NETWORKDAYS(C2840,TODAY())&lt;5,"Risco Médio",""),IF(NETWORKDAYS(C2840,TODAY())&lt;=2,"Risco Baixo",""))))</f>
        <v>Expedido</v>
      </c>
      <c r="P2840" s="5" t="s">
        <v>25</v>
      </c>
      <c r="Q2840" s="5" t="s">
        <v>899</v>
      </c>
      <c r="S2840" s="7">
        <f>IF(ISBLANK(M2840),"Aguardando Previsão/Data",NETWORKDAYS(L2840,M2840)-1)</f>
        <v>0</v>
      </c>
      <c r="T2840" s="5" t="s">
        <v>942</v>
      </c>
    </row>
    <row r="2841" spans="1:20" x14ac:dyDescent="0.35">
      <c r="A2841" s="5">
        <v>8100280255</v>
      </c>
      <c r="B2841" s="5">
        <v>7289</v>
      </c>
      <c r="C2841" s="6">
        <v>45678</v>
      </c>
      <c r="D2841" s="5" t="s">
        <v>194</v>
      </c>
      <c r="E2841" s="5" t="s">
        <v>195</v>
      </c>
      <c r="F2841" s="5" t="s">
        <v>406</v>
      </c>
      <c r="G2841" s="5" t="s">
        <v>407</v>
      </c>
      <c r="H2841" s="5" t="s">
        <v>108</v>
      </c>
      <c r="I2841" s="5" t="s">
        <v>1354</v>
      </c>
      <c r="J2841" s="5" t="s">
        <v>735</v>
      </c>
      <c r="K2841" s="5" t="s">
        <v>198</v>
      </c>
      <c r="L2841" s="6">
        <v>45685</v>
      </c>
      <c r="M2841" s="6">
        <v>45681</v>
      </c>
      <c r="N2841" s="6" t="s">
        <v>811</v>
      </c>
      <c r="O2841" s="5" t="str">
        <f ca="1">IF(P2841&lt;&gt;"EXPEDIÇÃO","Expedido",IF(NETWORKDAYS(C2841,TODAY())&gt;=5,"Risco Alto",IF(NETWORKDAYS(C2841,TODAY())&gt;=3,IF(NETWORKDAYS(C2841,TODAY())&lt;5,"Risco Médio",""),IF(NETWORKDAYS(C2841,TODAY())&lt;=2,"Risco Baixo",""))))</f>
        <v>Expedido</v>
      </c>
      <c r="P2841" s="5" t="s">
        <v>25</v>
      </c>
      <c r="S2841" s="7">
        <f>IF(ISBLANK(M2841),"Aguardando Previsão/Data",NETWORKDAYS(L2841,M2841)-1)</f>
        <v>-4</v>
      </c>
      <c r="T2841" s="5" t="s">
        <v>942</v>
      </c>
    </row>
    <row r="2842" spans="1:20" x14ac:dyDescent="0.35">
      <c r="A2842" s="5">
        <v>8100280256</v>
      </c>
      <c r="B2842" s="5">
        <v>7310</v>
      </c>
      <c r="C2842" s="6">
        <v>45678</v>
      </c>
      <c r="D2842" s="5" t="s">
        <v>194</v>
      </c>
      <c r="E2842" s="5" t="s">
        <v>195</v>
      </c>
      <c r="F2842" s="5" t="s">
        <v>406</v>
      </c>
      <c r="G2842" s="5" t="s">
        <v>407</v>
      </c>
      <c r="H2842" s="5" t="s">
        <v>108</v>
      </c>
      <c r="I2842" s="5" t="s">
        <v>1313</v>
      </c>
      <c r="J2842" s="5" t="s">
        <v>407</v>
      </c>
      <c r="K2842" s="5" t="s">
        <v>198</v>
      </c>
      <c r="L2842" s="6">
        <v>45684</v>
      </c>
      <c r="M2842" s="6">
        <v>45681</v>
      </c>
      <c r="N2842" s="6" t="s">
        <v>811</v>
      </c>
      <c r="O2842" s="5" t="str">
        <f ca="1">IF(P2842&lt;&gt;"EXPEDIÇÃO","Expedido",IF(NETWORKDAYS(C2842,TODAY())&gt;=5,"Risco Alto",IF(NETWORKDAYS(C2842,TODAY())&gt;=3,IF(NETWORKDAYS(C2842,TODAY())&lt;5,"Risco Médio",""),IF(NETWORKDAYS(C2842,TODAY())&lt;=2,"Risco Baixo",""))))</f>
        <v>Expedido</v>
      </c>
      <c r="P2842" s="5" t="s">
        <v>25</v>
      </c>
      <c r="S2842" s="7">
        <f>IF(ISBLANK(M2842),"Aguardando Previsão/Data",NETWORKDAYS(L2842,M2842)-1)</f>
        <v>-3</v>
      </c>
      <c r="T2842" s="5" t="s">
        <v>942</v>
      </c>
    </row>
    <row r="2843" spans="1:20" x14ac:dyDescent="0.35">
      <c r="A2843" s="5">
        <v>8100280257</v>
      </c>
      <c r="B2843" s="5">
        <v>7274</v>
      </c>
      <c r="C2843" s="6">
        <v>45678</v>
      </c>
      <c r="D2843" s="5" t="s">
        <v>194</v>
      </c>
      <c r="E2843" s="5" t="s">
        <v>195</v>
      </c>
      <c r="F2843" s="5" t="s">
        <v>406</v>
      </c>
      <c r="G2843" s="5" t="s">
        <v>407</v>
      </c>
      <c r="H2843" s="5" t="s">
        <v>108</v>
      </c>
      <c r="I2843" s="5" t="s">
        <v>689</v>
      </c>
      <c r="J2843" s="5" t="s">
        <v>204</v>
      </c>
      <c r="K2843" s="5" t="s">
        <v>198</v>
      </c>
      <c r="L2843" s="6">
        <v>45685</v>
      </c>
      <c r="M2843" s="6">
        <v>45686</v>
      </c>
      <c r="N2843" s="6" t="s">
        <v>812</v>
      </c>
      <c r="O2843" s="5" t="str">
        <f ca="1">IF(P2843&lt;&gt;"EXPEDIÇÃO","Expedido",IF(NETWORKDAYS(C2843,TODAY())&gt;=5,"Risco Alto",IF(NETWORKDAYS(C2843,TODAY())&gt;=3,IF(NETWORKDAYS(C2843,TODAY())&lt;5,"Risco Médio",""),IF(NETWORKDAYS(C2843,TODAY())&lt;=2,"Risco Baixo",""))))</f>
        <v>Expedido</v>
      </c>
      <c r="P2843" s="5" t="s">
        <v>25</v>
      </c>
      <c r="Q2843" s="5" t="s">
        <v>899</v>
      </c>
      <c r="S2843" s="7">
        <f>IF(ISBLANK(M2843),"Aguardando Previsão/Data",NETWORKDAYS(L2843,M2843)-1)</f>
        <v>1</v>
      </c>
      <c r="T2843" s="5" t="s">
        <v>942</v>
      </c>
    </row>
    <row r="2844" spans="1:20" x14ac:dyDescent="0.35">
      <c r="A2844" s="5">
        <v>8100280258</v>
      </c>
      <c r="B2844" s="5">
        <v>7293</v>
      </c>
      <c r="C2844" s="6">
        <v>45678</v>
      </c>
      <c r="D2844" s="5" t="s">
        <v>194</v>
      </c>
      <c r="E2844" s="5" t="s">
        <v>195</v>
      </c>
      <c r="F2844" s="5" t="s">
        <v>406</v>
      </c>
      <c r="G2844" s="5" t="s">
        <v>407</v>
      </c>
      <c r="H2844" s="5" t="s">
        <v>108</v>
      </c>
      <c r="I2844" s="5" t="s">
        <v>1193</v>
      </c>
      <c r="J2844" s="5" t="s">
        <v>616</v>
      </c>
      <c r="K2844" s="5" t="s">
        <v>198</v>
      </c>
      <c r="L2844" s="6">
        <v>45684</v>
      </c>
      <c r="M2844" s="6">
        <v>45682</v>
      </c>
      <c r="N2844" s="6" t="s">
        <v>811</v>
      </c>
      <c r="O2844" s="5" t="str">
        <f ca="1">IF(P2844&lt;&gt;"EXPEDIÇÃO","Expedido",IF(NETWORKDAYS(C2844,TODAY())&gt;=5,"Risco Alto",IF(NETWORKDAYS(C2844,TODAY())&gt;=3,IF(NETWORKDAYS(C2844,TODAY())&lt;5,"Risco Médio",""),IF(NETWORKDAYS(C2844,TODAY())&lt;=2,"Risco Baixo",""))))</f>
        <v>Expedido</v>
      </c>
      <c r="P2844" s="5" t="s">
        <v>25</v>
      </c>
      <c r="Q2844" s="5" t="s">
        <v>899</v>
      </c>
      <c r="S2844" s="7">
        <f>IF(ISBLANK(M2844),"Aguardando Previsão/Data",NETWORKDAYS(L2844,M2844)-1)</f>
        <v>-2</v>
      </c>
      <c r="T2844" s="5" t="s">
        <v>942</v>
      </c>
    </row>
    <row r="2845" spans="1:20" x14ac:dyDescent="0.35">
      <c r="A2845" s="5">
        <v>8100280259</v>
      </c>
      <c r="B2845" s="5">
        <v>7319</v>
      </c>
      <c r="C2845" s="6">
        <v>45678</v>
      </c>
      <c r="D2845" s="5" t="s">
        <v>194</v>
      </c>
      <c r="E2845" s="5" t="s">
        <v>195</v>
      </c>
      <c r="F2845" s="5" t="s">
        <v>406</v>
      </c>
      <c r="G2845" s="5" t="s">
        <v>407</v>
      </c>
      <c r="H2845" s="5" t="s">
        <v>108</v>
      </c>
      <c r="I2845" s="5" t="s">
        <v>633</v>
      </c>
      <c r="J2845" s="5" t="s">
        <v>407</v>
      </c>
      <c r="K2845" s="5" t="s">
        <v>198</v>
      </c>
      <c r="L2845" s="6">
        <v>45684</v>
      </c>
      <c r="M2845" s="6">
        <v>45680</v>
      </c>
      <c r="N2845" s="6" t="s">
        <v>811</v>
      </c>
      <c r="O2845" s="5" t="str">
        <f ca="1">IF(P2845&lt;&gt;"EXPEDIÇÃO","Expedido",IF(NETWORKDAYS(C2845,TODAY())&gt;=5,"Risco Alto",IF(NETWORKDAYS(C2845,TODAY())&gt;=3,IF(NETWORKDAYS(C2845,TODAY())&lt;5,"Risco Médio",""),IF(NETWORKDAYS(C2845,TODAY())&lt;=2,"Risco Baixo",""))))</f>
        <v>Expedido</v>
      </c>
      <c r="P2845" s="5" t="s">
        <v>25</v>
      </c>
      <c r="S2845" s="7">
        <f>IF(ISBLANK(M2845),"Aguardando Previsão/Data",NETWORKDAYS(L2845,M2845)-1)</f>
        <v>-4</v>
      </c>
      <c r="T2845" s="5" t="s">
        <v>942</v>
      </c>
    </row>
    <row r="2846" spans="1:20" x14ac:dyDescent="0.35">
      <c r="A2846" s="5">
        <v>8100280326</v>
      </c>
      <c r="B2846" s="5">
        <v>7290</v>
      </c>
      <c r="C2846" s="6">
        <v>45678</v>
      </c>
      <c r="D2846" s="5" t="s">
        <v>194</v>
      </c>
      <c r="E2846" s="5" t="s">
        <v>195</v>
      </c>
      <c r="F2846" s="5" t="s">
        <v>199</v>
      </c>
      <c r="G2846" s="5" t="s">
        <v>200</v>
      </c>
      <c r="H2846" s="5" t="s">
        <v>108</v>
      </c>
      <c r="I2846" s="5" t="s">
        <v>953</v>
      </c>
      <c r="J2846" s="5" t="s">
        <v>590</v>
      </c>
      <c r="K2846" s="5" t="s">
        <v>198</v>
      </c>
      <c r="L2846" s="6">
        <v>45685</v>
      </c>
      <c r="M2846" s="6">
        <v>45686</v>
      </c>
      <c r="N2846" s="6" t="s">
        <v>812</v>
      </c>
      <c r="O2846" s="5" t="str">
        <f ca="1">IF(P2846&lt;&gt;"EXPEDIÇÃO","Expedido",IF(NETWORKDAYS(C2846,TODAY())&gt;=5,"Risco Alto",IF(NETWORKDAYS(C2846,TODAY())&gt;=3,IF(NETWORKDAYS(C2846,TODAY())&lt;5,"Risco Médio",""),IF(NETWORKDAYS(C2846,TODAY())&lt;=2,"Risco Baixo",""))))</f>
        <v>Expedido</v>
      </c>
      <c r="P2846" s="5" t="s">
        <v>25</v>
      </c>
      <c r="Q2846" s="5" t="s">
        <v>899</v>
      </c>
      <c r="S2846" s="7">
        <f>IF(ISBLANK(M2846),"Aguardando Previsão/Data",NETWORKDAYS(L2846,M2846)-1)</f>
        <v>1</v>
      </c>
      <c r="T2846" s="5" t="s">
        <v>942</v>
      </c>
    </row>
    <row r="2847" spans="1:20" x14ac:dyDescent="0.35">
      <c r="A2847" s="5">
        <v>8100280366</v>
      </c>
      <c r="B2847" s="5">
        <v>7312</v>
      </c>
      <c r="C2847" s="6">
        <v>45678</v>
      </c>
      <c r="D2847" s="5" t="s">
        <v>194</v>
      </c>
      <c r="E2847" s="5" t="s">
        <v>195</v>
      </c>
      <c r="F2847" s="5" t="s">
        <v>199</v>
      </c>
      <c r="G2847" s="5" t="s">
        <v>200</v>
      </c>
      <c r="H2847" s="5" t="s">
        <v>108</v>
      </c>
      <c r="I2847" s="5" t="s">
        <v>1214</v>
      </c>
      <c r="J2847" s="5" t="s">
        <v>205</v>
      </c>
      <c r="K2847" s="5" t="s">
        <v>198</v>
      </c>
      <c r="L2847" s="6">
        <v>45686</v>
      </c>
      <c r="M2847" s="6">
        <v>45685</v>
      </c>
      <c r="N2847" s="6" t="s">
        <v>811</v>
      </c>
      <c r="O2847" s="5" t="str">
        <f ca="1">IF(P2847&lt;&gt;"EXPEDIÇÃO","Expedido",IF(NETWORKDAYS(C2847,TODAY())&gt;=5,"Risco Alto",IF(NETWORKDAYS(C2847,TODAY())&gt;=3,IF(NETWORKDAYS(C2847,TODAY())&lt;5,"Risco Médio",""),IF(NETWORKDAYS(C2847,TODAY())&lt;=2,"Risco Baixo",""))))</f>
        <v>Expedido</v>
      </c>
      <c r="P2847" s="5" t="s">
        <v>25</v>
      </c>
      <c r="Q2847" s="5" t="s">
        <v>899</v>
      </c>
      <c r="S2847" s="7">
        <f>IF(ISBLANK(M2847),"Aguardando Previsão/Data",NETWORKDAYS(L2847,M2847)-1)</f>
        <v>-3</v>
      </c>
      <c r="T2847" s="5" t="s">
        <v>942</v>
      </c>
    </row>
    <row r="2848" spans="1:20" x14ac:dyDescent="0.35">
      <c r="A2848" s="5">
        <v>8100280367</v>
      </c>
      <c r="B2848" s="5">
        <v>7299</v>
      </c>
      <c r="C2848" s="6">
        <v>45678</v>
      </c>
      <c r="D2848" s="5" t="s">
        <v>194</v>
      </c>
      <c r="E2848" s="5" t="s">
        <v>195</v>
      </c>
      <c r="F2848" s="5" t="s">
        <v>199</v>
      </c>
      <c r="G2848" s="5" t="s">
        <v>200</v>
      </c>
      <c r="H2848" s="5" t="s">
        <v>108</v>
      </c>
      <c r="I2848" s="5" t="s">
        <v>1437</v>
      </c>
      <c r="J2848" s="5" t="s">
        <v>205</v>
      </c>
      <c r="K2848" s="5" t="s">
        <v>198</v>
      </c>
      <c r="L2848" s="6">
        <v>45686</v>
      </c>
      <c r="M2848" s="6">
        <v>45682</v>
      </c>
      <c r="N2848" s="6" t="s">
        <v>811</v>
      </c>
      <c r="O2848" s="5" t="str">
        <f ca="1">IF(P2848&lt;&gt;"EXPEDIÇÃO","Expedido",IF(NETWORKDAYS(C2848,TODAY())&gt;=5,"Risco Alto",IF(NETWORKDAYS(C2848,TODAY())&gt;=3,IF(NETWORKDAYS(C2848,TODAY())&lt;5,"Risco Médio",""),IF(NETWORKDAYS(C2848,TODAY())&lt;=2,"Risco Baixo",""))))</f>
        <v>Expedido</v>
      </c>
      <c r="P2848" s="5" t="s">
        <v>25</v>
      </c>
      <c r="S2848" s="7">
        <f>IF(ISBLANK(M2848),"Aguardando Previsão/Data",NETWORKDAYS(L2848,M2848)-1)</f>
        <v>-4</v>
      </c>
      <c r="T2848" s="5" t="s">
        <v>942</v>
      </c>
    </row>
    <row r="2849" spans="1:20" x14ac:dyDescent="0.35">
      <c r="A2849" s="5">
        <v>8100280368</v>
      </c>
      <c r="B2849" s="5">
        <v>7286</v>
      </c>
      <c r="C2849" s="6">
        <v>45678</v>
      </c>
      <c r="D2849" s="5" t="s">
        <v>194</v>
      </c>
      <c r="E2849" s="5" t="s">
        <v>195</v>
      </c>
      <c r="F2849" s="5" t="s">
        <v>406</v>
      </c>
      <c r="G2849" s="5" t="s">
        <v>407</v>
      </c>
      <c r="H2849" s="5" t="s">
        <v>108</v>
      </c>
      <c r="I2849" s="5" t="s">
        <v>1438</v>
      </c>
      <c r="J2849" s="5" t="s">
        <v>407</v>
      </c>
      <c r="K2849" s="5" t="s">
        <v>198</v>
      </c>
      <c r="L2849" s="6">
        <v>45684</v>
      </c>
      <c r="M2849" s="6">
        <v>45681</v>
      </c>
      <c r="N2849" s="6" t="s">
        <v>811</v>
      </c>
      <c r="O2849" s="5" t="str">
        <f ca="1">IF(P2849&lt;&gt;"EXPEDIÇÃO","Expedido",IF(NETWORKDAYS(C2849,TODAY())&gt;=5,"Risco Alto",IF(NETWORKDAYS(C2849,TODAY())&gt;=3,IF(NETWORKDAYS(C2849,TODAY())&lt;5,"Risco Médio",""),IF(NETWORKDAYS(C2849,TODAY())&lt;=2,"Risco Baixo",""))))</f>
        <v>Expedido</v>
      </c>
      <c r="P2849" s="5" t="s">
        <v>25</v>
      </c>
      <c r="Q2849" s="5" t="s">
        <v>899</v>
      </c>
      <c r="S2849" s="7">
        <f>IF(ISBLANK(M2849),"Aguardando Previsão/Data",NETWORKDAYS(L2849,M2849)-1)</f>
        <v>-3</v>
      </c>
      <c r="T2849" s="5" t="s">
        <v>942</v>
      </c>
    </row>
    <row r="2850" spans="1:20" x14ac:dyDescent="0.35">
      <c r="A2850" s="5">
        <v>8100280535</v>
      </c>
      <c r="B2850" s="5">
        <v>7303</v>
      </c>
      <c r="C2850" s="6">
        <v>45678</v>
      </c>
      <c r="D2850" s="5" t="s">
        <v>194</v>
      </c>
      <c r="E2850" s="5" t="s">
        <v>195</v>
      </c>
      <c r="F2850" s="5" t="s">
        <v>406</v>
      </c>
      <c r="G2850" s="5" t="s">
        <v>407</v>
      </c>
      <c r="H2850" s="5" t="s">
        <v>108</v>
      </c>
      <c r="I2850" s="5" t="s">
        <v>201</v>
      </c>
      <c r="J2850" s="5" t="s">
        <v>202</v>
      </c>
      <c r="K2850" s="5" t="s">
        <v>198</v>
      </c>
      <c r="L2850" s="6">
        <v>45685</v>
      </c>
      <c r="M2850" s="6">
        <v>45682</v>
      </c>
      <c r="N2850" s="6" t="s">
        <v>811</v>
      </c>
      <c r="O2850" s="5" t="str">
        <f ca="1">IF(P2850&lt;&gt;"EXPEDIÇÃO","Expedido",IF(NETWORKDAYS(C2850,TODAY())&gt;=5,"Risco Alto",IF(NETWORKDAYS(C2850,TODAY())&gt;=3,IF(NETWORKDAYS(C2850,TODAY())&lt;5,"Risco Médio",""),IF(NETWORKDAYS(C2850,TODAY())&lt;=2,"Risco Baixo",""))))</f>
        <v>Expedido</v>
      </c>
      <c r="P2850" s="5" t="s">
        <v>25</v>
      </c>
      <c r="Q2850" s="5" t="s">
        <v>1493</v>
      </c>
      <c r="S2850" s="7">
        <f>IF(ISBLANK(M2850),"Aguardando Previsão/Data",NETWORKDAYS(L2850,M2850)-1)</f>
        <v>-3</v>
      </c>
      <c r="T2850" s="5" t="s">
        <v>942</v>
      </c>
    </row>
    <row r="2851" spans="1:20" x14ac:dyDescent="0.35">
      <c r="A2851" s="5">
        <v>8100280560</v>
      </c>
      <c r="B2851" s="5">
        <v>7311</v>
      </c>
      <c r="C2851" s="6">
        <v>45678</v>
      </c>
      <c r="D2851" s="5" t="s">
        <v>194</v>
      </c>
      <c r="E2851" s="5" t="s">
        <v>195</v>
      </c>
      <c r="F2851" s="5" t="s">
        <v>406</v>
      </c>
      <c r="G2851" s="5" t="s">
        <v>407</v>
      </c>
      <c r="H2851" s="5" t="s">
        <v>108</v>
      </c>
      <c r="I2851" s="5" t="s">
        <v>1313</v>
      </c>
      <c r="J2851" s="5" t="s">
        <v>407</v>
      </c>
      <c r="K2851" s="5" t="s">
        <v>198</v>
      </c>
      <c r="L2851" s="6">
        <v>45684</v>
      </c>
      <c r="M2851" s="6">
        <v>45681</v>
      </c>
      <c r="N2851" s="6" t="s">
        <v>811</v>
      </c>
      <c r="O2851" s="5" t="str">
        <f ca="1">IF(P2851&lt;&gt;"EXPEDIÇÃO","Expedido",IF(NETWORKDAYS(C2851,TODAY())&gt;=5,"Risco Alto",IF(NETWORKDAYS(C2851,TODAY())&gt;=3,IF(NETWORKDAYS(C2851,TODAY())&lt;5,"Risco Médio",""),IF(NETWORKDAYS(C2851,TODAY())&lt;=2,"Risco Baixo",""))))</f>
        <v>Expedido</v>
      </c>
      <c r="P2851" s="5" t="s">
        <v>25</v>
      </c>
      <c r="S2851" s="7">
        <f>IF(ISBLANK(M2851),"Aguardando Previsão/Data",NETWORKDAYS(L2851,M2851)-1)</f>
        <v>-3</v>
      </c>
      <c r="T2851" s="5" t="s">
        <v>942</v>
      </c>
    </row>
    <row r="2852" spans="1:20" x14ac:dyDescent="0.35">
      <c r="A2852" s="5">
        <v>8100280561</v>
      </c>
      <c r="B2852" s="5">
        <v>7305</v>
      </c>
      <c r="C2852" s="6">
        <v>45678</v>
      </c>
      <c r="D2852" s="5" t="s">
        <v>194</v>
      </c>
      <c r="E2852" s="5" t="s">
        <v>195</v>
      </c>
      <c r="F2852" s="5" t="s">
        <v>199</v>
      </c>
      <c r="G2852" s="5" t="s">
        <v>200</v>
      </c>
      <c r="H2852" s="5" t="s">
        <v>108</v>
      </c>
      <c r="I2852" s="5" t="s">
        <v>1173</v>
      </c>
      <c r="J2852" s="5" t="s">
        <v>205</v>
      </c>
      <c r="K2852" s="5" t="s">
        <v>198</v>
      </c>
      <c r="L2852" s="6">
        <v>45686</v>
      </c>
      <c r="M2852" s="6">
        <v>45685</v>
      </c>
      <c r="N2852" s="6" t="s">
        <v>811</v>
      </c>
      <c r="O2852" s="5" t="str">
        <f ca="1">IF(P2852&lt;&gt;"EXPEDIÇÃO","Expedido",IF(NETWORKDAYS(C2852,TODAY())&gt;=5,"Risco Alto",IF(NETWORKDAYS(C2852,TODAY())&gt;=3,IF(NETWORKDAYS(C2852,TODAY())&lt;5,"Risco Médio",""),IF(NETWORKDAYS(C2852,TODAY())&lt;=2,"Risco Baixo",""))))</f>
        <v>Expedido</v>
      </c>
      <c r="P2852" s="5" t="s">
        <v>25</v>
      </c>
      <c r="S2852" s="7">
        <f>IF(ISBLANK(M2852),"Aguardando Previsão/Data",NETWORKDAYS(L2852,M2852)-1)</f>
        <v>-3</v>
      </c>
      <c r="T2852" s="5" t="s">
        <v>942</v>
      </c>
    </row>
    <row r="2853" spans="1:20" x14ac:dyDescent="0.35">
      <c r="A2853" s="5">
        <v>8100280562</v>
      </c>
      <c r="B2853" s="5">
        <v>7309</v>
      </c>
      <c r="C2853" s="6">
        <v>45678</v>
      </c>
      <c r="D2853" s="5" t="s">
        <v>194</v>
      </c>
      <c r="E2853" s="5" t="s">
        <v>195</v>
      </c>
      <c r="F2853" s="5" t="s">
        <v>199</v>
      </c>
      <c r="G2853" s="5" t="s">
        <v>200</v>
      </c>
      <c r="H2853" s="5" t="s">
        <v>108</v>
      </c>
      <c r="I2853" s="5" t="s">
        <v>1444</v>
      </c>
      <c r="J2853" s="5" t="s">
        <v>205</v>
      </c>
      <c r="K2853" s="5" t="s">
        <v>198</v>
      </c>
      <c r="L2853" s="6">
        <v>45686</v>
      </c>
      <c r="M2853" s="6">
        <v>45685</v>
      </c>
      <c r="N2853" s="6" t="s">
        <v>811</v>
      </c>
      <c r="O2853" s="5" t="str">
        <f ca="1">IF(P2853&lt;&gt;"EXPEDIÇÃO","Expedido",IF(NETWORKDAYS(C2853,TODAY())&gt;=5,"Risco Alto",IF(NETWORKDAYS(C2853,TODAY())&gt;=3,IF(NETWORKDAYS(C2853,TODAY())&lt;5,"Risco Médio",""),IF(NETWORKDAYS(C2853,TODAY())&lt;=2,"Risco Baixo",""))))</f>
        <v>Expedido</v>
      </c>
      <c r="P2853" s="5" t="s">
        <v>25</v>
      </c>
      <c r="Q2853" s="5" t="s">
        <v>899</v>
      </c>
      <c r="S2853" s="7">
        <f>IF(ISBLANK(M2853),"Aguardando Previsão/Data",NETWORKDAYS(L2853,M2853)-1)</f>
        <v>-3</v>
      </c>
      <c r="T2853" s="5" t="s">
        <v>942</v>
      </c>
    </row>
    <row r="2854" spans="1:20" x14ac:dyDescent="0.35">
      <c r="A2854" s="5">
        <v>8100280564</v>
      </c>
      <c r="B2854" s="5">
        <v>7306</v>
      </c>
      <c r="C2854" s="6">
        <v>45678</v>
      </c>
      <c r="D2854" s="5" t="s">
        <v>194</v>
      </c>
      <c r="E2854" s="5" t="s">
        <v>195</v>
      </c>
      <c r="F2854" s="5" t="s">
        <v>406</v>
      </c>
      <c r="G2854" s="5" t="s">
        <v>407</v>
      </c>
      <c r="H2854" s="5" t="s">
        <v>108</v>
      </c>
      <c r="I2854" s="5" t="s">
        <v>1433</v>
      </c>
      <c r="J2854" s="5" t="s">
        <v>671</v>
      </c>
      <c r="K2854" s="5" t="s">
        <v>198</v>
      </c>
      <c r="L2854" s="6">
        <v>45685</v>
      </c>
      <c r="M2854" s="6">
        <v>45681</v>
      </c>
      <c r="N2854" s="6" t="s">
        <v>811</v>
      </c>
      <c r="O2854" s="5" t="str">
        <f ca="1">IF(P2854&lt;&gt;"EXPEDIÇÃO","Expedido",IF(NETWORKDAYS(C2854,TODAY())&gt;=5,"Risco Alto",IF(NETWORKDAYS(C2854,TODAY())&gt;=3,IF(NETWORKDAYS(C2854,TODAY())&lt;5,"Risco Médio",""),IF(NETWORKDAYS(C2854,TODAY())&lt;=2,"Risco Baixo",""))))</f>
        <v>Expedido</v>
      </c>
      <c r="P2854" s="5" t="s">
        <v>25</v>
      </c>
      <c r="S2854" s="7">
        <f>IF(ISBLANK(M2854),"Aguardando Previsão/Data",NETWORKDAYS(L2854,M2854)-1)</f>
        <v>-4</v>
      </c>
      <c r="T2854" s="5" t="s">
        <v>942</v>
      </c>
    </row>
    <row r="2855" spans="1:20" x14ac:dyDescent="0.35">
      <c r="A2855" s="5">
        <v>8100280578</v>
      </c>
      <c r="B2855" s="5">
        <v>7298</v>
      </c>
      <c r="C2855" s="6">
        <v>45678</v>
      </c>
      <c r="D2855" s="5" t="s">
        <v>194</v>
      </c>
      <c r="E2855" s="5" t="s">
        <v>195</v>
      </c>
      <c r="F2855" s="5" t="s">
        <v>58</v>
      </c>
      <c r="G2855" s="5" t="s">
        <v>59</v>
      </c>
      <c r="H2855" s="5" t="s">
        <v>108</v>
      </c>
      <c r="I2855" s="5" t="s">
        <v>514</v>
      </c>
      <c r="J2855" s="5" t="s">
        <v>515</v>
      </c>
      <c r="K2855" s="5" t="s">
        <v>198</v>
      </c>
      <c r="L2855" s="6">
        <v>45685</v>
      </c>
      <c r="M2855" s="6">
        <v>45689</v>
      </c>
      <c r="N2855" s="6" t="s">
        <v>812</v>
      </c>
      <c r="O2855" s="5" t="str">
        <f ca="1">IF(P2855&lt;&gt;"EXPEDIÇÃO","Expedido",IF(NETWORKDAYS(C2855,TODAY())&gt;=5,"Risco Alto",IF(NETWORKDAYS(C2855,TODAY())&gt;=3,IF(NETWORKDAYS(C2855,TODAY())&lt;5,"Risco Médio",""),IF(NETWORKDAYS(C2855,TODAY())&lt;=2,"Risco Baixo",""))))</f>
        <v>Expedido</v>
      </c>
      <c r="P2855" s="5" t="s">
        <v>617</v>
      </c>
      <c r="Q2855" s="5" t="s">
        <v>899</v>
      </c>
      <c r="S2855" s="7">
        <f>IF(ISBLANK(M2855),"Aguardando Previsão/Data",NETWORKDAYS(L2855,M2855)-1)</f>
        <v>3</v>
      </c>
    </row>
    <row r="2856" spans="1:20" x14ac:dyDescent="0.35">
      <c r="A2856" s="5">
        <v>8100280579</v>
      </c>
      <c r="B2856" s="5">
        <v>7307</v>
      </c>
      <c r="C2856" s="6">
        <v>45678</v>
      </c>
      <c r="D2856" s="5" t="s">
        <v>194</v>
      </c>
      <c r="E2856" s="5" t="s">
        <v>195</v>
      </c>
      <c r="F2856" s="5" t="s">
        <v>406</v>
      </c>
      <c r="G2856" s="5" t="s">
        <v>407</v>
      </c>
      <c r="H2856" s="5" t="s">
        <v>108</v>
      </c>
      <c r="I2856" s="5" t="s">
        <v>1433</v>
      </c>
      <c r="J2856" s="5" t="s">
        <v>671</v>
      </c>
      <c r="K2856" s="5" t="s">
        <v>198</v>
      </c>
      <c r="L2856" s="6">
        <v>45685</v>
      </c>
      <c r="M2856" s="6">
        <v>45681</v>
      </c>
      <c r="N2856" s="6" t="s">
        <v>811</v>
      </c>
      <c r="O2856" s="5" t="str">
        <f ca="1">IF(P2856&lt;&gt;"EXPEDIÇÃO","Expedido",IF(NETWORKDAYS(C2856,TODAY())&gt;=5,"Risco Alto",IF(NETWORKDAYS(C2856,TODAY())&gt;=3,IF(NETWORKDAYS(C2856,TODAY())&lt;5,"Risco Médio",""),IF(NETWORKDAYS(C2856,TODAY())&lt;=2,"Risco Baixo",""))))</f>
        <v>Expedido</v>
      </c>
      <c r="P2856" s="5" t="s">
        <v>25</v>
      </c>
      <c r="S2856" s="7">
        <f>IF(ISBLANK(M2856),"Aguardando Previsão/Data",NETWORKDAYS(L2856,M2856)-1)</f>
        <v>-4</v>
      </c>
      <c r="T2856" s="5" t="s">
        <v>942</v>
      </c>
    </row>
    <row r="2857" spans="1:20" x14ac:dyDescent="0.35">
      <c r="A2857" s="5">
        <v>8100280580</v>
      </c>
      <c r="B2857" s="5">
        <v>7301</v>
      </c>
      <c r="C2857" s="6">
        <v>45678</v>
      </c>
      <c r="D2857" s="5" t="s">
        <v>194</v>
      </c>
      <c r="E2857" s="5" t="s">
        <v>195</v>
      </c>
      <c r="F2857" s="5" t="s">
        <v>406</v>
      </c>
      <c r="G2857" s="5" t="s">
        <v>407</v>
      </c>
      <c r="H2857" s="5" t="s">
        <v>108</v>
      </c>
      <c r="I2857" s="5" t="s">
        <v>815</v>
      </c>
      <c r="J2857" s="5" t="s">
        <v>616</v>
      </c>
      <c r="K2857" s="5" t="s">
        <v>198</v>
      </c>
      <c r="L2857" s="6">
        <v>45684</v>
      </c>
      <c r="M2857" s="6">
        <v>45681</v>
      </c>
      <c r="N2857" s="6" t="s">
        <v>811</v>
      </c>
      <c r="O2857" s="5" t="str">
        <f ca="1">IF(P2857&lt;&gt;"EXPEDIÇÃO","Expedido",IF(NETWORKDAYS(C2857,TODAY())&gt;=5,"Risco Alto",IF(NETWORKDAYS(C2857,TODAY())&gt;=3,IF(NETWORKDAYS(C2857,TODAY())&lt;5,"Risco Médio",""),IF(NETWORKDAYS(C2857,TODAY())&lt;=2,"Risco Baixo",""))))</f>
        <v>Expedido</v>
      </c>
      <c r="P2857" s="5" t="s">
        <v>25</v>
      </c>
      <c r="Q2857" s="5" t="s">
        <v>899</v>
      </c>
      <c r="S2857" s="7">
        <f>IF(ISBLANK(M2857),"Aguardando Previsão/Data",NETWORKDAYS(L2857,M2857)-1)</f>
        <v>-3</v>
      </c>
      <c r="T2857" s="5" t="s">
        <v>942</v>
      </c>
    </row>
    <row r="2858" spans="1:20" x14ac:dyDescent="0.35">
      <c r="A2858" s="5">
        <v>8100280581</v>
      </c>
      <c r="B2858" s="5">
        <v>7288</v>
      </c>
      <c r="C2858" s="6">
        <v>45678</v>
      </c>
      <c r="D2858" s="5" t="s">
        <v>194</v>
      </c>
      <c r="E2858" s="5" t="s">
        <v>195</v>
      </c>
      <c r="F2858" s="5" t="s">
        <v>58</v>
      </c>
      <c r="G2858" s="5" t="s">
        <v>59</v>
      </c>
      <c r="H2858" s="5" t="s">
        <v>108</v>
      </c>
      <c r="I2858" s="5" t="s">
        <v>544</v>
      </c>
      <c r="J2858" s="5" t="s">
        <v>202</v>
      </c>
      <c r="K2858" s="5" t="s">
        <v>198</v>
      </c>
      <c r="L2858" s="6">
        <v>45685</v>
      </c>
      <c r="M2858" s="6">
        <v>45680</v>
      </c>
      <c r="N2858" s="6" t="s">
        <v>811</v>
      </c>
      <c r="O2858" s="5" t="str">
        <f ca="1">IF(P2858&lt;&gt;"EXPEDIÇÃO","Expedido",IF(NETWORKDAYS(C2858,TODAY())&gt;=5,"Risco Alto",IF(NETWORKDAYS(C2858,TODAY())&gt;=3,IF(NETWORKDAYS(C2858,TODAY())&lt;5,"Risco Médio",""),IF(NETWORKDAYS(C2858,TODAY())&lt;=2,"Risco Baixo",""))))</f>
        <v>Expedido</v>
      </c>
      <c r="P2858" s="5" t="s">
        <v>25</v>
      </c>
      <c r="S2858" s="7">
        <f>IF(ISBLANK(M2858),"Aguardando Previsão/Data",NETWORKDAYS(L2858,M2858)-1)</f>
        <v>-5</v>
      </c>
      <c r="T2858" s="5" t="s">
        <v>942</v>
      </c>
    </row>
    <row r="2859" spans="1:20" x14ac:dyDescent="0.35">
      <c r="A2859" s="5">
        <v>8100280582</v>
      </c>
      <c r="B2859" s="5">
        <v>7304</v>
      </c>
      <c r="C2859" s="6">
        <v>45678</v>
      </c>
      <c r="D2859" s="5" t="s">
        <v>194</v>
      </c>
      <c r="E2859" s="5" t="s">
        <v>195</v>
      </c>
      <c r="F2859" s="5" t="s">
        <v>69</v>
      </c>
      <c r="G2859" s="5" t="s">
        <v>70</v>
      </c>
      <c r="H2859" s="5" t="s">
        <v>108</v>
      </c>
      <c r="I2859" s="5" t="s">
        <v>334</v>
      </c>
      <c r="J2859" s="5" t="s">
        <v>291</v>
      </c>
      <c r="K2859" s="5" t="s">
        <v>198</v>
      </c>
      <c r="L2859" s="6">
        <v>45685</v>
      </c>
      <c r="M2859" s="6">
        <v>45681</v>
      </c>
      <c r="N2859" s="6" t="s">
        <v>811</v>
      </c>
      <c r="O2859" s="5" t="str">
        <f ca="1">IF(P2859&lt;&gt;"EXPEDIÇÃO","Expedido",IF(NETWORKDAYS(C2859,TODAY())&gt;=5,"Risco Alto",IF(NETWORKDAYS(C2859,TODAY())&gt;=3,IF(NETWORKDAYS(C2859,TODAY())&lt;5,"Risco Médio",""),IF(NETWORKDAYS(C2859,TODAY())&lt;=2,"Risco Baixo",""))))</f>
        <v>Expedido</v>
      </c>
      <c r="P2859" s="5" t="s">
        <v>25</v>
      </c>
      <c r="S2859" s="7">
        <f>IF(ISBLANK(M2859),"Aguardando Previsão/Data",NETWORKDAYS(L2859,M2859)-1)</f>
        <v>-4</v>
      </c>
      <c r="T2859" s="5" t="s">
        <v>942</v>
      </c>
    </row>
    <row r="2860" spans="1:20" x14ac:dyDescent="0.35">
      <c r="A2860" s="5">
        <v>8100280616</v>
      </c>
      <c r="B2860" s="5">
        <v>7292</v>
      </c>
      <c r="C2860" s="6">
        <v>45678</v>
      </c>
      <c r="D2860" s="5" t="s">
        <v>194</v>
      </c>
      <c r="E2860" s="5" t="s">
        <v>195</v>
      </c>
      <c r="F2860" s="5" t="s">
        <v>406</v>
      </c>
      <c r="G2860" s="5" t="s">
        <v>407</v>
      </c>
      <c r="H2860" s="5" t="s">
        <v>108</v>
      </c>
      <c r="I2860" s="5" t="s">
        <v>544</v>
      </c>
      <c r="J2860" s="5" t="s">
        <v>407</v>
      </c>
      <c r="K2860" s="5" t="s">
        <v>198</v>
      </c>
      <c r="L2860" s="6">
        <v>45684</v>
      </c>
      <c r="M2860" s="6">
        <v>45680</v>
      </c>
      <c r="N2860" s="6" t="s">
        <v>811</v>
      </c>
      <c r="O2860" s="5" t="str">
        <f ca="1">IF(P2860&lt;&gt;"EXPEDIÇÃO","Expedido",IF(NETWORKDAYS(C2860,TODAY())&gt;=5,"Risco Alto",IF(NETWORKDAYS(C2860,TODAY())&gt;=3,IF(NETWORKDAYS(C2860,TODAY())&lt;5,"Risco Médio",""),IF(NETWORKDAYS(C2860,TODAY())&lt;=2,"Risco Baixo",""))))</f>
        <v>Expedido</v>
      </c>
      <c r="P2860" s="5" t="s">
        <v>25</v>
      </c>
      <c r="Q2860" s="5" t="s">
        <v>1496</v>
      </c>
      <c r="S2860" s="7">
        <f>IF(ISBLANK(M2860),"Aguardando Previsão/Data",NETWORKDAYS(L2860,M2860)-1)</f>
        <v>-4</v>
      </c>
      <c r="T2860" s="5" t="s">
        <v>942</v>
      </c>
    </row>
    <row r="2861" spans="1:20" x14ac:dyDescent="0.35">
      <c r="A2861" s="5">
        <v>8100280617</v>
      </c>
      <c r="B2861" s="5">
        <v>7322</v>
      </c>
      <c r="C2861" s="6">
        <v>45678</v>
      </c>
      <c r="D2861" s="5" t="s">
        <v>194</v>
      </c>
      <c r="E2861" s="5" t="s">
        <v>195</v>
      </c>
      <c r="F2861" s="5" t="s">
        <v>406</v>
      </c>
      <c r="G2861" s="5" t="s">
        <v>407</v>
      </c>
      <c r="H2861" s="5" t="s">
        <v>108</v>
      </c>
      <c r="I2861" s="5" t="s">
        <v>788</v>
      </c>
      <c r="J2861" s="5" t="s">
        <v>407</v>
      </c>
      <c r="K2861" s="5" t="s">
        <v>198</v>
      </c>
      <c r="L2861" s="6">
        <v>45684</v>
      </c>
      <c r="M2861" s="6">
        <v>45685</v>
      </c>
      <c r="N2861" s="6" t="s">
        <v>812</v>
      </c>
      <c r="O2861" s="5" t="str">
        <f ca="1">IF(P2861&lt;&gt;"EXPEDIÇÃO","Expedido",IF(NETWORKDAYS(C2861,TODAY())&gt;=5,"Risco Alto",IF(NETWORKDAYS(C2861,TODAY())&gt;=3,IF(NETWORKDAYS(C2861,TODAY())&lt;5,"Risco Médio",""),IF(NETWORKDAYS(C2861,TODAY())&lt;=2,"Risco Baixo",""))))</f>
        <v>Expedido</v>
      </c>
      <c r="P2861" s="5" t="s">
        <v>25</v>
      </c>
      <c r="Q2861" s="5" t="s">
        <v>899</v>
      </c>
      <c r="S2861" s="7">
        <f>IF(ISBLANK(M2861),"Aguardando Previsão/Data",NETWORKDAYS(L2861,M2861)-1)</f>
        <v>1</v>
      </c>
      <c r="T2861" s="5" t="s">
        <v>942</v>
      </c>
    </row>
    <row r="2862" spans="1:20" x14ac:dyDescent="0.35">
      <c r="A2862" s="5">
        <v>8100280618</v>
      </c>
      <c r="B2862" s="5">
        <v>7318</v>
      </c>
      <c r="C2862" s="6">
        <v>45678</v>
      </c>
      <c r="D2862" s="5" t="s">
        <v>194</v>
      </c>
      <c r="E2862" s="5" t="s">
        <v>195</v>
      </c>
      <c r="F2862" s="5" t="s">
        <v>406</v>
      </c>
      <c r="G2862" s="5" t="s">
        <v>407</v>
      </c>
      <c r="H2862" s="5" t="s">
        <v>108</v>
      </c>
      <c r="I2862" s="5" t="s">
        <v>815</v>
      </c>
      <c r="J2862" s="5" t="s">
        <v>616</v>
      </c>
      <c r="K2862" s="5" t="s">
        <v>198</v>
      </c>
      <c r="L2862" s="6">
        <v>45684</v>
      </c>
      <c r="M2862" s="6">
        <v>45681</v>
      </c>
      <c r="N2862" s="6" t="s">
        <v>811</v>
      </c>
      <c r="O2862" s="5" t="str">
        <f ca="1">IF(P2862&lt;&gt;"EXPEDIÇÃO","Expedido",IF(NETWORKDAYS(C2862,TODAY())&gt;=5,"Risco Alto",IF(NETWORKDAYS(C2862,TODAY())&gt;=3,IF(NETWORKDAYS(C2862,TODAY())&lt;5,"Risco Médio",""),IF(NETWORKDAYS(C2862,TODAY())&lt;=2,"Risco Baixo",""))))</f>
        <v>Expedido</v>
      </c>
      <c r="P2862" s="5" t="s">
        <v>25</v>
      </c>
      <c r="S2862" s="7">
        <f>IF(ISBLANK(M2862),"Aguardando Previsão/Data",NETWORKDAYS(L2862,M2862)-1)</f>
        <v>-3</v>
      </c>
      <c r="T2862" s="5" t="s">
        <v>942</v>
      </c>
    </row>
    <row r="2863" spans="1:20" x14ac:dyDescent="0.35">
      <c r="A2863" s="5">
        <v>8100280619</v>
      </c>
      <c r="B2863" s="5">
        <v>7317</v>
      </c>
      <c r="C2863" s="6">
        <v>45678</v>
      </c>
      <c r="D2863" s="5" t="s">
        <v>194</v>
      </c>
      <c r="E2863" s="5" t="s">
        <v>195</v>
      </c>
      <c r="F2863" s="5" t="s">
        <v>406</v>
      </c>
      <c r="G2863" s="5" t="s">
        <v>407</v>
      </c>
      <c r="H2863" s="5" t="s">
        <v>108</v>
      </c>
      <c r="I2863" s="5" t="s">
        <v>633</v>
      </c>
      <c r="J2863" s="5" t="s">
        <v>407</v>
      </c>
      <c r="K2863" s="5" t="s">
        <v>198</v>
      </c>
      <c r="L2863" s="6">
        <v>45684</v>
      </c>
      <c r="M2863" s="6">
        <v>45680</v>
      </c>
      <c r="N2863" s="6" t="s">
        <v>811</v>
      </c>
      <c r="O2863" s="5" t="str">
        <f ca="1">IF(P2863&lt;&gt;"EXPEDIÇÃO","Expedido",IF(NETWORKDAYS(C2863,TODAY())&gt;=5,"Risco Alto",IF(NETWORKDAYS(C2863,TODAY())&gt;=3,IF(NETWORKDAYS(C2863,TODAY())&lt;5,"Risco Médio",""),IF(NETWORKDAYS(C2863,TODAY())&lt;=2,"Risco Baixo",""))))</f>
        <v>Expedido</v>
      </c>
      <c r="P2863" s="5" t="s">
        <v>25</v>
      </c>
      <c r="S2863" s="7">
        <f>IF(ISBLANK(M2863),"Aguardando Previsão/Data",NETWORKDAYS(L2863,M2863)-1)</f>
        <v>-4</v>
      </c>
      <c r="T2863" s="5" t="s">
        <v>942</v>
      </c>
    </row>
    <row r="2864" spans="1:20" x14ac:dyDescent="0.35">
      <c r="A2864" s="5">
        <v>8100280620</v>
      </c>
      <c r="B2864" s="5">
        <v>7287</v>
      </c>
      <c r="C2864" s="6">
        <v>45678</v>
      </c>
      <c r="D2864" s="5" t="s">
        <v>194</v>
      </c>
      <c r="E2864" s="5" t="s">
        <v>195</v>
      </c>
      <c r="F2864" s="5" t="s">
        <v>406</v>
      </c>
      <c r="G2864" s="5" t="s">
        <v>407</v>
      </c>
      <c r="H2864" s="5" t="s">
        <v>108</v>
      </c>
      <c r="I2864" s="5" t="s">
        <v>817</v>
      </c>
      <c r="J2864" s="5" t="s">
        <v>407</v>
      </c>
      <c r="K2864" s="5" t="s">
        <v>198</v>
      </c>
      <c r="L2864" s="6">
        <v>45684</v>
      </c>
      <c r="M2864" s="6">
        <v>45681</v>
      </c>
      <c r="N2864" s="6" t="s">
        <v>811</v>
      </c>
      <c r="O2864" s="5" t="str">
        <f ca="1">IF(P2864&lt;&gt;"EXPEDIÇÃO","Expedido",IF(NETWORKDAYS(C2864,TODAY())&gt;=5,"Risco Alto",IF(NETWORKDAYS(C2864,TODAY())&gt;=3,IF(NETWORKDAYS(C2864,TODAY())&lt;5,"Risco Médio",""),IF(NETWORKDAYS(C2864,TODAY())&lt;=2,"Risco Baixo",""))))</f>
        <v>Expedido</v>
      </c>
      <c r="P2864" s="5" t="s">
        <v>25</v>
      </c>
      <c r="Q2864" s="5" t="s">
        <v>899</v>
      </c>
      <c r="S2864" s="7">
        <f>IF(ISBLANK(M2864),"Aguardando Previsão/Data",NETWORKDAYS(L2864,M2864)-1)</f>
        <v>-3</v>
      </c>
      <c r="T2864" s="5" t="s">
        <v>942</v>
      </c>
    </row>
    <row r="2865" spans="1:20" x14ac:dyDescent="0.35">
      <c r="A2865" s="5">
        <v>8100280621</v>
      </c>
      <c r="B2865" s="5">
        <v>7308</v>
      </c>
      <c r="C2865" s="6">
        <v>45678</v>
      </c>
      <c r="D2865" s="5" t="s">
        <v>194</v>
      </c>
      <c r="E2865" s="5" t="s">
        <v>195</v>
      </c>
      <c r="F2865" s="5" t="s">
        <v>406</v>
      </c>
      <c r="G2865" s="5" t="s">
        <v>407</v>
      </c>
      <c r="H2865" s="5" t="s">
        <v>108</v>
      </c>
      <c r="I2865" s="5" t="s">
        <v>1445</v>
      </c>
      <c r="J2865" s="5" t="s">
        <v>407</v>
      </c>
      <c r="K2865" s="5" t="s">
        <v>198</v>
      </c>
      <c r="L2865" s="6">
        <v>45684</v>
      </c>
      <c r="M2865" s="6">
        <v>45680</v>
      </c>
      <c r="N2865" s="6" t="s">
        <v>811</v>
      </c>
      <c r="O2865" s="5" t="str">
        <f ca="1">IF(P2865&lt;&gt;"EXPEDIÇÃO","Expedido",IF(NETWORKDAYS(C2865,TODAY())&gt;=5,"Risco Alto",IF(NETWORKDAYS(C2865,TODAY())&gt;=3,IF(NETWORKDAYS(C2865,TODAY())&lt;5,"Risco Médio",""),IF(NETWORKDAYS(C2865,TODAY())&lt;=2,"Risco Baixo",""))))</f>
        <v>Expedido</v>
      </c>
      <c r="P2865" s="5" t="s">
        <v>25</v>
      </c>
      <c r="S2865" s="7">
        <f>IF(ISBLANK(M2865),"Aguardando Previsão/Data",NETWORKDAYS(L2865,M2865)-1)</f>
        <v>-4</v>
      </c>
      <c r="T2865" s="5" t="s">
        <v>942</v>
      </c>
    </row>
    <row r="2866" spans="1:20" x14ac:dyDescent="0.35">
      <c r="A2866" s="5">
        <v>8100280622</v>
      </c>
      <c r="B2866" s="5">
        <v>7300</v>
      </c>
      <c r="C2866" s="6">
        <v>45678</v>
      </c>
      <c r="D2866" s="5" t="s">
        <v>194</v>
      </c>
      <c r="E2866" s="5" t="s">
        <v>195</v>
      </c>
      <c r="F2866" s="5" t="s">
        <v>406</v>
      </c>
      <c r="G2866" s="5" t="s">
        <v>407</v>
      </c>
      <c r="H2866" s="5" t="s">
        <v>108</v>
      </c>
      <c r="I2866" s="5" t="s">
        <v>950</v>
      </c>
      <c r="J2866" s="5" t="s">
        <v>616</v>
      </c>
      <c r="K2866" s="5" t="s">
        <v>198</v>
      </c>
      <c r="L2866" s="6">
        <v>45684</v>
      </c>
      <c r="M2866" s="6">
        <v>45681</v>
      </c>
      <c r="N2866" s="6" t="s">
        <v>811</v>
      </c>
      <c r="O2866" s="5" t="str">
        <f ca="1">IF(P2866&lt;&gt;"EXPEDIÇÃO","Expedido",IF(NETWORKDAYS(C2866,TODAY())&gt;=5,"Risco Alto",IF(NETWORKDAYS(C2866,TODAY())&gt;=3,IF(NETWORKDAYS(C2866,TODAY())&lt;5,"Risco Médio",""),IF(NETWORKDAYS(C2866,TODAY())&lt;=2,"Risco Baixo",""))))</f>
        <v>Expedido</v>
      </c>
      <c r="P2866" s="5" t="s">
        <v>25</v>
      </c>
      <c r="Q2866" s="5" t="s">
        <v>899</v>
      </c>
      <c r="S2866" s="7">
        <f>IF(ISBLANK(M2866),"Aguardando Previsão/Data",NETWORKDAYS(L2866,M2866)-1)</f>
        <v>-3</v>
      </c>
      <c r="T2866" s="5" t="s">
        <v>942</v>
      </c>
    </row>
    <row r="2867" spans="1:20" x14ac:dyDescent="0.35">
      <c r="A2867" s="5">
        <v>8100280623</v>
      </c>
      <c r="B2867" s="5">
        <v>7291</v>
      </c>
      <c r="C2867" s="6">
        <v>45678</v>
      </c>
      <c r="D2867" s="5" t="s">
        <v>194</v>
      </c>
      <c r="E2867" s="5" t="s">
        <v>195</v>
      </c>
      <c r="F2867" s="5" t="s">
        <v>199</v>
      </c>
      <c r="G2867" s="5" t="s">
        <v>200</v>
      </c>
      <c r="H2867" s="5" t="s">
        <v>108</v>
      </c>
      <c r="I2867" s="5" t="s">
        <v>953</v>
      </c>
      <c r="J2867" s="5" t="s">
        <v>590</v>
      </c>
      <c r="K2867" s="5" t="s">
        <v>198</v>
      </c>
      <c r="L2867" s="6">
        <v>45685</v>
      </c>
      <c r="M2867" s="6">
        <v>45686</v>
      </c>
      <c r="N2867" s="6" t="s">
        <v>812</v>
      </c>
      <c r="O2867" s="5" t="str">
        <f ca="1">IF(P2867&lt;&gt;"EXPEDIÇÃO","Expedido",IF(NETWORKDAYS(C2867,TODAY())&gt;=5,"Risco Alto",IF(NETWORKDAYS(C2867,TODAY())&gt;=3,IF(NETWORKDAYS(C2867,TODAY())&lt;5,"Risco Médio",""),IF(NETWORKDAYS(C2867,TODAY())&lt;=2,"Risco Baixo",""))))</f>
        <v>Expedido</v>
      </c>
      <c r="P2867" s="5" t="s">
        <v>25</v>
      </c>
      <c r="Q2867" s="5" t="s">
        <v>899</v>
      </c>
      <c r="S2867" s="7">
        <f>IF(ISBLANK(M2867),"Aguardando Previsão/Data",NETWORKDAYS(L2867,M2867)-1)</f>
        <v>1</v>
      </c>
      <c r="T2867" s="5" t="s">
        <v>942</v>
      </c>
    </row>
    <row r="2868" spans="1:20" x14ac:dyDescent="0.35">
      <c r="A2868" s="5">
        <v>8100280640</v>
      </c>
      <c r="B2868" s="5">
        <v>7323</v>
      </c>
      <c r="C2868" s="6">
        <v>45678</v>
      </c>
      <c r="D2868" s="5" t="s">
        <v>194</v>
      </c>
      <c r="E2868" s="5" t="s">
        <v>195</v>
      </c>
      <c r="F2868" s="5" t="s">
        <v>199</v>
      </c>
      <c r="G2868" s="5" t="s">
        <v>200</v>
      </c>
      <c r="H2868" s="5" t="s">
        <v>108</v>
      </c>
      <c r="I2868" s="5" t="s">
        <v>1447</v>
      </c>
      <c r="J2868" s="5" t="s">
        <v>1448</v>
      </c>
      <c r="K2868" s="5" t="s">
        <v>198</v>
      </c>
      <c r="L2868" s="6">
        <v>45685</v>
      </c>
      <c r="M2868" s="6">
        <v>45686</v>
      </c>
      <c r="N2868" s="6" t="s">
        <v>812</v>
      </c>
      <c r="O2868" s="5" t="str">
        <f ca="1">IF(P2868&lt;&gt;"EXPEDIÇÃO","Expedido",IF(NETWORKDAYS(C2868,TODAY())&gt;=5,"Risco Alto",IF(NETWORKDAYS(C2868,TODAY())&gt;=3,IF(NETWORKDAYS(C2868,TODAY())&lt;5,"Risco Médio",""),IF(NETWORKDAYS(C2868,TODAY())&lt;=2,"Risco Baixo",""))))</f>
        <v>Expedido</v>
      </c>
      <c r="P2868" s="5" t="s">
        <v>25</v>
      </c>
      <c r="Q2868" s="5" t="s">
        <v>899</v>
      </c>
      <c r="S2868" s="7">
        <f>IF(ISBLANK(M2868),"Aguardando Previsão/Data",NETWORKDAYS(L2868,M2868)-1)</f>
        <v>1</v>
      </c>
      <c r="T2868" s="5" t="s">
        <v>942</v>
      </c>
    </row>
    <row r="2869" spans="1:20" x14ac:dyDescent="0.35">
      <c r="A2869" s="5">
        <v>8100280676</v>
      </c>
      <c r="B2869" s="5">
        <v>7297</v>
      </c>
      <c r="C2869" s="6">
        <v>45678</v>
      </c>
      <c r="D2869" s="5" t="s">
        <v>194</v>
      </c>
      <c r="E2869" s="5" t="s">
        <v>195</v>
      </c>
      <c r="F2869" s="5" t="s">
        <v>406</v>
      </c>
      <c r="G2869" s="5" t="s">
        <v>407</v>
      </c>
      <c r="H2869" s="5" t="s">
        <v>108</v>
      </c>
      <c r="I2869" s="5" t="s">
        <v>532</v>
      </c>
      <c r="J2869" s="5" t="s">
        <v>336</v>
      </c>
      <c r="K2869" s="5" t="s">
        <v>198</v>
      </c>
      <c r="L2869" s="6">
        <v>45685</v>
      </c>
      <c r="M2869" s="6">
        <v>45681</v>
      </c>
      <c r="N2869" s="6" t="s">
        <v>811</v>
      </c>
      <c r="O2869" s="5" t="str">
        <f ca="1">IF(P2869&lt;&gt;"EXPEDIÇÃO","Expedido",IF(NETWORKDAYS(C2869,TODAY())&gt;=5,"Risco Alto",IF(NETWORKDAYS(C2869,TODAY())&gt;=3,IF(NETWORKDAYS(C2869,TODAY())&lt;5,"Risco Médio",""),IF(NETWORKDAYS(C2869,TODAY())&lt;=2,"Risco Baixo",""))))</f>
        <v>Expedido</v>
      </c>
      <c r="P2869" s="5" t="s">
        <v>25</v>
      </c>
      <c r="S2869" s="7">
        <f>IF(ISBLANK(M2869),"Aguardando Previsão/Data",NETWORKDAYS(L2869,M2869)-1)</f>
        <v>-4</v>
      </c>
      <c r="T2869" s="5" t="s">
        <v>942</v>
      </c>
    </row>
    <row r="2870" spans="1:20" x14ac:dyDescent="0.35">
      <c r="A2870" s="5">
        <v>8100280677</v>
      </c>
      <c r="B2870" s="5">
        <v>7294</v>
      </c>
      <c r="C2870" s="6">
        <v>45678</v>
      </c>
      <c r="D2870" s="5" t="s">
        <v>194</v>
      </c>
      <c r="E2870" s="5" t="s">
        <v>195</v>
      </c>
      <c r="F2870" s="5" t="s">
        <v>406</v>
      </c>
      <c r="G2870" s="5" t="s">
        <v>407</v>
      </c>
      <c r="H2870" s="5" t="s">
        <v>108</v>
      </c>
      <c r="I2870" s="5" t="s">
        <v>689</v>
      </c>
      <c r="J2870" s="5" t="s">
        <v>204</v>
      </c>
      <c r="K2870" s="5" t="s">
        <v>198</v>
      </c>
      <c r="L2870" s="6">
        <v>45685</v>
      </c>
      <c r="M2870" s="6">
        <v>45686</v>
      </c>
      <c r="N2870" s="6" t="s">
        <v>812</v>
      </c>
      <c r="O2870" s="5" t="str">
        <f ca="1">IF(P2870&lt;&gt;"EXPEDIÇÃO","Expedido",IF(NETWORKDAYS(C2870,TODAY())&gt;=5,"Risco Alto",IF(NETWORKDAYS(C2870,TODAY())&gt;=3,IF(NETWORKDAYS(C2870,TODAY())&lt;5,"Risco Médio",""),IF(NETWORKDAYS(C2870,TODAY())&lt;=2,"Risco Baixo",""))))</f>
        <v>Expedido</v>
      </c>
      <c r="P2870" s="5" t="s">
        <v>25</v>
      </c>
      <c r="Q2870" s="5" t="s">
        <v>899</v>
      </c>
      <c r="S2870" s="7">
        <f>IF(ISBLANK(M2870),"Aguardando Previsão/Data",NETWORKDAYS(L2870,M2870)-1)</f>
        <v>1</v>
      </c>
      <c r="T2870" s="5" t="s">
        <v>942</v>
      </c>
    </row>
    <row r="2871" spans="1:20" x14ac:dyDescent="0.35">
      <c r="A2871" s="5">
        <v>8100280733</v>
      </c>
      <c r="B2871" s="5">
        <v>7320</v>
      </c>
      <c r="C2871" s="6">
        <v>45678</v>
      </c>
      <c r="D2871" s="5" t="s">
        <v>194</v>
      </c>
      <c r="E2871" s="5" t="s">
        <v>195</v>
      </c>
      <c r="F2871" s="5" t="s">
        <v>69</v>
      </c>
      <c r="G2871" s="5" t="s">
        <v>70</v>
      </c>
      <c r="H2871" s="5" t="s">
        <v>108</v>
      </c>
      <c r="I2871" s="5" t="s">
        <v>334</v>
      </c>
      <c r="J2871" s="5" t="s">
        <v>291</v>
      </c>
      <c r="K2871" s="5" t="s">
        <v>198</v>
      </c>
      <c r="L2871" s="6">
        <v>45685</v>
      </c>
      <c r="M2871" s="6">
        <v>45681</v>
      </c>
      <c r="N2871" s="6" t="s">
        <v>811</v>
      </c>
      <c r="O2871" s="5" t="str">
        <f ca="1">IF(P2871&lt;&gt;"EXPEDIÇÃO","Expedido",IF(NETWORKDAYS(C2871,TODAY())&gt;=5,"Risco Alto",IF(NETWORKDAYS(C2871,TODAY())&gt;=3,IF(NETWORKDAYS(C2871,TODAY())&lt;5,"Risco Médio",""),IF(NETWORKDAYS(C2871,TODAY())&lt;=2,"Risco Baixo",""))))</f>
        <v>Expedido</v>
      </c>
      <c r="P2871" s="5" t="s">
        <v>25</v>
      </c>
      <c r="S2871" s="7">
        <f>IF(ISBLANK(M2871),"Aguardando Previsão/Data",NETWORKDAYS(L2871,M2871)-1)</f>
        <v>-4</v>
      </c>
      <c r="T2871" s="5" t="s">
        <v>942</v>
      </c>
    </row>
    <row r="2872" spans="1:20" x14ac:dyDescent="0.35">
      <c r="A2872" s="5">
        <v>8100280738</v>
      </c>
      <c r="B2872" s="5">
        <v>7321</v>
      </c>
      <c r="C2872" s="6">
        <v>45678</v>
      </c>
      <c r="D2872" s="5" t="s">
        <v>194</v>
      </c>
      <c r="E2872" s="5" t="s">
        <v>195</v>
      </c>
      <c r="F2872" s="5" t="s">
        <v>69</v>
      </c>
      <c r="G2872" s="5" t="s">
        <v>70</v>
      </c>
      <c r="H2872" s="5" t="s">
        <v>108</v>
      </c>
      <c r="I2872" s="5" t="s">
        <v>334</v>
      </c>
      <c r="J2872" s="5" t="s">
        <v>291</v>
      </c>
      <c r="K2872" s="5" t="s">
        <v>198</v>
      </c>
      <c r="L2872" s="6">
        <v>45685</v>
      </c>
      <c r="M2872" s="6">
        <v>45681</v>
      </c>
      <c r="N2872" s="6" t="s">
        <v>811</v>
      </c>
      <c r="O2872" s="5" t="str">
        <f ca="1">IF(P2872&lt;&gt;"EXPEDIÇÃO","Expedido",IF(NETWORKDAYS(C2872,TODAY())&gt;=5,"Risco Alto",IF(NETWORKDAYS(C2872,TODAY())&gt;=3,IF(NETWORKDAYS(C2872,TODAY())&lt;5,"Risco Médio",""),IF(NETWORKDAYS(C2872,TODAY())&lt;=2,"Risco Baixo",""))))</f>
        <v>Expedido</v>
      </c>
      <c r="P2872" s="5" t="s">
        <v>25</v>
      </c>
      <c r="S2872" s="7">
        <f>IF(ISBLANK(M2872),"Aguardando Previsão/Data",NETWORKDAYS(L2872,M2872)-1)</f>
        <v>-4</v>
      </c>
      <c r="T2872" s="5" t="s">
        <v>942</v>
      </c>
    </row>
    <row r="2873" spans="1:20" x14ac:dyDescent="0.35">
      <c r="A2873" s="5">
        <v>8100280739</v>
      </c>
      <c r="B2873" s="5">
        <v>7316</v>
      </c>
      <c r="C2873" s="6">
        <v>45678</v>
      </c>
      <c r="D2873" s="5" t="s">
        <v>194</v>
      </c>
      <c r="E2873" s="5" t="s">
        <v>195</v>
      </c>
      <c r="F2873" s="5" t="s">
        <v>69</v>
      </c>
      <c r="G2873" s="5" t="s">
        <v>70</v>
      </c>
      <c r="H2873" s="5" t="s">
        <v>108</v>
      </c>
      <c r="I2873" s="5" t="s">
        <v>1119</v>
      </c>
      <c r="J2873" s="5" t="s">
        <v>336</v>
      </c>
      <c r="K2873" s="5" t="s">
        <v>198</v>
      </c>
      <c r="L2873" s="6">
        <v>45685</v>
      </c>
      <c r="M2873" s="6">
        <v>45685</v>
      </c>
      <c r="N2873" s="6" t="s">
        <v>811</v>
      </c>
      <c r="O2873" s="5" t="str">
        <f ca="1">IF(P2873&lt;&gt;"EXPEDIÇÃO","Expedido",IF(NETWORKDAYS(C2873,TODAY())&gt;=5,"Risco Alto",IF(NETWORKDAYS(C2873,TODAY())&gt;=3,IF(NETWORKDAYS(C2873,TODAY())&lt;5,"Risco Médio",""),IF(NETWORKDAYS(C2873,TODAY())&lt;=2,"Risco Baixo",""))))</f>
        <v>Expedido</v>
      </c>
      <c r="P2873" s="5" t="s">
        <v>25</v>
      </c>
      <c r="Q2873" s="5" t="s">
        <v>899</v>
      </c>
      <c r="S2873" s="7">
        <f>IF(ISBLANK(M2873),"Aguardando Previsão/Data",NETWORKDAYS(L2873,M2873)-1)</f>
        <v>0</v>
      </c>
      <c r="T2873" s="5" t="s">
        <v>942</v>
      </c>
    </row>
    <row r="2874" spans="1:20" x14ac:dyDescent="0.35">
      <c r="A2874" s="5">
        <v>8100280741</v>
      </c>
      <c r="B2874" s="5">
        <v>7296</v>
      </c>
      <c r="C2874" s="6">
        <v>45678</v>
      </c>
      <c r="D2874" s="5" t="s">
        <v>194</v>
      </c>
      <c r="E2874" s="5" t="s">
        <v>195</v>
      </c>
      <c r="F2874" s="5" t="s">
        <v>69</v>
      </c>
      <c r="G2874" s="5" t="s">
        <v>70</v>
      </c>
      <c r="H2874" s="5" t="s">
        <v>108</v>
      </c>
      <c r="I2874" s="5" t="s">
        <v>544</v>
      </c>
      <c r="J2874" s="5" t="s">
        <v>202</v>
      </c>
      <c r="K2874" s="5" t="s">
        <v>198</v>
      </c>
      <c r="L2874" s="6">
        <v>45685</v>
      </c>
      <c r="M2874" s="6">
        <v>45680</v>
      </c>
      <c r="N2874" s="6" t="s">
        <v>811</v>
      </c>
      <c r="O2874" s="5" t="str">
        <f ca="1">IF(P2874&lt;&gt;"EXPEDIÇÃO","Expedido",IF(NETWORKDAYS(C2874,TODAY())&gt;=5,"Risco Alto",IF(NETWORKDAYS(C2874,TODAY())&gt;=3,IF(NETWORKDAYS(C2874,TODAY())&lt;5,"Risco Médio",""),IF(NETWORKDAYS(C2874,TODAY())&lt;=2,"Risco Baixo",""))))</f>
        <v>Expedido</v>
      </c>
      <c r="P2874" s="5" t="s">
        <v>25</v>
      </c>
      <c r="Q2874" s="5" t="s">
        <v>1496</v>
      </c>
      <c r="S2874" s="7">
        <f>IF(ISBLANK(M2874),"Aguardando Previsão/Data",NETWORKDAYS(L2874,M2874)-1)</f>
        <v>-5</v>
      </c>
      <c r="T2874" s="5" t="s">
        <v>942</v>
      </c>
    </row>
    <row r="2875" spans="1:20" x14ac:dyDescent="0.35">
      <c r="A2875" s="5">
        <v>8100280810</v>
      </c>
      <c r="B2875" s="5">
        <v>7313</v>
      </c>
      <c r="C2875" s="6">
        <v>45678</v>
      </c>
      <c r="D2875" s="5" t="s">
        <v>194</v>
      </c>
      <c r="E2875" s="5" t="s">
        <v>195</v>
      </c>
      <c r="F2875" s="5" t="s">
        <v>147</v>
      </c>
      <c r="G2875" s="5" t="s">
        <v>148</v>
      </c>
      <c r="H2875" s="5" t="s">
        <v>108</v>
      </c>
      <c r="I2875" s="5" t="s">
        <v>128</v>
      </c>
      <c r="J2875" s="5" t="s">
        <v>290</v>
      </c>
      <c r="K2875" s="5" t="s">
        <v>198</v>
      </c>
      <c r="L2875" s="6">
        <v>45684</v>
      </c>
      <c r="M2875" s="6">
        <v>45681</v>
      </c>
      <c r="N2875" s="6" t="s">
        <v>811</v>
      </c>
      <c r="O2875" s="5" t="str">
        <f ca="1">IF(P2875&lt;&gt;"EXPEDIÇÃO","Expedido",IF(NETWORKDAYS(C2875,TODAY())&gt;=5,"Risco Alto",IF(NETWORKDAYS(C2875,TODAY())&gt;=3,IF(NETWORKDAYS(C2875,TODAY())&lt;5,"Risco Médio",""),IF(NETWORKDAYS(C2875,TODAY())&lt;=2,"Risco Baixo",""))))</f>
        <v>Expedido</v>
      </c>
      <c r="P2875" s="5" t="s">
        <v>25</v>
      </c>
      <c r="Q2875" s="5" t="s">
        <v>1497</v>
      </c>
      <c r="S2875" s="7">
        <f>IF(ISBLANK(M2875),"Aguardando Previsão/Data",NETWORKDAYS(L2875,M2875)-1)</f>
        <v>-3</v>
      </c>
      <c r="T2875" s="5" t="s">
        <v>942</v>
      </c>
    </row>
    <row r="2876" spans="1:20" x14ac:dyDescent="0.35">
      <c r="A2876" s="5">
        <v>8100280821</v>
      </c>
      <c r="B2876" s="5">
        <v>7314</v>
      </c>
      <c r="C2876" s="6">
        <v>45678</v>
      </c>
      <c r="D2876" s="5" t="s">
        <v>194</v>
      </c>
      <c r="E2876" s="5" t="s">
        <v>195</v>
      </c>
      <c r="F2876" s="5" t="s">
        <v>147</v>
      </c>
      <c r="G2876" s="5" t="s">
        <v>148</v>
      </c>
      <c r="H2876" s="5" t="s">
        <v>108</v>
      </c>
      <c r="I2876" s="5" t="s">
        <v>128</v>
      </c>
      <c r="J2876" s="5" t="s">
        <v>290</v>
      </c>
      <c r="K2876" s="5" t="s">
        <v>198</v>
      </c>
      <c r="L2876" s="6">
        <v>45684</v>
      </c>
      <c r="M2876" s="6">
        <v>45681</v>
      </c>
      <c r="N2876" s="6" t="s">
        <v>811</v>
      </c>
      <c r="O2876" s="5" t="str">
        <f ca="1">IF(P2876&lt;&gt;"EXPEDIÇÃO","Expedido",IF(NETWORKDAYS(C2876,TODAY())&gt;=5,"Risco Alto",IF(NETWORKDAYS(C2876,TODAY())&gt;=3,IF(NETWORKDAYS(C2876,TODAY())&lt;5,"Risco Médio",""),IF(NETWORKDAYS(C2876,TODAY())&lt;=2,"Risco Baixo",""))))</f>
        <v>Expedido</v>
      </c>
      <c r="P2876" s="5" t="s">
        <v>25</v>
      </c>
      <c r="Q2876" s="5" t="s">
        <v>1497</v>
      </c>
      <c r="S2876" s="7">
        <f>IF(ISBLANK(M2876),"Aguardando Previsão/Data",NETWORKDAYS(L2876,M2876)-1)</f>
        <v>-3</v>
      </c>
      <c r="T2876" s="5" t="s">
        <v>942</v>
      </c>
    </row>
    <row r="2877" spans="1:20" x14ac:dyDescent="0.35">
      <c r="A2877" s="5">
        <v>8100280822</v>
      </c>
      <c r="B2877" s="5">
        <v>7302</v>
      </c>
      <c r="C2877" s="6">
        <v>45678</v>
      </c>
      <c r="D2877" s="5" t="s">
        <v>194</v>
      </c>
      <c r="E2877" s="5" t="s">
        <v>195</v>
      </c>
      <c r="F2877" s="5" t="s">
        <v>147</v>
      </c>
      <c r="G2877" s="5" t="s">
        <v>148</v>
      </c>
      <c r="H2877" s="5" t="s">
        <v>108</v>
      </c>
      <c r="I2877" s="5" t="s">
        <v>128</v>
      </c>
      <c r="J2877" s="5" t="s">
        <v>291</v>
      </c>
      <c r="K2877" s="5" t="s">
        <v>198</v>
      </c>
      <c r="L2877" s="6">
        <v>45685</v>
      </c>
      <c r="M2877" s="6">
        <v>45681</v>
      </c>
      <c r="N2877" s="6" t="s">
        <v>811</v>
      </c>
      <c r="O2877" s="5" t="str">
        <f ca="1">IF(P2877&lt;&gt;"EXPEDIÇÃO","Expedido",IF(NETWORKDAYS(C2877,TODAY())&gt;=5,"Risco Alto",IF(NETWORKDAYS(C2877,TODAY())&gt;=3,IF(NETWORKDAYS(C2877,TODAY())&lt;5,"Risco Médio",""),IF(NETWORKDAYS(C2877,TODAY())&lt;=2,"Risco Baixo",""))))</f>
        <v>Expedido</v>
      </c>
      <c r="P2877" s="5" t="s">
        <v>25</v>
      </c>
      <c r="S2877" s="7">
        <f>IF(ISBLANK(M2877),"Aguardando Previsão/Data",NETWORKDAYS(L2877,M2877)-1)</f>
        <v>-4</v>
      </c>
      <c r="T2877" s="5" t="s">
        <v>942</v>
      </c>
    </row>
    <row r="2878" spans="1:20" x14ac:dyDescent="0.35">
      <c r="A2878" s="5">
        <v>8100280891</v>
      </c>
      <c r="B2878" s="5">
        <v>7315</v>
      </c>
      <c r="C2878" s="6">
        <v>45678</v>
      </c>
      <c r="D2878" s="5" t="s">
        <v>194</v>
      </c>
      <c r="E2878" s="5" t="s">
        <v>195</v>
      </c>
      <c r="F2878" s="5" t="s">
        <v>406</v>
      </c>
      <c r="G2878" s="5" t="s">
        <v>407</v>
      </c>
      <c r="H2878" s="5" t="s">
        <v>108</v>
      </c>
      <c r="I2878" s="5" t="s">
        <v>1455</v>
      </c>
      <c r="J2878" s="5" t="s">
        <v>513</v>
      </c>
      <c r="K2878" s="5" t="s">
        <v>198</v>
      </c>
      <c r="L2878" s="6">
        <v>45685</v>
      </c>
      <c r="M2878" s="6">
        <v>45686</v>
      </c>
      <c r="N2878" s="6" t="s">
        <v>812</v>
      </c>
      <c r="O2878" s="5" t="str">
        <f ca="1">IF(P2878&lt;&gt;"EXPEDIÇÃO","Expedido",IF(NETWORKDAYS(C2878,TODAY())&gt;=5,"Risco Alto",IF(NETWORKDAYS(C2878,TODAY())&gt;=3,IF(NETWORKDAYS(C2878,TODAY())&lt;5,"Risco Médio",""),IF(NETWORKDAYS(C2878,TODAY())&lt;=2,"Risco Baixo",""))))</f>
        <v>Expedido</v>
      </c>
      <c r="P2878" s="5" t="s">
        <v>25</v>
      </c>
      <c r="Q2878" s="5" t="s">
        <v>899</v>
      </c>
      <c r="S2878" s="7">
        <f>IF(ISBLANK(M2878),"Aguardando Previsão/Data",NETWORKDAYS(L2878,M2878)-1)</f>
        <v>1</v>
      </c>
      <c r="T2878" s="5" t="s">
        <v>942</v>
      </c>
    </row>
    <row r="2879" spans="1:20" x14ac:dyDescent="0.35">
      <c r="A2879" s="5">
        <v>8100280892</v>
      </c>
      <c r="B2879" s="5">
        <v>7324</v>
      </c>
      <c r="C2879" s="6">
        <v>45678</v>
      </c>
      <c r="D2879" s="5" t="s">
        <v>194</v>
      </c>
      <c r="E2879" s="5" t="s">
        <v>195</v>
      </c>
      <c r="F2879" s="5" t="s">
        <v>406</v>
      </c>
      <c r="G2879" s="5" t="s">
        <v>407</v>
      </c>
      <c r="H2879" s="5" t="s">
        <v>108</v>
      </c>
      <c r="I2879" s="5" t="s">
        <v>1456</v>
      </c>
      <c r="J2879" s="5" t="s">
        <v>661</v>
      </c>
      <c r="K2879" s="5" t="s">
        <v>198</v>
      </c>
      <c r="L2879" s="6">
        <v>45684</v>
      </c>
      <c r="M2879" s="6">
        <v>45682</v>
      </c>
      <c r="N2879" s="6" t="s">
        <v>811</v>
      </c>
      <c r="O2879" s="5" t="str">
        <f ca="1">IF(P2879&lt;&gt;"EXPEDIÇÃO","Expedido",IF(NETWORKDAYS(C2879,TODAY())&gt;=5,"Risco Alto",IF(NETWORKDAYS(C2879,TODAY())&gt;=3,IF(NETWORKDAYS(C2879,TODAY())&lt;5,"Risco Médio",""),IF(NETWORKDAYS(C2879,TODAY())&lt;=2,"Risco Baixo",""))))</f>
        <v>Expedido</v>
      </c>
      <c r="P2879" s="5" t="s">
        <v>25</v>
      </c>
      <c r="S2879" s="7">
        <f>IF(ISBLANK(M2879),"Aguardando Previsão/Data",NETWORKDAYS(L2879,M2879)-1)</f>
        <v>-2</v>
      </c>
      <c r="T2879" s="5" t="s">
        <v>942</v>
      </c>
    </row>
    <row r="2880" spans="1:20" x14ac:dyDescent="0.35">
      <c r="A2880" s="5">
        <v>8100280611</v>
      </c>
      <c r="B2880" s="5">
        <v>14573</v>
      </c>
      <c r="C2880" s="6">
        <v>45678</v>
      </c>
      <c r="D2880" s="5" t="s">
        <v>211</v>
      </c>
      <c r="E2880" s="5" t="s">
        <v>212</v>
      </c>
      <c r="F2880" s="5" t="s">
        <v>66</v>
      </c>
      <c r="G2880" s="5" t="s">
        <v>67</v>
      </c>
      <c r="H2880" s="5" t="s">
        <v>108</v>
      </c>
      <c r="I2880" s="5" t="s">
        <v>154</v>
      </c>
      <c r="J2880" s="5" t="s">
        <v>155</v>
      </c>
      <c r="K2880" s="5" t="s">
        <v>156</v>
      </c>
      <c r="L2880" s="6">
        <v>45687</v>
      </c>
      <c r="M2880" s="6">
        <v>45686</v>
      </c>
      <c r="N2880" s="6" t="s">
        <v>811</v>
      </c>
      <c r="O2880" s="5" t="str">
        <f ca="1">IF(P2880&lt;&gt;"EXPEDIÇÃO","Expedido",IF(NETWORKDAYS(C2880,TODAY())&gt;=5,"Risco Alto",IF(NETWORKDAYS(C2880,TODAY())&gt;=3,IF(NETWORKDAYS(C2880,TODAY())&lt;5,"Risco Médio",""),IF(NETWORKDAYS(C2880,TODAY())&lt;=2,"Risco Baixo",""))))</f>
        <v>Expedido</v>
      </c>
      <c r="P2880" s="5" t="s">
        <v>25</v>
      </c>
      <c r="S2880" s="7">
        <f>IF(ISBLANK(M2880),"Aguardando Previsão/Data",NETWORKDAYS(L2880,M2880)-1)</f>
        <v>-3</v>
      </c>
      <c r="T2880" s="5" t="s">
        <v>942</v>
      </c>
    </row>
    <row r="2881" spans="1:20" x14ac:dyDescent="0.35">
      <c r="A2881" s="5">
        <v>8100280612</v>
      </c>
      <c r="B2881" s="5">
        <v>14574</v>
      </c>
      <c r="C2881" s="6">
        <v>45678</v>
      </c>
      <c r="D2881" s="5" t="s">
        <v>211</v>
      </c>
      <c r="E2881" s="5" t="s">
        <v>212</v>
      </c>
      <c r="F2881" s="5" t="s">
        <v>66</v>
      </c>
      <c r="G2881" s="5" t="s">
        <v>67</v>
      </c>
      <c r="H2881" s="5" t="s">
        <v>108</v>
      </c>
      <c r="I2881" s="5" t="s">
        <v>154</v>
      </c>
      <c r="J2881" s="5" t="s">
        <v>155</v>
      </c>
      <c r="K2881" s="5" t="s">
        <v>156</v>
      </c>
      <c r="L2881" s="6">
        <v>45687</v>
      </c>
      <c r="M2881" s="6">
        <v>45686</v>
      </c>
      <c r="N2881" s="6" t="s">
        <v>811</v>
      </c>
      <c r="O2881" s="5" t="str">
        <f ca="1">IF(P2881&lt;&gt;"EXPEDIÇÃO","Expedido",IF(NETWORKDAYS(C2881,TODAY())&gt;=5,"Risco Alto",IF(NETWORKDAYS(C2881,TODAY())&gt;=3,IF(NETWORKDAYS(C2881,TODAY())&lt;5,"Risco Médio",""),IF(NETWORKDAYS(C2881,TODAY())&lt;=2,"Risco Baixo",""))))</f>
        <v>Expedido</v>
      </c>
      <c r="P2881" s="5" t="s">
        <v>25</v>
      </c>
      <c r="S2881" s="7">
        <f>IF(ISBLANK(M2881),"Aguardando Previsão/Data",NETWORKDAYS(L2881,M2881)-1)</f>
        <v>-3</v>
      </c>
      <c r="T2881" s="5" t="s">
        <v>942</v>
      </c>
    </row>
    <row r="2882" spans="1:20" x14ac:dyDescent="0.35">
      <c r="A2882" s="5">
        <v>8100280613</v>
      </c>
      <c r="B2882" s="5">
        <v>14575</v>
      </c>
      <c r="C2882" s="6">
        <v>45678</v>
      </c>
      <c r="D2882" s="5" t="s">
        <v>211</v>
      </c>
      <c r="E2882" s="5" t="s">
        <v>212</v>
      </c>
      <c r="F2882" s="5" t="s">
        <v>66</v>
      </c>
      <c r="G2882" s="5" t="s">
        <v>67</v>
      </c>
      <c r="H2882" s="5" t="s">
        <v>108</v>
      </c>
      <c r="I2882" s="5" t="s">
        <v>154</v>
      </c>
      <c r="J2882" s="5" t="s">
        <v>155</v>
      </c>
      <c r="K2882" s="5" t="s">
        <v>156</v>
      </c>
      <c r="L2882" s="6">
        <v>45687</v>
      </c>
      <c r="M2882" s="6">
        <v>45686</v>
      </c>
      <c r="N2882" s="6" t="s">
        <v>811</v>
      </c>
      <c r="O2882" s="5" t="str">
        <f ca="1">IF(P2882&lt;&gt;"EXPEDIÇÃO","Expedido",IF(NETWORKDAYS(C2882,TODAY())&gt;=5,"Risco Alto",IF(NETWORKDAYS(C2882,TODAY())&gt;=3,IF(NETWORKDAYS(C2882,TODAY())&lt;5,"Risco Médio",""),IF(NETWORKDAYS(C2882,TODAY())&lt;=2,"Risco Baixo",""))))</f>
        <v>Expedido</v>
      </c>
      <c r="P2882" s="5" t="s">
        <v>25</v>
      </c>
      <c r="S2882" s="7">
        <f>IF(ISBLANK(M2882),"Aguardando Previsão/Data",NETWORKDAYS(L2882,M2882)-1)</f>
        <v>-3</v>
      </c>
      <c r="T2882" s="5" t="s">
        <v>942</v>
      </c>
    </row>
    <row r="2883" spans="1:20" x14ac:dyDescent="0.35">
      <c r="A2883" s="5">
        <v>8100280614</v>
      </c>
      <c r="B2883" s="5">
        <v>14576</v>
      </c>
      <c r="C2883" s="6">
        <v>45678</v>
      </c>
      <c r="D2883" s="5" t="s">
        <v>211</v>
      </c>
      <c r="E2883" s="5" t="s">
        <v>212</v>
      </c>
      <c r="F2883" s="5" t="s">
        <v>66</v>
      </c>
      <c r="G2883" s="5" t="s">
        <v>67</v>
      </c>
      <c r="H2883" s="5" t="s">
        <v>108</v>
      </c>
      <c r="I2883" s="5" t="s">
        <v>154</v>
      </c>
      <c r="J2883" s="5" t="s">
        <v>155</v>
      </c>
      <c r="K2883" s="5" t="s">
        <v>156</v>
      </c>
      <c r="L2883" s="6">
        <v>45687</v>
      </c>
      <c r="M2883" s="6">
        <v>45686</v>
      </c>
      <c r="N2883" s="6" t="s">
        <v>811</v>
      </c>
      <c r="O2883" s="5" t="str">
        <f ca="1">IF(P2883&lt;&gt;"EXPEDIÇÃO","Expedido",IF(NETWORKDAYS(C2883,TODAY())&gt;=5,"Risco Alto",IF(NETWORKDAYS(C2883,TODAY())&gt;=3,IF(NETWORKDAYS(C2883,TODAY())&lt;5,"Risco Médio",""),IF(NETWORKDAYS(C2883,TODAY())&lt;=2,"Risco Baixo",""))))</f>
        <v>Expedido</v>
      </c>
      <c r="P2883" s="5" t="s">
        <v>25</v>
      </c>
      <c r="S2883" s="7">
        <f>IF(ISBLANK(M2883),"Aguardando Previsão/Data",NETWORKDAYS(L2883,M2883)-1)</f>
        <v>-3</v>
      </c>
      <c r="T2883" s="5" t="s">
        <v>942</v>
      </c>
    </row>
    <row r="2884" spans="1:20" x14ac:dyDescent="0.35">
      <c r="A2884" s="5">
        <v>8100280928</v>
      </c>
      <c r="B2884" s="16">
        <v>14581</v>
      </c>
      <c r="C2884" s="6">
        <v>45678</v>
      </c>
      <c r="D2884" s="5" t="s">
        <v>211</v>
      </c>
      <c r="E2884" s="5" t="s">
        <v>212</v>
      </c>
      <c r="F2884" s="5" t="s">
        <v>58</v>
      </c>
      <c r="G2884" s="5" t="s">
        <v>59</v>
      </c>
      <c r="H2884" s="5" t="s">
        <v>108</v>
      </c>
      <c r="I2884" s="5" t="s">
        <v>269</v>
      </c>
      <c r="J2884" s="5" t="s">
        <v>316</v>
      </c>
      <c r="K2884" s="5" t="s">
        <v>156</v>
      </c>
      <c r="L2884" s="6">
        <v>45688</v>
      </c>
      <c r="M2884" s="6">
        <v>45686</v>
      </c>
      <c r="N2884" s="6" t="s">
        <v>811</v>
      </c>
      <c r="O2884" s="5" t="str">
        <f ca="1">IF(P2884&lt;&gt;"EXPEDIÇÃO","Expedido",IF(NETWORKDAYS(C2884,TODAY())&gt;=5,"Risco Alto",IF(NETWORKDAYS(C2884,TODAY())&gt;=3,IF(NETWORKDAYS(C2884,TODAY())&lt;5,"Risco Médio",""),IF(NETWORKDAYS(C2884,TODAY())&lt;=2,"Risco Baixo",""))))</f>
        <v>Expedido</v>
      </c>
      <c r="P2884" s="5" t="s">
        <v>25</v>
      </c>
      <c r="S2884" s="7">
        <f>IF(ISBLANK(M2884),"Aguardando Previsão/Data",NETWORKDAYS(L2884,M2884)-1)</f>
        <v>-4</v>
      </c>
      <c r="T2884" s="5" t="s">
        <v>942</v>
      </c>
    </row>
    <row r="2885" spans="1:20" x14ac:dyDescent="0.35">
      <c r="A2885" s="5">
        <v>8100280929</v>
      </c>
      <c r="B2885" s="16">
        <v>14582</v>
      </c>
      <c r="C2885" s="6">
        <v>45678</v>
      </c>
      <c r="D2885" s="5" t="s">
        <v>211</v>
      </c>
      <c r="E2885" s="5" t="s">
        <v>212</v>
      </c>
      <c r="F2885" s="5" t="s">
        <v>58</v>
      </c>
      <c r="G2885" s="5" t="s">
        <v>59</v>
      </c>
      <c r="H2885" s="5" t="s">
        <v>108</v>
      </c>
      <c r="I2885" s="5" t="s">
        <v>269</v>
      </c>
      <c r="J2885" s="5" t="s">
        <v>316</v>
      </c>
      <c r="K2885" s="5" t="s">
        <v>156</v>
      </c>
      <c r="L2885" s="6">
        <v>45688</v>
      </c>
      <c r="M2885" s="6">
        <v>45686</v>
      </c>
      <c r="N2885" s="6" t="s">
        <v>811</v>
      </c>
      <c r="O2885" s="5" t="str">
        <f ca="1">IF(P2885&lt;&gt;"EXPEDIÇÃO","Expedido",IF(NETWORKDAYS(C2885,TODAY())&gt;=5,"Risco Alto",IF(NETWORKDAYS(C2885,TODAY())&gt;=3,IF(NETWORKDAYS(C2885,TODAY())&lt;5,"Risco Médio",""),IF(NETWORKDAYS(C2885,TODAY())&lt;=2,"Risco Baixo",""))))</f>
        <v>Expedido</v>
      </c>
      <c r="P2885" s="5" t="s">
        <v>25</v>
      </c>
      <c r="S2885" s="7">
        <f>IF(ISBLANK(M2885),"Aguardando Previsão/Data",NETWORKDAYS(L2885,M2885)-1)</f>
        <v>-4</v>
      </c>
      <c r="T2885" s="5" t="s">
        <v>942</v>
      </c>
    </row>
    <row r="2886" spans="1:20" x14ac:dyDescent="0.35">
      <c r="A2886" s="5">
        <v>8100280930</v>
      </c>
      <c r="B2886" s="16">
        <v>14583</v>
      </c>
      <c r="C2886" s="6">
        <v>45678</v>
      </c>
      <c r="D2886" s="5" t="s">
        <v>211</v>
      </c>
      <c r="E2886" s="5" t="s">
        <v>212</v>
      </c>
      <c r="F2886" s="5" t="s">
        <v>58</v>
      </c>
      <c r="G2886" s="5" t="s">
        <v>59</v>
      </c>
      <c r="H2886" s="5" t="s">
        <v>108</v>
      </c>
      <c r="I2886" s="5" t="s">
        <v>269</v>
      </c>
      <c r="J2886" s="5" t="s">
        <v>316</v>
      </c>
      <c r="K2886" s="5" t="s">
        <v>156</v>
      </c>
      <c r="L2886" s="6">
        <v>45688</v>
      </c>
      <c r="M2886" s="6">
        <v>45686</v>
      </c>
      <c r="N2886" s="6" t="s">
        <v>811</v>
      </c>
      <c r="O2886" s="5" t="str">
        <f ca="1">IF(P2886&lt;&gt;"EXPEDIÇÃO","Expedido",IF(NETWORKDAYS(C2886,TODAY())&gt;=5,"Risco Alto",IF(NETWORKDAYS(C2886,TODAY())&gt;=3,IF(NETWORKDAYS(C2886,TODAY())&lt;5,"Risco Médio",""),IF(NETWORKDAYS(C2886,TODAY())&lt;=2,"Risco Baixo",""))))</f>
        <v>Expedido</v>
      </c>
      <c r="P2886" s="5" t="s">
        <v>25</v>
      </c>
      <c r="S2886" s="7">
        <f>IF(ISBLANK(M2886),"Aguardando Previsão/Data",NETWORKDAYS(L2886,M2886)-1)</f>
        <v>-4</v>
      </c>
      <c r="T2886" s="5" t="s">
        <v>942</v>
      </c>
    </row>
    <row r="2887" spans="1:20" x14ac:dyDescent="0.35">
      <c r="A2887" s="5">
        <v>8100280931</v>
      </c>
      <c r="B2887" s="16">
        <v>14584</v>
      </c>
      <c r="C2887" s="6">
        <v>45678</v>
      </c>
      <c r="D2887" s="5" t="s">
        <v>211</v>
      </c>
      <c r="E2887" s="5" t="s">
        <v>212</v>
      </c>
      <c r="F2887" s="5" t="s">
        <v>58</v>
      </c>
      <c r="G2887" s="5" t="s">
        <v>59</v>
      </c>
      <c r="H2887" s="5" t="s">
        <v>108</v>
      </c>
      <c r="I2887" s="5" t="s">
        <v>269</v>
      </c>
      <c r="J2887" s="5" t="s">
        <v>316</v>
      </c>
      <c r="K2887" s="5" t="s">
        <v>156</v>
      </c>
      <c r="L2887" s="6">
        <v>45688</v>
      </c>
      <c r="M2887" s="6">
        <v>45686</v>
      </c>
      <c r="N2887" s="6" t="s">
        <v>811</v>
      </c>
      <c r="O2887" s="5" t="str">
        <f ca="1">IF(P2887&lt;&gt;"EXPEDIÇÃO","Expedido",IF(NETWORKDAYS(C2887,TODAY())&gt;=5,"Risco Alto",IF(NETWORKDAYS(C2887,TODAY())&gt;=3,IF(NETWORKDAYS(C2887,TODAY())&lt;5,"Risco Médio",""),IF(NETWORKDAYS(C2887,TODAY())&lt;=2,"Risco Baixo",""))))</f>
        <v>Expedido</v>
      </c>
      <c r="P2887" s="5" t="s">
        <v>25</v>
      </c>
      <c r="S2887" s="7">
        <f>IF(ISBLANK(M2887),"Aguardando Previsão/Data",NETWORKDAYS(L2887,M2887)-1)</f>
        <v>-4</v>
      </c>
      <c r="T2887" s="5" t="s">
        <v>942</v>
      </c>
    </row>
    <row r="2888" spans="1:20" x14ac:dyDescent="0.35">
      <c r="A2888" s="5">
        <v>8100281010</v>
      </c>
      <c r="B2888" s="16">
        <v>14586</v>
      </c>
      <c r="C2888" s="6">
        <v>45678</v>
      </c>
      <c r="D2888" s="5" t="s">
        <v>211</v>
      </c>
      <c r="E2888" s="5" t="s">
        <v>212</v>
      </c>
      <c r="F2888" s="5" t="s">
        <v>58</v>
      </c>
      <c r="G2888" s="5" t="s">
        <v>59</v>
      </c>
      <c r="H2888" s="5" t="s">
        <v>108</v>
      </c>
      <c r="I2888" s="5" t="s">
        <v>269</v>
      </c>
      <c r="J2888" s="5" t="s">
        <v>316</v>
      </c>
      <c r="K2888" s="5" t="s">
        <v>156</v>
      </c>
      <c r="L2888" s="6">
        <v>45688</v>
      </c>
      <c r="M2888" s="6">
        <v>45686</v>
      </c>
      <c r="N2888" s="6" t="s">
        <v>811</v>
      </c>
      <c r="O2888" s="5" t="str">
        <f ca="1">IF(P2888&lt;&gt;"EXPEDIÇÃO","Expedido",IF(NETWORKDAYS(C2888,TODAY())&gt;=5,"Risco Alto",IF(NETWORKDAYS(C2888,TODAY())&gt;=3,IF(NETWORKDAYS(C2888,TODAY())&lt;5,"Risco Médio",""),IF(NETWORKDAYS(C2888,TODAY())&lt;=2,"Risco Baixo",""))))</f>
        <v>Expedido</v>
      </c>
      <c r="P2888" s="5" t="s">
        <v>25</v>
      </c>
      <c r="S2888" s="7">
        <f>IF(ISBLANK(M2888),"Aguardando Previsão/Data",NETWORKDAYS(L2888,M2888)-1)</f>
        <v>-4</v>
      </c>
      <c r="T2888" s="5" t="s">
        <v>942</v>
      </c>
    </row>
    <row r="2889" spans="1:20" x14ac:dyDescent="0.35">
      <c r="A2889" s="5">
        <v>8100280540</v>
      </c>
      <c r="B2889" s="5">
        <v>12378</v>
      </c>
      <c r="C2889" s="6">
        <v>45678</v>
      </c>
      <c r="D2889" s="5" t="s">
        <v>158</v>
      </c>
      <c r="E2889" s="5" t="s">
        <v>159</v>
      </c>
      <c r="F2889" s="5" t="s">
        <v>171</v>
      </c>
      <c r="G2889" s="5" t="s">
        <v>172</v>
      </c>
      <c r="H2889" s="5" t="s">
        <v>108</v>
      </c>
      <c r="I2889" s="5" t="s">
        <v>510</v>
      </c>
      <c r="J2889" s="5" t="s">
        <v>172</v>
      </c>
      <c r="K2889" s="5" t="s">
        <v>170</v>
      </c>
      <c r="L2889" s="6">
        <v>45685</v>
      </c>
      <c r="M2889" s="6">
        <v>45680</v>
      </c>
      <c r="N2889" s="6" t="s">
        <v>811</v>
      </c>
      <c r="O2889" s="5" t="str">
        <f ca="1">IF(P2889&lt;&gt;"EXPEDIÇÃO","Expedido",IF(NETWORKDAYS(C2889,TODAY())&gt;=5,"Risco Alto",IF(NETWORKDAYS(C2889,TODAY())&gt;=3,IF(NETWORKDAYS(C2889,TODAY())&lt;5,"Risco Médio",""),IF(NETWORKDAYS(C2889,TODAY())&lt;=2,"Risco Baixo",""))))</f>
        <v>Expedido</v>
      </c>
      <c r="P2889" s="5" t="s">
        <v>25</v>
      </c>
      <c r="Q2889" s="5" t="s">
        <v>897</v>
      </c>
      <c r="S2889" s="7">
        <f>IF(ISBLANK(M2889),"Aguardando Previsão/Data",NETWORKDAYS(L2889,M2889)-1)</f>
        <v>-5</v>
      </c>
      <c r="T2889" s="5" t="s">
        <v>942</v>
      </c>
    </row>
    <row r="2890" spans="1:20" x14ac:dyDescent="0.35">
      <c r="A2890" s="5">
        <v>8100280541</v>
      </c>
      <c r="B2890" s="5">
        <v>12365</v>
      </c>
      <c r="C2890" s="6">
        <v>45678</v>
      </c>
      <c r="D2890" s="5" t="s">
        <v>158</v>
      </c>
      <c r="E2890" s="5" t="s">
        <v>159</v>
      </c>
      <c r="F2890" s="5" t="s">
        <v>160</v>
      </c>
      <c r="G2890" s="5" t="s">
        <v>161</v>
      </c>
      <c r="H2890" s="5" t="s">
        <v>108</v>
      </c>
      <c r="I2890" s="5" t="s">
        <v>347</v>
      </c>
      <c r="J2890" s="5" t="s">
        <v>310</v>
      </c>
      <c r="K2890" s="5" t="s">
        <v>175</v>
      </c>
      <c r="L2890" s="6">
        <v>45687</v>
      </c>
      <c r="M2890" s="6">
        <v>45685</v>
      </c>
      <c r="N2890" s="6" t="s">
        <v>811</v>
      </c>
      <c r="O2890" s="5" t="str">
        <f ca="1">IF(P2890&lt;&gt;"EXPEDIÇÃO","Expedido",IF(NETWORKDAYS(C2890,TODAY())&gt;=5,"Risco Alto",IF(NETWORKDAYS(C2890,TODAY())&gt;=3,IF(NETWORKDAYS(C2890,TODAY())&lt;5,"Risco Médio",""),IF(NETWORKDAYS(C2890,TODAY())&lt;=2,"Risco Baixo",""))))</f>
        <v>Expedido</v>
      </c>
      <c r="P2890" s="5" t="s">
        <v>25</v>
      </c>
      <c r="S2890" s="7">
        <f>IF(ISBLANK(M2890),"Aguardando Previsão/Data",NETWORKDAYS(L2890,M2890)-1)</f>
        <v>-4</v>
      </c>
      <c r="T2890" s="5" t="s">
        <v>942</v>
      </c>
    </row>
    <row r="2891" spans="1:20" x14ac:dyDescent="0.35">
      <c r="A2891" s="5">
        <v>8100280542</v>
      </c>
      <c r="B2891" s="5">
        <v>12367</v>
      </c>
      <c r="C2891" s="6">
        <v>45678</v>
      </c>
      <c r="D2891" s="5" t="s">
        <v>158</v>
      </c>
      <c r="E2891" s="5" t="s">
        <v>159</v>
      </c>
      <c r="F2891" s="5" t="s">
        <v>171</v>
      </c>
      <c r="G2891" s="5" t="s">
        <v>172</v>
      </c>
      <c r="H2891" s="5" t="s">
        <v>108</v>
      </c>
      <c r="I2891" s="5" t="s">
        <v>189</v>
      </c>
      <c r="J2891" s="5" t="s">
        <v>190</v>
      </c>
      <c r="K2891" s="5" t="s">
        <v>170</v>
      </c>
      <c r="L2891" s="6">
        <v>45686</v>
      </c>
      <c r="M2891" s="6">
        <v>45685</v>
      </c>
      <c r="N2891" s="6" t="s">
        <v>811</v>
      </c>
      <c r="O2891" s="5" t="str">
        <f ca="1">IF(P2891&lt;&gt;"EXPEDIÇÃO","Expedido",IF(NETWORKDAYS(C2891,TODAY())&gt;=5,"Risco Alto",IF(NETWORKDAYS(C2891,TODAY())&gt;=3,IF(NETWORKDAYS(C2891,TODAY())&lt;5,"Risco Médio",""),IF(NETWORKDAYS(C2891,TODAY())&lt;=2,"Risco Baixo",""))))</f>
        <v>Expedido</v>
      </c>
      <c r="P2891" s="5" t="s">
        <v>25</v>
      </c>
      <c r="S2891" s="7">
        <f>IF(ISBLANK(M2891),"Aguardando Previsão/Data",NETWORKDAYS(L2891,M2891)-1)</f>
        <v>-3</v>
      </c>
      <c r="T2891" s="5" t="s">
        <v>942</v>
      </c>
    </row>
    <row r="2892" spans="1:20" x14ac:dyDescent="0.35">
      <c r="A2892" s="5">
        <v>8100280543</v>
      </c>
      <c r="B2892" s="5">
        <v>12380</v>
      </c>
      <c r="C2892" s="6">
        <v>45678</v>
      </c>
      <c r="D2892" s="5" t="s">
        <v>158</v>
      </c>
      <c r="E2892" s="5" t="s">
        <v>159</v>
      </c>
      <c r="F2892" s="5" t="s">
        <v>171</v>
      </c>
      <c r="G2892" s="5" t="s">
        <v>172</v>
      </c>
      <c r="H2892" s="5" t="s">
        <v>108</v>
      </c>
      <c r="I2892" s="5" t="s">
        <v>510</v>
      </c>
      <c r="J2892" s="5" t="s">
        <v>172</v>
      </c>
      <c r="K2892" s="5" t="s">
        <v>170</v>
      </c>
      <c r="L2892" s="6">
        <v>45685</v>
      </c>
      <c r="M2892" s="6">
        <v>45680</v>
      </c>
      <c r="N2892" s="6" t="s">
        <v>811</v>
      </c>
      <c r="O2892" s="5" t="str">
        <f ca="1">IF(P2892&lt;&gt;"EXPEDIÇÃO","Expedido",IF(NETWORKDAYS(C2892,TODAY())&gt;=5,"Risco Alto",IF(NETWORKDAYS(C2892,TODAY())&gt;=3,IF(NETWORKDAYS(C2892,TODAY())&lt;5,"Risco Médio",""),IF(NETWORKDAYS(C2892,TODAY())&lt;=2,"Risco Baixo",""))))</f>
        <v>Expedido</v>
      </c>
      <c r="P2892" s="5" t="s">
        <v>25</v>
      </c>
      <c r="Q2892" s="5" t="s">
        <v>897</v>
      </c>
      <c r="S2892" s="7">
        <f>IF(ISBLANK(M2892),"Aguardando Previsão/Data",NETWORKDAYS(L2892,M2892)-1)</f>
        <v>-5</v>
      </c>
      <c r="T2892" s="5" t="s">
        <v>942</v>
      </c>
    </row>
    <row r="2893" spans="1:20" x14ac:dyDescent="0.35">
      <c r="A2893" s="5">
        <v>8100280544</v>
      </c>
      <c r="B2893" s="5">
        <v>12368</v>
      </c>
      <c r="C2893" s="6">
        <v>45678</v>
      </c>
      <c r="D2893" s="5" t="s">
        <v>158</v>
      </c>
      <c r="E2893" s="5" t="s">
        <v>159</v>
      </c>
      <c r="F2893" s="5" t="s">
        <v>160</v>
      </c>
      <c r="G2893" s="5" t="s">
        <v>161</v>
      </c>
      <c r="H2893" s="5" t="s">
        <v>108</v>
      </c>
      <c r="I2893" s="5" t="s">
        <v>347</v>
      </c>
      <c r="J2893" s="5" t="s">
        <v>310</v>
      </c>
      <c r="K2893" s="5" t="s">
        <v>175</v>
      </c>
      <c r="L2893" s="6">
        <v>45687</v>
      </c>
      <c r="M2893" s="6">
        <v>45685</v>
      </c>
      <c r="N2893" s="6" t="s">
        <v>811</v>
      </c>
      <c r="O2893" s="5" t="str">
        <f ca="1">IF(P2893&lt;&gt;"EXPEDIÇÃO","Expedido",IF(NETWORKDAYS(C2893,TODAY())&gt;=5,"Risco Alto",IF(NETWORKDAYS(C2893,TODAY())&gt;=3,IF(NETWORKDAYS(C2893,TODAY())&lt;5,"Risco Médio",""),IF(NETWORKDAYS(C2893,TODAY())&lt;=2,"Risco Baixo",""))))</f>
        <v>Expedido</v>
      </c>
      <c r="P2893" s="5" t="s">
        <v>25</v>
      </c>
      <c r="S2893" s="7">
        <f>IF(ISBLANK(M2893),"Aguardando Previsão/Data",NETWORKDAYS(L2893,M2893)-1)</f>
        <v>-4</v>
      </c>
      <c r="T2893" s="5" t="s">
        <v>942</v>
      </c>
    </row>
    <row r="2894" spans="1:20" x14ac:dyDescent="0.35">
      <c r="A2894" s="5">
        <v>8100280545</v>
      </c>
      <c r="B2894" s="5">
        <v>12366</v>
      </c>
      <c r="C2894" s="6">
        <v>45678</v>
      </c>
      <c r="D2894" s="5" t="s">
        <v>158</v>
      </c>
      <c r="E2894" s="5" t="s">
        <v>159</v>
      </c>
      <c r="F2894" s="5" t="s">
        <v>160</v>
      </c>
      <c r="G2894" s="5" t="s">
        <v>161</v>
      </c>
      <c r="H2894" s="5" t="s">
        <v>108</v>
      </c>
      <c r="I2894" s="5" t="s">
        <v>347</v>
      </c>
      <c r="J2894" s="5" t="s">
        <v>310</v>
      </c>
      <c r="K2894" s="5" t="s">
        <v>175</v>
      </c>
      <c r="L2894" s="6">
        <v>45687</v>
      </c>
      <c r="M2894" s="6">
        <v>45685</v>
      </c>
      <c r="N2894" s="6" t="s">
        <v>811</v>
      </c>
      <c r="O2894" s="5" t="str">
        <f ca="1">IF(P2894&lt;&gt;"EXPEDIÇÃO","Expedido",IF(NETWORKDAYS(C2894,TODAY())&gt;=5,"Risco Alto",IF(NETWORKDAYS(C2894,TODAY())&gt;=3,IF(NETWORKDAYS(C2894,TODAY())&lt;5,"Risco Médio",""),IF(NETWORKDAYS(C2894,TODAY())&lt;=2,"Risco Baixo",""))))</f>
        <v>Expedido</v>
      </c>
      <c r="P2894" s="5" t="s">
        <v>25</v>
      </c>
      <c r="S2894" s="7">
        <f>IF(ISBLANK(M2894),"Aguardando Previsão/Data",NETWORKDAYS(L2894,M2894)-1)</f>
        <v>-4</v>
      </c>
      <c r="T2894" s="5" t="s">
        <v>942</v>
      </c>
    </row>
    <row r="2895" spans="1:20" x14ac:dyDescent="0.35">
      <c r="A2895" s="5">
        <v>8100280546</v>
      </c>
      <c r="B2895" s="5">
        <v>12369</v>
      </c>
      <c r="C2895" s="6">
        <v>45678</v>
      </c>
      <c r="D2895" s="5" t="s">
        <v>158</v>
      </c>
      <c r="E2895" s="5" t="s">
        <v>159</v>
      </c>
      <c r="F2895" s="5" t="s">
        <v>160</v>
      </c>
      <c r="G2895" s="5" t="s">
        <v>161</v>
      </c>
      <c r="H2895" s="5" t="s">
        <v>108</v>
      </c>
      <c r="I2895" s="5" t="s">
        <v>347</v>
      </c>
      <c r="J2895" s="5" t="s">
        <v>310</v>
      </c>
      <c r="K2895" s="5" t="s">
        <v>175</v>
      </c>
      <c r="L2895" s="6">
        <v>45687</v>
      </c>
      <c r="M2895" s="6">
        <v>45685</v>
      </c>
      <c r="N2895" s="6" t="s">
        <v>811</v>
      </c>
      <c r="O2895" s="5" t="str">
        <f ca="1">IF(P2895&lt;&gt;"EXPEDIÇÃO","Expedido",IF(NETWORKDAYS(C2895,TODAY())&gt;=5,"Risco Alto",IF(NETWORKDAYS(C2895,TODAY())&gt;=3,IF(NETWORKDAYS(C2895,TODAY())&lt;5,"Risco Médio",""),IF(NETWORKDAYS(C2895,TODAY())&lt;=2,"Risco Baixo",""))))</f>
        <v>Expedido</v>
      </c>
      <c r="P2895" s="5" t="s">
        <v>25</v>
      </c>
      <c r="S2895" s="7">
        <f>IF(ISBLANK(M2895),"Aguardando Previsão/Data",NETWORKDAYS(L2895,M2895)-1)</f>
        <v>-4</v>
      </c>
      <c r="T2895" s="5" t="s">
        <v>942</v>
      </c>
    </row>
    <row r="2896" spans="1:20" x14ac:dyDescent="0.35">
      <c r="A2896" s="5">
        <v>8100280586</v>
      </c>
      <c r="B2896" s="5">
        <v>12379</v>
      </c>
      <c r="C2896" s="6">
        <v>45678</v>
      </c>
      <c r="D2896" s="5" t="s">
        <v>158</v>
      </c>
      <c r="E2896" s="5" t="s">
        <v>159</v>
      </c>
      <c r="F2896" s="5" t="s">
        <v>171</v>
      </c>
      <c r="G2896" s="5" t="s">
        <v>172</v>
      </c>
      <c r="H2896" s="5" t="s">
        <v>108</v>
      </c>
      <c r="I2896" s="5" t="s">
        <v>510</v>
      </c>
      <c r="J2896" s="5" t="s">
        <v>172</v>
      </c>
      <c r="K2896" s="5" t="s">
        <v>170</v>
      </c>
      <c r="L2896" s="6">
        <v>45685</v>
      </c>
      <c r="M2896" s="6">
        <v>45680</v>
      </c>
      <c r="N2896" s="6" t="s">
        <v>811</v>
      </c>
      <c r="O2896" s="5" t="str">
        <f ca="1">IF(P2896&lt;&gt;"EXPEDIÇÃO","Expedido",IF(NETWORKDAYS(C2896,TODAY())&gt;=5,"Risco Alto",IF(NETWORKDAYS(C2896,TODAY())&gt;=3,IF(NETWORKDAYS(C2896,TODAY())&lt;5,"Risco Médio",""),IF(NETWORKDAYS(C2896,TODAY())&lt;=2,"Risco Baixo",""))))</f>
        <v>Expedido</v>
      </c>
      <c r="P2896" s="5" t="s">
        <v>25</v>
      </c>
      <c r="Q2896" s="5" t="s">
        <v>897</v>
      </c>
      <c r="S2896" s="7">
        <f>IF(ISBLANK(M2896),"Aguardando Previsão/Data",NETWORKDAYS(L2896,M2896)-1)</f>
        <v>-5</v>
      </c>
      <c r="T2896" s="5" t="s">
        <v>942</v>
      </c>
    </row>
    <row r="2897" spans="1:20" x14ac:dyDescent="0.35">
      <c r="A2897" s="5">
        <v>8100280635</v>
      </c>
      <c r="B2897" s="5">
        <v>12371</v>
      </c>
      <c r="C2897" s="6">
        <v>45678</v>
      </c>
      <c r="D2897" s="5" t="s">
        <v>158</v>
      </c>
      <c r="E2897" s="5" t="s">
        <v>159</v>
      </c>
      <c r="F2897" s="5" t="s">
        <v>176</v>
      </c>
      <c r="G2897" s="5" t="s">
        <v>177</v>
      </c>
      <c r="H2897" s="5" t="s">
        <v>108</v>
      </c>
      <c r="I2897" s="5" t="s">
        <v>989</v>
      </c>
      <c r="J2897" s="5" t="s">
        <v>309</v>
      </c>
      <c r="K2897" s="5" t="s">
        <v>175</v>
      </c>
      <c r="L2897" s="6">
        <v>45687</v>
      </c>
      <c r="M2897" s="6">
        <v>45687</v>
      </c>
      <c r="N2897" s="6" t="s">
        <v>811</v>
      </c>
      <c r="O2897" s="5" t="str">
        <f ca="1">IF(P2897&lt;&gt;"EXPEDIÇÃO","Expedido",IF(NETWORKDAYS(C2897,TODAY())&gt;=5,"Risco Alto",IF(NETWORKDAYS(C2897,TODAY())&gt;=3,IF(NETWORKDAYS(C2897,TODAY())&lt;5,"Risco Médio",""),IF(NETWORKDAYS(C2897,TODAY())&lt;=2,"Risco Baixo",""))))</f>
        <v>Expedido</v>
      </c>
      <c r="P2897" s="5" t="s">
        <v>25</v>
      </c>
      <c r="S2897" s="7">
        <f>IF(ISBLANK(M2897),"Aguardando Previsão/Data",NETWORKDAYS(L2897,M2897)-1)</f>
        <v>0</v>
      </c>
      <c r="T2897" s="5" t="s">
        <v>942</v>
      </c>
    </row>
    <row r="2898" spans="1:20" x14ac:dyDescent="0.35">
      <c r="A2898" s="5">
        <v>8100280663</v>
      </c>
      <c r="B2898" s="5">
        <v>12373</v>
      </c>
      <c r="C2898" s="6">
        <v>45678</v>
      </c>
      <c r="D2898" s="5" t="s">
        <v>158</v>
      </c>
      <c r="E2898" s="5" t="s">
        <v>159</v>
      </c>
      <c r="F2898" s="5" t="s">
        <v>176</v>
      </c>
      <c r="G2898" s="5" t="s">
        <v>177</v>
      </c>
      <c r="H2898" s="5" t="s">
        <v>108</v>
      </c>
      <c r="I2898" s="5" t="s">
        <v>989</v>
      </c>
      <c r="J2898" s="5" t="s">
        <v>309</v>
      </c>
      <c r="K2898" s="5" t="s">
        <v>175</v>
      </c>
      <c r="L2898" s="6">
        <v>45687</v>
      </c>
      <c r="M2898" s="6">
        <v>45687</v>
      </c>
      <c r="N2898" s="6" t="s">
        <v>811</v>
      </c>
      <c r="O2898" s="5" t="str">
        <f ca="1">IF(P2898&lt;&gt;"EXPEDIÇÃO","Expedido",IF(NETWORKDAYS(C2898,TODAY())&gt;=5,"Risco Alto",IF(NETWORKDAYS(C2898,TODAY())&gt;=3,IF(NETWORKDAYS(C2898,TODAY())&lt;5,"Risco Médio",""),IF(NETWORKDAYS(C2898,TODAY())&lt;=2,"Risco Baixo",""))))</f>
        <v>Expedido</v>
      </c>
      <c r="P2898" s="5" t="s">
        <v>25</v>
      </c>
      <c r="S2898" s="7">
        <f>IF(ISBLANK(M2898),"Aguardando Previsão/Data",NETWORKDAYS(L2898,M2898)-1)</f>
        <v>0</v>
      </c>
      <c r="T2898" s="5" t="s">
        <v>942</v>
      </c>
    </row>
    <row r="2899" spans="1:20" x14ac:dyDescent="0.35">
      <c r="A2899" s="5">
        <v>8100280755</v>
      </c>
      <c r="B2899" s="5">
        <v>12372</v>
      </c>
      <c r="C2899" s="6">
        <v>45678</v>
      </c>
      <c r="D2899" s="5" t="s">
        <v>158</v>
      </c>
      <c r="E2899" s="5" t="s">
        <v>159</v>
      </c>
      <c r="F2899" s="5" t="s">
        <v>136</v>
      </c>
      <c r="G2899" s="5" t="s">
        <v>137</v>
      </c>
      <c r="H2899" s="5" t="s">
        <v>108</v>
      </c>
      <c r="I2899" s="5" t="s">
        <v>450</v>
      </c>
      <c r="J2899" s="5" t="s">
        <v>451</v>
      </c>
      <c r="K2899" s="5" t="s">
        <v>170</v>
      </c>
      <c r="L2899" s="6">
        <v>45685</v>
      </c>
      <c r="M2899" s="6">
        <v>45684</v>
      </c>
      <c r="N2899" s="6" t="s">
        <v>811</v>
      </c>
      <c r="O2899" s="5" t="str">
        <f ca="1">IF(P2899&lt;&gt;"EXPEDIÇÃO","Expedido",IF(NETWORKDAYS(C2899,TODAY())&gt;=5,"Risco Alto",IF(NETWORKDAYS(C2899,TODAY())&gt;=3,IF(NETWORKDAYS(C2899,TODAY())&lt;5,"Risco Médio",""),IF(NETWORKDAYS(C2899,TODAY())&lt;=2,"Risco Baixo",""))))</f>
        <v>Expedido</v>
      </c>
      <c r="P2899" s="5" t="s">
        <v>25</v>
      </c>
      <c r="S2899" s="7">
        <f>IF(ISBLANK(M2899),"Aguardando Previsão/Data",NETWORKDAYS(L2899,M2899)-1)</f>
        <v>-3</v>
      </c>
      <c r="T2899" s="5" t="s">
        <v>942</v>
      </c>
    </row>
    <row r="2900" spans="1:20" x14ac:dyDescent="0.35">
      <c r="A2900" s="5">
        <v>8100280780</v>
      </c>
      <c r="B2900" s="5">
        <v>12370</v>
      </c>
      <c r="C2900" s="6">
        <v>45678</v>
      </c>
      <c r="D2900" s="5" t="s">
        <v>158</v>
      </c>
      <c r="E2900" s="5" t="s">
        <v>159</v>
      </c>
      <c r="F2900" s="5" t="s">
        <v>176</v>
      </c>
      <c r="G2900" s="5" t="s">
        <v>177</v>
      </c>
      <c r="H2900" s="5" t="s">
        <v>108</v>
      </c>
      <c r="I2900" s="5" t="s">
        <v>299</v>
      </c>
      <c r="J2900" s="5" t="s">
        <v>300</v>
      </c>
      <c r="K2900" s="5" t="s">
        <v>175</v>
      </c>
      <c r="L2900" s="6">
        <v>45688</v>
      </c>
      <c r="M2900" s="6">
        <v>45687</v>
      </c>
      <c r="N2900" s="6" t="s">
        <v>811</v>
      </c>
      <c r="O2900" s="5" t="str">
        <f ca="1">IF(P2900&lt;&gt;"EXPEDIÇÃO","Expedido",IF(NETWORKDAYS(C2900,TODAY())&gt;=5,"Risco Alto",IF(NETWORKDAYS(C2900,TODAY())&gt;=3,IF(NETWORKDAYS(C2900,TODAY())&lt;5,"Risco Médio",""),IF(NETWORKDAYS(C2900,TODAY())&lt;=2,"Risco Baixo",""))))</f>
        <v>Expedido</v>
      </c>
      <c r="P2900" s="5" t="s">
        <v>617</v>
      </c>
      <c r="Q2900" s="5" t="s">
        <v>897</v>
      </c>
      <c r="S2900" s="7">
        <f>IF(ISBLANK(M2900),"Aguardando Previsão/Data",NETWORKDAYS(L2900,M2900)-1)</f>
        <v>-3</v>
      </c>
    </row>
    <row r="2901" spans="1:20" x14ac:dyDescent="0.35">
      <c r="A2901" s="5">
        <v>8100280849</v>
      </c>
      <c r="B2901" s="5">
        <v>12376</v>
      </c>
      <c r="C2901" s="6">
        <v>45678</v>
      </c>
      <c r="D2901" s="5" t="s">
        <v>158</v>
      </c>
      <c r="E2901" s="5" t="s">
        <v>159</v>
      </c>
      <c r="F2901" s="5" t="s">
        <v>147</v>
      </c>
      <c r="G2901" s="5" t="s">
        <v>148</v>
      </c>
      <c r="H2901" s="5" t="s">
        <v>108</v>
      </c>
      <c r="I2901" s="5" t="s">
        <v>82</v>
      </c>
      <c r="J2901" s="5" t="s">
        <v>186</v>
      </c>
      <c r="K2901" s="5" t="s">
        <v>170</v>
      </c>
      <c r="L2901" s="6">
        <v>45684</v>
      </c>
      <c r="M2901" s="6">
        <v>45680</v>
      </c>
      <c r="N2901" s="6" t="s">
        <v>811</v>
      </c>
      <c r="O2901" s="5" t="str">
        <f ca="1">IF(P2901&lt;&gt;"EXPEDIÇÃO","Expedido",IF(NETWORKDAYS(C2901,TODAY())&gt;=5,"Risco Alto",IF(NETWORKDAYS(C2901,TODAY())&gt;=3,IF(NETWORKDAYS(C2901,TODAY())&lt;5,"Risco Médio",""),IF(NETWORKDAYS(C2901,TODAY())&lt;=2,"Risco Baixo",""))))</f>
        <v>Expedido</v>
      </c>
      <c r="P2901" s="5" t="s">
        <v>25</v>
      </c>
      <c r="S2901" s="7">
        <f>IF(ISBLANK(M2901),"Aguardando Previsão/Data",NETWORKDAYS(L2901,M2901)-1)</f>
        <v>-4</v>
      </c>
      <c r="T2901" s="5" t="s">
        <v>942</v>
      </c>
    </row>
    <row r="2902" spans="1:20" x14ac:dyDescent="0.35">
      <c r="A2902" s="5">
        <v>8100280850</v>
      </c>
      <c r="B2902" s="5">
        <v>12377</v>
      </c>
      <c r="C2902" s="6">
        <v>45678</v>
      </c>
      <c r="D2902" s="5" t="s">
        <v>158</v>
      </c>
      <c r="E2902" s="5" t="s">
        <v>159</v>
      </c>
      <c r="F2902" s="5" t="s">
        <v>147</v>
      </c>
      <c r="G2902" s="5" t="s">
        <v>148</v>
      </c>
      <c r="H2902" s="5" t="s">
        <v>108</v>
      </c>
      <c r="I2902" s="5" t="s">
        <v>82</v>
      </c>
      <c r="J2902" s="5" t="s">
        <v>186</v>
      </c>
      <c r="K2902" s="5" t="s">
        <v>170</v>
      </c>
      <c r="L2902" s="6">
        <v>45684</v>
      </c>
      <c r="M2902" s="6">
        <v>45684</v>
      </c>
      <c r="N2902" s="6" t="s">
        <v>811</v>
      </c>
      <c r="O2902" s="5" t="str">
        <f ca="1">IF(P2902&lt;&gt;"EXPEDIÇÃO","Expedido",IF(NETWORKDAYS(C2902,TODAY())&gt;=5,"Risco Alto",IF(NETWORKDAYS(C2902,TODAY())&gt;=3,IF(NETWORKDAYS(C2902,TODAY())&lt;5,"Risco Médio",""),IF(NETWORKDAYS(C2902,TODAY())&lt;=2,"Risco Baixo",""))))</f>
        <v>Expedido</v>
      </c>
      <c r="P2902" s="5" t="s">
        <v>25</v>
      </c>
      <c r="S2902" s="7">
        <f>IF(ISBLANK(M2902),"Aguardando Previsão/Data",NETWORKDAYS(L2902,M2902)-1)</f>
        <v>0</v>
      </c>
      <c r="T2902" s="5" t="s">
        <v>942</v>
      </c>
    </row>
    <row r="2903" spans="1:20" x14ac:dyDescent="0.35">
      <c r="A2903" s="5">
        <v>8100280881</v>
      </c>
      <c r="B2903" s="5">
        <v>12375</v>
      </c>
      <c r="C2903" s="6">
        <v>45678</v>
      </c>
      <c r="D2903" s="5" t="s">
        <v>158</v>
      </c>
      <c r="E2903" s="5" t="s">
        <v>159</v>
      </c>
      <c r="F2903" s="5" t="s">
        <v>147</v>
      </c>
      <c r="G2903" s="5" t="s">
        <v>148</v>
      </c>
      <c r="H2903" s="5" t="s">
        <v>108</v>
      </c>
      <c r="I2903" s="5" t="s">
        <v>82</v>
      </c>
      <c r="J2903" s="5" t="s">
        <v>296</v>
      </c>
      <c r="K2903" s="5" t="s">
        <v>80</v>
      </c>
      <c r="L2903" s="6">
        <v>45686</v>
      </c>
      <c r="M2903" s="6">
        <v>45680</v>
      </c>
      <c r="N2903" s="6" t="s">
        <v>811</v>
      </c>
      <c r="O2903" s="5" t="str">
        <f ca="1">IF(P2903&lt;&gt;"EXPEDIÇÃO","Expedido",IF(NETWORKDAYS(C2903,TODAY())&gt;=5,"Risco Alto",IF(NETWORKDAYS(C2903,TODAY())&gt;=3,IF(NETWORKDAYS(C2903,TODAY())&lt;5,"Risco Médio",""),IF(NETWORKDAYS(C2903,TODAY())&lt;=2,"Risco Baixo",""))))</f>
        <v>Expedido</v>
      </c>
      <c r="P2903" s="5" t="s">
        <v>25</v>
      </c>
      <c r="S2903" s="7">
        <f>IF(ISBLANK(M2903),"Aguardando Previsão/Data",NETWORKDAYS(L2903,M2903)-1)</f>
        <v>-6</v>
      </c>
      <c r="T2903" s="5" t="s">
        <v>942</v>
      </c>
    </row>
    <row r="2904" spans="1:20" x14ac:dyDescent="0.35">
      <c r="A2904" s="5">
        <v>8100280884</v>
      </c>
      <c r="B2904" s="5">
        <v>12374</v>
      </c>
      <c r="C2904" s="6">
        <v>45678</v>
      </c>
      <c r="D2904" s="5" t="s">
        <v>158</v>
      </c>
      <c r="E2904" s="5" t="s">
        <v>159</v>
      </c>
      <c r="F2904" s="5" t="s">
        <v>147</v>
      </c>
      <c r="G2904" s="5" t="s">
        <v>148</v>
      </c>
      <c r="H2904" s="5" t="s">
        <v>108</v>
      </c>
      <c r="I2904" s="5" t="s">
        <v>480</v>
      </c>
      <c r="J2904" s="5" t="s">
        <v>169</v>
      </c>
      <c r="K2904" s="5" t="s">
        <v>170</v>
      </c>
      <c r="L2904" s="6">
        <v>45685</v>
      </c>
      <c r="M2904" s="6">
        <v>45680</v>
      </c>
      <c r="N2904" s="6" t="s">
        <v>811</v>
      </c>
      <c r="O2904" s="5" t="str">
        <f ca="1">IF(P2904&lt;&gt;"EXPEDIÇÃO","Expedido",IF(NETWORKDAYS(C2904,TODAY())&gt;=5,"Risco Alto",IF(NETWORKDAYS(C2904,TODAY())&gt;=3,IF(NETWORKDAYS(C2904,TODAY())&lt;5,"Risco Médio",""),IF(NETWORKDAYS(C2904,TODAY())&lt;=2,"Risco Baixo",""))))</f>
        <v>Expedido</v>
      </c>
      <c r="P2904" s="5" t="s">
        <v>25</v>
      </c>
      <c r="S2904" s="7">
        <f>IF(ISBLANK(M2904),"Aguardando Previsão/Data",NETWORKDAYS(L2904,M2904)-1)</f>
        <v>-5</v>
      </c>
      <c r="T2904" s="5" t="s">
        <v>942</v>
      </c>
    </row>
    <row r="2905" spans="1:20" x14ac:dyDescent="0.35">
      <c r="A2905" s="5">
        <v>8100281067</v>
      </c>
      <c r="B2905" s="8">
        <v>12388</v>
      </c>
      <c r="C2905" s="6">
        <v>45678</v>
      </c>
      <c r="D2905" s="5" t="s">
        <v>158</v>
      </c>
      <c r="E2905" s="5" t="s">
        <v>159</v>
      </c>
      <c r="F2905" s="5" t="s">
        <v>176</v>
      </c>
      <c r="G2905" s="5" t="s">
        <v>177</v>
      </c>
      <c r="H2905" s="5" t="s">
        <v>108</v>
      </c>
      <c r="I2905" s="5" t="s">
        <v>929</v>
      </c>
      <c r="J2905" s="5" t="s">
        <v>348</v>
      </c>
      <c r="K2905" s="5" t="s">
        <v>175</v>
      </c>
      <c r="L2905" s="6">
        <v>45686</v>
      </c>
      <c r="M2905" s="6">
        <v>45685</v>
      </c>
      <c r="N2905" s="6" t="s">
        <v>811</v>
      </c>
      <c r="O2905" s="5" t="str">
        <f ca="1">IF(P2905&lt;&gt;"EXPEDIÇÃO","Expedido",IF(NETWORKDAYS(C2905,TODAY())&gt;=5,"Risco Alto",IF(NETWORKDAYS(C2905,TODAY())&gt;=3,IF(NETWORKDAYS(C2905,TODAY())&lt;5,"Risco Médio",""),IF(NETWORKDAYS(C2905,TODAY())&lt;=2,"Risco Baixo",""))))</f>
        <v>Expedido</v>
      </c>
      <c r="P2905" s="5" t="s">
        <v>25</v>
      </c>
      <c r="S2905" s="7">
        <f>IF(ISBLANK(M2905),"Aguardando Previsão/Data",NETWORKDAYS(L2905,M2905)-1)</f>
        <v>-3</v>
      </c>
      <c r="T2905" s="5" t="s">
        <v>942</v>
      </c>
    </row>
    <row r="2906" spans="1:20" x14ac:dyDescent="0.35">
      <c r="A2906" s="5">
        <v>8100281068</v>
      </c>
      <c r="B2906" s="5">
        <v>12381</v>
      </c>
      <c r="C2906" s="6">
        <v>45678</v>
      </c>
      <c r="D2906" s="5" t="s">
        <v>158</v>
      </c>
      <c r="E2906" s="5" t="s">
        <v>159</v>
      </c>
      <c r="F2906" s="5" t="s">
        <v>176</v>
      </c>
      <c r="G2906" s="5" t="s">
        <v>177</v>
      </c>
      <c r="H2906" s="5" t="s">
        <v>108</v>
      </c>
      <c r="I2906" s="5" t="s">
        <v>1215</v>
      </c>
      <c r="J2906" s="5" t="s">
        <v>1216</v>
      </c>
      <c r="K2906" s="5" t="s">
        <v>170</v>
      </c>
      <c r="L2906" s="6">
        <v>45685</v>
      </c>
      <c r="M2906" s="6">
        <v>45684</v>
      </c>
      <c r="N2906" s="6" t="s">
        <v>811</v>
      </c>
      <c r="O2906" s="5" t="str">
        <f ca="1">IF(P2906&lt;&gt;"EXPEDIÇÃO","Expedido",IF(NETWORKDAYS(C2906,TODAY())&gt;=5,"Risco Alto",IF(NETWORKDAYS(C2906,TODAY())&gt;=3,IF(NETWORKDAYS(C2906,TODAY())&lt;5,"Risco Médio",""),IF(NETWORKDAYS(C2906,TODAY())&lt;=2,"Risco Baixo",""))))</f>
        <v>Expedido</v>
      </c>
      <c r="P2906" s="5" t="s">
        <v>25</v>
      </c>
      <c r="S2906" s="7">
        <f>IF(ISBLANK(M2906),"Aguardando Previsão/Data",NETWORKDAYS(L2906,M2906)-1)</f>
        <v>-3</v>
      </c>
      <c r="T2906" s="5" t="s">
        <v>942</v>
      </c>
    </row>
    <row r="2907" spans="1:20" x14ac:dyDescent="0.35">
      <c r="A2907" s="5">
        <v>8100281069</v>
      </c>
      <c r="B2907" s="5">
        <v>12383</v>
      </c>
      <c r="C2907" s="6">
        <v>45678</v>
      </c>
      <c r="D2907" s="5" t="s">
        <v>158</v>
      </c>
      <c r="E2907" s="5" t="s">
        <v>159</v>
      </c>
      <c r="F2907" s="5" t="s">
        <v>176</v>
      </c>
      <c r="G2907" s="5" t="s">
        <v>177</v>
      </c>
      <c r="H2907" s="5" t="s">
        <v>108</v>
      </c>
      <c r="I2907" s="5" t="s">
        <v>929</v>
      </c>
      <c r="J2907" s="5" t="s">
        <v>455</v>
      </c>
      <c r="K2907" s="5" t="s">
        <v>175</v>
      </c>
      <c r="L2907" s="6">
        <v>45687</v>
      </c>
      <c r="M2907" s="6">
        <v>45687</v>
      </c>
      <c r="N2907" s="6" t="s">
        <v>811</v>
      </c>
      <c r="O2907" s="5" t="str">
        <f ca="1">IF(P2907&lt;&gt;"EXPEDIÇÃO","Expedido",IF(NETWORKDAYS(C2907,TODAY())&gt;=5,"Risco Alto",IF(NETWORKDAYS(C2907,TODAY())&gt;=3,IF(NETWORKDAYS(C2907,TODAY())&lt;5,"Risco Médio",""),IF(NETWORKDAYS(C2907,TODAY())&lt;=2,"Risco Baixo",""))))</f>
        <v>Expedido</v>
      </c>
      <c r="P2907" s="5" t="s">
        <v>617</v>
      </c>
      <c r="S2907" s="7">
        <f>IF(ISBLANK(M2907),"Aguardando Previsão/Data",NETWORKDAYS(L2907,M2907)-1)</f>
        <v>0</v>
      </c>
    </row>
    <row r="2908" spans="1:20" x14ac:dyDescent="0.35">
      <c r="A2908" s="5">
        <v>8100281070</v>
      </c>
      <c r="B2908" s="5">
        <v>12385</v>
      </c>
      <c r="C2908" s="6">
        <v>45678</v>
      </c>
      <c r="D2908" s="5" t="s">
        <v>158</v>
      </c>
      <c r="E2908" s="5" t="s">
        <v>159</v>
      </c>
      <c r="F2908" s="5" t="s">
        <v>176</v>
      </c>
      <c r="G2908" s="5" t="s">
        <v>177</v>
      </c>
      <c r="H2908" s="5" t="s">
        <v>108</v>
      </c>
      <c r="I2908" s="5" t="s">
        <v>907</v>
      </c>
      <c r="J2908" s="5" t="s">
        <v>908</v>
      </c>
      <c r="K2908" s="5" t="s">
        <v>170</v>
      </c>
      <c r="L2908" s="6">
        <v>45685</v>
      </c>
      <c r="M2908" s="6">
        <v>45685</v>
      </c>
      <c r="N2908" s="6" t="s">
        <v>811</v>
      </c>
      <c r="O2908" s="5" t="str">
        <f ca="1">IF(P2908&lt;&gt;"EXPEDIÇÃO","Expedido",IF(NETWORKDAYS(C2908,TODAY())&gt;=5,"Risco Alto",IF(NETWORKDAYS(C2908,TODAY())&gt;=3,IF(NETWORKDAYS(C2908,TODAY())&lt;5,"Risco Médio",""),IF(NETWORKDAYS(C2908,TODAY())&lt;=2,"Risco Baixo",""))))</f>
        <v>Expedido</v>
      </c>
      <c r="P2908" s="5" t="s">
        <v>25</v>
      </c>
      <c r="S2908" s="7">
        <f>IF(ISBLANK(M2908),"Aguardando Previsão/Data",NETWORKDAYS(L2908,M2908)-1)</f>
        <v>0</v>
      </c>
      <c r="T2908" s="5" t="s">
        <v>942</v>
      </c>
    </row>
    <row r="2909" spans="1:20" x14ac:dyDescent="0.35">
      <c r="A2909" s="5">
        <v>8100281071</v>
      </c>
      <c r="B2909" s="5">
        <v>12382</v>
      </c>
      <c r="C2909" s="6">
        <v>45678</v>
      </c>
      <c r="D2909" s="5" t="s">
        <v>158</v>
      </c>
      <c r="E2909" s="5" t="s">
        <v>159</v>
      </c>
      <c r="F2909" s="5" t="s">
        <v>176</v>
      </c>
      <c r="G2909" s="5" t="s">
        <v>177</v>
      </c>
      <c r="H2909" s="5" t="s">
        <v>108</v>
      </c>
      <c r="I2909" s="5" t="s">
        <v>178</v>
      </c>
      <c r="J2909" s="5" t="s">
        <v>179</v>
      </c>
      <c r="K2909" s="5" t="s">
        <v>175</v>
      </c>
      <c r="L2909" s="6">
        <v>45686</v>
      </c>
      <c r="M2909" s="6">
        <v>45685</v>
      </c>
      <c r="N2909" s="6" t="s">
        <v>811</v>
      </c>
      <c r="O2909" s="5" t="str">
        <f ca="1">IF(P2909&lt;&gt;"EXPEDIÇÃO","Expedido",IF(NETWORKDAYS(C2909,TODAY())&gt;=5,"Risco Alto",IF(NETWORKDAYS(C2909,TODAY())&gt;=3,IF(NETWORKDAYS(C2909,TODAY())&lt;5,"Risco Médio",""),IF(NETWORKDAYS(C2909,TODAY())&lt;=2,"Risco Baixo",""))))</f>
        <v>Expedido</v>
      </c>
      <c r="P2909" s="5" t="s">
        <v>25</v>
      </c>
      <c r="S2909" s="7">
        <f>IF(ISBLANK(M2909),"Aguardando Previsão/Data",NETWORKDAYS(L2909,M2909)-1)</f>
        <v>-3</v>
      </c>
      <c r="T2909" s="5" t="s">
        <v>942</v>
      </c>
    </row>
    <row r="2910" spans="1:20" x14ac:dyDescent="0.35">
      <c r="A2910" s="5">
        <v>8100281073</v>
      </c>
      <c r="B2910" s="5">
        <v>12384</v>
      </c>
      <c r="C2910" s="6">
        <v>45678</v>
      </c>
      <c r="D2910" s="5" t="s">
        <v>158</v>
      </c>
      <c r="E2910" s="5" t="s">
        <v>159</v>
      </c>
      <c r="F2910" s="5" t="s">
        <v>136</v>
      </c>
      <c r="G2910" s="5" t="s">
        <v>137</v>
      </c>
      <c r="H2910" s="5" t="s">
        <v>108</v>
      </c>
      <c r="I2910" s="5" t="s">
        <v>614</v>
      </c>
      <c r="J2910" s="5" t="s">
        <v>215</v>
      </c>
      <c r="K2910" s="5" t="s">
        <v>170</v>
      </c>
      <c r="L2910" s="6">
        <v>45685</v>
      </c>
      <c r="M2910" s="6">
        <v>45684</v>
      </c>
      <c r="N2910" s="6" t="s">
        <v>811</v>
      </c>
      <c r="O2910" s="5" t="str">
        <f ca="1">IF(P2910&lt;&gt;"EXPEDIÇÃO","Expedido",IF(NETWORKDAYS(C2910,TODAY())&gt;=5,"Risco Alto",IF(NETWORKDAYS(C2910,TODAY())&gt;=3,IF(NETWORKDAYS(C2910,TODAY())&lt;5,"Risco Médio",""),IF(NETWORKDAYS(C2910,TODAY())&lt;=2,"Risco Baixo",""))))</f>
        <v>Expedido</v>
      </c>
      <c r="P2910" s="5" t="s">
        <v>25</v>
      </c>
      <c r="S2910" s="7">
        <f>IF(ISBLANK(M2910),"Aguardando Previsão/Data",NETWORKDAYS(L2910,M2910)-1)</f>
        <v>-3</v>
      </c>
      <c r="T2910" s="5" t="s">
        <v>942</v>
      </c>
    </row>
    <row r="2911" spans="1:20" x14ac:dyDescent="0.35">
      <c r="A2911" s="5">
        <v>8100281074</v>
      </c>
      <c r="B2911" s="5">
        <v>12386</v>
      </c>
      <c r="C2911" s="6">
        <v>45678</v>
      </c>
      <c r="D2911" s="5" t="s">
        <v>158</v>
      </c>
      <c r="E2911" s="5" t="s">
        <v>159</v>
      </c>
      <c r="F2911" s="5" t="s">
        <v>171</v>
      </c>
      <c r="G2911" s="5" t="s">
        <v>172</v>
      </c>
      <c r="H2911" s="5" t="s">
        <v>108</v>
      </c>
      <c r="I2911" s="5" t="s">
        <v>173</v>
      </c>
      <c r="J2911" s="5" t="s">
        <v>174</v>
      </c>
      <c r="K2911" s="5" t="s">
        <v>175</v>
      </c>
      <c r="L2911" s="6">
        <v>45686</v>
      </c>
      <c r="M2911" s="6">
        <v>45684</v>
      </c>
      <c r="N2911" s="6" t="s">
        <v>811</v>
      </c>
      <c r="O2911" s="5" t="str">
        <f ca="1">IF(P2911&lt;&gt;"EXPEDIÇÃO","Expedido",IF(NETWORKDAYS(C2911,TODAY())&gt;=5,"Risco Alto",IF(NETWORKDAYS(C2911,TODAY())&gt;=3,IF(NETWORKDAYS(C2911,TODAY())&lt;5,"Risco Médio",""),IF(NETWORKDAYS(C2911,TODAY())&lt;=2,"Risco Baixo",""))))</f>
        <v>Expedido</v>
      </c>
      <c r="P2911" s="5" t="s">
        <v>25</v>
      </c>
      <c r="S2911" s="7">
        <f>IF(ISBLANK(M2911),"Aguardando Previsão/Data",NETWORKDAYS(L2911,M2911)-1)</f>
        <v>-4</v>
      </c>
      <c r="T2911" s="5" t="s">
        <v>942</v>
      </c>
    </row>
    <row r="2912" spans="1:20" x14ac:dyDescent="0.35">
      <c r="A2912" s="5">
        <v>8100281078</v>
      </c>
      <c r="B2912" s="5">
        <v>12390</v>
      </c>
      <c r="C2912" s="6">
        <v>45678</v>
      </c>
      <c r="D2912" s="5" t="s">
        <v>158</v>
      </c>
      <c r="E2912" s="5" t="s">
        <v>159</v>
      </c>
      <c r="F2912" s="5" t="s">
        <v>176</v>
      </c>
      <c r="G2912" s="5" t="s">
        <v>177</v>
      </c>
      <c r="H2912" s="5" t="s">
        <v>108</v>
      </c>
      <c r="I2912" s="5" t="s">
        <v>907</v>
      </c>
      <c r="J2912" s="5" t="s">
        <v>908</v>
      </c>
      <c r="K2912" s="5" t="s">
        <v>170</v>
      </c>
      <c r="L2912" s="6">
        <v>45685</v>
      </c>
      <c r="M2912" s="6">
        <v>45684</v>
      </c>
      <c r="N2912" s="6" t="s">
        <v>811</v>
      </c>
      <c r="O2912" s="5" t="str">
        <f ca="1">IF(P2912&lt;&gt;"EXPEDIÇÃO","Expedido",IF(NETWORKDAYS(C2912,TODAY())&gt;=5,"Risco Alto",IF(NETWORKDAYS(C2912,TODAY())&gt;=3,IF(NETWORKDAYS(C2912,TODAY())&lt;5,"Risco Médio",""),IF(NETWORKDAYS(C2912,TODAY())&lt;=2,"Risco Baixo",""))))</f>
        <v>Expedido</v>
      </c>
      <c r="P2912" s="5" t="s">
        <v>25</v>
      </c>
      <c r="S2912" s="7">
        <f>IF(ISBLANK(M2912),"Aguardando Previsão/Data",NETWORKDAYS(L2912,M2912)-1)</f>
        <v>-3</v>
      </c>
      <c r="T2912" s="5" t="s">
        <v>942</v>
      </c>
    </row>
    <row r="2913" spans="1:20" x14ac:dyDescent="0.35">
      <c r="A2913" s="5">
        <v>8100281081</v>
      </c>
      <c r="B2913" s="5">
        <v>12387</v>
      </c>
      <c r="C2913" s="6">
        <v>45678</v>
      </c>
      <c r="D2913" s="5" t="s">
        <v>158</v>
      </c>
      <c r="E2913" s="5" t="s">
        <v>159</v>
      </c>
      <c r="F2913" s="5" t="s">
        <v>176</v>
      </c>
      <c r="G2913" s="5" t="s">
        <v>177</v>
      </c>
      <c r="H2913" s="5" t="s">
        <v>108</v>
      </c>
      <c r="I2913" s="5" t="s">
        <v>1341</v>
      </c>
      <c r="J2913" s="5" t="s">
        <v>179</v>
      </c>
      <c r="K2913" s="5" t="s">
        <v>175</v>
      </c>
      <c r="L2913" s="6">
        <v>45686</v>
      </c>
      <c r="O2913" s="5" t="str">
        <f ca="1">IF(P2913&lt;&gt;"EXPEDIÇÃO","Expedido",IF(NETWORKDAYS(C2913,TODAY())&gt;=5,"Risco Alto",IF(NETWORKDAYS(C2913,TODAY())&gt;=3,IF(NETWORKDAYS(C2913,TODAY())&lt;5,"Risco Médio",""),IF(NETWORKDAYS(C2913,TODAY())&lt;=2,"Risco Baixo",""))))</f>
        <v>Expedido</v>
      </c>
      <c r="P2913" s="5" t="s">
        <v>145</v>
      </c>
      <c r="Q2913" s="5" t="s">
        <v>363</v>
      </c>
      <c r="R2913" s="5">
        <v>3110667</v>
      </c>
      <c r="S2913" s="7" t="str">
        <f>IF(ISBLANK(M2913),"Aguardando Previsão/Data",NETWORKDAYS(L2913,M2913)-1)</f>
        <v>Aguardando Previsão/Data</v>
      </c>
      <c r="T2913" s="5" t="s">
        <v>942</v>
      </c>
    </row>
    <row r="2914" spans="1:20" x14ac:dyDescent="0.35">
      <c r="A2914" s="5">
        <v>8100281082</v>
      </c>
      <c r="B2914" s="5">
        <v>12389</v>
      </c>
      <c r="C2914" s="6">
        <v>45678</v>
      </c>
      <c r="D2914" s="5" t="s">
        <v>158</v>
      </c>
      <c r="E2914" s="5" t="s">
        <v>159</v>
      </c>
      <c r="F2914" s="5" t="s">
        <v>79</v>
      </c>
      <c r="G2914" s="5" t="s">
        <v>80</v>
      </c>
      <c r="H2914" s="5" t="s">
        <v>108</v>
      </c>
      <c r="I2914" s="5" t="s">
        <v>541</v>
      </c>
      <c r="J2914" s="5" t="s">
        <v>163</v>
      </c>
      <c r="K2914" s="5" t="s">
        <v>80</v>
      </c>
      <c r="L2914" s="6">
        <v>45686</v>
      </c>
      <c r="M2914" s="6">
        <v>45681</v>
      </c>
      <c r="N2914" s="6" t="s">
        <v>811</v>
      </c>
      <c r="O2914" s="5" t="str">
        <f ca="1">IF(P2914&lt;&gt;"EXPEDIÇÃO","Expedido",IF(NETWORKDAYS(C2914,TODAY())&gt;=5,"Risco Alto",IF(NETWORKDAYS(C2914,TODAY())&gt;=3,IF(NETWORKDAYS(C2914,TODAY())&lt;5,"Risco Médio",""),IF(NETWORKDAYS(C2914,TODAY())&lt;=2,"Risco Baixo",""))))</f>
        <v>Expedido</v>
      </c>
      <c r="P2914" s="5" t="s">
        <v>25</v>
      </c>
      <c r="S2914" s="7">
        <f>IF(ISBLANK(M2914),"Aguardando Previsão/Data",NETWORKDAYS(L2914,M2914)-1)</f>
        <v>-5</v>
      </c>
      <c r="T2914" s="5" t="s">
        <v>942</v>
      </c>
    </row>
    <row r="2915" spans="1:20" x14ac:dyDescent="0.35">
      <c r="A2915" s="5">
        <v>8100281293</v>
      </c>
      <c r="B2915" s="5">
        <v>17561</v>
      </c>
      <c r="C2915" s="6">
        <v>45679</v>
      </c>
      <c r="D2915" s="5" t="s">
        <v>51</v>
      </c>
      <c r="E2915" s="5" t="s">
        <v>52</v>
      </c>
      <c r="F2915" s="5" t="s">
        <v>58</v>
      </c>
      <c r="G2915" s="5" t="s">
        <v>59</v>
      </c>
      <c r="H2915" s="5" t="s">
        <v>21</v>
      </c>
      <c r="I2915" s="5" t="s">
        <v>269</v>
      </c>
      <c r="J2915" s="5" t="s">
        <v>270</v>
      </c>
      <c r="K2915" s="5" t="s">
        <v>57</v>
      </c>
      <c r="L2915" s="6">
        <v>45687</v>
      </c>
      <c r="M2915" s="6">
        <v>45685</v>
      </c>
      <c r="N2915" s="6" t="s">
        <v>811</v>
      </c>
      <c r="O2915" s="5" t="str">
        <f ca="1">IF(P2915&lt;&gt;"EXPEDIÇÃO","Expedido",IF(NETWORKDAYS(C2915,TODAY())&gt;=5,"Risco Alto",IF(NETWORKDAYS(C2915,TODAY())&gt;=3,IF(NETWORKDAYS(C2915,TODAY())&lt;5,"Risco Médio",""),IF(NETWORKDAYS(C2915,TODAY())&lt;=2,"Risco Baixo",""))))</f>
        <v>Expedido</v>
      </c>
      <c r="P2915" s="5" t="s">
        <v>25</v>
      </c>
      <c r="S2915" s="7">
        <f>IF(ISBLANK(M2915),"Aguardando Previsão/Data",NETWORKDAYS(L2915,M2915)-1)</f>
        <v>-4</v>
      </c>
      <c r="T2915" s="5" t="s">
        <v>942</v>
      </c>
    </row>
    <row r="2916" spans="1:20" x14ac:dyDescent="0.35">
      <c r="A2916" s="5">
        <v>8100281294</v>
      </c>
      <c r="B2916" s="5">
        <v>17567</v>
      </c>
      <c r="C2916" s="6">
        <v>45679</v>
      </c>
      <c r="D2916" s="5" t="s">
        <v>51</v>
      </c>
      <c r="E2916" s="5" t="s">
        <v>52</v>
      </c>
      <c r="F2916" s="5" t="s">
        <v>58</v>
      </c>
      <c r="G2916" s="5" t="s">
        <v>59</v>
      </c>
      <c r="H2916" s="5" t="s">
        <v>21</v>
      </c>
      <c r="I2916" s="5" t="s">
        <v>22</v>
      </c>
      <c r="J2916" s="5" t="s">
        <v>65</v>
      </c>
      <c r="K2916" s="5" t="s">
        <v>57</v>
      </c>
      <c r="L2916" s="6">
        <v>45684</v>
      </c>
      <c r="M2916" s="6">
        <v>45679</v>
      </c>
      <c r="N2916" s="6" t="s">
        <v>811</v>
      </c>
      <c r="O2916" s="5" t="str">
        <f ca="1">IF(P2916&lt;&gt;"EXPEDIÇÃO","Expedido",IF(NETWORKDAYS(C2916,TODAY())&gt;=5,"Risco Alto",IF(NETWORKDAYS(C2916,TODAY())&gt;=3,IF(NETWORKDAYS(C2916,TODAY())&lt;5,"Risco Médio",""),IF(NETWORKDAYS(C2916,TODAY())&lt;=2,"Risco Baixo",""))))</f>
        <v>Expedido</v>
      </c>
      <c r="P2916" s="5" t="s">
        <v>25</v>
      </c>
      <c r="Q2916" s="5" t="s">
        <v>900</v>
      </c>
      <c r="S2916" s="7">
        <f>IF(ISBLANK(M2916),"Aguardando Previsão/Data",NETWORKDAYS(L2916,M2916)-1)</f>
        <v>-5</v>
      </c>
      <c r="T2916" s="5" t="s">
        <v>942</v>
      </c>
    </row>
    <row r="2917" spans="1:20" x14ac:dyDescent="0.35">
      <c r="A2917" s="5">
        <v>8100281295</v>
      </c>
      <c r="B2917" s="5">
        <v>17560</v>
      </c>
      <c r="C2917" s="6">
        <v>45679</v>
      </c>
      <c r="D2917" s="5" t="s">
        <v>51</v>
      </c>
      <c r="E2917" s="5" t="s">
        <v>52</v>
      </c>
      <c r="F2917" s="5" t="s">
        <v>329</v>
      </c>
      <c r="G2917" s="5" t="s">
        <v>330</v>
      </c>
      <c r="H2917" s="5" t="s">
        <v>21</v>
      </c>
      <c r="I2917" s="5" t="s">
        <v>675</v>
      </c>
      <c r="J2917" s="5" t="s">
        <v>676</v>
      </c>
      <c r="K2917" s="5" t="s">
        <v>57</v>
      </c>
      <c r="L2917" s="6">
        <v>45684</v>
      </c>
      <c r="M2917" s="6">
        <v>45680</v>
      </c>
      <c r="N2917" s="6" t="s">
        <v>811</v>
      </c>
      <c r="O2917" s="5" t="str">
        <f ca="1">IF(P2917&lt;&gt;"EXPEDIÇÃO","Expedido",IF(NETWORKDAYS(C2917,TODAY())&gt;=5,"Risco Alto",IF(NETWORKDAYS(C2917,TODAY())&gt;=3,IF(NETWORKDAYS(C2917,TODAY())&lt;5,"Risco Médio",""),IF(NETWORKDAYS(C2917,TODAY())&lt;=2,"Risco Baixo",""))))</f>
        <v>Expedido</v>
      </c>
      <c r="P2917" s="5" t="s">
        <v>25</v>
      </c>
      <c r="S2917" s="7">
        <f>IF(ISBLANK(M2917),"Aguardando Previsão/Data",NETWORKDAYS(L2917,M2917)-1)</f>
        <v>-4</v>
      </c>
      <c r="T2917" s="5" t="s">
        <v>942</v>
      </c>
    </row>
    <row r="2918" spans="1:20" x14ac:dyDescent="0.35">
      <c r="A2918" s="5">
        <v>8100281296</v>
      </c>
      <c r="B2918" s="5">
        <v>17563</v>
      </c>
      <c r="C2918" s="6">
        <v>45679</v>
      </c>
      <c r="D2918" s="5" t="s">
        <v>51</v>
      </c>
      <c r="E2918" s="5" t="s">
        <v>52</v>
      </c>
      <c r="F2918" s="5" t="s">
        <v>66</v>
      </c>
      <c r="G2918" s="5" t="s">
        <v>67</v>
      </c>
      <c r="H2918" s="5" t="s">
        <v>21</v>
      </c>
      <c r="I2918" s="5" t="s">
        <v>73</v>
      </c>
      <c r="J2918" s="5" t="s">
        <v>68</v>
      </c>
      <c r="K2918" s="5" t="s">
        <v>57</v>
      </c>
      <c r="L2918" s="6">
        <v>45686</v>
      </c>
      <c r="M2918" s="6">
        <v>45684</v>
      </c>
      <c r="N2918" s="6" t="s">
        <v>811</v>
      </c>
      <c r="O2918" s="5" t="str">
        <f ca="1">IF(P2918&lt;&gt;"EXPEDIÇÃO","Expedido",IF(NETWORKDAYS(C2918,TODAY())&gt;=5,"Risco Alto",IF(NETWORKDAYS(C2918,TODAY())&gt;=3,IF(NETWORKDAYS(C2918,TODAY())&lt;5,"Risco Médio",""),IF(NETWORKDAYS(C2918,TODAY())&lt;=2,"Risco Baixo",""))))</f>
        <v>Expedido</v>
      </c>
      <c r="P2918" s="5" t="s">
        <v>25</v>
      </c>
      <c r="S2918" s="7">
        <f>IF(ISBLANK(M2918),"Aguardando Previsão/Data",NETWORKDAYS(L2918,M2918)-1)</f>
        <v>-4</v>
      </c>
      <c r="T2918" s="5" t="s">
        <v>942</v>
      </c>
    </row>
    <row r="2919" spans="1:20" x14ac:dyDescent="0.35">
      <c r="A2919" s="5">
        <v>8100281297</v>
      </c>
      <c r="B2919" s="5">
        <v>17562</v>
      </c>
      <c r="C2919" s="6">
        <v>45679</v>
      </c>
      <c r="D2919" s="5" t="s">
        <v>51</v>
      </c>
      <c r="E2919" s="5" t="s">
        <v>52</v>
      </c>
      <c r="F2919" s="5" t="s">
        <v>66</v>
      </c>
      <c r="G2919" s="5" t="s">
        <v>67</v>
      </c>
      <c r="H2919" s="5" t="s">
        <v>21</v>
      </c>
      <c r="I2919" s="5" t="s">
        <v>269</v>
      </c>
      <c r="J2919" s="5" t="s">
        <v>270</v>
      </c>
      <c r="K2919" s="5" t="s">
        <v>57</v>
      </c>
      <c r="L2919" s="6">
        <v>45687</v>
      </c>
      <c r="M2919" s="6">
        <v>45685</v>
      </c>
      <c r="N2919" s="6" t="s">
        <v>811</v>
      </c>
      <c r="O2919" s="5" t="str">
        <f ca="1">IF(P2919&lt;&gt;"EXPEDIÇÃO","Expedido",IF(NETWORKDAYS(C2919,TODAY())&gt;=5,"Risco Alto",IF(NETWORKDAYS(C2919,TODAY())&gt;=3,IF(NETWORKDAYS(C2919,TODAY())&lt;5,"Risco Médio",""),IF(NETWORKDAYS(C2919,TODAY())&lt;=2,"Risco Baixo",""))))</f>
        <v>Expedido</v>
      </c>
      <c r="P2919" s="5" t="s">
        <v>25</v>
      </c>
      <c r="S2919" s="7">
        <f>IF(ISBLANK(M2919),"Aguardando Previsão/Data",NETWORKDAYS(L2919,M2919)-1)</f>
        <v>-4</v>
      </c>
      <c r="T2919" s="5" t="s">
        <v>942</v>
      </c>
    </row>
    <row r="2920" spans="1:20" x14ac:dyDescent="0.35">
      <c r="A2920" s="5">
        <v>8100281472</v>
      </c>
      <c r="B2920" s="5">
        <v>17564</v>
      </c>
      <c r="C2920" s="6">
        <v>45679</v>
      </c>
      <c r="D2920" s="5" t="s">
        <v>51</v>
      </c>
      <c r="E2920" s="5" t="s">
        <v>52</v>
      </c>
      <c r="F2920" s="5" t="s">
        <v>69</v>
      </c>
      <c r="G2920" s="5" t="s">
        <v>70</v>
      </c>
      <c r="H2920" s="5" t="s">
        <v>21</v>
      </c>
      <c r="I2920" s="5" t="s">
        <v>527</v>
      </c>
      <c r="J2920" s="5" t="s">
        <v>65</v>
      </c>
      <c r="K2920" s="5" t="s">
        <v>57</v>
      </c>
      <c r="L2920" s="6">
        <v>45684</v>
      </c>
      <c r="M2920" s="6">
        <v>45680</v>
      </c>
      <c r="N2920" s="6" t="s">
        <v>811</v>
      </c>
      <c r="O2920" s="5" t="str">
        <f ca="1">IF(P2920&lt;&gt;"EXPEDIÇÃO","Expedido",IF(NETWORKDAYS(C2920,TODAY())&gt;=5,"Risco Alto",IF(NETWORKDAYS(C2920,TODAY())&gt;=3,IF(NETWORKDAYS(C2920,TODAY())&lt;5,"Risco Médio",""),IF(NETWORKDAYS(C2920,TODAY())&lt;=2,"Risco Baixo",""))))</f>
        <v>Expedido</v>
      </c>
      <c r="P2920" s="5" t="s">
        <v>25</v>
      </c>
      <c r="Q2920" s="5" t="s">
        <v>900</v>
      </c>
      <c r="S2920" s="7">
        <f>IF(ISBLANK(M2920),"Aguardando Previsão/Data",NETWORKDAYS(L2920,M2920)-1)</f>
        <v>-4</v>
      </c>
      <c r="T2920" s="5" t="s">
        <v>942</v>
      </c>
    </row>
    <row r="2921" spans="1:20" x14ac:dyDescent="0.35">
      <c r="A2921" s="5">
        <v>8100281473</v>
      </c>
      <c r="B2921" s="5">
        <v>17565</v>
      </c>
      <c r="C2921" s="6">
        <v>45679</v>
      </c>
      <c r="D2921" s="5" t="s">
        <v>51</v>
      </c>
      <c r="E2921" s="5" t="s">
        <v>52</v>
      </c>
      <c r="F2921" s="5" t="s">
        <v>69</v>
      </c>
      <c r="G2921" s="5" t="s">
        <v>70</v>
      </c>
      <c r="H2921" s="5" t="s">
        <v>21</v>
      </c>
      <c r="I2921" s="5" t="s">
        <v>82</v>
      </c>
      <c r="J2921" s="5" t="s">
        <v>351</v>
      </c>
      <c r="K2921" s="5" t="s">
        <v>57</v>
      </c>
      <c r="L2921" s="6">
        <v>45685</v>
      </c>
      <c r="M2921" s="6">
        <v>45684</v>
      </c>
      <c r="N2921" s="6" t="s">
        <v>811</v>
      </c>
      <c r="O2921" s="5" t="str">
        <f ca="1">IF(P2921&lt;&gt;"EXPEDIÇÃO","Expedido",IF(NETWORKDAYS(C2921,TODAY())&gt;=5,"Risco Alto",IF(NETWORKDAYS(C2921,TODAY())&gt;=3,IF(NETWORKDAYS(C2921,TODAY())&lt;5,"Risco Médio",""),IF(NETWORKDAYS(C2921,TODAY())&lt;=2,"Risco Baixo",""))))</f>
        <v>Expedido</v>
      </c>
      <c r="P2921" s="5" t="s">
        <v>25</v>
      </c>
      <c r="S2921" s="7">
        <f>IF(ISBLANK(M2921),"Aguardando Previsão/Data",NETWORKDAYS(L2921,M2921)-1)</f>
        <v>-3</v>
      </c>
      <c r="T2921" s="5" t="s">
        <v>942</v>
      </c>
    </row>
    <row r="2922" spans="1:20" x14ac:dyDescent="0.35">
      <c r="A2922" s="5">
        <v>8100281529</v>
      </c>
      <c r="B2922" s="5">
        <v>17570</v>
      </c>
      <c r="C2922" s="6">
        <v>45679</v>
      </c>
      <c r="D2922" s="5" t="s">
        <v>51</v>
      </c>
      <c r="E2922" s="5" t="s">
        <v>52</v>
      </c>
      <c r="F2922" s="5" t="s">
        <v>66</v>
      </c>
      <c r="G2922" s="5" t="s">
        <v>67</v>
      </c>
      <c r="H2922" s="5" t="s">
        <v>21</v>
      </c>
      <c r="I2922" s="5" t="s">
        <v>555</v>
      </c>
      <c r="J2922" s="5" t="s">
        <v>556</v>
      </c>
      <c r="K2922" s="5" t="s">
        <v>57</v>
      </c>
      <c r="L2922" s="6">
        <v>45687</v>
      </c>
      <c r="M2922" s="6">
        <v>45684</v>
      </c>
      <c r="N2922" s="6" t="s">
        <v>811</v>
      </c>
      <c r="O2922" s="5" t="str">
        <f ca="1">IF(P2922&lt;&gt;"EXPEDIÇÃO","Expedido",IF(NETWORKDAYS(C2922,TODAY())&gt;=5,"Risco Alto",IF(NETWORKDAYS(C2922,TODAY())&gt;=3,IF(NETWORKDAYS(C2922,TODAY())&lt;5,"Risco Médio",""),IF(NETWORKDAYS(C2922,TODAY())&lt;=2,"Risco Baixo",""))))</f>
        <v>Expedido</v>
      </c>
      <c r="P2922" s="5" t="s">
        <v>25</v>
      </c>
      <c r="S2922" s="7">
        <f>IF(ISBLANK(M2922),"Aguardando Previsão/Data",NETWORKDAYS(L2922,M2922)-1)</f>
        <v>-5</v>
      </c>
      <c r="T2922" s="5" t="s">
        <v>942</v>
      </c>
    </row>
    <row r="2923" spans="1:20" x14ac:dyDescent="0.35">
      <c r="A2923" s="5">
        <v>8100281530</v>
      </c>
      <c r="B2923" s="5">
        <v>17569</v>
      </c>
      <c r="C2923" s="6">
        <v>45679</v>
      </c>
      <c r="D2923" s="5" t="s">
        <v>51</v>
      </c>
      <c r="E2923" s="5" t="s">
        <v>52</v>
      </c>
      <c r="F2923" s="5" t="s">
        <v>66</v>
      </c>
      <c r="G2923" s="5" t="s">
        <v>67</v>
      </c>
      <c r="H2923" s="5" t="s">
        <v>21</v>
      </c>
      <c r="I2923" s="5" t="s">
        <v>380</v>
      </c>
      <c r="J2923" s="5" t="s">
        <v>381</v>
      </c>
      <c r="K2923" s="5" t="s">
        <v>57</v>
      </c>
      <c r="L2923" s="6">
        <v>45687</v>
      </c>
      <c r="M2923" s="6">
        <v>45684</v>
      </c>
      <c r="N2923" s="6" t="s">
        <v>811</v>
      </c>
      <c r="O2923" s="5" t="str">
        <f ca="1">IF(P2923&lt;&gt;"EXPEDIÇÃO","Expedido",IF(NETWORKDAYS(C2923,TODAY())&gt;=5,"Risco Alto",IF(NETWORKDAYS(C2923,TODAY())&gt;=3,IF(NETWORKDAYS(C2923,TODAY())&lt;5,"Risco Médio",""),IF(NETWORKDAYS(C2923,TODAY())&lt;=2,"Risco Baixo",""))))</f>
        <v>Expedido</v>
      </c>
      <c r="P2923" s="5" t="s">
        <v>25</v>
      </c>
      <c r="S2923" s="7">
        <f>IF(ISBLANK(M2923),"Aguardando Previsão/Data",NETWORKDAYS(L2923,M2923)-1)</f>
        <v>-5</v>
      </c>
      <c r="T2923" s="5" t="s">
        <v>942</v>
      </c>
    </row>
    <row r="2924" spans="1:20" x14ac:dyDescent="0.35">
      <c r="A2924" s="5">
        <v>8100281531</v>
      </c>
      <c r="B2924" s="5">
        <v>17566</v>
      </c>
      <c r="C2924" s="6">
        <v>45679</v>
      </c>
      <c r="D2924" s="5" t="s">
        <v>51</v>
      </c>
      <c r="E2924" s="5" t="s">
        <v>52</v>
      </c>
      <c r="F2924" s="5" t="s">
        <v>406</v>
      </c>
      <c r="G2924" s="5" t="s">
        <v>407</v>
      </c>
      <c r="H2924" s="5" t="s">
        <v>21</v>
      </c>
      <c r="I2924" s="5" t="s">
        <v>1489</v>
      </c>
      <c r="J2924" s="5" t="s">
        <v>531</v>
      </c>
      <c r="K2924" s="5" t="s">
        <v>80</v>
      </c>
      <c r="L2924" s="6">
        <v>45686</v>
      </c>
      <c r="M2924" s="6">
        <v>45684</v>
      </c>
      <c r="N2924" s="6" t="s">
        <v>811</v>
      </c>
      <c r="O2924" s="5" t="str">
        <f ca="1">IF(P2924&lt;&gt;"EXPEDIÇÃO","Expedido",IF(NETWORKDAYS(C2924,TODAY())&gt;=5,"Risco Alto",IF(NETWORKDAYS(C2924,TODAY())&gt;=3,IF(NETWORKDAYS(C2924,TODAY())&lt;5,"Risco Médio",""),IF(NETWORKDAYS(C2924,TODAY())&lt;=2,"Risco Baixo",""))))</f>
        <v>Expedido</v>
      </c>
      <c r="P2924" s="5" t="s">
        <v>25</v>
      </c>
      <c r="S2924" s="7">
        <f>IF(ISBLANK(M2924),"Aguardando Previsão/Data",NETWORKDAYS(L2924,M2924)-1)</f>
        <v>-4</v>
      </c>
      <c r="T2924" s="5" t="s">
        <v>942</v>
      </c>
    </row>
    <row r="2925" spans="1:20" x14ac:dyDescent="0.35">
      <c r="A2925" s="5">
        <v>8100281532</v>
      </c>
      <c r="B2925" s="5">
        <v>17568</v>
      </c>
      <c r="C2925" s="6">
        <v>45679</v>
      </c>
      <c r="D2925" s="5" t="s">
        <v>51</v>
      </c>
      <c r="E2925" s="5" t="s">
        <v>52</v>
      </c>
      <c r="F2925" s="5" t="s">
        <v>66</v>
      </c>
      <c r="G2925" s="5" t="s">
        <v>67</v>
      </c>
      <c r="H2925" s="5" t="s">
        <v>21</v>
      </c>
      <c r="I2925" s="5" t="s">
        <v>1337</v>
      </c>
      <c r="J2925" s="5" t="s">
        <v>68</v>
      </c>
      <c r="K2925" s="5" t="s">
        <v>57</v>
      </c>
      <c r="L2925" s="6">
        <v>45686</v>
      </c>
      <c r="M2925" s="6">
        <v>45685</v>
      </c>
      <c r="N2925" s="6" t="s">
        <v>811</v>
      </c>
      <c r="O2925" s="5" t="str">
        <f ca="1">IF(P2925&lt;&gt;"EXPEDIÇÃO","Expedido",IF(NETWORKDAYS(C2925,TODAY())&gt;=5,"Risco Alto",IF(NETWORKDAYS(C2925,TODAY())&gt;=3,IF(NETWORKDAYS(C2925,TODAY())&lt;5,"Risco Médio",""),IF(NETWORKDAYS(C2925,TODAY())&lt;=2,"Risco Baixo",""))))</f>
        <v>Expedido</v>
      </c>
      <c r="P2925" s="5" t="s">
        <v>25</v>
      </c>
      <c r="S2925" s="7">
        <f>IF(ISBLANK(M2925),"Aguardando Previsão/Data",NETWORKDAYS(L2925,M2925)-1)</f>
        <v>-3</v>
      </c>
      <c r="T2925" s="5" t="s">
        <v>942</v>
      </c>
    </row>
    <row r="2926" spans="1:20" x14ac:dyDescent="0.35">
      <c r="A2926" s="5">
        <v>8100281669</v>
      </c>
      <c r="B2926" s="5">
        <v>17571</v>
      </c>
      <c r="C2926" s="6">
        <v>45679</v>
      </c>
      <c r="D2926" s="5" t="s">
        <v>51</v>
      </c>
      <c r="E2926" s="5" t="s">
        <v>52</v>
      </c>
      <c r="F2926" s="5" t="s">
        <v>58</v>
      </c>
      <c r="G2926" s="5" t="s">
        <v>59</v>
      </c>
      <c r="H2926" s="5" t="s">
        <v>21</v>
      </c>
      <c r="I2926" s="5" t="s">
        <v>269</v>
      </c>
      <c r="J2926" s="5" t="s">
        <v>270</v>
      </c>
      <c r="K2926" s="5" t="s">
        <v>57</v>
      </c>
      <c r="L2926" s="6">
        <v>45687</v>
      </c>
      <c r="M2926" s="6">
        <v>45685</v>
      </c>
      <c r="N2926" s="6" t="s">
        <v>811</v>
      </c>
      <c r="O2926" s="5" t="str">
        <f ca="1">IF(P2926&lt;&gt;"EXPEDIÇÃO","Expedido",IF(NETWORKDAYS(C2926,TODAY())&gt;=5,"Risco Alto",IF(NETWORKDAYS(C2926,TODAY())&gt;=3,IF(NETWORKDAYS(C2926,TODAY())&lt;5,"Risco Médio",""),IF(NETWORKDAYS(C2926,TODAY())&lt;=2,"Risco Baixo",""))))</f>
        <v>Expedido</v>
      </c>
      <c r="P2926" s="5" t="s">
        <v>25</v>
      </c>
      <c r="S2926" s="7">
        <f>IF(ISBLANK(M2926),"Aguardando Previsão/Data",NETWORKDAYS(L2926,M2926)-1)</f>
        <v>-4</v>
      </c>
      <c r="T2926" s="5" t="s">
        <v>942</v>
      </c>
    </row>
    <row r="2927" spans="1:20" x14ac:dyDescent="0.35">
      <c r="A2927" s="5">
        <v>8100281670</v>
      </c>
      <c r="B2927" s="5">
        <v>17572</v>
      </c>
      <c r="C2927" s="6">
        <v>45679</v>
      </c>
      <c r="D2927" s="5" t="s">
        <v>51</v>
      </c>
      <c r="E2927" s="5" t="s">
        <v>52</v>
      </c>
      <c r="F2927" s="5" t="s">
        <v>66</v>
      </c>
      <c r="G2927" s="5" t="s">
        <v>67</v>
      </c>
      <c r="H2927" s="5" t="s">
        <v>21</v>
      </c>
      <c r="I2927" s="5" t="s">
        <v>60</v>
      </c>
      <c r="J2927" s="5" t="s">
        <v>61</v>
      </c>
      <c r="K2927" s="5" t="s">
        <v>57</v>
      </c>
      <c r="L2927" s="6">
        <v>45687</v>
      </c>
      <c r="M2927" s="6">
        <v>45685</v>
      </c>
      <c r="N2927" s="6" t="s">
        <v>811</v>
      </c>
      <c r="O2927" s="5" t="str">
        <f ca="1">IF(P2927&lt;&gt;"EXPEDIÇÃO","Expedido",IF(NETWORKDAYS(C2927,TODAY())&gt;=5,"Risco Alto",IF(NETWORKDAYS(C2927,TODAY())&gt;=3,IF(NETWORKDAYS(C2927,TODAY())&lt;5,"Risco Médio",""),IF(NETWORKDAYS(C2927,TODAY())&lt;=2,"Risco Baixo",""))))</f>
        <v>Expedido</v>
      </c>
      <c r="P2927" s="5" t="s">
        <v>25</v>
      </c>
      <c r="S2927" s="7">
        <f>IF(ISBLANK(M2927),"Aguardando Previsão/Data",NETWORKDAYS(L2927,M2927)-1)</f>
        <v>-4</v>
      </c>
      <c r="T2927" s="5" t="s">
        <v>942</v>
      </c>
    </row>
    <row r="2928" spans="1:20" x14ac:dyDescent="0.35">
      <c r="A2928" s="5">
        <v>8100279698</v>
      </c>
      <c r="B2928" s="5">
        <v>21547</v>
      </c>
      <c r="C2928" s="6">
        <v>45679</v>
      </c>
      <c r="D2928" s="5" t="s">
        <v>17</v>
      </c>
      <c r="E2928" s="5" t="s">
        <v>18</v>
      </c>
      <c r="F2928" s="5" t="s">
        <v>27</v>
      </c>
      <c r="G2928" s="5" t="s">
        <v>28</v>
      </c>
      <c r="H2928" s="5" t="s">
        <v>21</v>
      </c>
      <c r="I2928" s="5" t="s">
        <v>493</v>
      </c>
      <c r="J2928" s="5" t="s">
        <v>28</v>
      </c>
      <c r="K2928" s="5" t="s">
        <v>24</v>
      </c>
      <c r="L2928" s="6">
        <v>45686</v>
      </c>
      <c r="M2928" s="6">
        <v>45684</v>
      </c>
      <c r="N2928" s="6" t="s">
        <v>811</v>
      </c>
      <c r="O2928" s="5" t="str">
        <f ca="1">IF(P2928&lt;&gt;"EXPEDIÇÃO","Expedido",IF(NETWORKDAYS(C2928,TODAY())&gt;=5,"Risco Alto",IF(NETWORKDAYS(C2928,TODAY())&gt;=3,IF(NETWORKDAYS(C2928,TODAY())&lt;5,"Risco Médio",""),IF(NETWORKDAYS(C2928,TODAY())&lt;=2,"Risco Baixo",""))))</f>
        <v>Expedido</v>
      </c>
      <c r="P2928" s="5" t="s">
        <v>25</v>
      </c>
      <c r="Q2928" s="5" t="s">
        <v>897</v>
      </c>
      <c r="S2928" s="7">
        <f>IF(ISBLANK(M2928),"Aguardando Previsão/Data",NETWORKDAYS(L2928,M2928)-1)</f>
        <v>-4</v>
      </c>
      <c r="T2928" s="5" t="s">
        <v>942</v>
      </c>
    </row>
    <row r="2929" spans="1:20" x14ac:dyDescent="0.35">
      <c r="A2929" s="5">
        <v>8100279705</v>
      </c>
      <c r="B2929" s="5">
        <v>21548</v>
      </c>
      <c r="C2929" s="6">
        <v>45679</v>
      </c>
      <c r="D2929" s="5" t="s">
        <v>17</v>
      </c>
      <c r="E2929" s="5" t="s">
        <v>18</v>
      </c>
      <c r="F2929" s="5" t="s">
        <v>27</v>
      </c>
      <c r="G2929" s="5" t="s">
        <v>28</v>
      </c>
      <c r="H2929" s="5" t="s">
        <v>21</v>
      </c>
      <c r="I2929" s="5" t="s">
        <v>493</v>
      </c>
      <c r="J2929" s="5" t="s">
        <v>28</v>
      </c>
      <c r="K2929" s="5" t="s">
        <v>24</v>
      </c>
      <c r="L2929" s="6">
        <v>45686</v>
      </c>
      <c r="M2929" s="6">
        <v>45684</v>
      </c>
      <c r="N2929" s="6" t="s">
        <v>811</v>
      </c>
      <c r="O2929" s="5" t="str">
        <f ca="1">IF(P2929&lt;&gt;"EXPEDIÇÃO","Expedido",IF(NETWORKDAYS(C2929,TODAY())&gt;=5,"Risco Alto",IF(NETWORKDAYS(C2929,TODAY())&gt;=3,IF(NETWORKDAYS(C2929,TODAY())&lt;5,"Risco Médio",""),IF(NETWORKDAYS(C2929,TODAY())&lt;=2,"Risco Baixo",""))))</f>
        <v>Expedido</v>
      </c>
      <c r="P2929" s="5" t="s">
        <v>25</v>
      </c>
      <c r="Q2929" s="5" t="s">
        <v>897</v>
      </c>
      <c r="S2929" s="7">
        <f>IF(ISBLANK(M2929),"Aguardando Previsão/Data",NETWORKDAYS(L2929,M2929)-1)</f>
        <v>-4</v>
      </c>
      <c r="T2929" s="5" t="s">
        <v>942</v>
      </c>
    </row>
    <row r="2930" spans="1:20" x14ac:dyDescent="0.35">
      <c r="A2930" s="5">
        <v>8100279711</v>
      </c>
      <c r="B2930" s="5">
        <v>21551</v>
      </c>
      <c r="C2930" s="6">
        <v>45679</v>
      </c>
      <c r="D2930" s="5" t="s">
        <v>17</v>
      </c>
      <c r="E2930" s="5" t="s">
        <v>18</v>
      </c>
      <c r="F2930" s="5" t="s">
        <v>27</v>
      </c>
      <c r="G2930" s="5" t="s">
        <v>28</v>
      </c>
      <c r="H2930" s="5" t="s">
        <v>21</v>
      </c>
      <c r="I2930" s="5" t="s">
        <v>1458</v>
      </c>
      <c r="J2930" s="5" t="s">
        <v>364</v>
      </c>
      <c r="K2930" s="5" t="s">
        <v>24</v>
      </c>
      <c r="L2930" s="6">
        <v>45686</v>
      </c>
      <c r="M2930" s="6">
        <v>45684</v>
      </c>
      <c r="N2930" s="6" t="s">
        <v>811</v>
      </c>
      <c r="O2930" s="5" t="str">
        <f ca="1">IF(P2930&lt;&gt;"EXPEDIÇÃO","Expedido",IF(NETWORKDAYS(C2930,TODAY())&gt;=5,"Risco Alto",IF(NETWORKDAYS(C2930,TODAY())&gt;=3,IF(NETWORKDAYS(C2930,TODAY())&lt;5,"Risco Médio",""),IF(NETWORKDAYS(C2930,TODAY())&lt;=2,"Risco Baixo",""))))</f>
        <v>Expedido</v>
      </c>
      <c r="P2930" s="5" t="s">
        <v>25</v>
      </c>
      <c r="S2930" s="7">
        <f>IF(ISBLANK(M2930),"Aguardando Previsão/Data",NETWORKDAYS(L2930,M2930)-1)</f>
        <v>-4</v>
      </c>
      <c r="T2930" s="5" t="s">
        <v>942</v>
      </c>
    </row>
    <row r="2931" spans="1:20" x14ac:dyDescent="0.35">
      <c r="A2931" s="5">
        <v>8100280913</v>
      </c>
      <c r="B2931" s="5">
        <v>21570</v>
      </c>
      <c r="C2931" s="6">
        <v>45679</v>
      </c>
      <c r="D2931" s="5" t="s">
        <v>17</v>
      </c>
      <c r="E2931" s="5" t="s">
        <v>18</v>
      </c>
      <c r="F2931" s="5" t="s">
        <v>44</v>
      </c>
      <c r="G2931" s="5" t="s">
        <v>45</v>
      </c>
      <c r="H2931" s="5" t="s">
        <v>21</v>
      </c>
      <c r="I2931" s="5" t="s">
        <v>371</v>
      </c>
      <c r="J2931" s="5" t="s">
        <v>372</v>
      </c>
      <c r="K2931" s="5" t="s">
        <v>24</v>
      </c>
      <c r="L2931" s="6">
        <v>45687</v>
      </c>
      <c r="M2931" s="6">
        <v>45684</v>
      </c>
      <c r="N2931" s="6" t="s">
        <v>811</v>
      </c>
      <c r="O2931" s="5" t="str">
        <f ca="1">IF(P2931&lt;&gt;"EXPEDIÇÃO","Expedido",IF(NETWORKDAYS(C2931,TODAY())&gt;=5,"Risco Alto",IF(NETWORKDAYS(C2931,TODAY())&gt;=3,IF(NETWORKDAYS(C2931,TODAY())&lt;5,"Risco Médio",""),IF(NETWORKDAYS(C2931,TODAY())&lt;=2,"Risco Baixo",""))))</f>
        <v>Expedido</v>
      </c>
      <c r="P2931" s="5" t="s">
        <v>25</v>
      </c>
      <c r="Q2931" s="5" t="s">
        <v>897</v>
      </c>
      <c r="S2931" s="7">
        <f>IF(ISBLANK(M2931),"Aguardando Previsão/Data",NETWORKDAYS(L2931,M2931)-1)</f>
        <v>-5</v>
      </c>
      <c r="T2931" s="5" t="s">
        <v>942</v>
      </c>
    </row>
    <row r="2932" spans="1:20" x14ac:dyDescent="0.35">
      <c r="A2932" s="5">
        <v>8100280914</v>
      </c>
      <c r="B2932" s="5">
        <v>21563</v>
      </c>
      <c r="C2932" s="6">
        <v>45679</v>
      </c>
      <c r="D2932" s="5" t="s">
        <v>17</v>
      </c>
      <c r="E2932" s="5" t="s">
        <v>18</v>
      </c>
      <c r="F2932" s="5" t="s">
        <v>44</v>
      </c>
      <c r="G2932" s="5" t="s">
        <v>45</v>
      </c>
      <c r="H2932" s="5" t="s">
        <v>21</v>
      </c>
      <c r="I2932" s="5" t="s">
        <v>371</v>
      </c>
      <c r="J2932" s="5" t="s">
        <v>372</v>
      </c>
      <c r="K2932" s="5" t="s">
        <v>24</v>
      </c>
      <c r="L2932" s="6">
        <v>45687</v>
      </c>
      <c r="M2932" s="6">
        <v>45684</v>
      </c>
      <c r="N2932" s="6" t="s">
        <v>811</v>
      </c>
      <c r="O2932" s="5" t="str">
        <f ca="1">IF(P2932&lt;&gt;"EXPEDIÇÃO","Expedido",IF(NETWORKDAYS(C2932,TODAY())&gt;=5,"Risco Alto",IF(NETWORKDAYS(C2932,TODAY())&gt;=3,IF(NETWORKDAYS(C2932,TODAY())&lt;5,"Risco Médio",""),IF(NETWORKDAYS(C2932,TODAY())&lt;=2,"Risco Baixo",""))))</f>
        <v>Expedido</v>
      </c>
      <c r="P2932" s="5" t="s">
        <v>25</v>
      </c>
      <c r="Q2932" s="5" t="s">
        <v>897</v>
      </c>
      <c r="S2932" s="7">
        <f>IF(ISBLANK(M2932),"Aguardando Previsão/Data",NETWORKDAYS(L2932,M2932)-1)</f>
        <v>-5</v>
      </c>
      <c r="T2932" s="5" t="s">
        <v>942</v>
      </c>
    </row>
    <row r="2933" spans="1:20" x14ac:dyDescent="0.35">
      <c r="A2933" s="5">
        <v>8100280916</v>
      </c>
      <c r="B2933" s="5">
        <v>21567</v>
      </c>
      <c r="C2933" s="6">
        <v>45679</v>
      </c>
      <c r="D2933" s="5" t="s">
        <v>17</v>
      </c>
      <c r="E2933" s="5" t="s">
        <v>18</v>
      </c>
      <c r="F2933" s="5" t="s">
        <v>44</v>
      </c>
      <c r="G2933" s="5" t="s">
        <v>45</v>
      </c>
      <c r="H2933" s="5" t="s">
        <v>21</v>
      </c>
      <c r="I2933" s="5" t="s">
        <v>371</v>
      </c>
      <c r="J2933" s="5" t="s">
        <v>372</v>
      </c>
      <c r="K2933" s="5" t="s">
        <v>24</v>
      </c>
      <c r="L2933" s="6">
        <v>45687</v>
      </c>
      <c r="M2933" s="6">
        <v>45684</v>
      </c>
      <c r="N2933" s="6" t="s">
        <v>811</v>
      </c>
      <c r="O2933" s="5" t="str">
        <f ca="1">IF(P2933&lt;&gt;"EXPEDIÇÃO","Expedido",IF(NETWORKDAYS(C2933,TODAY())&gt;=5,"Risco Alto",IF(NETWORKDAYS(C2933,TODAY())&gt;=3,IF(NETWORKDAYS(C2933,TODAY())&lt;5,"Risco Médio",""),IF(NETWORKDAYS(C2933,TODAY())&lt;=2,"Risco Baixo",""))))</f>
        <v>Expedido</v>
      </c>
      <c r="P2933" s="5" t="s">
        <v>25</v>
      </c>
      <c r="Q2933" s="5" t="s">
        <v>897</v>
      </c>
      <c r="S2933" s="7">
        <f>IF(ISBLANK(M2933),"Aguardando Previsão/Data",NETWORKDAYS(L2933,M2933)-1)</f>
        <v>-5</v>
      </c>
      <c r="T2933" s="5" t="s">
        <v>942</v>
      </c>
    </row>
    <row r="2934" spans="1:20" x14ac:dyDescent="0.35">
      <c r="A2934" s="5">
        <v>8100280917</v>
      </c>
      <c r="B2934" s="5">
        <v>21568</v>
      </c>
      <c r="C2934" s="6">
        <v>45679</v>
      </c>
      <c r="D2934" s="5" t="s">
        <v>17</v>
      </c>
      <c r="E2934" s="5" t="s">
        <v>18</v>
      </c>
      <c r="F2934" s="5" t="s">
        <v>44</v>
      </c>
      <c r="G2934" s="5" t="s">
        <v>45</v>
      </c>
      <c r="H2934" s="5" t="s">
        <v>21</v>
      </c>
      <c r="I2934" s="5" t="s">
        <v>371</v>
      </c>
      <c r="J2934" s="5" t="s">
        <v>372</v>
      </c>
      <c r="K2934" s="5" t="s">
        <v>24</v>
      </c>
      <c r="L2934" s="6">
        <v>45687</v>
      </c>
      <c r="M2934" s="6">
        <v>45684</v>
      </c>
      <c r="N2934" s="6" t="s">
        <v>811</v>
      </c>
      <c r="O2934" s="5" t="str">
        <f ca="1">IF(P2934&lt;&gt;"EXPEDIÇÃO","Expedido",IF(NETWORKDAYS(C2934,TODAY())&gt;=5,"Risco Alto",IF(NETWORKDAYS(C2934,TODAY())&gt;=3,IF(NETWORKDAYS(C2934,TODAY())&lt;5,"Risco Médio",""),IF(NETWORKDAYS(C2934,TODAY())&lt;=2,"Risco Baixo",""))))</f>
        <v>Expedido</v>
      </c>
      <c r="P2934" s="5" t="s">
        <v>25</v>
      </c>
      <c r="Q2934" s="5" t="s">
        <v>897</v>
      </c>
      <c r="S2934" s="7">
        <f>IF(ISBLANK(M2934),"Aguardando Previsão/Data",NETWORKDAYS(L2934,M2934)-1)</f>
        <v>-5</v>
      </c>
      <c r="T2934" s="5" t="s">
        <v>942</v>
      </c>
    </row>
    <row r="2935" spans="1:20" x14ac:dyDescent="0.35">
      <c r="A2935" s="5">
        <v>8100280918</v>
      </c>
      <c r="B2935" s="5">
        <v>21569</v>
      </c>
      <c r="C2935" s="6">
        <v>45679</v>
      </c>
      <c r="D2935" s="5" t="s">
        <v>17</v>
      </c>
      <c r="E2935" s="5" t="s">
        <v>18</v>
      </c>
      <c r="F2935" s="5" t="s">
        <v>44</v>
      </c>
      <c r="G2935" s="5" t="s">
        <v>45</v>
      </c>
      <c r="H2935" s="5" t="s">
        <v>21</v>
      </c>
      <c r="I2935" s="5" t="s">
        <v>371</v>
      </c>
      <c r="J2935" s="5" t="s">
        <v>372</v>
      </c>
      <c r="K2935" s="5" t="s">
        <v>24</v>
      </c>
      <c r="L2935" s="6">
        <v>45687</v>
      </c>
      <c r="M2935" s="6">
        <v>45684</v>
      </c>
      <c r="N2935" s="6" t="s">
        <v>811</v>
      </c>
      <c r="O2935" s="5" t="str">
        <f ca="1">IF(P2935&lt;&gt;"EXPEDIÇÃO","Expedido",IF(NETWORKDAYS(C2935,TODAY())&gt;=5,"Risco Alto",IF(NETWORKDAYS(C2935,TODAY())&gt;=3,IF(NETWORKDAYS(C2935,TODAY())&lt;5,"Risco Médio",""),IF(NETWORKDAYS(C2935,TODAY())&lt;=2,"Risco Baixo",""))))</f>
        <v>Expedido</v>
      </c>
      <c r="P2935" s="5" t="s">
        <v>25</v>
      </c>
      <c r="Q2935" s="5" t="s">
        <v>897</v>
      </c>
      <c r="S2935" s="7">
        <f>IF(ISBLANK(M2935),"Aguardando Previsão/Data",NETWORKDAYS(L2935,M2935)-1)</f>
        <v>-5</v>
      </c>
      <c r="T2935" s="5" t="s">
        <v>942</v>
      </c>
    </row>
    <row r="2936" spans="1:20" x14ac:dyDescent="0.35">
      <c r="A2936" s="5">
        <v>8100281026</v>
      </c>
      <c r="B2936" s="5">
        <v>21554</v>
      </c>
      <c r="C2936" s="6">
        <v>45679</v>
      </c>
      <c r="D2936" s="5" t="s">
        <v>17</v>
      </c>
      <c r="E2936" s="5" t="s">
        <v>18</v>
      </c>
      <c r="F2936" s="5" t="s">
        <v>39</v>
      </c>
      <c r="G2936" s="5" t="s">
        <v>40</v>
      </c>
      <c r="H2936" s="5" t="s">
        <v>21</v>
      </c>
      <c r="I2936" s="5" t="s">
        <v>1472</v>
      </c>
      <c r="J2936" s="5" t="s">
        <v>41</v>
      </c>
      <c r="K2936" s="5" t="s">
        <v>24</v>
      </c>
      <c r="L2936" s="6">
        <v>45691</v>
      </c>
      <c r="M2936" s="6">
        <v>45688</v>
      </c>
      <c r="N2936" s="6" t="s">
        <v>811</v>
      </c>
      <c r="O2936" s="5" t="str">
        <f ca="1">IF(P2936&lt;&gt;"EXPEDIÇÃO","Expedido",IF(NETWORKDAYS(C2936,TODAY())&gt;=5,"Risco Alto",IF(NETWORKDAYS(C2936,TODAY())&gt;=3,IF(NETWORKDAYS(C2936,TODAY())&lt;5,"Risco Médio",""),IF(NETWORKDAYS(C2936,TODAY())&lt;=2,"Risco Baixo",""))))</f>
        <v>Expedido</v>
      </c>
      <c r="P2936" s="5" t="s">
        <v>617</v>
      </c>
      <c r="S2936" s="7">
        <f>IF(ISBLANK(M2936),"Aguardando Previsão/Data",NETWORKDAYS(L2936,M2936)-1)</f>
        <v>-3</v>
      </c>
    </row>
    <row r="2937" spans="1:20" x14ac:dyDescent="0.35">
      <c r="A2937" s="5">
        <v>8100281030</v>
      </c>
      <c r="B2937" s="5">
        <v>21556</v>
      </c>
      <c r="C2937" s="6">
        <v>45679</v>
      </c>
      <c r="D2937" s="5" t="s">
        <v>17</v>
      </c>
      <c r="E2937" s="5" t="s">
        <v>18</v>
      </c>
      <c r="F2937" s="5" t="s">
        <v>39</v>
      </c>
      <c r="G2937" s="5" t="s">
        <v>40</v>
      </c>
      <c r="H2937" s="5" t="s">
        <v>21</v>
      </c>
      <c r="I2937" s="5" t="s">
        <v>1473</v>
      </c>
      <c r="J2937" s="5" t="s">
        <v>41</v>
      </c>
      <c r="K2937" s="5" t="s">
        <v>24</v>
      </c>
      <c r="L2937" s="6">
        <v>45691</v>
      </c>
      <c r="M2937" s="6">
        <v>45688</v>
      </c>
      <c r="N2937" s="6" t="s">
        <v>811</v>
      </c>
      <c r="O2937" s="5" t="str">
        <f ca="1">IF(P2937&lt;&gt;"EXPEDIÇÃO","Expedido",IF(NETWORKDAYS(C2937,TODAY())&gt;=5,"Risco Alto",IF(NETWORKDAYS(C2937,TODAY())&gt;=3,IF(NETWORKDAYS(C2937,TODAY())&lt;5,"Risco Médio",""),IF(NETWORKDAYS(C2937,TODAY())&lt;=2,"Risco Baixo",""))))</f>
        <v>Expedido</v>
      </c>
      <c r="P2937" s="5" t="s">
        <v>617</v>
      </c>
      <c r="S2937" s="7">
        <f>IF(ISBLANK(M2937),"Aguardando Previsão/Data",NETWORKDAYS(L2937,M2937)-1)</f>
        <v>-3</v>
      </c>
    </row>
    <row r="2938" spans="1:20" x14ac:dyDescent="0.35">
      <c r="A2938" s="5">
        <v>8100281104</v>
      </c>
      <c r="B2938" s="5">
        <v>21550</v>
      </c>
      <c r="C2938" s="6">
        <v>45679</v>
      </c>
      <c r="D2938" s="5" t="s">
        <v>17</v>
      </c>
      <c r="E2938" s="5" t="s">
        <v>18</v>
      </c>
      <c r="F2938" s="5" t="s">
        <v>27</v>
      </c>
      <c r="G2938" s="5" t="s">
        <v>28</v>
      </c>
      <c r="H2938" s="5" t="s">
        <v>21</v>
      </c>
      <c r="I2938" s="5" t="s">
        <v>415</v>
      </c>
      <c r="J2938" s="5" t="s">
        <v>364</v>
      </c>
      <c r="K2938" s="5" t="s">
        <v>24</v>
      </c>
      <c r="L2938" s="6">
        <v>45686</v>
      </c>
      <c r="M2938" s="6">
        <v>45684</v>
      </c>
      <c r="N2938" s="6" t="s">
        <v>811</v>
      </c>
      <c r="O2938" s="5" t="str">
        <f ca="1">IF(P2938&lt;&gt;"EXPEDIÇÃO","Expedido",IF(NETWORKDAYS(C2938,TODAY())&gt;=5,"Risco Alto",IF(NETWORKDAYS(C2938,TODAY())&gt;=3,IF(NETWORKDAYS(C2938,TODAY())&lt;5,"Risco Médio",""),IF(NETWORKDAYS(C2938,TODAY())&lt;=2,"Risco Baixo",""))))</f>
        <v>Expedido</v>
      </c>
      <c r="P2938" s="5" t="s">
        <v>25</v>
      </c>
      <c r="Q2938" s="5" t="s">
        <v>897</v>
      </c>
      <c r="S2938" s="7">
        <f>IF(ISBLANK(M2938),"Aguardando Previsão/Data",NETWORKDAYS(L2938,M2938)-1)</f>
        <v>-4</v>
      </c>
      <c r="T2938" s="5" t="s">
        <v>942</v>
      </c>
    </row>
    <row r="2939" spans="1:20" x14ac:dyDescent="0.35">
      <c r="A2939" s="5">
        <v>8100281105</v>
      </c>
      <c r="B2939" s="5">
        <v>21557</v>
      </c>
      <c r="C2939" s="6">
        <v>45679</v>
      </c>
      <c r="D2939" s="5" t="s">
        <v>17</v>
      </c>
      <c r="E2939" s="5" t="s">
        <v>18</v>
      </c>
      <c r="F2939" s="5" t="s">
        <v>27</v>
      </c>
      <c r="G2939" s="5" t="s">
        <v>28</v>
      </c>
      <c r="H2939" s="5" t="s">
        <v>21</v>
      </c>
      <c r="I2939" s="5" t="s">
        <v>1150</v>
      </c>
      <c r="J2939" s="5" t="s">
        <v>364</v>
      </c>
      <c r="K2939" s="5" t="s">
        <v>24</v>
      </c>
      <c r="L2939" s="6">
        <v>45686</v>
      </c>
      <c r="M2939" s="6">
        <v>45684</v>
      </c>
      <c r="N2939" s="6" t="s">
        <v>811</v>
      </c>
      <c r="O2939" s="5" t="str">
        <f ca="1">IF(P2939&lt;&gt;"EXPEDIÇÃO","Expedido",IF(NETWORKDAYS(C2939,TODAY())&gt;=5,"Risco Alto",IF(NETWORKDAYS(C2939,TODAY())&gt;=3,IF(NETWORKDAYS(C2939,TODAY())&lt;5,"Risco Médio",""),IF(NETWORKDAYS(C2939,TODAY())&lt;=2,"Risco Baixo",""))))</f>
        <v>Expedido</v>
      </c>
      <c r="P2939" s="5" t="s">
        <v>25</v>
      </c>
      <c r="S2939" s="7">
        <f>IF(ISBLANK(M2939),"Aguardando Previsão/Data",NETWORKDAYS(L2939,M2939)-1)</f>
        <v>-4</v>
      </c>
      <c r="T2939" s="5" t="s">
        <v>942</v>
      </c>
    </row>
    <row r="2940" spans="1:20" x14ac:dyDescent="0.35">
      <c r="A2940" s="5">
        <v>8100281106</v>
      </c>
      <c r="B2940" s="5">
        <v>21552</v>
      </c>
      <c r="C2940" s="6">
        <v>45679</v>
      </c>
      <c r="D2940" s="5" t="s">
        <v>17</v>
      </c>
      <c r="E2940" s="5" t="s">
        <v>18</v>
      </c>
      <c r="F2940" s="5" t="s">
        <v>19</v>
      </c>
      <c r="G2940" s="5" t="s">
        <v>20</v>
      </c>
      <c r="H2940" s="5" t="s">
        <v>21</v>
      </c>
      <c r="I2940" s="5" t="s">
        <v>904</v>
      </c>
      <c r="J2940" s="5" t="s">
        <v>368</v>
      </c>
      <c r="K2940" s="5" t="s">
        <v>24</v>
      </c>
      <c r="L2940" s="6">
        <v>45687</v>
      </c>
      <c r="M2940" s="6">
        <v>45687</v>
      </c>
      <c r="N2940" s="6" t="s">
        <v>811</v>
      </c>
      <c r="O2940" s="5" t="str">
        <f ca="1">IF(P2940&lt;&gt;"EXPEDIÇÃO","Expedido",IF(NETWORKDAYS(C2940,TODAY())&gt;=5,"Risco Alto",IF(NETWORKDAYS(C2940,TODAY())&gt;=3,IF(NETWORKDAYS(C2940,TODAY())&lt;5,"Risco Médio",""),IF(NETWORKDAYS(C2940,TODAY())&lt;=2,"Risco Baixo",""))))</f>
        <v>Expedido</v>
      </c>
      <c r="P2940" s="5" t="s">
        <v>617</v>
      </c>
      <c r="Q2940" s="5" t="s">
        <v>898</v>
      </c>
      <c r="S2940" s="7">
        <f>IF(ISBLANK(M2940),"Aguardando Previsão/Data",NETWORKDAYS(L2940,M2940)-1)</f>
        <v>0</v>
      </c>
    </row>
    <row r="2941" spans="1:20" x14ac:dyDescent="0.35">
      <c r="A2941" s="5">
        <v>8100281107</v>
      </c>
      <c r="B2941" s="5">
        <v>21566</v>
      </c>
      <c r="C2941" s="6">
        <v>45679</v>
      </c>
      <c r="D2941" s="5" t="s">
        <v>17</v>
      </c>
      <c r="E2941" s="5" t="s">
        <v>18</v>
      </c>
      <c r="F2941" s="5" t="s">
        <v>19</v>
      </c>
      <c r="G2941" s="5" t="s">
        <v>20</v>
      </c>
      <c r="H2941" s="5" t="s">
        <v>21</v>
      </c>
      <c r="I2941" s="5" t="s">
        <v>1198</v>
      </c>
      <c r="J2941" s="5" t="s">
        <v>491</v>
      </c>
      <c r="K2941" s="5" t="s">
        <v>24</v>
      </c>
      <c r="L2941" s="6">
        <v>45686</v>
      </c>
      <c r="M2941" s="6">
        <v>45684</v>
      </c>
      <c r="N2941" s="6" t="s">
        <v>811</v>
      </c>
      <c r="O2941" s="5" t="str">
        <f ca="1">IF(P2941&lt;&gt;"EXPEDIÇÃO","Expedido",IF(NETWORKDAYS(C2941,TODAY())&gt;=5,"Risco Alto",IF(NETWORKDAYS(C2941,TODAY())&gt;=3,IF(NETWORKDAYS(C2941,TODAY())&lt;5,"Risco Médio",""),IF(NETWORKDAYS(C2941,TODAY())&lt;=2,"Risco Baixo",""))))</f>
        <v>Expedido</v>
      </c>
      <c r="P2941" s="5" t="s">
        <v>25</v>
      </c>
      <c r="S2941" s="7">
        <f>IF(ISBLANK(M2941),"Aguardando Previsão/Data",NETWORKDAYS(L2941,M2941)-1)</f>
        <v>-4</v>
      </c>
      <c r="T2941" s="5" t="s">
        <v>942</v>
      </c>
    </row>
    <row r="2942" spans="1:20" x14ac:dyDescent="0.35">
      <c r="A2942" s="5">
        <v>8100281108</v>
      </c>
      <c r="B2942" s="5">
        <v>21565</v>
      </c>
      <c r="C2942" s="6">
        <v>45679</v>
      </c>
      <c r="D2942" s="5" t="s">
        <v>17</v>
      </c>
      <c r="E2942" s="5" t="s">
        <v>18</v>
      </c>
      <c r="F2942" s="5" t="s">
        <v>19</v>
      </c>
      <c r="G2942" s="5" t="s">
        <v>20</v>
      </c>
      <c r="H2942" s="5" t="s">
        <v>21</v>
      </c>
      <c r="I2942" s="5" t="s">
        <v>1198</v>
      </c>
      <c r="J2942" s="5" t="s">
        <v>491</v>
      </c>
      <c r="K2942" s="5" t="s">
        <v>24</v>
      </c>
      <c r="L2942" s="6">
        <v>45686</v>
      </c>
      <c r="M2942" s="6">
        <v>45684</v>
      </c>
      <c r="N2942" s="6" t="s">
        <v>811</v>
      </c>
      <c r="O2942" s="5" t="str">
        <f ca="1">IF(P2942&lt;&gt;"EXPEDIÇÃO","Expedido",IF(NETWORKDAYS(C2942,TODAY())&gt;=5,"Risco Alto",IF(NETWORKDAYS(C2942,TODAY())&gt;=3,IF(NETWORKDAYS(C2942,TODAY())&lt;5,"Risco Médio",""),IF(NETWORKDAYS(C2942,TODAY())&lt;=2,"Risco Baixo",""))))</f>
        <v>Expedido</v>
      </c>
      <c r="P2942" s="5" t="s">
        <v>25</v>
      </c>
      <c r="S2942" s="7">
        <f>IF(ISBLANK(M2942),"Aguardando Previsão/Data",NETWORKDAYS(L2942,M2942)-1)</f>
        <v>-4</v>
      </c>
      <c r="T2942" s="5" t="s">
        <v>942</v>
      </c>
    </row>
    <row r="2943" spans="1:20" x14ac:dyDescent="0.35">
      <c r="A2943" s="5">
        <v>8100281109</v>
      </c>
      <c r="B2943" s="5">
        <v>21553</v>
      </c>
      <c r="C2943" s="6">
        <v>45679</v>
      </c>
      <c r="D2943" s="5" t="s">
        <v>17</v>
      </c>
      <c r="E2943" s="5" t="s">
        <v>18</v>
      </c>
      <c r="F2943" s="5" t="s">
        <v>32</v>
      </c>
      <c r="G2943" s="5" t="s">
        <v>33</v>
      </c>
      <c r="H2943" s="5" t="s">
        <v>21</v>
      </c>
      <c r="I2943" s="5" t="s">
        <v>635</v>
      </c>
      <c r="J2943" s="5" t="s">
        <v>47</v>
      </c>
      <c r="K2943" s="5" t="s">
        <v>24</v>
      </c>
      <c r="L2943" s="6">
        <v>45686</v>
      </c>
      <c r="M2943" s="6">
        <v>45684</v>
      </c>
      <c r="N2943" s="6" t="s">
        <v>811</v>
      </c>
      <c r="O2943" s="5" t="str">
        <f ca="1">IF(P2943&lt;&gt;"EXPEDIÇÃO","Expedido",IF(NETWORKDAYS(C2943,TODAY())&gt;=5,"Risco Alto",IF(NETWORKDAYS(C2943,TODAY())&gt;=3,IF(NETWORKDAYS(C2943,TODAY())&lt;5,"Risco Médio",""),IF(NETWORKDAYS(C2943,TODAY())&lt;=2,"Risco Baixo",""))))</f>
        <v>Expedido</v>
      </c>
      <c r="P2943" s="5" t="s">
        <v>25</v>
      </c>
      <c r="S2943" s="7">
        <f>IF(ISBLANK(M2943),"Aguardando Previsão/Data",NETWORKDAYS(L2943,M2943)-1)</f>
        <v>-4</v>
      </c>
      <c r="T2943" s="5" t="s">
        <v>942</v>
      </c>
    </row>
    <row r="2944" spans="1:20" x14ac:dyDescent="0.35">
      <c r="A2944" s="5">
        <v>8100281110</v>
      </c>
      <c r="B2944" s="5">
        <v>21564</v>
      </c>
      <c r="C2944" s="6">
        <v>45679</v>
      </c>
      <c r="D2944" s="5" t="s">
        <v>17</v>
      </c>
      <c r="E2944" s="5" t="s">
        <v>18</v>
      </c>
      <c r="F2944" s="5" t="s">
        <v>32</v>
      </c>
      <c r="G2944" s="5" t="s">
        <v>33</v>
      </c>
      <c r="H2944" s="5" t="s">
        <v>21</v>
      </c>
      <c r="I2944" s="5" t="s">
        <v>1474</v>
      </c>
      <c r="J2944" s="5" t="s">
        <v>713</v>
      </c>
      <c r="K2944" s="5" t="s">
        <v>24</v>
      </c>
      <c r="L2944" s="6">
        <v>45686</v>
      </c>
      <c r="M2944" s="6">
        <v>45685</v>
      </c>
      <c r="N2944" s="6" t="s">
        <v>811</v>
      </c>
      <c r="O2944" s="5" t="str">
        <f ca="1">IF(P2944&lt;&gt;"EXPEDIÇÃO","Expedido",IF(NETWORKDAYS(C2944,TODAY())&gt;=5,"Risco Alto",IF(NETWORKDAYS(C2944,TODAY())&gt;=3,IF(NETWORKDAYS(C2944,TODAY())&lt;5,"Risco Médio",""),IF(NETWORKDAYS(C2944,TODAY())&lt;=2,"Risco Baixo",""))))</f>
        <v>Expedido</v>
      </c>
      <c r="P2944" s="5" t="s">
        <v>25</v>
      </c>
      <c r="S2944" s="7">
        <f>IF(ISBLANK(M2944),"Aguardando Previsão/Data",NETWORKDAYS(L2944,M2944)-1)</f>
        <v>-3</v>
      </c>
      <c r="T2944" s="5" t="s">
        <v>942</v>
      </c>
    </row>
    <row r="2945" spans="1:20" x14ac:dyDescent="0.35">
      <c r="A2945" s="5">
        <v>8100281111</v>
      </c>
      <c r="B2945" s="5">
        <v>21549</v>
      </c>
      <c r="C2945" s="6">
        <v>45679</v>
      </c>
      <c r="D2945" s="5" t="s">
        <v>17</v>
      </c>
      <c r="E2945" s="5" t="s">
        <v>18</v>
      </c>
      <c r="F2945" s="5" t="s">
        <v>39</v>
      </c>
      <c r="G2945" s="5" t="s">
        <v>40</v>
      </c>
      <c r="H2945" s="5" t="s">
        <v>21</v>
      </c>
      <c r="I2945" s="5" t="s">
        <v>1016</v>
      </c>
      <c r="J2945" s="5" t="s">
        <v>737</v>
      </c>
      <c r="K2945" s="5" t="s">
        <v>24</v>
      </c>
      <c r="L2945" s="6">
        <v>45693</v>
      </c>
      <c r="M2945" s="6">
        <v>45692</v>
      </c>
      <c r="N2945" s="6" t="s">
        <v>811</v>
      </c>
      <c r="O2945" s="5" t="str">
        <f ca="1">IF(P2945&lt;&gt;"EXPEDIÇÃO","Expedido",IF(NETWORKDAYS(C2945,TODAY())&gt;=5,"Risco Alto",IF(NETWORKDAYS(C2945,TODAY())&gt;=3,IF(NETWORKDAYS(C2945,TODAY())&lt;5,"Risco Médio",""),IF(NETWORKDAYS(C2945,TODAY())&lt;=2,"Risco Baixo",""))))</f>
        <v>Expedido</v>
      </c>
      <c r="P2945" s="5" t="s">
        <v>617</v>
      </c>
      <c r="S2945" s="7">
        <f>IF(ISBLANK(M2945),"Aguardando Previsão/Data",NETWORKDAYS(L2945,M2945)-1)</f>
        <v>-3</v>
      </c>
    </row>
    <row r="2946" spans="1:20" x14ac:dyDescent="0.35">
      <c r="A2946" s="5">
        <v>8100281112</v>
      </c>
      <c r="B2946" s="5">
        <v>21555</v>
      </c>
      <c r="C2946" s="6">
        <v>45679</v>
      </c>
      <c r="D2946" s="5" t="s">
        <v>17</v>
      </c>
      <c r="E2946" s="5" t="s">
        <v>18</v>
      </c>
      <c r="F2946" s="5" t="s">
        <v>44</v>
      </c>
      <c r="G2946" s="5" t="s">
        <v>45</v>
      </c>
      <c r="H2946" s="5" t="s">
        <v>21</v>
      </c>
      <c r="I2946" s="5" t="s">
        <v>1334</v>
      </c>
      <c r="J2946" s="5" t="s">
        <v>1335</v>
      </c>
      <c r="K2946" s="5" t="s">
        <v>24</v>
      </c>
      <c r="L2946" s="6">
        <v>45686</v>
      </c>
      <c r="M2946" s="6">
        <v>45684</v>
      </c>
      <c r="N2946" s="6" t="s">
        <v>811</v>
      </c>
      <c r="O2946" s="5" t="str">
        <f ca="1">IF(P2946&lt;&gt;"EXPEDIÇÃO","Expedido",IF(NETWORKDAYS(C2946,TODAY())&gt;=5,"Risco Alto",IF(NETWORKDAYS(C2946,TODAY())&gt;=3,IF(NETWORKDAYS(C2946,TODAY())&lt;5,"Risco Médio",""),IF(NETWORKDAYS(C2946,TODAY())&lt;=2,"Risco Baixo",""))))</f>
        <v>Expedido</v>
      </c>
      <c r="P2946" s="5" t="s">
        <v>25</v>
      </c>
      <c r="S2946" s="7">
        <f>IF(ISBLANK(M2946),"Aguardando Previsão/Data",NETWORKDAYS(L2946,M2946)-1)</f>
        <v>-4</v>
      </c>
      <c r="T2946" s="5" t="s">
        <v>942</v>
      </c>
    </row>
    <row r="2947" spans="1:20" x14ac:dyDescent="0.35">
      <c r="A2947" s="5">
        <v>8100281155</v>
      </c>
      <c r="B2947" s="5">
        <v>21545</v>
      </c>
      <c r="C2947" s="6">
        <v>45679</v>
      </c>
      <c r="D2947" s="5" t="s">
        <v>17</v>
      </c>
      <c r="E2947" s="5" t="s">
        <v>18</v>
      </c>
      <c r="F2947" s="5" t="s">
        <v>147</v>
      </c>
      <c r="G2947" s="5" t="s">
        <v>148</v>
      </c>
      <c r="H2947" s="5" t="s">
        <v>21</v>
      </c>
      <c r="I2947" s="5" t="s">
        <v>263</v>
      </c>
      <c r="J2947" s="5" t="s">
        <v>264</v>
      </c>
      <c r="K2947" s="5" t="s">
        <v>24</v>
      </c>
      <c r="L2947" s="6">
        <v>45686</v>
      </c>
      <c r="M2947" s="6">
        <v>45685</v>
      </c>
      <c r="N2947" s="6" t="s">
        <v>811</v>
      </c>
      <c r="O2947" s="5" t="str">
        <f ca="1">IF(P2947&lt;&gt;"EXPEDIÇÃO","Expedido",IF(NETWORKDAYS(C2947,TODAY())&gt;=5,"Risco Alto",IF(NETWORKDAYS(C2947,TODAY())&gt;=3,IF(NETWORKDAYS(C2947,TODAY())&lt;5,"Risco Médio",""),IF(NETWORKDAYS(C2947,TODAY())&lt;=2,"Risco Baixo",""))))</f>
        <v>Expedido</v>
      </c>
      <c r="P2947" s="5" t="s">
        <v>25</v>
      </c>
      <c r="Q2947" s="5" t="s">
        <v>897</v>
      </c>
      <c r="S2947" s="7">
        <f>IF(ISBLANK(M2947),"Aguardando Previsão/Data",NETWORKDAYS(L2947,M2947)-1)</f>
        <v>-3</v>
      </c>
      <c r="T2947" s="5" t="s">
        <v>942</v>
      </c>
    </row>
    <row r="2948" spans="1:20" x14ac:dyDescent="0.35">
      <c r="A2948" s="5">
        <v>8100281156</v>
      </c>
      <c r="B2948" s="5">
        <v>21546</v>
      </c>
      <c r="C2948" s="6">
        <v>45679</v>
      </c>
      <c r="D2948" s="5" t="s">
        <v>17</v>
      </c>
      <c r="E2948" s="5" t="s">
        <v>18</v>
      </c>
      <c r="F2948" s="5" t="s">
        <v>147</v>
      </c>
      <c r="G2948" s="5" t="s">
        <v>148</v>
      </c>
      <c r="H2948" s="5" t="s">
        <v>21</v>
      </c>
      <c r="I2948" s="5" t="s">
        <v>263</v>
      </c>
      <c r="J2948" s="5" t="s">
        <v>264</v>
      </c>
      <c r="K2948" s="5" t="s">
        <v>24</v>
      </c>
      <c r="L2948" s="6">
        <v>45686</v>
      </c>
      <c r="M2948" s="6">
        <v>45685</v>
      </c>
      <c r="N2948" s="6" t="s">
        <v>811</v>
      </c>
      <c r="O2948" s="5" t="str">
        <f ca="1">IF(P2948&lt;&gt;"EXPEDIÇÃO","Expedido",IF(NETWORKDAYS(C2948,TODAY())&gt;=5,"Risco Alto",IF(NETWORKDAYS(C2948,TODAY())&gt;=3,IF(NETWORKDAYS(C2948,TODAY())&lt;5,"Risco Médio",""),IF(NETWORKDAYS(C2948,TODAY())&lt;=2,"Risco Baixo",""))))</f>
        <v>Expedido</v>
      </c>
      <c r="P2948" s="5" t="s">
        <v>25</v>
      </c>
      <c r="Q2948" s="5" t="s">
        <v>897</v>
      </c>
      <c r="S2948" s="7">
        <f>IF(ISBLANK(M2948),"Aguardando Previsão/Data",NETWORKDAYS(L2948,M2948)-1)</f>
        <v>-3</v>
      </c>
      <c r="T2948" s="5" t="s">
        <v>942</v>
      </c>
    </row>
    <row r="2949" spans="1:20" x14ac:dyDescent="0.35">
      <c r="A2949" s="5">
        <v>8100281278</v>
      </c>
      <c r="B2949" s="5">
        <v>21571</v>
      </c>
      <c r="C2949" s="6">
        <v>45679</v>
      </c>
      <c r="D2949" s="5" t="s">
        <v>17</v>
      </c>
      <c r="E2949" s="5" t="s">
        <v>18</v>
      </c>
      <c r="F2949" s="5" t="s">
        <v>44</v>
      </c>
      <c r="G2949" s="5" t="s">
        <v>45</v>
      </c>
      <c r="H2949" s="5" t="s">
        <v>21</v>
      </c>
      <c r="I2949" s="5" t="s">
        <v>1450</v>
      </c>
      <c r="J2949" s="5" t="s">
        <v>45</v>
      </c>
      <c r="K2949" s="5" t="s">
        <v>24</v>
      </c>
      <c r="L2949" s="6">
        <v>45686</v>
      </c>
      <c r="M2949" s="6">
        <v>45681</v>
      </c>
      <c r="N2949" s="6" t="s">
        <v>811</v>
      </c>
      <c r="O2949" s="5" t="str">
        <f ca="1">IF(P2949&lt;&gt;"EXPEDIÇÃO","Expedido",IF(NETWORKDAYS(C2949,TODAY())&gt;=5,"Risco Alto",IF(NETWORKDAYS(C2949,TODAY())&gt;=3,IF(NETWORKDAYS(C2949,TODAY())&lt;5,"Risco Médio",""),IF(NETWORKDAYS(C2949,TODAY())&lt;=2,"Risco Baixo",""))))</f>
        <v>Expedido</v>
      </c>
      <c r="P2949" s="5" t="s">
        <v>25</v>
      </c>
      <c r="S2949" s="7">
        <f>IF(ISBLANK(M2949),"Aguardando Previsão/Data",NETWORKDAYS(L2949,M2949)-1)</f>
        <v>-5</v>
      </c>
      <c r="T2949" s="5" t="s">
        <v>942</v>
      </c>
    </row>
    <row r="2950" spans="1:20" x14ac:dyDescent="0.35">
      <c r="A2950" s="5">
        <v>8100281282</v>
      </c>
      <c r="B2950" s="5">
        <v>21562</v>
      </c>
      <c r="C2950" s="6">
        <v>45679</v>
      </c>
      <c r="D2950" s="5" t="s">
        <v>17</v>
      </c>
      <c r="E2950" s="5" t="s">
        <v>18</v>
      </c>
      <c r="F2950" s="5" t="s">
        <v>147</v>
      </c>
      <c r="G2950" s="5" t="s">
        <v>148</v>
      </c>
      <c r="H2950" s="5" t="s">
        <v>21</v>
      </c>
      <c r="I2950" s="5" t="s">
        <v>263</v>
      </c>
      <c r="J2950" s="5" t="s">
        <v>264</v>
      </c>
      <c r="K2950" s="5" t="s">
        <v>24</v>
      </c>
      <c r="L2950" s="6">
        <v>45686</v>
      </c>
      <c r="M2950" s="6">
        <v>45685</v>
      </c>
      <c r="N2950" s="6" t="s">
        <v>811</v>
      </c>
      <c r="O2950" s="5" t="str">
        <f ca="1">IF(P2950&lt;&gt;"EXPEDIÇÃO","Expedido",IF(NETWORKDAYS(C2950,TODAY())&gt;=5,"Risco Alto",IF(NETWORKDAYS(C2950,TODAY())&gt;=3,IF(NETWORKDAYS(C2950,TODAY())&lt;5,"Risco Médio",""),IF(NETWORKDAYS(C2950,TODAY())&lt;=2,"Risco Baixo",""))))</f>
        <v>Expedido</v>
      </c>
      <c r="P2950" s="5" t="s">
        <v>25</v>
      </c>
      <c r="Q2950" s="5" t="s">
        <v>897</v>
      </c>
      <c r="S2950" s="7">
        <f>IF(ISBLANK(M2950),"Aguardando Previsão/Data",NETWORKDAYS(L2950,M2950)-1)</f>
        <v>-3</v>
      </c>
      <c r="T2950" s="5" t="s">
        <v>942</v>
      </c>
    </row>
    <row r="2951" spans="1:20" x14ac:dyDescent="0.35">
      <c r="A2951" s="5">
        <v>8100281517</v>
      </c>
      <c r="B2951" s="5">
        <v>21577</v>
      </c>
      <c r="C2951" s="6">
        <v>45679</v>
      </c>
      <c r="D2951" s="5" t="s">
        <v>17</v>
      </c>
      <c r="E2951" s="5" t="s">
        <v>18</v>
      </c>
      <c r="F2951" s="5" t="s">
        <v>27</v>
      </c>
      <c r="G2951" s="5" t="s">
        <v>28</v>
      </c>
      <c r="H2951" s="5" t="s">
        <v>21</v>
      </c>
      <c r="I2951" s="5" t="s">
        <v>328</v>
      </c>
      <c r="J2951" s="5" t="s">
        <v>28</v>
      </c>
      <c r="K2951" s="5" t="s">
        <v>24</v>
      </c>
      <c r="L2951" s="6">
        <v>45686</v>
      </c>
      <c r="M2951" s="6">
        <v>45684</v>
      </c>
      <c r="N2951" s="6" t="s">
        <v>811</v>
      </c>
      <c r="O2951" s="5" t="str">
        <f ca="1">IF(P2951&lt;&gt;"EXPEDIÇÃO","Expedido",IF(NETWORKDAYS(C2951,TODAY())&gt;=5,"Risco Alto",IF(NETWORKDAYS(C2951,TODAY())&gt;=3,IF(NETWORKDAYS(C2951,TODAY())&lt;5,"Risco Médio",""),IF(NETWORKDAYS(C2951,TODAY())&lt;=2,"Risco Baixo",""))))</f>
        <v>Expedido</v>
      </c>
      <c r="P2951" s="5" t="s">
        <v>25</v>
      </c>
      <c r="S2951" s="7">
        <f>IF(ISBLANK(M2951),"Aguardando Previsão/Data",NETWORKDAYS(L2951,M2951)-1)</f>
        <v>-4</v>
      </c>
      <c r="T2951" s="5" t="s">
        <v>942</v>
      </c>
    </row>
    <row r="2952" spans="1:20" x14ac:dyDescent="0.35">
      <c r="A2952" s="5">
        <v>8100281518</v>
      </c>
      <c r="B2952" s="5">
        <v>21578</v>
      </c>
      <c r="C2952" s="6">
        <v>45679</v>
      </c>
      <c r="D2952" s="5" t="s">
        <v>17</v>
      </c>
      <c r="E2952" s="5" t="s">
        <v>18</v>
      </c>
      <c r="F2952" s="5" t="s">
        <v>27</v>
      </c>
      <c r="G2952" s="5" t="s">
        <v>28</v>
      </c>
      <c r="H2952" s="5" t="s">
        <v>21</v>
      </c>
      <c r="I2952" s="5" t="s">
        <v>328</v>
      </c>
      <c r="J2952" s="5" t="s">
        <v>28</v>
      </c>
      <c r="K2952" s="5" t="s">
        <v>24</v>
      </c>
      <c r="L2952" s="6">
        <v>45686</v>
      </c>
      <c r="M2952" s="6">
        <v>45684</v>
      </c>
      <c r="N2952" s="6" t="s">
        <v>811</v>
      </c>
      <c r="O2952" s="5" t="str">
        <f ca="1">IF(P2952&lt;&gt;"EXPEDIÇÃO","Expedido",IF(NETWORKDAYS(C2952,TODAY())&gt;=5,"Risco Alto",IF(NETWORKDAYS(C2952,TODAY())&gt;=3,IF(NETWORKDAYS(C2952,TODAY())&lt;5,"Risco Médio",""),IF(NETWORKDAYS(C2952,TODAY())&lt;=2,"Risco Baixo",""))))</f>
        <v>Expedido</v>
      </c>
      <c r="P2952" s="5" t="s">
        <v>25</v>
      </c>
      <c r="S2952" s="7">
        <f>IF(ISBLANK(M2952),"Aguardando Previsão/Data",NETWORKDAYS(L2952,M2952)-1)</f>
        <v>-4</v>
      </c>
      <c r="T2952" s="5" t="s">
        <v>942</v>
      </c>
    </row>
    <row r="2953" spans="1:20" x14ac:dyDescent="0.35">
      <c r="A2953" s="5">
        <v>8100281519</v>
      </c>
      <c r="B2953" s="5">
        <v>21579</v>
      </c>
      <c r="C2953" s="6">
        <v>45679</v>
      </c>
      <c r="D2953" s="5" t="s">
        <v>17</v>
      </c>
      <c r="E2953" s="5" t="s">
        <v>18</v>
      </c>
      <c r="F2953" s="5" t="s">
        <v>27</v>
      </c>
      <c r="G2953" s="5" t="s">
        <v>28</v>
      </c>
      <c r="H2953" s="5" t="s">
        <v>21</v>
      </c>
      <c r="I2953" s="5" t="s">
        <v>328</v>
      </c>
      <c r="J2953" s="5" t="s">
        <v>28</v>
      </c>
      <c r="K2953" s="5" t="s">
        <v>24</v>
      </c>
      <c r="L2953" s="6">
        <v>45686</v>
      </c>
      <c r="M2953" s="6">
        <v>45684</v>
      </c>
      <c r="N2953" s="6" t="s">
        <v>811</v>
      </c>
      <c r="O2953" s="5" t="str">
        <f ca="1">IF(P2953&lt;&gt;"EXPEDIÇÃO","Expedido",IF(NETWORKDAYS(C2953,TODAY())&gt;=5,"Risco Alto",IF(NETWORKDAYS(C2953,TODAY())&gt;=3,IF(NETWORKDAYS(C2953,TODAY())&lt;5,"Risco Médio",""),IF(NETWORKDAYS(C2953,TODAY())&lt;=2,"Risco Baixo",""))))</f>
        <v>Expedido</v>
      </c>
      <c r="P2953" s="5" t="s">
        <v>25</v>
      </c>
      <c r="S2953" s="7">
        <f>IF(ISBLANK(M2953),"Aguardando Previsão/Data",NETWORKDAYS(L2953,M2953)-1)</f>
        <v>-4</v>
      </c>
      <c r="T2953" s="5" t="s">
        <v>942</v>
      </c>
    </row>
    <row r="2954" spans="1:20" x14ac:dyDescent="0.35">
      <c r="A2954" s="5">
        <v>8100281520</v>
      </c>
      <c r="B2954" s="5">
        <v>21576</v>
      </c>
      <c r="C2954" s="6">
        <v>45679</v>
      </c>
      <c r="D2954" s="5" t="s">
        <v>17</v>
      </c>
      <c r="E2954" s="5" t="s">
        <v>18</v>
      </c>
      <c r="F2954" s="5" t="s">
        <v>44</v>
      </c>
      <c r="G2954" s="5" t="s">
        <v>45</v>
      </c>
      <c r="H2954" s="5" t="s">
        <v>21</v>
      </c>
      <c r="I2954" s="5" t="s">
        <v>1450</v>
      </c>
      <c r="J2954" s="5" t="s">
        <v>45</v>
      </c>
      <c r="K2954" s="5" t="s">
        <v>24</v>
      </c>
      <c r="L2954" s="6">
        <v>45686</v>
      </c>
      <c r="M2954" s="6">
        <v>45681</v>
      </c>
      <c r="N2954" s="6" t="s">
        <v>811</v>
      </c>
      <c r="O2954" s="5" t="str">
        <f ca="1">IF(P2954&lt;&gt;"EXPEDIÇÃO","Expedido",IF(NETWORKDAYS(C2954,TODAY())&gt;=5,"Risco Alto",IF(NETWORKDAYS(C2954,TODAY())&gt;=3,IF(NETWORKDAYS(C2954,TODAY())&lt;5,"Risco Médio",""),IF(NETWORKDAYS(C2954,TODAY())&lt;=2,"Risco Baixo",""))))</f>
        <v>Expedido</v>
      </c>
      <c r="P2954" s="5" t="s">
        <v>25</v>
      </c>
      <c r="S2954" s="7">
        <f>IF(ISBLANK(M2954),"Aguardando Previsão/Data",NETWORKDAYS(L2954,M2954)-1)</f>
        <v>-5</v>
      </c>
      <c r="T2954" s="5" t="s">
        <v>942</v>
      </c>
    </row>
    <row r="2955" spans="1:20" x14ac:dyDescent="0.35">
      <c r="A2955" s="5">
        <v>8100279845</v>
      </c>
      <c r="B2955" s="5">
        <v>13410</v>
      </c>
      <c r="C2955" s="6">
        <v>45679</v>
      </c>
      <c r="D2955" s="5" t="s">
        <v>91</v>
      </c>
      <c r="E2955" s="5" t="s">
        <v>92</v>
      </c>
      <c r="F2955" s="5" t="s">
        <v>103</v>
      </c>
      <c r="G2955" s="5" t="s">
        <v>104</v>
      </c>
      <c r="H2955" s="5" t="s">
        <v>21</v>
      </c>
      <c r="I2955" s="5" t="s">
        <v>272</v>
      </c>
      <c r="J2955" s="5" t="s">
        <v>273</v>
      </c>
      <c r="K2955" s="5" t="s">
        <v>274</v>
      </c>
      <c r="L2955" s="6">
        <v>45688</v>
      </c>
      <c r="M2955" s="6">
        <v>45688</v>
      </c>
      <c r="N2955" s="6" t="s">
        <v>811</v>
      </c>
      <c r="O2955" s="5" t="str">
        <f ca="1">IF(P2955&lt;&gt;"EXPEDIÇÃO","Expedido",IF(NETWORKDAYS(C2955,TODAY())&gt;=5,"Risco Alto",IF(NETWORKDAYS(C2955,TODAY())&gt;=3,IF(NETWORKDAYS(C2955,TODAY())&lt;5,"Risco Médio",""),IF(NETWORKDAYS(C2955,TODAY())&lt;=2,"Risco Baixo",""))))</f>
        <v>Expedido</v>
      </c>
      <c r="P2955" s="5" t="s">
        <v>617</v>
      </c>
      <c r="Q2955" s="5" t="s">
        <v>1574</v>
      </c>
      <c r="R2955" s="5" t="s">
        <v>1575</v>
      </c>
      <c r="S2955" s="7">
        <f>IF(ISBLANK(M2955),"Aguardando Previsão/Data",NETWORKDAYS(L2955,M2955)-1)</f>
        <v>0</v>
      </c>
    </row>
    <row r="2956" spans="1:20" x14ac:dyDescent="0.35">
      <c r="A2956" s="5">
        <v>8100279868</v>
      </c>
      <c r="B2956" s="5">
        <v>13409</v>
      </c>
      <c r="C2956" s="6">
        <v>45679</v>
      </c>
      <c r="D2956" s="5" t="s">
        <v>91</v>
      </c>
      <c r="E2956" s="5" t="s">
        <v>92</v>
      </c>
      <c r="F2956" s="5" t="s">
        <v>103</v>
      </c>
      <c r="G2956" s="5" t="s">
        <v>104</v>
      </c>
      <c r="H2956" s="5" t="s">
        <v>21</v>
      </c>
      <c r="I2956" s="5" t="s">
        <v>1074</v>
      </c>
      <c r="J2956" s="5" t="s">
        <v>1066</v>
      </c>
      <c r="K2956" s="5" t="s">
        <v>274</v>
      </c>
      <c r="L2956" s="6">
        <v>45692</v>
      </c>
      <c r="M2956" s="6">
        <v>45686</v>
      </c>
      <c r="N2956" s="6" t="s">
        <v>811</v>
      </c>
      <c r="O2956" s="5" t="str">
        <f ca="1">IF(P2956&lt;&gt;"EXPEDIÇÃO","Expedido",IF(NETWORKDAYS(C2956,TODAY())&gt;=5,"Risco Alto",IF(NETWORKDAYS(C2956,TODAY())&gt;=3,IF(NETWORKDAYS(C2956,TODAY())&lt;5,"Risco Médio",""),IF(NETWORKDAYS(C2956,TODAY())&lt;=2,"Risco Baixo",""))))</f>
        <v>Expedido</v>
      </c>
      <c r="P2956" s="5" t="s">
        <v>25</v>
      </c>
      <c r="S2956" s="7">
        <f>IF(ISBLANK(M2956),"Aguardando Previsão/Data",NETWORKDAYS(L2956,M2956)-1)</f>
        <v>-6</v>
      </c>
      <c r="T2956" s="5" t="s">
        <v>942</v>
      </c>
    </row>
    <row r="2957" spans="1:20" x14ac:dyDescent="0.35">
      <c r="A2957" s="5">
        <v>8100279873</v>
      </c>
      <c r="B2957" s="5">
        <v>13414</v>
      </c>
      <c r="C2957" s="6">
        <v>45679</v>
      </c>
      <c r="D2957" s="5" t="s">
        <v>91</v>
      </c>
      <c r="E2957" s="5" t="s">
        <v>92</v>
      </c>
      <c r="F2957" s="5" t="s">
        <v>58</v>
      </c>
      <c r="G2957" s="5" t="s">
        <v>59</v>
      </c>
      <c r="H2957" s="5" t="s">
        <v>21</v>
      </c>
      <c r="I2957" s="5" t="s">
        <v>1459</v>
      </c>
      <c r="J2957" s="5" t="s">
        <v>94</v>
      </c>
      <c r="K2957" s="5" t="s">
        <v>95</v>
      </c>
      <c r="L2957" s="6">
        <v>45692</v>
      </c>
      <c r="M2957" s="6">
        <v>45691</v>
      </c>
      <c r="N2957" s="6" t="s">
        <v>811</v>
      </c>
      <c r="O2957" s="5" t="str">
        <f ca="1">IF(P2957&lt;&gt;"EXPEDIÇÃO","Expedido",IF(NETWORKDAYS(C2957,TODAY())&gt;=5,"Risco Alto",IF(NETWORKDAYS(C2957,TODAY())&gt;=3,IF(NETWORKDAYS(C2957,TODAY())&lt;5,"Risco Médio",""),IF(NETWORKDAYS(C2957,TODAY())&lt;=2,"Risco Baixo",""))))</f>
        <v>Expedido</v>
      </c>
      <c r="P2957" s="5" t="s">
        <v>617</v>
      </c>
      <c r="S2957" s="7">
        <f>IF(ISBLANK(M2957),"Aguardando Previsão/Data",NETWORKDAYS(L2957,M2957)-1)</f>
        <v>-3</v>
      </c>
    </row>
    <row r="2958" spans="1:20" x14ac:dyDescent="0.35">
      <c r="A2958" s="5">
        <v>8100279912</v>
      </c>
      <c r="B2958" s="5">
        <v>13400</v>
      </c>
      <c r="C2958" s="6">
        <v>45679</v>
      </c>
      <c r="D2958" s="5" t="s">
        <v>91</v>
      </c>
      <c r="E2958" s="5" t="s">
        <v>92</v>
      </c>
      <c r="F2958" s="5" t="s">
        <v>96</v>
      </c>
      <c r="G2958" s="5" t="s">
        <v>97</v>
      </c>
      <c r="H2958" s="5" t="s">
        <v>21</v>
      </c>
      <c r="I2958" s="5" t="s">
        <v>574</v>
      </c>
      <c r="J2958" s="5" t="s">
        <v>99</v>
      </c>
      <c r="K2958" s="5" t="s">
        <v>95</v>
      </c>
      <c r="L2958" s="6">
        <v>45685</v>
      </c>
      <c r="M2958" s="6">
        <v>45684</v>
      </c>
      <c r="N2958" s="6" t="s">
        <v>811</v>
      </c>
      <c r="O2958" s="5" t="str">
        <f ca="1">IF(P2958&lt;&gt;"EXPEDIÇÃO","Expedido",IF(NETWORKDAYS(C2958,TODAY())&gt;=5,"Risco Alto",IF(NETWORKDAYS(C2958,TODAY())&gt;=3,IF(NETWORKDAYS(C2958,TODAY())&lt;5,"Risco Médio",""),IF(NETWORKDAYS(C2958,TODAY())&lt;=2,"Risco Baixo",""))))</f>
        <v>Expedido</v>
      </c>
      <c r="P2958" s="5" t="s">
        <v>25</v>
      </c>
      <c r="S2958" s="7">
        <f>IF(ISBLANK(M2958),"Aguardando Previsão/Data",NETWORKDAYS(L2958,M2958)-1)</f>
        <v>-3</v>
      </c>
      <c r="T2958" s="5" t="s">
        <v>942</v>
      </c>
    </row>
    <row r="2959" spans="1:20" x14ac:dyDescent="0.35">
      <c r="A2959" s="5">
        <v>8100280310</v>
      </c>
      <c r="B2959" s="5">
        <v>13402</v>
      </c>
      <c r="C2959" s="6">
        <v>45679</v>
      </c>
      <c r="D2959" s="5" t="s">
        <v>91</v>
      </c>
      <c r="E2959" s="5" t="s">
        <v>92</v>
      </c>
      <c r="F2959" s="5" t="s">
        <v>103</v>
      </c>
      <c r="G2959" s="5" t="s">
        <v>104</v>
      </c>
      <c r="H2959" s="5" t="s">
        <v>21</v>
      </c>
      <c r="I2959" s="5" t="s">
        <v>1460</v>
      </c>
      <c r="J2959" s="5" t="s">
        <v>637</v>
      </c>
      <c r="K2959" s="5" t="s">
        <v>423</v>
      </c>
      <c r="L2959" s="6">
        <v>45688</v>
      </c>
      <c r="M2959" s="6">
        <v>45685</v>
      </c>
      <c r="N2959" s="6" t="s">
        <v>811</v>
      </c>
      <c r="O2959" s="5" t="str">
        <f ca="1">IF(P2959&lt;&gt;"EXPEDIÇÃO","Expedido",IF(NETWORKDAYS(C2959,TODAY())&gt;=5,"Risco Alto",IF(NETWORKDAYS(C2959,TODAY())&gt;=3,IF(NETWORKDAYS(C2959,TODAY())&lt;5,"Risco Médio",""),IF(NETWORKDAYS(C2959,TODAY())&lt;=2,"Risco Baixo",""))))</f>
        <v>Expedido</v>
      </c>
      <c r="P2959" s="5" t="s">
        <v>25</v>
      </c>
      <c r="S2959" s="7">
        <f>IF(ISBLANK(M2959),"Aguardando Previsão/Data",NETWORKDAYS(L2959,M2959)-1)</f>
        <v>-5</v>
      </c>
      <c r="T2959" s="5" t="s">
        <v>942</v>
      </c>
    </row>
    <row r="2960" spans="1:20" x14ac:dyDescent="0.35">
      <c r="A2960" s="5">
        <v>8100280311</v>
      </c>
      <c r="B2960" s="5">
        <v>13408</v>
      </c>
      <c r="C2960" s="6">
        <v>45679</v>
      </c>
      <c r="D2960" s="5" t="s">
        <v>91</v>
      </c>
      <c r="E2960" s="5" t="s">
        <v>92</v>
      </c>
      <c r="F2960" s="5" t="s">
        <v>19</v>
      </c>
      <c r="G2960" s="5" t="s">
        <v>20</v>
      </c>
      <c r="H2960" s="5" t="s">
        <v>21</v>
      </c>
      <c r="I2960" s="5" t="s">
        <v>659</v>
      </c>
      <c r="J2960" s="5" t="s">
        <v>636</v>
      </c>
      <c r="K2960" s="5" t="s">
        <v>95</v>
      </c>
      <c r="L2960" s="6">
        <v>45686</v>
      </c>
      <c r="M2960" s="6">
        <v>45681</v>
      </c>
      <c r="N2960" s="6" t="s">
        <v>811</v>
      </c>
      <c r="O2960" s="5" t="str">
        <f ca="1">IF(P2960&lt;&gt;"EXPEDIÇÃO","Expedido",IF(NETWORKDAYS(C2960,TODAY())&gt;=5,"Risco Alto",IF(NETWORKDAYS(C2960,TODAY())&gt;=3,IF(NETWORKDAYS(C2960,TODAY())&lt;5,"Risco Médio",""),IF(NETWORKDAYS(C2960,TODAY())&lt;=2,"Risco Baixo",""))))</f>
        <v>Expedido</v>
      </c>
      <c r="P2960" s="5" t="s">
        <v>25</v>
      </c>
      <c r="S2960" s="7">
        <f>IF(ISBLANK(M2960),"Aguardando Previsão/Data",NETWORKDAYS(L2960,M2960)-1)</f>
        <v>-5</v>
      </c>
      <c r="T2960" s="5" t="s">
        <v>942</v>
      </c>
    </row>
    <row r="2961" spans="1:20" x14ac:dyDescent="0.35">
      <c r="A2961" s="5">
        <v>8100280312</v>
      </c>
      <c r="B2961" s="5">
        <v>13413</v>
      </c>
      <c r="C2961" s="6">
        <v>45679</v>
      </c>
      <c r="D2961" s="5" t="s">
        <v>91</v>
      </c>
      <c r="E2961" s="5" t="s">
        <v>92</v>
      </c>
      <c r="F2961" s="5" t="s">
        <v>96</v>
      </c>
      <c r="G2961" s="5" t="s">
        <v>97</v>
      </c>
      <c r="H2961" s="5" t="s">
        <v>21</v>
      </c>
      <c r="I2961" s="5" t="s">
        <v>940</v>
      </c>
      <c r="J2961" s="5" t="s">
        <v>941</v>
      </c>
      <c r="K2961" s="5" t="s">
        <v>101</v>
      </c>
      <c r="L2961" s="6">
        <v>45687</v>
      </c>
      <c r="M2961" s="6">
        <v>45685</v>
      </c>
      <c r="N2961" s="6" t="s">
        <v>811</v>
      </c>
      <c r="O2961" s="5" t="str">
        <f ca="1">IF(P2961&lt;&gt;"EXPEDIÇÃO","Expedido",IF(NETWORKDAYS(C2961,TODAY())&gt;=5,"Risco Alto",IF(NETWORKDAYS(C2961,TODAY())&gt;=3,IF(NETWORKDAYS(C2961,TODAY())&lt;5,"Risco Médio",""),IF(NETWORKDAYS(C2961,TODAY())&lt;=2,"Risco Baixo",""))))</f>
        <v>Expedido</v>
      </c>
      <c r="P2961" s="5" t="s">
        <v>25</v>
      </c>
      <c r="S2961" s="7">
        <f>IF(ISBLANK(M2961),"Aguardando Previsão/Data",NETWORKDAYS(L2961,M2961)-1)</f>
        <v>-4</v>
      </c>
      <c r="T2961" s="5" t="s">
        <v>942</v>
      </c>
    </row>
    <row r="2962" spans="1:20" x14ac:dyDescent="0.35">
      <c r="A2962" s="5">
        <v>8100280313</v>
      </c>
      <c r="B2962" s="5">
        <v>13398</v>
      </c>
      <c r="C2962" s="6">
        <v>45679</v>
      </c>
      <c r="D2962" s="5" t="s">
        <v>91</v>
      </c>
      <c r="E2962" s="5" t="s">
        <v>92</v>
      </c>
      <c r="F2962" s="5" t="s">
        <v>103</v>
      </c>
      <c r="G2962" s="5" t="s">
        <v>104</v>
      </c>
      <c r="H2962" s="5" t="s">
        <v>21</v>
      </c>
      <c r="I2962" s="5" t="s">
        <v>778</v>
      </c>
      <c r="J2962" s="5" t="s">
        <v>637</v>
      </c>
      <c r="K2962" s="5" t="s">
        <v>423</v>
      </c>
      <c r="L2962" s="6">
        <v>45688</v>
      </c>
      <c r="M2962" s="6">
        <v>45686</v>
      </c>
      <c r="N2962" s="6" t="s">
        <v>811</v>
      </c>
      <c r="O2962" s="5" t="str">
        <f ca="1">IF(P2962&lt;&gt;"EXPEDIÇÃO","Expedido",IF(NETWORKDAYS(C2962,TODAY())&gt;=5,"Risco Alto",IF(NETWORKDAYS(C2962,TODAY())&gt;=3,IF(NETWORKDAYS(C2962,TODAY())&lt;5,"Risco Médio",""),IF(NETWORKDAYS(C2962,TODAY())&lt;=2,"Risco Baixo",""))))</f>
        <v>Expedido</v>
      </c>
      <c r="P2962" s="5" t="s">
        <v>25</v>
      </c>
      <c r="S2962" s="7">
        <f>IF(ISBLANK(M2962),"Aguardando Previsão/Data",NETWORKDAYS(L2962,M2962)-1)</f>
        <v>-4</v>
      </c>
      <c r="T2962" s="5" t="s">
        <v>942</v>
      </c>
    </row>
    <row r="2963" spans="1:20" x14ac:dyDescent="0.35">
      <c r="A2963" s="5">
        <v>8100280314</v>
      </c>
      <c r="B2963" s="5">
        <v>13404</v>
      </c>
      <c r="C2963" s="6">
        <v>45679</v>
      </c>
      <c r="D2963" s="5" t="s">
        <v>91</v>
      </c>
      <c r="E2963" s="5" t="s">
        <v>92</v>
      </c>
      <c r="F2963" s="5" t="s">
        <v>96</v>
      </c>
      <c r="G2963" s="5" t="s">
        <v>97</v>
      </c>
      <c r="H2963" s="5" t="s">
        <v>21</v>
      </c>
      <c r="I2963" s="5" t="s">
        <v>771</v>
      </c>
      <c r="J2963" s="5" t="s">
        <v>469</v>
      </c>
      <c r="K2963" s="5" t="s">
        <v>95</v>
      </c>
      <c r="L2963" s="6">
        <v>45686</v>
      </c>
      <c r="M2963" s="6">
        <v>45682</v>
      </c>
      <c r="N2963" s="6" t="s">
        <v>811</v>
      </c>
      <c r="O2963" s="5" t="str">
        <f ca="1">IF(P2963&lt;&gt;"EXPEDIÇÃO","Expedido",IF(NETWORKDAYS(C2963,TODAY())&gt;=5,"Risco Alto",IF(NETWORKDAYS(C2963,TODAY())&gt;=3,IF(NETWORKDAYS(C2963,TODAY())&lt;5,"Risco Médio",""),IF(NETWORKDAYS(C2963,TODAY())&lt;=2,"Risco Baixo",""))))</f>
        <v>Expedido</v>
      </c>
      <c r="P2963" s="5" t="s">
        <v>25</v>
      </c>
      <c r="S2963" s="7">
        <f>IF(ISBLANK(M2963),"Aguardando Previsão/Data",NETWORKDAYS(L2963,M2963)-1)</f>
        <v>-4</v>
      </c>
      <c r="T2963" s="5" t="s">
        <v>942</v>
      </c>
    </row>
    <row r="2964" spans="1:20" x14ac:dyDescent="0.35">
      <c r="A2964" s="5">
        <v>8100280592</v>
      </c>
      <c r="B2964" s="5">
        <v>13437</v>
      </c>
      <c r="C2964" s="6">
        <v>45679</v>
      </c>
      <c r="D2964" s="5" t="s">
        <v>91</v>
      </c>
      <c r="E2964" s="5" t="s">
        <v>92</v>
      </c>
      <c r="F2964" s="5" t="s">
        <v>176</v>
      </c>
      <c r="G2964" s="5" t="s">
        <v>177</v>
      </c>
      <c r="H2964" s="5" t="s">
        <v>21</v>
      </c>
      <c r="I2964" s="5" t="s">
        <v>499</v>
      </c>
      <c r="J2964" s="5" t="s">
        <v>500</v>
      </c>
      <c r="K2964" s="5" t="s">
        <v>95</v>
      </c>
      <c r="L2964" s="6">
        <v>45687</v>
      </c>
      <c r="M2964" s="6">
        <v>45686</v>
      </c>
      <c r="N2964" s="6" t="s">
        <v>811</v>
      </c>
      <c r="O2964" s="5" t="str">
        <f ca="1">IF(P2964&lt;&gt;"EXPEDIÇÃO","Expedido",IF(NETWORKDAYS(C2964,TODAY())&gt;=5,"Risco Alto",IF(NETWORKDAYS(C2964,TODAY())&gt;=3,IF(NETWORKDAYS(C2964,TODAY())&lt;5,"Risco Médio",""),IF(NETWORKDAYS(C2964,TODAY())&lt;=2,"Risco Baixo",""))))</f>
        <v>Expedido</v>
      </c>
      <c r="P2964" s="5" t="s">
        <v>25</v>
      </c>
      <c r="S2964" s="7">
        <f>IF(ISBLANK(M2964),"Aguardando Previsão/Data",NETWORKDAYS(L2964,M2964)-1)</f>
        <v>-3</v>
      </c>
      <c r="T2964" s="5" t="s">
        <v>942</v>
      </c>
    </row>
    <row r="2965" spans="1:20" x14ac:dyDescent="0.35">
      <c r="A2965" s="5">
        <v>8100280593</v>
      </c>
      <c r="B2965" s="5">
        <v>13438</v>
      </c>
      <c r="C2965" s="6">
        <v>45679</v>
      </c>
      <c r="D2965" s="5" t="s">
        <v>91</v>
      </c>
      <c r="E2965" s="5" t="s">
        <v>92</v>
      </c>
      <c r="F2965" s="5" t="s">
        <v>176</v>
      </c>
      <c r="G2965" s="5" t="s">
        <v>177</v>
      </c>
      <c r="H2965" s="5" t="s">
        <v>21</v>
      </c>
      <c r="I2965" s="5" t="s">
        <v>499</v>
      </c>
      <c r="J2965" s="5" t="s">
        <v>500</v>
      </c>
      <c r="K2965" s="5" t="s">
        <v>95</v>
      </c>
      <c r="L2965" s="6">
        <v>45687</v>
      </c>
      <c r="M2965" s="6">
        <v>45686</v>
      </c>
      <c r="N2965" s="6" t="s">
        <v>811</v>
      </c>
      <c r="O2965" s="5" t="str">
        <f ca="1">IF(P2965&lt;&gt;"EXPEDIÇÃO","Expedido",IF(NETWORKDAYS(C2965,TODAY())&gt;=5,"Risco Alto",IF(NETWORKDAYS(C2965,TODAY())&gt;=3,IF(NETWORKDAYS(C2965,TODAY())&lt;5,"Risco Médio",""),IF(NETWORKDAYS(C2965,TODAY())&lt;=2,"Risco Baixo",""))))</f>
        <v>Expedido</v>
      </c>
      <c r="P2965" s="5" t="s">
        <v>25</v>
      </c>
      <c r="S2965" s="7">
        <f>IF(ISBLANK(M2965),"Aguardando Previsão/Data",NETWORKDAYS(L2965,M2965)-1)</f>
        <v>-3</v>
      </c>
      <c r="T2965" s="5" t="s">
        <v>942</v>
      </c>
    </row>
    <row r="2966" spans="1:20" x14ac:dyDescent="0.35">
      <c r="A2966" s="5">
        <v>8100280594</v>
      </c>
      <c r="B2966" s="5">
        <v>13406</v>
      </c>
      <c r="C2966" s="6">
        <v>45679</v>
      </c>
      <c r="D2966" s="5" t="s">
        <v>91</v>
      </c>
      <c r="E2966" s="5" t="s">
        <v>92</v>
      </c>
      <c r="F2966" s="5" t="s">
        <v>96</v>
      </c>
      <c r="G2966" s="5" t="s">
        <v>97</v>
      </c>
      <c r="H2966" s="5" t="s">
        <v>21</v>
      </c>
      <c r="I2966" s="5" t="s">
        <v>1463</v>
      </c>
      <c r="J2966" s="5" t="s">
        <v>1464</v>
      </c>
      <c r="K2966" s="5" t="s">
        <v>101</v>
      </c>
      <c r="L2966" s="6">
        <v>45688</v>
      </c>
      <c r="M2966" s="6">
        <v>45684</v>
      </c>
      <c r="N2966" s="6" t="s">
        <v>811</v>
      </c>
      <c r="O2966" s="5" t="str">
        <f ca="1">IF(P2966&lt;&gt;"EXPEDIÇÃO","Expedido",IF(NETWORKDAYS(C2966,TODAY())&gt;=5,"Risco Alto",IF(NETWORKDAYS(C2966,TODAY())&gt;=3,IF(NETWORKDAYS(C2966,TODAY())&lt;5,"Risco Médio",""),IF(NETWORKDAYS(C2966,TODAY())&lt;=2,"Risco Baixo",""))))</f>
        <v>Expedido</v>
      </c>
      <c r="P2966" s="5" t="s">
        <v>25</v>
      </c>
      <c r="S2966" s="7">
        <f>IF(ISBLANK(M2966),"Aguardando Previsão/Data",NETWORKDAYS(L2966,M2966)-1)</f>
        <v>-6</v>
      </c>
      <c r="T2966" s="5" t="s">
        <v>942</v>
      </c>
    </row>
    <row r="2967" spans="1:20" x14ac:dyDescent="0.35">
      <c r="A2967" s="5">
        <v>8100280597</v>
      </c>
      <c r="B2967" s="5">
        <v>13412</v>
      </c>
      <c r="C2967" s="6">
        <v>45679</v>
      </c>
      <c r="D2967" s="5" t="s">
        <v>91</v>
      </c>
      <c r="E2967" s="5" t="s">
        <v>92</v>
      </c>
      <c r="F2967" s="5" t="s">
        <v>103</v>
      </c>
      <c r="G2967" s="5" t="s">
        <v>104</v>
      </c>
      <c r="H2967" s="5" t="s">
        <v>21</v>
      </c>
      <c r="I2967" s="5" t="s">
        <v>1465</v>
      </c>
      <c r="J2967" s="5" t="s">
        <v>273</v>
      </c>
      <c r="K2967" s="5" t="s">
        <v>274</v>
      </c>
      <c r="L2967" s="6">
        <v>45688</v>
      </c>
      <c r="M2967" s="6">
        <v>45686</v>
      </c>
      <c r="N2967" s="6" t="s">
        <v>811</v>
      </c>
      <c r="O2967" s="5" t="str">
        <f ca="1">IF(P2967&lt;&gt;"EXPEDIÇÃO","Expedido",IF(NETWORKDAYS(C2967,TODAY())&gt;=5,"Risco Alto",IF(NETWORKDAYS(C2967,TODAY())&gt;=3,IF(NETWORKDAYS(C2967,TODAY())&lt;5,"Risco Médio",""),IF(NETWORKDAYS(C2967,TODAY())&lt;=2,"Risco Baixo",""))))</f>
        <v>Expedido</v>
      </c>
      <c r="P2967" s="5" t="s">
        <v>25</v>
      </c>
      <c r="S2967" s="7">
        <f>IF(ISBLANK(M2967),"Aguardando Previsão/Data",NETWORKDAYS(L2967,M2967)-1)</f>
        <v>-4</v>
      </c>
      <c r="T2967" s="5" t="s">
        <v>942</v>
      </c>
    </row>
    <row r="2968" spans="1:20" x14ac:dyDescent="0.35">
      <c r="A2968" s="5">
        <v>8100280598</v>
      </c>
      <c r="B2968" s="5">
        <v>13411</v>
      </c>
      <c r="C2968" s="6">
        <v>45679</v>
      </c>
      <c r="D2968" s="5" t="s">
        <v>91</v>
      </c>
      <c r="E2968" s="5" t="s">
        <v>92</v>
      </c>
      <c r="F2968" s="5" t="s">
        <v>103</v>
      </c>
      <c r="G2968" s="5" t="s">
        <v>104</v>
      </c>
      <c r="H2968" s="5" t="s">
        <v>21</v>
      </c>
      <c r="I2968" s="5" t="s">
        <v>1466</v>
      </c>
      <c r="J2968" s="5" t="s">
        <v>578</v>
      </c>
      <c r="K2968" s="5" t="s">
        <v>274</v>
      </c>
      <c r="L2968" s="6">
        <v>45688</v>
      </c>
      <c r="M2968" s="6">
        <v>45684</v>
      </c>
      <c r="N2968" s="6" t="s">
        <v>811</v>
      </c>
      <c r="O2968" s="5" t="str">
        <f ca="1">IF(P2968&lt;&gt;"EXPEDIÇÃO","Expedido",IF(NETWORKDAYS(C2968,TODAY())&gt;=5,"Risco Alto",IF(NETWORKDAYS(C2968,TODAY())&gt;=3,IF(NETWORKDAYS(C2968,TODAY())&lt;5,"Risco Médio",""),IF(NETWORKDAYS(C2968,TODAY())&lt;=2,"Risco Baixo",""))))</f>
        <v>Expedido</v>
      </c>
      <c r="P2968" s="5" t="s">
        <v>25</v>
      </c>
      <c r="S2968" s="7">
        <f>IF(ISBLANK(M2968),"Aguardando Previsão/Data",NETWORKDAYS(L2968,M2968)-1)</f>
        <v>-6</v>
      </c>
      <c r="T2968" s="5" t="s">
        <v>942</v>
      </c>
    </row>
    <row r="2969" spans="1:20" x14ac:dyDescent="0.35">
      <c r="A2969" s="5">
        <v>8100280599</v>
      </c>
      <c r="B2969" s="5">
        <v>13401</v>
      </c>
      <c r="C2969" s="6">
        <v>45679</v>
      </c>
      <c r="D2969" s="5" t="s">
        <v>91</v>
      </c>
      <c r="E2969" s="5" t="s">
        <v>92</v>
      </c>
      <c r="F2969" s="5" t="s">
        <v>103</v>
      </c>
      <c r="G2969" s="5" t="s">
        <v>104</v>
      </c>
      <c r="H2969" s="5" t="s">
        <v>21</v>
      </c>
      <c r="I2969" s="5" t="s">
        <v>1467</v>
      </c>
      <c r="J2969" s="5" t="s">
        <v>273</v>
      </c>
      <c r="K2969" s="5" t="s">
        <v>274</v>
      </c>
      <c r="L2969" s="6">
        <v>45688</v>
      </c>
      <c r="M2969" s="6">
        <v>45687</v>
      </c>
      <c r="N2969" s="6" t="s">
        <v>811</v>
      </c>
      <c r="O2969" s="5" t="str">
        <f ca="1">IF(P2969&lt;&gt;"EXPEDIÇÃO","Expedido",IF(NETWORKDAYS(C2969,TODAY())&gt;=5,"Risco Alto",IF(NETWORKDAYS(C2969,TODAY())&gt;=3,IF(NETWORKDAYS(C2969,TODAY())&lt;5,"Risco Médio",""),IF(NETWORKDAYS(C2969,TODAY())&lt;=2,"Risco Baixo",""))))</f>
        <v>Expedido</v>
      </c>
      <c r="P2969" s="5" t="s">
        <v>617</v>
      </c>
      <c r="S2969" s="7">
        <f>IF(ISBLANK(M2969),"Aguardando Previsão/Data",NETWORKDAYS(L2969,M2969)-1)</f>
        <v>-3</v>
      </c>
    </row>
    <row r="2970" spans="1:20" x14ac:dyDescent="0.35">
      <c r="A2970" s="5">
        <v>8100280603</v>
      </c>
      <c r="B2970" s="5">
        <v>13407</v>
      </c>
      <c r="C2970" s="6">
        <v>45679</v>
      </c>
      <c r="D2970" s="5" t="s">
        <v>91</v>
      </c>
      <c r="E2970" s="5" t="s">
        <v>92</v>
      </c>
      <c r="F2970" s="5" t="s">
        <v>103</v>
      </c>
      <c r="G2970" s="5" t="s">
        <v>104</v>
      </c>
      <c r="H2970" s="5" t="s">
        <v>21</v>
      </c>
      <c r="I2970" s="5" t="s">
        <v>1468</v>
      </c>
      <c r="J2970" s="5" t="s">
        <v>575</v>
      </c>
      <c r="K2970" s="5" t="s">
        <v>423</v>
      </c>
      <c r="L2970" s="6">
        <v>45688</v>
      </c>
      <c r="M2970" s="6">
        <v>45684</v>
      </c>
      <c r="N2970" s="6" t="s">
        <v>811</v>
      </c>
      <c r="O2970" s="5" t="str">
        <f ca="1">IF(P2970&lt;&gt;"EXPEDIÇÃO","Expedido",IF(NETWORKDAYS(C2970,TODAY())&gt;=5,"Risco Alto",IF(NETWORKDAYS(C2970,TODAY())&gt;=3,IF(NETWORKDAYS(C2970,TODAY())&lt;5,"Risco Médio",""),IF(NETWORKDAYS(C2970,TODAY())&lt;=2,"Risco Baixo",""))))</f>
        <v>Expedido</v>
      </c>
      <c r="P2970" s="5" t="s">
        <v>25</v>
      </c>
      <c r="S2970" s="7">
        <f>IF(ISBLANK(M2970),"Aguardando Previsão/Data",NETWORKDAYS(L2970,M2970)-1)</f>
        <v>-6</v>
      </c>
      <c r="T2970" s="5" t="s">
        <v>942</v>
      </c>
    </row>
    <row r="2971" spans="1:20" x14ac:dyDescent="0.35">
      <c r="A2971" s="5">
        <v>8100280604</v>
      </c>
      <c r="B2971" s="5">
        <v>13415</v>
      </c>
      <c r="C2971" s="6">
        <v>45679</v>
      </c>
      <c r="D2971" s="5" t="s">
        <v>91</v>
      </c>
      <c r="E2971" s="5" t="s">
        <v>92</v>
      </c>
      <c r="F2971" s="5" t="s">
        <v>58</v>
      </c>
      <c r="G2971" s="5" t="s">
        <v>59</v>
      </c>
      <c r="H2971" s="5" t="s">
        <v>21</v>
      </c>
      <c r="I2971" s="5" t="s">
        <v>1459</v>
      </c>
      <c r="J2971" s="5" t="s">
        <v>94</v>
      </c>
      <c r="K2971" s="5" t="s">
        <v>95</v>
      </c>
      <c r="L2971" s="6">
        <v>45692</v>
      </c>
      <c r="M2971" s="6">
        <v>45691</v>
      </c>
      <c r="N2971" s="6" t="s">
        <v>811</v>
      </c>
      <c r="O2971" s="5" t="str">
        <f ca="1">IF(P2971&lt;&gt;"EXPEDIÇÃO","Expedido",IF(NETWORKDAYS(C2971,TODAY())&gt;=5,"Risco Alto",IF(NETWORKDAYS(C2971,TODAY())&gt;=3,IF(NETWORKDAYS(C2971,TODAY())&lt;5,"Risco Médio",""),IF(NETWORKDAYS(C2971,TODAY())&lt;=2,"Risco Baixo",""))))</f>
        <v>Expedido</v>
      </c>
      <c r="P2971" s="5" t="s">
        <v>617</v>
      </c>
      <c r="S2971" s="7">
        <f>IF(ISBLANK(M2971),"Aguardando Previsão/Data",NETWORKDAYS(L2971,M2971)-1)</f>
        <v>-3</v>
      </c>
    </row>
    <row r="2972" spans="1:20" x14ac:dyDescent="0.35">
      <c r="A2972" s="5">
        <v>8100280746</v>
      </c>
      <c r="B2972" s="5">
        <v>13405</v>
      </c>
      <c r="C2972" s="6">
        <v>45679</v>
      </c>
      <c r="D2972" s="5" t="s">
        <v>91</v>
      </c>
      <c r="E2972" s="5" t="s">
        <v>92</v>
      </c>
      <c r="F2972" s="5" t="s">
        <v>96</v>
      </c>
      <c r="G2972" s="5" t="s">
        <v>97</v>
      </c>
      <c r="H2972" s="5" t="s">
        <v>21</v>
      </c>
      <c r="I2972" s="5" t="s">
        <v>1470</v>
      </c>
      <c r="J2972" s="5" t="s">
        <v>636</v>
      </c>
      <c r="K2972" s="5" t="s">
        <v>95</v>
      </c>
      <c r="L2972" s="6">
        <v>45686</v>
      </c>
      <c r="M2972" s="6">
        <v>45680</v>
      </c>
      <c r="N2972" s="6" t="s">
        <v>811</v>
      </c>
      <c r="O2972" s="5" t="str">
        <f ca="1">IF(P2972&lt;&gt;"EXPEDIÇÃO","Expedido",IF(NETWORKDAYS(C2972,TODAY())&gt;=5,"Risco Alto",IF(NETWORKDAYS(C2972,TODAY())&gt;=3,IF(NETWORKDAYS(C2972,TODAY())&lt;5,"Risco Médio",""),IF(NETWORKDAYS(C2972,TODAY())&lt;=2,"Risco Baixo",""))))</f>
        <v>Expedido</v>
      </c>
      <c r="P2972" s="5" t="s">
        <v>25</v>
      </c>
      <c r="S2972" s="7">
        <f>IF(ISBLANK(M2972),"Aguardando Previsão/Data",NETWORKDAYS(L2972,M2972)-1)</f>
        <v>-6</v>
      </c>
      <c r="T2972" s="5" t="s">
        <v>942</v>
      </c>
    </row>
    <row r="2973" spans="1:20" x14ac:dyDescent="0.35">
      <c r="A2973" s="5">
        <v>8100280999</v>
      </c>
      <c r="B2973" s="5">
        <v>13403</v>
      </c>
      <c r="C2973" s="6">
        <v>45679</v>
      </c>
      <c r="D2973" s="5" t="s">
        <v>91</v>
      </c>
      <c r="E2973" s="5" t="s">
        <v>92</v>
      </c>
      <c r="F2973" s="5" t="s">
        <v>103</v>
      </c>
      <c r="G2973" s="5" t="s">
        <v>104</v>
      </c>
      <c r="H2973" s="5" t="s">
        <v>21</v>
      </c>
      <c r="I2973" s="5" t="s">
        <v>1170</v>
      </c>
      <c r="J2973" s="5" t="s">
        <v>273</v>
      </c>
      <c r="K2973" s="5" t="s">
        <v>274</v>
      </c>
      <c r="L2973" s="6">
        <v>45688</v>
      </c>
      <c r="M2973" s="6">
        <v>45686</v>
      </c>
      <c r="N2973" s="6" t="s">
        <v>811</v>
      </c>
      <c r="O2973" s="5" t="str">
        <f ca="1">IF(P2973&lt;&gt;"EXPEDIÇÃO","Expedido",IF(NETWORKDAYS(C2973,TODAY())&gt;=5,"Risco Alto",IF(NETWORKDAYS(C2973,TODAY())&gt;=3,IF(NETWORKDAYS(C2973,TODAY())&lt;5,"Risco Médio",""),IF(NETWORKDAYS(C2973,TODAY())&lt;=2,"Risco Baixo",""))))</f>
        <v>Expedido</v>
      </c>
      <c r="P2973" s="5" t="s">
        <v>25</v>
      </c>
      <c r="S2973" s="7">
        <f>IF(ISBLANK(M2973),"Aguardando Previsão/Data",NETWORKDAYS(L2973,M2973)-1)</f>
        <v>-4</v>
      </c>
      <c r="T2973" s="5" t="s">
        <v>942</v>
      </c>
    </row>
    <row r="2974" spans="1:20" x14ac:dyDescent="0.35">
      <c r="A2974" s="5">
        <v>8100281000</v>
      </c>
      <c r="B2974" s="5">
        <v>13399</v>
      </c>
      <c r="C2974" s="6">
        <v>45679</v>
      </c>
      <c r="D2974" s="5" t="s">
        <v>91</v>
      </c>
      <c r="E2974" s="5" t="s">
        <v>92</v>
      </c>
      <c r="F2974" s="5" t="s">
        <v>103</v>
      </c>
      <c r="G2974" s="5" t="s">
        <v>104</v>
      </c>
      <c r="H2974" s="5" t="s">
        <v>21</v>
      </c>
      <c r="I2974" s="5" t="s">
        <v>1471</v>
      </c>
      <c r="J2974" s="5" t="s">
        <v>637</v>
      </c>
      <c r="K2974" s="5" t="s">
        <v>423</v>
      </c>
      <c r="L2974" s="6">
        <v>45688</v>
      </c>
      <c r="M2974" s="6">
        <v>45687</v>
      </c>
      <c r="N2974" s="6" t="s">
        <v>811</v>
      </c>
      <c r="O2974" s="5" t="str">
        <f ca="1">IF(P2974&lt;&gt;"EXPEDIÇÃO","Expedido",IF(NETWORKDAYS(C2974,TODAY())&gt;=5,"Risco Alto",IF(NETWORKDAYS(C2974,TODAY())&gt;=3,IF(NETWORKDAYS(C2974,TODAY())&lt;5,"Risco Médio",""),IF(NETWORKDAYS(C2974,TODAY())&lt;=2,"Risco Baixo",""))))</f>
        <v>Expedido</v>
      </c>
      <c r="P2974" s="5" t="s">
        <v>617</v>
      </c>
      <c r="S2974" s="7">
        <f>IF(ISBLANK(M2974),"Aguardando Previsão/Data",NETWORKDAYS(L2974,M2974)-1)</f>
        <v>-3</v>
      </c>
    </row>
    <row r="2975" spans="1:20" x14ac:dyDescent="0.35">
      <c r="A2975" s="5">
        <v>8100281233</v>
      </c>
      <c r="B2975" s="5">
        <v>13421</v>
      </c>
      <c r="C2975" s="6">
        <v>45679</v>
      </c>
      <c r="D2975" s="5" t="s">
        <v>91</v>
      </c>
      <c r="E2975" s="5" t="s">
        <v>92</v>
      </c>
      <c r="F2975" s="5" t="s">
        <v>103</v>
      </c>
      <c r="G2975" s="5" t="s">
        <v>104</v>
      </c>
      <c r="H2975" s="5" t="s">
        <v>21</v>
      </c>
      <c r="I2975" s="5" t="s">
        <v>919</v>
      </c>
      <c r="J2975" s="5" t="s">
        <v>677</v>
      </c>
      <c r="K2975" s="5" t="s">
        <v>274</v>
      </c>
      <c r="L2975" s="6">
        <v>45691</v>
      </c>
      <c r="M2975" s="6">
        <v>45686</v>
      </c>
      <c r="N2975" s="6" t="s">
        <v>811</v>
      </c>
      <c r="O2975" s="5" t="str">
        <f ca="1">IF(P2975&lt;&gt;"EXPEDIÇÃO","Expedido",IF(NETWORKDAYS(C2975,TODAY())&gt;=5,"Risco Alto",IF(NETWORKDAYS(C2975,TODAY())&gt;=3,IF(NETWORKDAYS(C2975,TODAY())&lt;5,"Risco Médio",""),IF(NETWORKDAYS(C2975,TODAY())&lt;=2,"Risco Baixo",""))))</f>
        <v>Expedido</v>
      </c>
      <c r="P2975" s="5" t="s">
        <v>25</v>
      </c>
      <c r="S2975" s="7">
        <f>IF(ISBLANK(M2975),"Aguardando Previsão/Data",NETWORKDAYS(L2975,M2975)-1)</f>
        <v>-5</v>
      </c>
      <c r="T2975" s="5" t="s">
        <v>942</v>
      </c>
    </row>
    <row r="2976" spans="1:20" x14ac:dyDescent="0.35">
      <c r="A2976" s="5">
        <v>8100281234</v>
      </c>
      <c r="B2976" s="5">
        <v>13422</v>
      </c>
      <c r="C2976" s="6">
        <v>45679</v>
      </c>
      <c r="D2976" s="5" t="s">
        <v>91</v>
      </c>
      <c r="E2976" s="5" t="s">
        <v>92</v>
      </c>
      <c r="F2976" s="5" t="s">
        <v>103</v>
      </c>
      <c r="G2976" s="5" t="s">
        <v>104</v>
      </c>
      <c r="H2976" s="5" t="s">
        <v>21</v>
      </c>
      <c r="I2976" s="5" t="s">
        <v>919</v>
      </c>
      <c r="J2976" s="5" t="s">
        <v>677</v>
      </c>
      <c r="K2976" s="5" t="s">
        <v>274</v>
      </c>
      <c r="L2976" s="6">
        <v>45691</v>
      </c>
      <c r="M2976" s="6">
        <v>45686</v>
      </c>
      <c r="N2976" s="6" t="s">
        <v>811</v>
      </c>
      <c r="O2976" s="5" t="str">
        <f ca="1">IF(P2976&lt;&gt;"EXPEDIÇÃO","Expedido",IF(NETWORKDAYS(C2976,TODAY())&gt;=5,"Risco Alto",IF(NETWORKDAYS(C2976,TODAY())&gt;=3,IF(NETWORKDAYS(C2976,TODAY())&lt;5,"Risco Médio",""),IF(NETWORKDAYS(C2976,TODAY())&lt;=2,"Risco Baixo",""))))</f>
        <v>Expedido</v>
      </c>
      <c r="P2976" s="5" t="s">
        <v>25</v>
      </c>
      <c r="S2976" s="7">
        <f>IF(ISBLANK(M2976),"Aguardando Previsão/Data",NETWORKDAYS(L2976,M2976)-1)</f>
        <v>-5</v>
      </c>
      <c r="T2976" s="5" t="s">
        <v>942</v>
      </c>
    </row>
    <row r="2977" spans="1:20" x14ac:dyDescent="0.35">
      <c r="A2977" s="5">
        <v>8100281235</v>
      </c>
      <c r="B2977" s="5">
        <v>13423</v>
      </c>
      <c r="C2977" s="6">
        <v>45679</v>
      </c>
      <c r="D2977" s="5" t="s">
        <v>91</v>
      </c>
      <c r="E2977" s="5" t="s">
        <v>92</v>
      </c>
      <c r="F2977" s="5" t="s">
        <v>103</v>
      </c>
      <c r="G2977" s="5" t="s">
        <v>104</v>
      </c>
      <c r="H2977" s="5" t="s">
        <v>21</v>
      </c>
      <c r="I2977" s="5" t="s">
        <v>919</v>
      </c>
      <c r="J2977" s="5" t="s">
        <v>677</v>
      </c>
      <c r="K2977" s="5" t="s">
        <v>274</v>
      </c>
      <c r="L2977" s="6">
        <v>45691</v>
      </c>
      <c r="M2977" s="6">
        <v>45686</v>
      </c>
      <c r="N2977" s="6" t="s">
        <v>811</v>
      </c>
      <c r="O2977" s="5" t="str">
        <f ca="1">IF(P2977&lt;&gt;"EXPEDIÇÃO","Expedido",IF(NETWORKDAYS(C2977,TODAY())&gt;=5,"Risco Alto",IF(NETWORKDAYS(C2977,TODAY())&gt;=3,IF(NETWORKDAYS(C2977,TODAY())&lt;5,"Risco Médio",""),IF(NETWORKDAYS(C2977,TODAY())&lt;=2,"Risco Baixo",""))))</f>
        <v>Expedido</v>
      </c>
      <c r="P2977" s="5" t="s">
        <v>25</v>
      </c>
      <c r="S2977" s="7">
        <f>IF(ISBLANK(M2977),"Aguardando Previsão/Data",NETWORKDAYS(L2977,M2977)-1)</f>
        <v>-5</v>
      </c>
      <c r="T2977" s="5" t="s">
        <v>942</v>
      </c>
    </row>
    <row r="2978" spans="1:20" x14ac:dyDescent="0.35">
      <c r="A2978" s="5">
        <v>8100281236</v>
      </c>
      <c r="B2978" s="5">
        <v>13416</v>
      </c>
      <c r="C2978" s="6">
        <v>45679</v>
      </c>
      <c r="D2978" s="5" t="s">
        <v>91</v>
      </c>
      <c r="E2978" s="5" t="s">
        <v>92</v>
      </c>
      <c r="F2978" s="5" t="s">
        <v>96</v>
      </c>
      <c r="G2978" s="5" t="s">
        <v>97</v>
      </c>
      <c r="H2978" s="5" t="s">
        <v>21</v>
      </c>
      <c r="I2978" s="5" t="s">
        <v>1477</v>
      </c>
      <c r="J2978" s="5" t="s">
        <v>472</v>
      </c>
      <c r="K2978" s="5" t="s">
        <v>95</v>
      </c>
      <c r="L2978" s="6">
        <v>45686</v>
      </c>
      <c r="M2978" s="6">
        <v>45679</v>
      </c>
      <c r="N2978" s="6" t="s">
        <v>811</v>
      </c>
      <c r="O2978" s="5" t="str">
        <f ca="1">IF(P2978&lt;&gt;"EXPEDIÇÃO","Expedido",IF(NETWORKDAYS(C2978,TODAY())&gt;=5,"Risco Alto",IF(NETWORKDAYS(C2978,TODAY())&gt;=3,IF(NETWORKDAYS(C2978,TODAY())&lt;5,"Risco Médio",""),IF(NETWORKDAYS(C2978,TODAY())&lt;=2,"Risco Baixo",""))))</f>
        <v>Expedido</v>
      </c>
      <c r="P2978" s="5" t="s">
        <v>25</v>
      </c>
      <c r="Q2978" s="5" t="s">
        <v>824</v>
      </c>
      <c r="S2978" s="7">
        <f>IF(ISBLANK(M2978),"Aguardando Previsão/Data",NETWORKDAYS(L2978,M2978)-1)</f>
        <v>-7</v>
      </c>
      <c r="T2978" s="5" t="s">
        <v>942</v>
      </c>
    </row>
    <row r="2979" spans="1:20" x14ac:dyDescent="0.35">
      <c r="A2979" s="5">
        <v>8100281237</v>
      </c>
      <c r="B2979" s="5">
        <v>13419</v>
      </c>
      <c r="C2979" s="6">
        <v>45679</v>
      </c>
      <c r="D2979" s="5" t="s">
        <v>91</v>
      </c>
      <c r="E2979" s="5" t="s">
        <v>92</v>
      </c>
      <c r="F2979" s="5" t="s">
        <v>103</v>
      </c>
      <c r="G2979" s="5" t="s">
        <v>104</v>
      </c>
      <c r="H2979" s="5" t="s">
        <v>21</v>
      </c>
      <c r="I2979" s="5" t="s">
        <v>1478</v>
      </c>
      <c r="J2979" s="5" t="s">
        <v>575</v>
      </c>
      <c r="K2979" s="5" t="s">
        <v>423</v>
      </c>
      <c r="L2979" s="6">
        <v>45688</v>
      </c>
      <c r="M2979" s="6">
        <v>45685</v>
      </c>
      <c r="N2979" s="6" t="s">
        <v>811</v>
      </c>
      <c r="O2979" s="5" t="str">
        <f ca="1">IF(P2979&lt;&gt;"EXPEDIÇÃO","Expedido",IF(NETWORKDAYS(C2979,TODAY())&gt;=5,"Risco Alto",IF(NETWORKDAYS(C2979,TODAY())&gt;=3,IF(NETWORKDAYS(C2979,TODAY())&lt;5,"Risco Médio",""),IF(NETWORKDAYS(C2979,TODAY())&lt;=2,"Risco Baixo",""))))</f>
        <v>Expedido</v>
      </c>
      <c r="P2979" s="5" t="s">
        <v>25</v>
      </c>
      <c r="S2979" s="7">
        <f>IF(ISBLANK(M2979),"Aguardando Previsão/Data",NETWORKDAYS(L2979,M2979)-1)</f>
        <v>-5</v>
      </c>
      <c r="T2979" s="5" t="s">
        <v>942</v>
      </c>
    </row>
    <row r="2980" spans="1:20" x14ac:dyDescent="0.35">
      <c r="A2980" s="5">
        <v>8100281239</v>
      </c>
      <c r="B2980" s="5">
        <v>13424</v>
      </c>
      <c r="C2980" s="6">
        <v>45679</v>
      </c>
      <c r="D2980" s="5" t="s">
        <v>91</v>
      </c>
      <c r="E2980" s="5" t="s">
        <v>92</v>
      </c>
      <c r="F2980" s="5" t="s">
        <v>96</v>
      </c>
      <c r="G2980" s="5" t="s">
        <v>97</v>
      </c>
      <c r="H2980" s="5" t="s">
        <v>21</v>
      </c>
      <c r="I2980" s="5" t="s">
        <v>532</v>
      </c>
      <c r="J2980" s="5" t="s">
        <v>536</v>
      </c>
      <c r="K2980" s="5" t="s">
        <v>101</v>
      </c>
      <c r="L2980" s="6">
        <v>45688</v>
      </c>
      <c r="M2980" s="6">
        <v>45684</v>
      </c>
      <c r="N2980" s="6" t="s">
        <v>811</v>
      </c>
      <c r="O2980" s="5" t="str">
        <f ca="1">IF(P2980&lt;&gt;"EXPEDIÇÃO","Expedido",IF(NETWORKDAYS(C2980,TODAY())&gt;=5,"Risco Alto",IF(NETWORKDAYS(C2980,TODAY())&gt;=3,IF(NETWORKDAYS(C2980,TODAY())&lt;5,"Risco Médio",""),IF(NETWORKDAYS(C2980,TODAY())&lt;=2,"Risco Baixo",""))))</f>
        <v>Expedido</v>
      </c>
      <c r="P2980" s="5" t="s">
        <v>25</v>
      </c>
      <c r="S2980" s="7">
        <f>IF(ISBLANK(M2980),"Aguardando Previsão/Data",NETWORKDAYS(L2980,M2980)-1)</f>
        <v>-6</v>
      </c>
      <c r="T2980" s="5" t="s">
        <v>942</v>
      </c>
    </row>
    <row r="2981" spans="1:20" x14ac:dyDescent="0.35">
      <c r="A2981" s="5">
        <v>8100281240</v>
      </c>
      <c r="B2981" s="5">
        <v>13425</v>
      </c>
      <c r="C2981" s="6">
        <v>45679</v>
      </c>
      <c r="D2981" s="5" t="s">
        <v>91</v>
      </c>
      <c r="E2981" s="5" t="s">
        <v>92</v>
      </c>
      <c r="F2981" s="5" t="s">
        <v>96</v>
      </c>
      <c r="G2981" s="5" t="s">
        <v>97</v>
      </c>
      <c r="H2981" s="5" t="s">
        <v>21</v>
      </c>
      <c r="I2981" s="5" t="s">
        <v>532</v>
      </c>
      <c r="J2981" s="5" t="s">
        <v>536</v>
      </c>
      <c r="K2981" s="5" t="s">
        <v>101</v>
      </c>
      <c r="L2981" s="6">
        <v>45688</v>
      </c>
      <c r="M2981" s="6">
        <v>45684</v>
      </c>
      <c r="N2981" s="6" t="s">
        <v>811</v>
      </c>
      <c r="O2981" s="5" t="str">
        <f ca="1">IF(P2981&lt;&gt;"EXPEDIÇÃO","Expedido",IF(NETWORKDAYS(C2981,TODAY())&gt;=5,"Risco Alto",IF(NETWORKDAYS(C2981,TODAY())&gt;=3,IF(NETWORKDAYS(C2981,TODAY())&lt;5,"Risco Médio",""),IF(NETWORKDAYS(C2981,TODAY())&lt;=2,"Risco Baixo",""))))</f>
        <v>Expedido</v>
      </c>
      <c r="P2981" s="5" t="s">
        <v>25</v>
      </c>
      <c r="S2981" s="7">
        <f>IF(ISBLANK(M2981),"Aguardando Previsão/Data",NETWORKDAYS(L2981,M2981)-1)</f>
        <v>-6</v>
      </c>
      <c r="T2981" s="5" t="s">
        <v>942</v>
      </c>
    </row>
    <row r="2982" spans="1:20" x14ac:dyDescent="0.35">
      <c r="A2982" s="5">
        <v>8100281241</v>
      </c>
      <c r="B2982" s="5">
        <v>13420</v>
      </c>
      <c r="C2982" s="6">
        <v>45679</v>
      </c>
      <c r="D2982" s="5" t="s">
        <v>91</v>
      </c>
      <c r="E2982" s="5" t="s">
        <v>92</v>
      </c>
      <c r="F2982" s="5" t="s">
        <v>96</v>
      </c>
      <c r="G2982" s="5" t="s">
        <v>97</v>
      </c>
      <c r="H2982" s="5" t="s">
        <v>21</v>
      </c>
      <c r="I2982" s="5" t="s">
        <v>98</v>
      </c>
      <c r="J2982" s="5" t="s">
        <v>99</v>
      </c>
      <c r="K2982" s="5" t="s">
        <v>95</v>
      </c>
      <c r="L2982" s="6">
        <v>45685</v>
      </c>
      <c r="M2982" s="6">
        <v>45684</v>
      </c>
      <c r="N2982" s="6" t="s">
        <v>811</v>
      </c>
      <c r="O2982" s="5" t="str">
        <f ca="1">IF(P2982&lt;&gt;"EXPEDIÇÃO","Expedido",IF(NETWORKDAYS(C2982,TODAY())&gt;=5,"Risco Alto",IF(NETWORKDAYS(C2982,TODAY())&gt;=3,IF(NETWORKDAYS(C2982,TODAY())&lt;5,"Risco Médio",""),IF(NETWORKDAYS(C2982,TODAY())&lt;=2,"Risco Baixo",""))))</f>
        <v>Expedido</v>
      </c>
      <c r="P2982" s="5" t="s">
        <v>25</v>
      </c>
      <c r="S2982" s="7">
        <f>IF(ISBLANK(M2982),"Aguardando Previsão/Data",NETWORKDAYS(L2982,M2982)-1)</f>
        <v>-3</v>
      </c>
      <c r="T2982" s="5" t="s">
        <v>942</v>
      </c>
    </row>
    <row r="2983" spans="1:20" x14ac:dyDescent="0.35">
      <c r="A2983" s="5">
        <v>8100281242</v>
      </c>
      <c r="B2983" s="5">
        <v>13417</v>
      </c>
      <c r="C2983" s="6">
        <v>45679</v>
      </c>
      <c r="D2983" s="5" t="s">
        <v>91</v>
      </c>
      <c r="E2983" s="5" t="s">
        <v>92</v>
      </c>
      <c r="F2983" s="5" t="s">
        <v>176</v>
      </c>
      <c r="G2983" s="5" t="s">
        <v>177</v>
      </c>
      <c r="H2983" s="5" t="s">
        <v>21</v>
      </c>
      <c r="I2983" s="5" t="s">
        <v>499</v>
      </c>
      <c r="J2983" s="5" t="s">
        <v>500</v>
      </c>
      <c r="K2983" s="5" t="s">
        <v>95</v>
      </c>
      <c r="L2983" s="6">
        <v>45687</v>
      </c>
      <c r="M2983" s="6">
        <v>45686</v>
      </c>
      <c r="N2983" s="6" t="s">
        <v>811</v>
      </c>
      <c r="O2983" s="5" t="str">
        <f ca="1">IF(P2983&lt;&gt;"EXPEDIÇÃO","Expedido",IF(NETWORKDAYS(C2983,TODAY())&gt;=5,"Risco Alto",IF(NETWORKDAYS(C2983,TODAY())&gt;=3,IF(NETWORKDAYS(C2983,TODAY())&lt;5,"Risco Médio",""),IF(NETWORKDAYS(C2983,TODAY())&lt;=2,"Risco Baixo",""))))</f>
        <v>Expedido</v>
      </c>
      <c r="P2983" s="5" t="s">
        <v>25</v>
      </c>
      <c r="S2983" s="7">
        <f>IF(ISBLANK(M2983),"Aguardando Previsão/Data",NETWORKDAYS(L2983,M2983)-1)</f>
        <v>-3</v>
      </c>
      <c r="T2983" s="5" t="s">
        <v>942</v>
      </c>
    </row>
    <row r="2984" spans="1:20" x14ac:dyDescent="0.35">
      <c r="A2984" s="5">
        <v>8100281377</v>
      </c>
      <c r="B2984" s="5">
        <v>13418</v>
      </c>
      <c r="C2984" s="6">
        <v>45679</v>
      </c>
      <c r="D2984" s="5" t="s">
        <v>91</v>
      </c>
      <c r="E2984" s="5" t="s">
        <v>92</v>
      </c>
      <c r="F2984" s="5" t="s">
        <v>196</v>
      </c>
      <c r="G2984" s="5" t="s">
        <v>197</v>
      </c>
      <c r="H2984" s="5" t="s">
        <v>21</v>
      </c>
      <c r="I2984" s="5" t="s">
        <v>1479</v>
      </c>
      <c r="J2984" s="5" t="s">
        <v>426</v>
      </c>
      <c r="K2984" s="5" t="s">
        <v>95</v>
      </c>
      <c r="L2984" s="6">
        <v>45686</v>
      </c>
      <c r="M2984" s="6">
        <v>45681</v>
      </c>
      <c r="N2984" s="6" t="s">
        <v>811</v>
      </c>
      <c r="O2984" s="5" t="str">
        <f ca="1">IF(P2984&lt;&gt;"EXPEDIÇÃO","Expedido",IF(NETWORKDAYS(C2984,TODAY())&gt;=5,"Risco Alto",IF(NETWORKDAYS(C2984,TODAY())&gt;=3,IF(NETWORKDAYS(C2984,TODAY())&lt;5,"Risco Médio",""),IF(NETWORKDAYS(C2984,TODAY())&lt;=2,"Risco Baixo",""))))</f>
        <v>Expedido</v>
      </c>
      <c r="P2984" s="5" t="s">
        <v>25</v>
      </c>
      <c r="S2984" s="7">
        <f>IF(ISBLANK(M2984),"Aguardando Previsão/Data",NETWORKDAYS(L2984,M2984)-1)</f>
        <v>-5</v>
      </c>
      <c r="T2984" s="5" t="s">
        <v>942</v>
      </c>
    </row>
    <row r="2985" spans="1:20" x14ac:dyDescent="0.35">
      <c r="A2985" s="5">
        <v>8100281538</v>
      </c>
      <c r="B2985" s="5">
        <v>13426</v>
      </c>
      <c r="C2985" s="6">
        <v>45679</v>
      </c>
      <c r="D2985" s="5" t="s">
        <v>91</v>
      </c>
      <c r="E2985" s="5" t="s">
        <v>92</v>
      </c>
      <c r="F2985" s="5" t="s">
        <v>196</v>
      </c>
      <c r="G2985" s="5" t="s">
        <v>197</v>
      </c>
      <c r="H2985" s="5" t="s">
        <v>21</v>
      </c>
      <c r="I2985" s="5" t="s">
        <v>792</v>
      </c>
      <c r="J2985" s="5" t="s">
        <v>637</v>
      </c>
      <c r="K2985" s="5" t="s">
        <v>423</v>
      </c>
      <c r="L2985" s="6">
        <v>45688</v>
      </c>
      <c r="M2985" s="6">
        <v>45686</v>
      </c>
      <c r="N2985" s="6" t="s">
        <v>811</v>
      </c>
      <c r="O2985" s="5" t="str">
        <f ca="1">IF(P2985&lt;&gt;"EXPEDIÇÃO","Expedido",IF(NETWORKDAYS(C2985,TODAY())&gt;=5,"Risco Alto",IF(NETWORKDAYS(C2985,TODAY())&gt;=3,IF(NETWORKDAYS(C2985,TODAY())&lt;5,"Risco Médio",""),IF(NETWORKDAYS(C2985,TODAY())&lt;=2,"Risco Baixo",""))))</f>
        <v>Expedido</v>
      </c>
      <c r="P2985" s="5" t="s">
        <v>25</v>
      </c>
      <c r="S2985" s="7">
        <f>IF(ISBLANK(M2985),"Aguardando Previsão/Data",NETWORKDAYS(L2985,M2985)-1)</f>
        <v>-4</v>
      </c>
      <c r="T2985" s="5" t="s">
        <v>942</v>
      </c>
    </row>
    <row r="2986" spans="1:20" x14ac:dyDescent="0.35">
      <c r="A2986" s="5">
        <v>8100281541</v>
      </c>
      <c r="B2986" s="5">
        <v>13427</v>
      </c>
      <c r="C2986" s="6">
        <v>45679</v>
      </c>
      <c r="D2986" s="5" t="s">
        <v>91</v>
      </c>
      <c r="E2986" s="5" t="s">
        <v>92</v>
      </c>
      <c r="F2986" s="5" t="s">
        <v>196</v>
      </c>
      <c r="G2986" s="5" t="s">
        <v>197</v>
      </c>
      <c r="H2986" s="5" t="s">
        <v>21</v>
      </c>
      <c r="I2986" s="5" t="s">
        <v>886</v>
      </c>
      <c r="J2986" s="5" t="s">
        <v>424</v>
      </c>
      <c r="K2986" s="5" t="s">
        <v>95</v>
      </c>
      <c r="L2986" s="6">
        <v>45686</v>
      </c>
      <c r="M2986" s="6">
        <v>45681</v>
      </c>
      <c r="N2986" s="6" t="s">
        <v>811</v>
      </c>
      <c r="O2986" s="5" t="str">
        <f ca="1">IF(P2986&lt;&gt;"EXPEDIÇÃO","Expedido",IF(NETWORKDAYS(C2986,TODAY())&gt;=5,"Risco Alto",IF(NETWORKDAYS(C2986,TODAY())&gt;=3,IF(NETWORKDAYS(C2986,TODAY())&lt;5,"Risco Médio",""),IF(NETWORKDAYS(C2986,TODAY())&lt;=2,"Risco Baixo",""))))</f>
        <v>Expedido</v>
      </c>
      <c r="P2986" s="5" t="s">
        <v>25</v>
      </c>
      <c r="S2986" s="7">
        <f>IF(ISBLANK(M2986),"Aguardando Previsão/Data",NETWORKDAYS(L2986,M2986)-1)</f>
        <v>-5</v>
      </c>
      <c r="T2986" s="5" t="s">
        <v>942</v>
      </c>
    </row>
    <row r="2987" spans="1:20" x14ac:dyDescent="0.35">
      <c r="A2987" s="5">
        <v>8100281542</v>
      </c>
      <c r="B2987" s="5">
        <v>13428</v>
      </c>
      <c r="C2987" s="6">
        <v>45679</v>
      </c>
      <c r="D2987" s="5" t="s">
        <v>91</v>
      </c>
      <c r="E2987" s="5" t="s">
        <v>92</v>
      </c>
      <c r="F2987" s="5" t="s">
        <v>196</v>
      </c>
      <c r="G2987" s="5" t="s">
        <v>197</v>
      </c>
      <c r="H2987" s="5" t="s">
        <v>21</v>
      </c>
      <c r="I2987" s="5" t="s">
        <v>886</v>
      </c>
      <c r="J2987" s="5" t="s">
        <v>424</v>
      </c>
      <c r="K2987" s="5" t="s">
        <v>95</v>
      </c>
      <c r="L2987" s="6">
        <v>45686</v>
      </c>
      <c r="M2987" s="6">
        <v>45681</v>
      </c>
      <c r="N2987" s="6" t="s">
        <v>811</v>
      </c>
      <c r="O2987" s="5" t="str">
        <f ca="1">IF(P2987&lt;&gt;"EXPEDIÇÃO","Expedido",IF(NETWORKDAYS(C2987,TODAY())&gt;=5,"Risco Alto",IF(NETWORKDAYS(C2987,TODAY())&gt;=3,IF(NETWORKDAYS(C2987,TODAY())&lt;5,"Risco Médio",""),IF(NETWORKDAYS(C2987,TODAY())&lt;=2,"Risco Baixo",""))))</f>
        <v>Expedido</v>
      </c>
      <c r="P2987" s="5" t="s">
        <v>25</v>
      </c>
      <c r="S2987" s="7">
        <f>IF(ISBLANK(M2987),"Aguardando Previsão/Data",NETWORKDAYS(L2987,M2987)-1)</f>
        <v>-5</v>
      </c>
      <c r="T2987" s="5" t="s">
        <v>942</v>
      </c>
    </row>
    <row r="2988" spans="1:20" x14ac:dyDescent="0.35">
      <c r="A2988" s="5">
        <v>8100281544</v>
      </c>
      <c r="B2988" s="5">
        <v>13429</v>
      </c>
      <c r="C2988" s="6">
        <v>45679</v>
      </c>
      <c r="D2988" s="5" t="s">
        <v>91</v>
      </c>
      <c r="E2988" s="5" t="s">
        <v>92</v>
      </c>
      <c r="F2988" s="5" t="s">
        <v>196</v>
      </c>
      <c r="G2988" s="5" t="s">
        <v>197</v>
      </c>
      <c r="H2988" s="5" t="s">
        <v>21</v>
      </c>
      <c r="I2988" s="5" t="s">
        <v>790</v>
      </c>
      <c r="J2988" s="5" t="s">
        <v>424</v>
      </c>
      <c r="K2988" s="5" t="s">
        <v>95</v>
      </c>
      <c r="L2988" s="6">
        <v>45686</v>
      </c>
      <c r="M2988" s="6">
        <v>45685</v>
      </c>
      <c r="N2988" s="6" t="s">
        <v>811</v>
      </c>
      <c r="O2988" s="5" t="str">
        <f ca="1">IF(P2988&lt;&gt;"EXPEDIÇÃO","Expedido",IF(NETWORKDAYS(C2988,TODAY())&gt;=5,"Risco Alto",IF(NETWORKDAYS(C2988,TODAY())&gt;=3,IF(NETWORKDAYS(C2988,TODAY())&lt;5,"Risco Médio",""),IF(NETWORKDAYS(C2988,TODAY())&lt;=2,"Risco Baixo",""))))</f>
        <v>Expedido</v>
      </c>
      <c r="P2988" s="5" t="s">
        <v>25</v>
      </c>
      <c r="S2988" s="7">
        <f>IF(ISBLANK(M2988),"Aguardando Previsão/Data",NETWORKDAYS(L2988,M2988)-1)</f>
        <v>-3</v>
      </c>
      <c r="T2988" s="5" t="s">
        <v>942</v>
      </c>
    </row>
    <row r="2989" spans="1:20" x14ac:dyDescent="0.35">
      <c r="A2989" s="5">
        <v>8100281610</v>
      </c>
      <c r="B2989" s="5">
        <v>13439</v>
      </c>
      <c r="C2989" s="6">
        <v>45679</v>
      </c>
      <c r="D2989" s="5" t="s">
        <v>91</v>
      </c>
      <c r="E2989" s="5" t="s">
        <v>92</v>
      </c>
      <c r="F2989" s="5" t="s">
        <v>103</v>
      </c>
      <c r="G2989" s="5" t="s">
        <v>104</v>
      </c>
      <c r="H2989" s="5" t="s">
        <v>21</v>
      </c>
      <c r="I2989" s="5" t="s">
        <v>1321</v>
      </c>
      <c r="J2989" s="5" t="s">
        <v>695</v>
      </c>
      <c r="K2989" s="5" t="s">
        <v>274</v>
      </c>
      <c r="L2989" s="6">
        <v>45691</v>
      </c>
      <c r="M2989" s="6">
        <v>45688</v>
      </c>
      <c r="N2989" s="6" t="s">
        <v>811</v>
      </c>
      <c r="O2989" s="5" t="str">
        <f ca="1">IF(P2989&lt;&gt;"EXPEDIÇÃO","Expedido",IF(NETWORKDAYS(C2989,TODAY())&gt;=5,"Risco Alto",IF(NETWORKDAYS(C2989,TODAY())&gt;=3,IF(NETWORKDAYS(C2989,TODAY())&lt;5,"Risco Médio",""),IF(NETWORKDAYS(C2989,TODAY())&lt;=2,"Risco Baixo",""))))</f>
        <v>Expedido</v>
      </c>
      <c r="P2989" s="5" t="s">
        <v>617</v>
      </c>
      <c r="S2989" s="7">
        <f>IF(ISBLANK(M2989),"Aguardando Previsão/Data",NETWORKDAYS(L2989,M2989)-1)</f>
        <v>-3</v>
      </c>
    </row>
    <row r="2990" spans="1:20" x14ac:dyDescent="0.35">
      <c r="A2990" s="5">
        <v>8100281632</v>
      </c>
      <c r="B2990" s="5">
        <v>13435</v>
      </c>
      <c r="C2990" s="6">
        <v>45679</v>
      </c>
      <c r="D2990" s="5" t="s">
        <v>91</v>
      </c>
      <c r="E2990" s="5" t="s">
        <v>92</v>
      </c>
      <c r="F2990" s="5" t="s">
        <v>196</v>
      </c>
      <c r="G2990" s="5" t="s">
        <v>197</v>
      </c>
      <c r="H2990" s="5" t="s">
        <v>21</v>
      </c>
      <c r="I2990" s="5" t="s">
        <v>886</v>
      </c>
      <c r="J2990" s="5" t="s">
        <v>424</v>
      </c>
      <c r="K2990" s="5" t="s">
        <v>95</v>
      </c>
      <c r="L2990" s="6">
        <v>45686</v>
      </c>
      <c r="M2990" s="6">
        <v>45681</v>
      </c>
      <c r="N2990" s="6" t="s">
        <v>811</v>
      </c>
      <c r="O2990" s="5" t="str">
        <f ca="1">IF(P2990&lt;&gt;"EXPEDIÇÃO","Expedido",IF(NETWORKDAYS(C2990,TODAY())&gt;=5,"Risco Alto",IF(NETWORKDAYS(C2990,TODAY())&gt;=3,IF(NETWORKDAYS(C2990,TODAY())&lt;5,"Risco Médio",""),IF(NETWORKDAYS(C2990,TODAY())&lt;=2,"Risco Baixo",""))))</f>
        <v>Expedido</v>
      </c>
      <c r="P2990" s="5" t="s">
        <v>25</v>
      </c>
      <c r="S2990" s="7">
        <f>IF(ISBLANK(M2990),"Aguardando Previsão/Data",NETWORKDAYS(L2990,M2990)-1)</f>
        <v>-5</v>
      </c>
      <c r="T2990" s="5" t="s">
        <v>942</v>
      </c>
    </row>
    <row r="2991" spans="1:20" x14ac:dyDescent="0.35">
      <c r="A2991" s="5">
        <v>8100281647</v>
      </c>
      <c r="B2991" s="5">
        <v>13434</v>
      </c>
      <c r="C2991" s="6">
        <v>45679</v>
      </c>
      <c r="D2991" s="5" t="s">
        <v>91</v>
      </c>
      <c r="E2991" s="5" t="s">
        <v>92</v>
      </c>
      <c r="F2991" s="5" t="s">
        <v>96</v>
      </c>
      <c r="G2991" s="5" t="s">
        <v>97</v>
      </c>
      <c r="H2991" s="5" t="s">
        <v>21</v>
      </c>
      <c r="I2991" s="5" t="s">
        <v>1063</v>
      </c>
      <c r="J2991" s="5" t="s">
        <v>99</v>
      </c>
      <c r="K2991" s="5" t="s">
        <v>95</v>
      </c>
      <c r="L2991" s="6">
        <v>45685</v>
      </c>
      <c r="M2991" s="6">
        <v>45679</v>
      </c>
      <c r="N2991" s="6" t="s">
        <v>811</v>
      </c>
      <c r="O2991" s="5" t="str">
        <f ca="1">IF(P2991&lt;&gt;"EXPEDIÇÃO","Expedido",IF(NETWORKDAYS(C2991,TODAY())&gt;=5,"Risco Alto",IF(NETWORKDAYS(C2991,TODAY())&gt;=3,IF(NETWORKDAYS(C2991,TODAY())&lt;5,"Risco Médio",""),IF(NETWORKDAYS(C2991,TODAY())&lt;=2,"Risco Baixo",""))))</f>
        <v>Expedido</v>
      </c>
      <c r="P2991" s="5" t="s">
        <v>25</v>
      </c>
      <c r="Q2991" s="5" t="s">
        <v>824</v>
      </c>
      <c r="S2991" s="7">
        <f>IF(ISBLANK(M2991),"Aguardando Previsão/Data",NETWORKDAYS(L2991,M2991)-1)</f>
        <v>-6</v>
      </c>
      <c r="T2991" s="5" t="s">
        <v>942</v>
      </c>
    </row>
    <row r="2992" spans="1:20" x14ac:dyDescent="0.35">
      <c r="A2992" s="5">
        <v>8100281406</v>
      </c>
      <c r="B2992" s="5">
        <v>21580</v>
      </c>
      <c r="C2992" s="6">
        <v>45679</v>
      </c>
      <c r="D2992" s="5" t="s">
        <v>836</v>
      </c>
      <c r="E2992" s="5" t="s">
        <v>837</v>
      </c>
      <c r="F2992" s="5" t="s">
        <v>39</v>
      </c>
      <c r="G2992" s="5" t="s">
        <v>40</v>
      </c>
      <c r="H2992" s="5" t="s">
        <v>21</v>
      </c>
      <c r="I2992" s="5" t="s">
        <v>609</v>
      </c>
      <c r="J2992" s="5" t="s">
        <v>41</v>
      </c>
      <c r="K2992" s="5" t="s">
        <v>24</v>
      </c>
      <c r="L2992" s="6">
        <v>45685</v>
      </c>
      <c r="M2992" s="6">
        <v>45685</v>
      </c>
      <c r="N2992" s="6" t="s">
        <v>811</v>
      </c>
      <c r="O2992" s="5" t="str">
        <f ca="1">IF(P2992&lt;&gt;"EXPEDIÇÃO","Expedido",IF(NETWORKDAYS(C2992,TODAY())&gt;=5,"Risco Alto",IF(NETWORKDAYS(C2992,TODAY())&gt;=3,IF(NETWORKDAYS(C2992,TODAY())&lt;5,"Risco Médio",""),IF(NETWORKDAYS(C2992,TODAY())&lt;=2,"Risco Baixo",""))))</f>
        <v>Expedido</v>
      </c>
      <c r="P2992" s="5" t="s">
        <v>25</v>
      </c>
      <c r="S2992" s="7">
        <f>IF(ISBLANK(M2992),"Aguardando Previsão/Data",NETWORKDAYS(L2992,M2992)-1)</f>
        <v>0</v>
      </c>
      <c r="T2992" s="5" t="s">
        <v>942</v>
      </c>
    </row>
    <row r="2993" spans="1:20" x14ac:dyDescent="0.35">
      <c r="A2993" s="5">
        <v>8100281407</v>
      </c>
      <c r="B2993" s="5">
        <v>21581</v>
      </c>
      <c r="C2993" s="6">
        <v>45679</v>
      </c>
      <c r="D2993" s="5" t="s">
        <v>836</v>
      </c>
      <c r="E2993" s="5" t="s">
        <v>837</v>
      </c>
      <c r="F2993" s="5" t="s">
        <v>39</v>
      </c>
      <c r="G2993" s="5" t="s">
        <v>40</v>
      </c>
      <c r="H2993" s="5" t="s">
        <v>21</v>
      </c>
      <c r="I2993" s="5" t="s">
        <v>842</v>
      </c>
      <c r="J2993" s="5" t="s">
        <v>848</v>
      </c>
      <c r="K2993" s="5" t="s">
        <v>24</v>
      </c>
      <c r="L2993" s="6">
        <v>45688</v>
      </c>
      <c r="M2993" s="6">
        <v>45686</v>
      </c>
      <c r="N2993" s="6" t="s">
        <v>811</v>
      </c>
      <c r="O2993" s="5" t="str">
        <f ca="1">IF(P2993&lt;&gt;"EXPEDIÇÃO","Expedido",IF(NETWORKDAYS(C2993,TODAY())&gt;=5,"Risco Alto",IF(NETWORKDAYS(C2993,TODAY())&gt;=3,IF(NETWORKDAYS(C2993,TODAY())&lt;5,"Risco Médio",""),IF(NETWORKDAYS(C2993,TODAY())&lt;=2,"Risco Baixo",""))))</f>
        <v>Expedido</v>
      </c>
      <c r="P2993" s="5" t="s">
        <v>25</v>
      </c>
      <c r="S2993" s="7">
        <f>IF(ISBLANK(M2993),"Aguardando Previsão/Data",NETWORKDAYS(L2993,M2993)-1)</f>
        <v>-4</v>
      </c>
      <c r="T2993" s="5" t="s">
        <v>942</v>
      </c>
    </row>
    <row r="2994" spans="1:20" x14ac:dyDescent="0.35">
      <c r="A2994" s="5">
        <v>8100281065</v>
      </c>
      <c r="B2994" s="5">
        <v>10933</v>
      </c>
      <c r="C2994" s="6">
        <v>45679</v>
      </c>
      <c r="D2994" s="5" t="s">
        <v>239</v>
      </c>
      <c r="E2994" s="5" t="s">
        <v>240</v>
      </c>
      <c r="F2994" s="5" t="s">
        <v>176</v>
      </c>
      <c r="G2994" s="5" t="s">
        <v>177</v>
      </c>
      <c r="H2994" s="5" t="s">
        <v>218</v>
      </c>
      <c r="I2994" s="5" t="s">
        <v>915</v>
      </c>
      <c r="J2994" s="5" t="s">
        <v>797</v>
      </c>
      <c r="K2994" s="5" t="s">
        <v>241</v>
      </c>
      <c r="L2994" s="6">
        <v>45686</v>
      </c>
      <c r="M2994" s="6">
        <v>45686</v>
      </c>
      <c r="N2994" s="6" t="s">
        <v>811</v>
      </c>
      <c r="O2994" s="5" t="str">
        <f ca="1">IF(P2994&lt;&gt;"EXPEDIÇÃO","Expedido",IF(NETWORKDAYS(C2994,TODAY())&gt;=5,"Risco Alto",IF(NETWORKDAYS(C2994,TODAY())&gt;=3,IF(NETWORKDAYS(C2994,TODAY())&lt;5,"Risco Médio",""),IF(NETWORKDAYS(C2994,TODAY())&lt;=2,"Risco Baixo",""))))</f>
        <v>Expedido</v>
      </c>
      <c r="P2994" s="5" t="s">
        <v>25</v>
      </c>
      <c r="Q2994" s="5" t="s">
        <v>793</v>
      </c>
      <c r="S2994" s="7">
        <f>IF(ISBLANK(M2994),"Aguardando Previsão/Data",NETWORKDAYS(L2994,M2994)-1)</f>
        <v>0</v>
      </c>
      <c r="T2994" s="5" t="s">
        <v>942</v>
      </c>
    </row>
    <row r="2995" spans="1:20" x14ac:dyDescent="0.35">
      <c r="A2995" s="5">
        <v>8100281066</v>
      </c>
      <c r="B2995" s="5">
        <v>10934</v>
      </c>
      <c r="C2995" s="6">
        <v>45679</v>
      </c>
      <c r="D2995" s="5" t="s">
        <v>239</v>
      </c>
      <c r="E2995" s="5" t="s">
        <v>240</v>
      </c>
      <c r="F2995" s="5" t="s">
        <v>176</v>
      </c>
      <c r="G2995" s="5" t="s">
        <v>177</v>
      </c>
      <c r="H2995" s="5" t="s">
        <v>218</v>
      </c>
      <c r="I2995" s="5" t="s">
        <v>915</v>
      </c>
      <c r="J2995" s="5" t="s">
        <v>797</v>
      </c>
      <c r="K2995" s="5" t="s">
        <v>241</v>
      </c>
      <c r="L2995" s="6">
        <v>45686</v>
      </c>
      <c r="M2995" s="6">
        <v>45686</v>
      </c>
      <c r="N2995" s="6" t="s">
        <v>811</v>
      </c>
      <c r="O2995" s="5" t="str">
        <f ca="1">IF(P2995&lt;&gt;"EXPEDIÇÃO","Expedido",IF(NETWORKDAYS(C2995,TODAY())&gt;=5,"Risco Alto",IF(NETWORKDAYS(C2995,TODAY())&gt;=3,IF(NETWORKDAYS(C2995,TODAY())&lt;5,"Risco Médio",""),IF(NETWORKDAYS(C2995,TODAY())&lt;=2,"Risco Baixo",""))))</f>
        <v>Expedido</v>
      </c>
      <c r="P2995" s="5" t="s">
        <v>25</v>
      </c>
      <c r="Q2995" s="5" t="s">
        <v>793</v>
      </c>
      <c r="S2995" s="7">
        <f>IF(ISBLANK(M2995),"Aguardando Previsão/Data",NETWORKDAYS(L2995,M2995)-1)</f>
        <v>0</v>
      </c>
      <c r="T2995" s="5" t="s">
        <v>942</v>
      </c>
    </row>
    <row r="2996" spans="1:20" x14ac:dyDescent="0.35">
      <c r="A2996" s="5">
        <v>8100281219</v>
      </c>
      <c r="B2996" s="5">
        <v>10935</v>
      </c>
      <c r="C2996" s="6">
        <v>45679</v>
      </c>
      <c r="D2996" s="5" t="s">
        <v>239</v>
      </c>
      <c r="E2996" s="5" t="s">
        <v>240</v>
      </c>
      <c r="F2996" s="5" t="s">
        <v>176</v>
      </c>
      <c r="G2996" s="5" t="s">
        <v>177</v>
      </c>
      <c r="H2996" s="5" t="s">
        <v>218</v>
      </c>
      <c r="I2996" s="5" t="s">
        <v>429</v>
      </c>
      <c r="J2996" s="5" t="s">
        <v>430</v>
      </c>
      <c r="K2996" s="5" t="s">
        <v>241</v>
      </c>
      <c r="L2996" s="6">
        <v>45686</v>
      </c>
      <c r="M2996" s="6">
        <v>45687</v>
      </c>
      <c r="N2996" s="6" t="s">
        <v>811</v>
      </c>
      <c r="O2996" s="5" t="str">
        <f ca="1">IF(P2996&lt;&gt;"EXPEDIÇÃO","Expedido",IF(NETWORKDAYS(C2996,TODAY())&gt;=5,"Risco Alto",IF(NETWORKDAYS(C2996,TODAY())&gt;=3,IF(NETWORKDAYS(C2996,TODAY())&lt;5,"Risco Médio",""),IF(NETWORKDAYS(C2996,TODAY())&lt;=2,"Risco Baixo",""))))</f>
        <v>Expedido</v>
      </c>
      <c r="P2996" s="5" t="s">
        <v>25</v>
      </c>
      <c r="Q2996" s="5" t="s">
        <v>897</v>
      </c>
      <c r="S2996" s="7">
        <f>IF(ISBLANK(M2996),"Aguardando Previsão/Data",NETWORKDAYS(L2996,M2996)-1)</f>
        <v>1</v>
      </c>
      <c r="T2996" s="5" t="s">
        <v>942</v>
      </c>
    </row>
    <row r="2997" spans="1:20" x14ac:dyDescent="0.35">
      <c r="A2997" s="5">
        <v>8100281220</v>
      </c>
      <c r="B2997" s="5">
        <v>10936</v>
      </c>
      <c r="C2997" s="6">
        <v>45679</v>
      </c>
      <c r="D2997" s="5" t="s">
        <v>239</v>
      </c>
      <c r="E2997" s="5" t="s">
        <v>240</v>
      </c>
      <c r="F2997" s="5" t="s">
        <v>176</v>
      </c>
      <c r="G2997" s="5" t="s">
        <v>177</v>
      </c>
      <c r="H2997" s="5" t="s">
        <v>218</v>
      </c>
      <c r="I2997" s="5" t="s">
        <v>429</v>
      </c>
      <c r="J2997" s="5" t="s">
        <v>430</v>
      </c>
      <c r="K2997" s="5" t="s">
        <v>241</v>
      </c>
      <c r="L2997" s="6">
        <v>45686</v>
      </c>
      <c r="M2997" s="6">
        <v>45687</v>
      </c>
      <c r="N2997" s="6" t="s">
        <v>811</v>
      </c>
      <c r="O2997" s="5" t="str">
        <f ca="1">IF(P2997&lt;&gt;"EXPEDIÇÃO","Expedido",IF(NETWORKDAYS(C2997,TODAY())&gt;=5,"Risco Alto",IF(NETWORKDAYS(C2997,TODAY())&gt;=3,IF(NETWORKDAYS(C2997,TODAY())&lt;5,"Risco Médio",""),IF(NETWORKDAYS(C2997,TODAY())&lt;=2,"Risco Baixo",""))))</f>
        <v>Expedido</v>
      </c>
      <c r="P2997" s="5" t="s">
        <v>25</v>
      </c>
      <c r="Q2997" s="5" t="s">
        <v>897</v>
      </c>
      <c r="S2997" s="7">
        <f>IF(ISBLANK(M2997),"Aguardando Previsão/Data",NETWORKDAYS(L2997,M2997)-1)</f>
        <v>1</v>
      </c>
      <c r="T2997" s="5" t="s">
        <v>942</v>
      </c>
    </row>
    <row r="2998" spans="1:20" x14ac:dyDescent="0.35">
      <c r="A2998" s="5">
        <v>8100281221</v>
      </c>
      <c r="B2998" s="5">
        <v>10931</v>
      </c>
      <c r="C2998" s="6">
        <v>45679</v>
      </c>
      <c r="D2998" s="5" t="s">
        <v>239</v>
      </c>
      <c r="E2998" s="5" t="s">
        <v>240</v>
      </c>
      <c r="F2998" s="5" t="s">
        <v>176</v>
      </c>
      <c r="G2998" s="5" t="s">
        <v>177</v>
      </c>
      <c r="H2998" s="5" t="s">
        <v>218</v>
      </c>
      <c r="I2998" s="5" t="s">
        <v>322</v>
      </c>
      <c r="J2998" s="5" t="s">
        <v>323</v>
      </c>
      <c r="K2998" s="5" t="s">
        <v>241</v>
      </c>
      <c r="L2998" s="6">
        <v>45685</v>
      </c>
      <c r="M2998" s="6">
        <v>45686</v>
      </c>
      <c r="N2998" s="6" t="s">
        <v>811</v>
      </c>
      <c r="O2998" s="5" t="str">
        <f ca="1">IF(P2998&lt;&gt;"EXPEDIÇÃO","Expedido",IF(NETWORKDAYS(C2998,TODAY())&gt;=5,"Risco Alto",IF(NETWORKDAYS(C2998,TODAY())&gt;=3,IF(NETWORKDAYS(C2998,TODAY())&lt;5,"Risco Médio",""),IF(NETWORKDAYS(C2998,TODAY())&lt;=2,"Risco Baixo",""))))</f>
        <v>Expedido</v>
      </c>
      <c r="P2998" s="5" t="s">
        <v>25</v>
      </c>
      <c r="Q2998" s="5" t="s">
        <v>897</v>
      </c>
      <c r="S2998" s="7">
        <f>IF(ISBLANK(M2998),"Aguardando Previsão/Data",NETWORKDAYS(L2998,M2998)-1)</f>
        <v>1</v>
      </c>
      <c r="T2998" s="5" t="s">
        <v>942</v>
      </c>
    </row>
    <row r="2999" spans="1:20" x14ac:dyDescent="0.35">
      <c r="A2999" s="5">
        <v>8100281414</v>
      </c>
      <c r="B2999" s="5">
        <v>10932</v>
      </c>
      <c r="C2999" s="6">
        <v>45679</v>
      </c>
      <c r="D2999" s="5" t="s">
        <v>239</v>
      </c>
      <c r="E2999" s="5" t="s">
        <v>240</v>
      </c>
      <c r="F2999" s="5" t="s">
        <v>242</v>
      </c>
      <c r="G2999" s="5" t="s">
        <v>243</v>
      </c>
      <c r="H2999" s="5" t="s">
        <v>218</v>
      </c>
      <c r="I2999" s="5" t="s">
        <v>546</v>
      </c>
      <c r="J2999" s="5" t="s">
        <v>353</v>
      </c>
      <c r="K2999" s="5" t="s">
        <v>241</v>
      </c>
      <c r="L2999" s="6">
        <v>45685</v>
      </c>
      <c r="M2999" s="6">
        <v>45684</v>
      </c>
      <c r="N2999" s="6" t="s">
        <v>811</v>
      </c>
      <c r="O2999" s="5" t="str">
        <f ca="1">IF(P2999&lt;&gt;"EXPEDIÇÃO","Expedido",IF(NETWORKDAYS(C2999,TODAY())&gt;=5,"Risco Alto",IF(NETWORKDAYS(C2999,TODAY())&gt;=3,IF(NETWORKDAYS(C2999,TODAY())&lt;5,"Risco Médio",""),IF(NETWORKDAYS(C2999,TODAY())&lt;=2,"Risco Baixo",""))))</f>
        <v>Expedido</v>
      </c>
      <c r="P2999" s="5" t="s">
        <v>25</v>
      </c>
      <c r="Q2999" s="5" t="s">
        <v>793</v>
      </c>
      <c r="S2999" s="7">
        <f>IF(ISBLANK(M2999),"Aguardando Previsão/Data",NETWORKDAYS(L2999,M2999)-1)</f>
        <v>-3</v>
      </c>
      <c r="T2999" s="5" t="s">
        <v>942</v>
      </c>
    </row>
    <row r="3000" spans="1:20" x14ac:dyDescent="0.35">
      <c r="A3000" s="5">
        <v>8100281415</v>
      </c>
      <c r="B3000" s="5">
        <v>10930</v>
      </c>
      <c r="C3000" s="6">
        <v>45679</v>
      </c>
      <c r="D3000" s="5" t="s">
        <v>239</v>
      </c>
      <c r="E3000" s="5" t="s">
        <v>240</v>
      </c>
      <c r="F3000" s="5" t="s">
        <v>242</v>
      </c>
      <c r="G3000" s="5" t="s">
        <v>243</v>
      </c>
      <c r="H3000" s="5" t="s">
        <v>218</v>
      </c>
      <c r="I3000" s="5" t="s">
        <v>546</v>
      </c>
      <c r="J3000" s="5" t="s">
        <v>1480</v>
      </c>
      <c r="K3000" s="5" t="s">
        <v>241</v>
      </c>
      <c r="L3000" s="6">
        <v>45685</v>
      </c>
      <c r="M3000" s="6">
        <v>45684</v>
      </c>
      <c r="N3000" s="6" t="s">
        <v>811</v>
      </c>
      <c r="O3000" s="5" t="str">
        <f ca="1">IF(P3000&lt;&gt;"EXPEDIÇÃO","Expedido",IF(NETWORKDAYS(C3000,TODAY())&gt;=5,"Risco Alto",IF(NETWORKDAYS(C3000,TODAY())&gt;=3,IF(NETWORKDAYS(C3000,TODAY())&lt;5,"Risco Médio",""),IF(NETWORKDAYS(C3000,TODAY())&lt;=2,"Risco Baixo",""))))</f>
        <v>Expedido</v>
      </c>
      <c r="P3000" s="5" t="s">
        <v>25</v>
      </c>
      <c r="Q3000" s="5" t="s">
        <v>793</v>
      </c>
      <c r="S3000" s="7">
        <f>IF(ISBLANK(M3000),"Aguardando Previsão/Data",NETWORKDAYS(L3000,M3000)-1)</f>
        <v>-3</v>
      </c>
      <c r="T3000" s="5" t="s">
        <v>942</v>
      </c>
    </row>
    <row r="3001" spans="1:20" x14ac:dyDescent="0.35">
      <c r="A3001" s="5">
        <v>8100281416</v>
      </c>
      <c r="B3001" s="5">
        <v>10937</v>
      </c>
      <c r="C3001" s="6">
        <v>45679</v>
      </c>
      <c r="D3001" s="5" t="s">
        <v>239</v>
      </c>
      <c r="E3001" s="5" t="s">
        <v>240</v>
      </c>
      <c r="F3001" s="5" t="s">
        <v>242</v>
      </c>
      <c r="G3001" s="5" t="s">
        <v>243</v>
      </c>
      <c r="H3001" s="5" t="s">
        <v>218</v>
      </c>
      <c r="I3001" s="5" t="s">
        <v>546</v>
      </c>
      <c r="J3001" s="5" t="s">
        <v>1481</v>
      </c>
      <c r="K3001" s="5" t="s">
        <v>241</v>
      </c>
      <c r="L3001" s="6">
        <v>45686</v>
      </c>
      <c r="M3001" s="6">
        <v>45684</v>
      </c>
      <c r="N3001" s="6" t="s">
        <v>811</v>
      </c>
      <c r="O3001" s="5" t="str">
        <f ca="1">IF(P3001&lt;&gt;"EXPEDIÇÃO","Expedido",IF(NETWORKDAYS(C3001,TODAY())&gt;=5,"Risco Alto",IF(NETWORKDAYS(C3001,TODAY())&gt;=3,IF(NETWORKDAYS(C3001,TODAY())&lt;5,"Risco Médio",""),IF(NETWORKDAYS(C3001,TODAY())&lt;=2,"Risco Baixo",""))))</f>
        <v>Expedido</v>
      </c>
      <c r="P3001" s="5" t="s">
        <v>25</v>
      </c>
      <c r="Q3001" s="5" t="s">
        <v>793</v>
      </c>
      <c r="S3001" s="7">
        <f>IF(ISBLANK(M3001),"Aguardando Previsão/Data",NETWORKDAYS(L3001,M3001)-1)</f>
        <v>-4</v>
      </c>
      <c r="T3001" s="5" t="s">
        <v>942</v>
      </c>
    </row>
    <row r="3002" spans="1:20" x14ac:dyDescent="0.35">
      <c r="A3002" s="5">
        <v>8100281417</v>
      </c>
      <c r="B3002" s="5">
        <v>10938</v>
      </c>
      <c r="C3002" s="6">
        <v>45679</v>
      </c>
      <c r="D3002" s="5" t="s">
        <v>239</v>
      </c>
      <c r="E3002" s="5" t="s">
        <v>240</v>
      </c>
      <c r="F3002" s="5" t="s">
        <v>176</v>
      </c>
      <c r="G3002" s="5" t="s">
        <v>177</v>
      </c>
      <c r="H3002" s="5" t="s">
        <v>218</v>
      </c>
      <c r="I3002" s="5" t="s">
        <v>247</v>
      </c>
      <c r="J3002" s="5" t="s">
        <v>248</v>
      </c>
      <c r="K3002" s="5" t="s">
        <v>241</v>
      </c>
      <c r="L3002" s="6">
        <v>45686</v>
      </c>
      <c r="M3002" s="6">
        <v>45686</v>
      </c>
      <c r="N3002" s="6" t="s">
        <v>811</v>
      </c>
      <c r="O3002" s="5" t="str">
        <f ca="1">IF(P3002&lt;&gt;"EXPEDIÇÃO","Expedido",IF(NETWORKDAYS(C3002,TODAY())&gt;=5,"Risco Alto",IF(NETWORKDAYS(C3002,TODAY())&gt;=3,IF(NETWORKDAYS(C3002,TODAY())&lt;5,"Risco Médio",""),IF(NETWORKDAYS(C3002,TODAY())&lt;=2,"Risco Baixo",""))))</f>
        <v>Expedido</v>
      </c>
      <c r="P3002" s="5" t="s">
        <v>25</v>
      </c>
      <c r="Q3002" s="5" t="s">
        <v>793</v>
      </c>
      <c r="S3002" s="7">
        <f>IF(ISBLANK(M3002),"Aguardando Previsão/Data",NETWORKDAYS(L3002,M3002)-1)</f>
        <v>0</v>
      </c>
      <c r="T3002" s="5" t="s">
        <v>942</v>
      </c>
    </row>
    <row r="3003" spans="1:20" x14ac:dyDescent="0.35">
      <c r="A3003" s="5">
        <v>8100281425</v>
      </c>
      <c r="B3003" s="5">
        <v>10948</v>
      </c>
      <c r="C3003" s="6">
        <v>45679</v>
      </c>
      <c r="D3003" s="5" t="s">
        <v>239</v>
      </c>
      <c r="E3003" s="5" t="s">
        <v>240</v>
      </c>
      <c r="F3003" s="5" t="s">
        <v>160</v>
      </c>
      <c r="G3003" s="5" t="s">
        <v>161</v>
      </c>
      <c r="H3003" s="5" t="s">
        <v>218</v>
      </c>
      <c r="I3003" s="5" t="s">
        <v>1100</v>
      </c>
      <c r="J3003" s="5" t="s">
        <v>161</v>
      </c>
      <c r="K3003" s="5" t="s">
        <v>241</v>
      </c>
      <c r="L3003" s="6">
        <v>45685</v>
      </c>
      <c r="M3003" s="6">
        <v>45684</v>
      </c>
      <c r="N3003" s="6" t="s">
        <v>811</v>
      </c>
      <c r="O3003" s="5" t="str">
        <f ca="1">IF(P3003&lt;&gt;"EXPEDIÇÃO","Expedido",IF(NETWORKDAYS(C3003,TODAY())&gt;=5,"Risco Alto",IF(NETWORKDAYS(C3003,TODAY())&gt;=3,IF(NETWORKDAYS(C3003,TODAY())&lt;5,"Risco Médio",""),IF(NETWORKDAYS(C3003,TODAY())&lt;=2,"Risco Baixo",""))))</f>
        <v>Expedido</v>
      </c>
      <c r="P3003" s="5" t="s">
        <v>25</v>
      </c>
      <c r="Q3003" s="5" t="s">
        <v>793</v>
      </c>
      <c r="S3003" s="7">
        <f>IF(ISBLANK(M3003),"Aguardando Previsão/Data",NETWORKDAYS(L3003,M3003)-1)</f>
        <v>-3</v>
      </c>
      <c r="T3003" s="5" t="s">
        <v>942</v>
      </c>
    </row>
    <row r="3004" spans="1:20" x14ac:dyDescent="0.35">
      <c r="A3004" s="5">
        <v>8100281426</v>
      </c>
      <c r="B3004" s="5">
        <v>10943</v>
      </c>
      <c r="C3004" s="6">
        <v>45679</v>
      </c>
      <c r="D3004" s="5" t="s">
        <v>239</v>
      </c>
      <c r="E3004" s="5" t="s">
        <v>240</v>
      </c>
      <c r="F3004" s="5" t="s">
        <v>160</v>
      </c>
      <c r="G3004" s="5" t="s">
        <v>161</v>
      </c>
      <c r="H3004" s="5" t="s">
        <v>218</v>
      </c>
      <c r="I3004" s="5" t="s">
        <v>354</v>
      </c>
      <c r="J3004" s="5" t="s">
        <v>355</v>
      </c>
      <c r="K3004" s="5" t="s">
        <v>241</v>
      </c>
      <c r="L3004" s="6">
        <v>45685</v>
      </c>
      <c r="M3004" s="6">
        <v>45681</v>
      </c>
      <c r="N3004" s="6" t="s">
        <v>811</v>
      </c>
      <c r="O3004" s="5" t="str">
        <f ca="1">IF(P3004&lt;&gt;"EXPEDIÇÃO","Expedido",IF(NETWORKDAYS(C3004,TODAY())&gt;=5,"Risco Alto",IF(NETWORKDAYS(C3004,TODAY())&gt;=3,IF(NETWORKDAYS(C3004,TODAY())&lt;5,"Risco Médio",""),IF(NETWORKDAYS(C3004,TODAY())&lt;=2,"Risco Baixo",""))))</f>
        <v>Expedido</v>
      </c>
      <c r="P3004" s="5" t="s">
        <v>25</v>
      </c>
      <c r="Q3004" s="5" t="s">
        <v>793</v>
      </c>
      <c r="S3004" s="7">
        <f>IF(ISBLANK(M3004),"Aguardando Previsão/Data",NETWORKDAYS(L3004,M3004)-1)</f>
        <v>-4</v>
      </c>
      <c r="T3004" s="5" t="s">
        <v>942</v>
      </c>
    </row>
    <row r="3005" spans="1:20" x14ac:dyDescent="0.35">
      <c r="A3005" s="5">
        <v>8100281427</v>
      </c>
      <c r="B3005" s="5">
        <v>10942</v>
      </c>
      <c r="C3005" s="6">
        <v>45679</v>
      </c>
      <c r="D3005" s="5" t="s">
        <v>239</v>
      </c>
      <c r="E3005" s="5" t="s">
        <v>240</v>
      </c>
      <c r="F3005" s="5" t="s">
        <v>176</v>
      </c>
      <c r="G3005" s="5" t="s">
        <v>177</v>
      </c>
      <c r="H3005" s="5" t="s">
        <v>218</v>
      </c>
      <c r="I3005" s="5" t="s">
        <v>429</v>
      </c>
      <c r="J3005" s="5" t="s">
        <v>430</v>
      </c>
      <c r="K3005" s="5" t="s">
        <v>241</v>
      </c>
      <c r="L3005" s="6">
        <v>45686</v>
      </c>
      <c r="M3005" s="6">
        <v>45687</v>
      </c>
      <c r="N3005" s="6" t="s">
        <v>811</v>
      </c>
      <c r="O3005" s="5" t="str">
        <f ca="1">IF(P3005&lt;&gt;"EXPEDIÇÃO","Expedido",IF(NETWORKDAYS(C3005,TODAY())&gt;=5,"Risco Alto",IF(NETWORKDAYS(C3005,TODAY())&gt;=3,IF(NETWORKDAYS(C3005,TODAY())&lt;5,"Risco Médio",""),IF(NETWORKDAYS(C3005,TODAY())&lt;=2,"Risco Baixo",""))))</f>
        <v>Expedido</v>
      </c>
      <c r="P3005" s="5" t="s">
        <v>25</v>
      </c>
      <c r="Q3005" s="5" t="s">
        <v>897</v>
      </c>
      <c r="S3005" s="7">
        <f>IF(ISBLANK(M3005),"Aguardando Previsão/Data",NETWORKDAYS(L3005,M3005)-1)</f>
        <v>1</v>
      </c>
      <c r="T3005" s="5" t="s">
        <v>942</v>
      </c>
    </row>
    <row r="3006" spans="1:20" x14ac:dyDescent="0.35">
      <c r="A3006" s="5">
        <v>8100281428</v>
      </c>
      <c r="B3006" s="5">
        <v>10939</v>
      </c>
      <c r="C3006" s="6">
        <v>45679</v>
      </c>
      <c r="D3006" s="5" t="s">
        <v>239</v>
      </c>
      <c r="E3006" s="5" t="s">
        <v>240</v>
      </c>
      <c r="F3006" s="5" t="s">
        <v>176</v>
      </c>
      <c r="G3006" s="5" t="s">
        <v>177</v>
      </c>
      <c r="H3006" s="5" t="s">
        <v>218</v>
      </c>
      <c r="I3006" s="5" t="s">
        <v>322</v>
      </c>
      <c r="J3006" s="5" t="s">
        <v>323</v>
      </c>
      <c r="K3006" s="5" t="s">
        <v>241</v>
      </c>
      <c r="L3006" s="6">
        <v>45685</v>
      </c>
      <c r="M3006" s="6">
        <v>45686</v>
      </c>
      <c r="N3006" s="6" t="s">
        <v>811</v>
      </c>
      <c r="O3006" s="5" t="str">
        <f ca="1">IF(P3006&lt;&gt;"EXPEDIÇÃO","Expedido",IF(NETWORKDAYS(C3006,TODAY())&gt;=5,"Risco Alto",IF(NETWORKDAYS(C3006,TODAY())&gt;=3,IF(NETWORKDAYS(C3006,TODAY())&lt;5,"Risco Médio",""),IF(NETWORKDAYS(C3006,TODAY())&lt;=2,"Risco Baixo",""))))</f>
        <v>Expedido</v>
      </c>
      <c r="P3006" s="5" t="s">
        <v>25</v>
      </c>
      <c r="Q3006" s="5" t="s">
        <v>897</v>
      </c>
      <c r="S3006" s="7">
        <f>IF(ISBLANK(M3006),"Aguardando Previsão/Data",NETWORKDAYS(L3006,M3006)-1)</f>
        <v>1</v>
      </c>
      <c r="T3006" s="5" t="s">
        <v>942</v>
      </c>
    </row>
    <row r="3007" spans="1:20" x14ac:dyDescent="0.35">
      <c r="A3007" s="5">
        <v>8100281429</v>
      </c>
      <c r="B3007" s="5">
        <v>10947</v>
      </c>
      <c r="C3007" s="6">
        <v>45679</v>
      </c>
      <c r="D3007" s="5" t="s">
        <v>239</v>
      </c>
      <c r="E3007" s="5" t="s">
        <v>240</v>
      </c>
      <c r="F3007" s="5" t="s">
        <v>160</v>
      </c>
      <c r="G3007" s="5" t="s">
        <v>161</v>
      </c>
      <c r="H3007" s="5" t="s">
        <v>218</v>
      </c>
      <c r="I3007" s="5" t="s">
        <v>356</v>
      </c>
      <c r="J3007" s="5" t="s">
        <v>357</v>
      </c>
      <c r="K3007" s="5" t="s">
        <v>241</v>
      </c>
      <c r="L3007" s="6">
        <v>45685</v>
      </c>
      <c r="M3007" s="6">
        <v>45686</v>
      </c>
      <c r="N3007" s="6" t="s">
        <v>811</v>
      </c>
      <c r="O3007" s="5" t="str">
        <f ca="1">IF(P3007&lt;&gt;"EXPEDIÇÃO","Expedido",IF(NETWORKDAYS(C3007,TODAY())&gt;=5,"Risco Alto",IF(NETWORKDAYS(C3007,TODAY())&gt;=3,IF(NETWORKDAYS(C3007,TODAY())&lt;5,"Risco Médio",""),IF(NETWORKDAYS(C3007,TODAY())&lt;=2,"Risco Baixo",""))))</f>
        <v>Expedido</v>
      </c>
      <c r="P3007" s="5" t="s">
        <v>25</v>
      </c>
      <c r="Q3007" s="5" t="s">
        <v>897</v>
      </c>
      <c r="S3007" s="7">
        <f>IF(ISBLANK(M3007),"Aguardando Previsão/Data",NETWORKDAYS(L3007,M3007)-1)</f>
        <v>1</v>
      </c>
      <c r="T3007" s="5" t="s">
        <v>942</v>
      </c>
    </row>
    <row r="3008" spans="1:20" x14ac:dyDescent="0.35">
      <c r="A3008" s="5">
        <v>8100281430</v>
      </c>
      <c r="B3008" s="5">
        <v>10946</v>
      </c>
      <c r="C3008" s="6">
        <v>45679</v>
      </c>
      <c r="D3008" s="5" t="s">
        <v>239</v>
      </c>
      <c r="E3008" s="5" t="s">
        <v>240</v>
      </c>
      <c r="F3008" s="5" t="s">
        <v>242</v>
      </c>
      <c r="G3008" s="5" t="s">
        <v>243</v>
      </c>
      <c r="H3008" s="5" t="s">
        <v>218</v>
      </c>
      <c r="I3008" s="5" t="s">
        <v>352</v>
      </c>
      <c r="J3008" s="5" t="s">
        <v>353</v>
      </c>
      <c r="K3008" s="5" t="s">
        <v>241</v>
      </c>
      <c r="L3008" s="6">
        <v>45685</v>
      </c>
      <c r="M3008" s="6">
        <v>45684</v>
      </c>
      <c r="N3008" s="6" t="s">
        <v>811</v>
      </c>
      <c r="O3008" s="5" t="str">
        <f ca="1">IF(P3008&lt;&gt;"EXPEDIÇÃO","Expedido",IF(NETWORKDAYS(C3008,TODAY())&gt;=5,"Risco Alto",IF(NETWORKDAYS(C3008,TODAY())&gt;=3,IF(NETWORKDAYS(C3008,TODAY())&lt;5,"Risco Médio",""),IF(NETWORKDAYS(C3008,TODAY())&lt;=2,"Risco Baixo",""))))</f>
        <v>Expedido</v>
      </c>
      <c r="P3008" s="5" t="s">
        <v>25</v>
      </c>
      <c r="Q3008" s="5" t="s">
        <v>793</v>
      </c>
      <c r="S3008" s="7">
        <f>IF(ISBLANK(M3008),"Aguardando Previsão/Data",NETWORKDAYS(L3008,M3008)-1)</f>
        <v>-3</v>
      </c>
      <c r="T3008" s="5" t="s">
        <v>942</v>
      </c>
    </row>
    <row r="3009" spans="1:20" x14ac:dyDescent="0.35">
      <c r="A3009" s="5">
        <v>8100281494</v>
      </c>
      <c r="B3009" s="5">
        <v>10944</v>
      </c>
      <c r="C3009" s="6">
        <v>45679</v>
      </c>
      <c r="D3009" s="5" t="s">
        <v>239</v>
      </c>
      <c r="E3009" s="5" t="s">
        <v>240</v>
      </c>
      <c r="F3009" s="5" t="s">
        <v>160</v>
      </c>
      <c r="G3009" s="5" t="s">
        <v>161</v>
      </c>
      <c r="H3009" s="5" t="s">
        <v>218</v>
      </c>
      <c r="I3009" s="5" t="s">
        <v>354</v>
      </c>
      <c r="J3009" s="5" t="s">
        <v>355</v>
      </c>
      <c r="K3009" s="5" t="s">
        <v>241</v>
      </c>
      <c r="L3009" s="6">
        <v>45685</v>
      </c>
      <c r="M3009" s="6">
        <v>45681</v>
      </c>
      <c r="N3009" s="6" t="s">
        <v>811</v>
      </c>
      <c r="O3009" s="5" t="str">
        <f ca="1">IF(P3009&lt;&gt;"EXPEDIÇÃO","Expedido",IF(NETWORKDAYS(C3009,TODAY())&gt;=5,"Risco Alto",IF(NETWORKDAYS(C3009,TODAY())&gt;=3,IF(NETWORKDAYS(C3009,TODAY())&lt;5,"Risco Médio",""),IF(NETWORKDAYS(C3009,TODAY())&lt;=2,"Risco Baixo",""))))</f>
        <v>Expedido</v>
      </c>
      <c r="P3009" s="5" t="s">
        <v>25</v>
      </c>
      <c r="Q3009" s="5" t="s">
        <v>793</v>
      </c>
      <c r="S3009" s="7">
        <f>IF(ISBLANK(M3009),"Aguardando Previsão/Data",NETWORKDAYS(L3009,M3009)-1)</f>
        <v>-4</v>
      </c>
      <c r="T3009" s="5" t="s">
        <v>942</v>
      </c>
    </row>
    <row r="3010" spans="1:20" x14ac:dyDescent="0.35">
      <c r="A3010" s="5">
        <v>8100281495</v>
      </c>
      <c r="B3010" s="5">
        <v>10945</v>
      </c>
      <c r="C3010" s="6">
        <v>45679</v>
      </c>
      <c r="D3010" s="5" t="s">
        <v>239</v>
      </c>
      <c r="E3010" s="5" t="s">
        <v>240</v>
      </c>
      <c r="F3010" s="5" t="s">
        <v>242</v>
      </c>
      <c r="G3010" s="5" t="s">
        <v>243</v>
      </c>
      <c r="H3010" s="5" t="s">
        <v>218</v>
      </c>
      <c r="I3010" s="5" t="s">
        <v>354</v>
      </c>
      <c r="J3010" s="5" t="s">
        <v>355</v>
      </c>
      <c r="K3010" s="5" t="s">
        <v>241</v>
      </c>
      <c r="L3010" s="6">
        <v>45685</v>
      </c>
      <c r="M3010" s="6">
        <v>45681</v>
      </c>
      <c r="N3010" s="6" t="s">
        <v>811</v>
      </c>
      <c r="O3010" s="5" t="str">
        <f ca="1">IF(P3010&lt;&gt;"EXPEDIÇÃO","Expedido",IF(NETWORKDAYS(C3010,TODAY())&gt;=5,"Risco Alto",IF(NETWORKDAYS(C3010,TODAY())&gt;=3,IF(NETWORKDAYS(C3010,TODAY())&lt;5,"Risco Médio",""),IF(NETWORKDAYS(C3010,TODAY())&lt;=2,"Risco Baixo",""))))</f>
        <v>Expedido</v>
      </c>
      <c r="P3010" s="5" t="s">
        <v>25</v>
      </c>
      <c r="Q3010" s="5" t="s">
        <v>793</v>
      </c>
      <c r="S3010" s="7">
        <f>IF(ISBLANK(M3010),"Aguardando Previsão/Data",NETWORKDAYS(L3010,M3010)-1)</f>
        <v>-4</v>
      </c>
      <c r="T3010" s="5" t="s">
        <v>942</v>
      </c>
    </row>
    <row r="3011" spans="1:20" x14ac:dyDescent="0.35">
      <c r="A3011" s="5">
        <v>8100281496</v>
      </c>
      <c r="B3011" s="5">
        <v>10940</v>
      </c>
      <c r="C3011" s="6">
        <v>45679</v>
      </c>
      <c r="D3011" s="5" t="s">
        <v>239</v>
      </c>
      <c r="E3011" s="5" t="s">
        <v>240</v>
      </c>
      <c r="F3011" s="5" t="s">
        <v>160</v>
      </c>
      <c r="G3011" s="5" t="s">
        <v>161</v>
      </c>
      <c r="H3011" s="5" t="s">
        <v>218</v>
      </c>
      <c r="I3011" s="5" t="s">
        <v>354</v>
      </c>
      <c r="J3011" s="5" t="s">
        <v>641</v>
      </c>
      <c r="K3011" s="5" t="s">
        <v>241</v>
      </c>
      <c r="L3011" s="6">
        <v>45685</v>
      </c>
      <c r="M3011" s="6">
        <v>45684</v>
      </c>
      <c r="N3011" s="6" t="s">
        <v>811</v>
      </c>
      <c r="O3011" s="5" t="str">
        <f ca="1">IF(P3011&lt;&gt;"EXPEDIÇÃO","Expedido",IF(NETWORKDAYS(C3011,TODAY())&gt;=5,"Risco Alto",IF(NETWORKDAYS(C3011,TODAY())&gt;=3,IF(NETWORKDAYS(C3011,TODAY())&lt;5,"Risco Médio",""),IF(NETWORKDAYS(C3011,TODAY())&lt;=2,"Risco Baixo",""))))</f>
        <v>Expedido</v>
      </c>
      <c r="P3011" s="5" t="s">
        <v>25</v>
      </c>
      <c r="Q3011" s="5" t="s">
        <v>793</v>
      </c>
      <c r="S3011" s="7">
        <f>IF(ISBLANK(M3011),"Aguardando Previsão/Data",NETWORKDAYS(L3011,M3011)-1)</f>
        <v>-3</v>
      </c>
      <c r="T3011" s="5" t="s">
        <v>942</v>
      </c>
    </row>
    <row r="3012" spans="1:20" x14ac:dyDescent="0.35">
      <c r="A3012" s="5">
        <v>8100281497</v>
      </c>
      <c r="B3012" s="5">
        <v>10941</v>
      </c>
      <c r="C3012" s="6">
        <v>45679</v>
      </c>
      <c r="D3012" s="5" t="s">
        <v>239</v>
      </c>
      <c r="E3012" s="5" t="s">
        <v>240</v>
      </c>
      <c r="F3012" s="5" t="s">
        <v>160</v>
      </c>
      <c r="G3012" s="5" t="s">
        <v>161</v>
      </c>
      <c r="H3012" s="5" t="s">
        <v>218</v>
      </c>
      <c r="I3012" s="5" t="s">
        <v>354</v>
      </c>
      <c r="J3012" s="5" t="s">
        <v>641</v>
      </c>
      <c r="K3012" s="5" t="s">
        <v>241</v>
      </c>
      <c r="L3012" s="6">
        <v>45685</v>
      </c>
      <c r="M3012" s="6">
        <v>45684</v>
      </c>
      <c r="N3012" s="6" t="s">
        <v>811</v>
      </c>
      <c r="O3012" s="5" t="str">
        <f ca="1">IF(P3012&lt;&gt;"EXPEDIÇÃO","Expedido",IF(NETWORKDAYS(C3012,TODAY())&gt;=5,"Risco Alto",IF(NETWORKDAYS(C3012,TODAY())&gt;=3,IF(NETWORKDAYS(C3012,TODAY())&lt;5,"Risco Médio",""),IF(NETWORKDAYS(C3012,TODAY())&lt;=2,"Risco Baixo",""))))</f>
        <v>Expedido</v>
      </c>
      <c r="P3012" s="5" t="s">
        <v>25</v>
      </c>
      <c r="Q3012" s="5" t="s">
        <v>793</v>
      </c>
      <c r="S3012" s="7">
        <f>IF(ISBLANK(M3012),"Aguardando Previsão/Data",NETWORKDAYS(L3012,M3012)-1)</f>
        <v>-3</v>
      </c>
      <c r="T3012" s="5" t="s">
        <v>942</v>
      </c>
    </row>
    <row r="3013" spans="1:20" x14ac:dyDescent="0.35">
      <c r="A3013" s="5">
        <v>8100281333</v>
      </c>
      <c r="B3013" s="5">
        <v>19545</v>
      </c>
      <c r="C3013" s="6">
        <v>45679</v>
      </c>
      <c r="D3013" s="5" t="s">
        <v>106</v>
      </c>
      <c r="E3013" s="5" t="s">
        <v>107</v>
      </c>
      <c r="F3013" s="5" t="s">
        <v>58</v>
      </c>
      <c r="G3013" s="5" t="s">
        <v>59</v>
      </c>
      <c r="H3013" s="5" t="s">
        <v>218</v>
      </c>
      <c r="I3013" s="5" t="s">
        <v>237</v>
      </c>
      <c r="J3013" s="5" t="s">
        <v>220</v>
      </c>
      <c r="K3013" s="5" t="s">
        <v>221</v>
      </c>
      <c r="L3013" s="6">
        <v>45694</v>
      </c>
      <c r="M3013" s="6">
        <v>45695</v>
      </c>
      <c r="N3013" s="6" t="s">
        <v>812</v>
      </c>
      <c r="O3013" s="5" t="str">
        <f ca="1">IF(P3013&lt;&gt;"EXPEDIÇÃO","Expedido",IF(NETWORKDAYS(C3013,TODAY())&gt;=5,"Risco Alto",IF(NETWORKDAYS(C3013,TODAY())&gt;=3,IF(NETWORKDAYS(C3013,TODAY())&lt;5,"Risco Médio",""),IF(NETWORKDAYS(C3013,TODAY())&lt;=2,"Risco Baixo",""))))</f>
        <v>Expedido</v>
      </c>
      <c r="P3013" s="5" t="s">
        <v>617</v>
      </c>
      <c r="S3013" s="7">
        <f>IF(ISBLANK(M3013),"Aguardando Previsão/Data",NETWORKDAYS(L3013,M3013)-1)</f>
        <v>1</v>
      </c>
    </row>
    <row r="3014" spans="1:20" x14ac:dyDescent="0.35">
      <c r="A3014" s="5">
        <v>8100281335</v>
      </c>
      <c r="B3014" s="5">
        <v>19530</v>
      </c>
      <c r="C3014" s="6">
        <v>45679</v>
      </c>
      <c r="D3014" s="5" t="s">
        <v>106</v>
      </c>
      <c r="E3014" s="5" t="s">
        <v>107</v>
      </c>
      <c r="F3014" s="5" t="s">
        <v>58</v>
      </c>
      <c r="G3014" s="5" t="s">
        <v>59</v>
      </c>
      <c r="H3014" s="5" t="s">
        <v>218</v>
      </c>
      <c r="I3014" s="5" t="s">
        <v>520</v>
      </c>
      <c r="J3014" s="5" t="s">
        <v>684</v>
      </c>
      <c r="K3014" s="5" t="s">
        <v>238</v>
      </c>
      <c r="L3014" s="6">
        <v>45698</v>
      </c>
      <c r="M3014" s="6">
        <v>45693</v>
      </c>
      <c r="N3014" s="6" t="s">
        <v>811</v>
      </c>
      <c r="O3014" s="5" t="str">
        <f ca="1">IF(P3014&lt;&gt;"EXPEDIÇÃO","Expedido",IF(NETWORKDAYS(C3014,TODAY())&gt;=5,"Risco Alto",IF(NETWORKDAYS(C3014,TODAY())&gt;=3,IF(NETWORKDAYS(C3014,TODAY())&lt;5,"Risco Médio",""),IF(NETWORKDAYS(C3014,TODAY())&lt;=2,"Risco Baixo",""))))</f>
        <v>Expedido</v>
      </c>
      <c r="P3014" s="5" t="s">
        <v>617</v>
      </c>
      <c r="S3014" s="7">
        <f>IF(ISBLANK(M3014),"Aguardando Previsão/Data",NETWORKDAYS(L3014,M3014)-1)</f>
        <v>-5</v>
      </c>
    </row>
    <row r="3015" spans="1:20" x14ac:dyDescent="0.35">
      <c r="A3015" s="5">
        <v>8100281336</v>
      </c>
      <c r="B3015" s="5">
        <v>19525</v>
      </c>
      <c r="C3015" s="6">
        <v>45679</v>
      </c>
      <c r="D3015" s="5" t="s">
        <v>106</v>
      </c>
      <c r="E3015" s="5" t="s">
        <v>107</v>
      </c>
      <c r="F3015" s="5" t="s">
        <v>58</v>
      </c>
      <c r="G3015" s="5" t="s">
        <v>59</v>
      </c>
      <c r="H3015" s="5" t="s">
        <v>218</v>
      </c>
      <c r="I3015" s="5" t="s">
        <v>317</v>
      </c>
      <c r="J3015" s="5" t="s">
        <v>770</v>
      </c>
      <c r="K3015" s="5" t="s">
        <v>238</v>
      </c>
      <c r="L3015" s="6">
        <v>45698</v>
      </c>
      <c r="M3015" s="6">
        <v>45693</v>
      </c>
      <c r="N3015" s="6" t="s">
        <v>811</v>
      </c>
      <c r="O3015" s="5" t="str">
        <f ca="1">IF(P3015&lt;&gt;"EXPEDIÇÃO","Expedido",IF(NETWORKDAYS(C3015,TODAY())&gt;=5,"Risco Alto",IF(NETWORKDAYS(C3015,TODAY())&gt;=3,IF(NETWORKDAYS(C3015,TODAY())&lt;5,"Risco Médio",""),IF(NETWORKDAYS(C3015,TODAY())&lt;=2,"Risco Baixo",""))))</f>
        <v>Expedido</v>
      </c>
      <c r="P3015" s="5" t="s">
        <v>617</v>
      </c>
      <c r="S3015" s="7">
        <f>IF(ISBLANK(M3015),"Aguardando Previsão/Data",NETWORKDAYS(L3015,M3015)-1)</f>
        <v>-5</v>
      </c>
    </row>
    <row r="3016" spans="1:20" x14ac:dyDescent="0.35">
      <c r="A3016" s="5">
        <v>8100281340</v>
      </c>
      <c r="B3016" s="5">
        <v>19528</v>
      </c>
      <c r="C3016" s="6">
        <v>45679</v>
      </c>
      <c r="D3016" s="5" t="s">
        <v>106</v>
      </c>
      <c r="E3016" s="5" t="s">
        <v>107</v>
      </c>
      <c r="F3016" s="5" t="s">
        <v>58</v>
      </c>
      <c r="G3016" s="5" t="s">
        <v>59</v>
      </c>
      <c r="H3016" s="5" t="s">
        <v>218</v>
      </c>
      <c r="I3016" s="5" t="s">
        <v>384</v>
      </c>
      <c r="J3016" s="5" t="s">
        <v>487</v>
      </c>
      <c r="K3016" s="5" t="s">
        <v>226</v>
      </c>
      <c r="L3016" s="6">
        <v>45698</v>
      </c>
      <c r="M3016" s="6">
        <v>45688</v>
      </c>
      <c r="N3016" s="6" t="s">
        <v>811</v>
      </c>
      <c r="O3016" s="5" t="str">
        <f ca="1">IF(P3016&lt;&gt;"EXPEDIÇÃO","Expedido",IF(NETWORKDAYS(C3016,TODAY())&gt;=5,"Risco Alto",IF(NETWORKDAYS(C3016,TODAY())&gt;=3,IF(NETWORKDAYS(C3016,TODAY())&lt;5,"Risco Médio",""),IF(NETWORKDAYS(C3016,TODAY())&lt;=2,"Risco Baixo",""))))</f>
        <v>Expedido</v>
      </c>
      <c r="P3016" s="5" t="s">
        <v>617</v>
      </c>
      <c r="S3016" s="7">
        <f>IF(ISBLANK(M3016),"Aguardando Previsão/Data",NETWORKDAYS(L3016,M3016)-1)</f>
        <v>-8</v>
      </c>
    </row>
    <row r="3017" spans="1:20" x14ac:dyDescent="0.35">
      <c r="A3017" s="5">
        <v>8100281343</v>
      </c>
      <c r="B3017" s="5">
        <v>19526</v>
      </c>
      <c r="C3017" s="6">
        <v>45679</v>
      </c>
      <c r="D3017" s="5" t="s">
        <v>106</v>
      </c>
      <c r="E3017" s="5" t="s">
        <v>107</v>
      </c>
      <c r="F3017" s="5" t="s">
        <v>58</v>
      </c>
      <c r="G3017" s="5" t="s">
        <v>59</v>
      </c>
      <c r="H3017" s="5" t="s">
        <v>218</v>
      </c>
      <c r="I3017" s="5" t="s">
        <v>317</v>
      </c>
      <c r="J3017" s="5" t="s">
        <v>1099</v>
      </c>
      <c r="K3017" s="5" t="s">
        <v>233</v>
      </c>
      <c r="L3017" s="6">
        <v>45698</v>
      </c>
      <c r="M3017" s="6">
        <v>45693</v>
      </c>
      <c r="N3017" s="6" t="s">
        <v>811</v>
      </c>
      <c r="O3017" s="5" t="str">
        <f ca="1">IF(P3017&lt;&gt;"EXPEDIÇÃO","Expedido",IF(NETWORKDAYS(C3017,TODAY())&gt;=5,"Risco Alto",IF(NETWORKDAYS(C3017,TODAY())&gt;=3,IF(NETWORKDAYS(C3017,TODAY())&lt;5,"Risco Médio",""),IF(NETWORKDAYS(C3017,TODAY())&lt;=2,"Risco Baixo",""))))</f>
        <v>Expedido</v>
      </c>
      <c r="P3017" s="5" t="s">
        <v>617</v>
      </c>
      <c r="S3017" s="7">
        <f>IF(ISBLANK(M3017),"Aguardando Previsão/Data",NETWORKDAYS(L3017,M3017)-1)</f>
        <v>-5</v>
      </c>
    </row>
    <row r="3018" spans="1:20" x14ac:dyDescent="0.35">
      <c r="A3018" s="5">
        <v>8100281344</v>
      </c>
      <c r="B3018" s="5">
        <v>19527</v>
      </c>
      <c r="C3018" s="6">
        <v>45679</v>
      </c>
      <c r="D3018" s="5" t="s">
        <v>106</v>
      </c>
      <c r="E3018" s="5" t="s">
        <v>107</v>
      </c>
      <c r="F3018" s="5" t="s">
        <v>58</v>
      </c>
      <c r="G3018" s="5" t="s">
        <v>59</v>
      </c>
      <c r="H3018" s="5" t="s">
        <v>218</v>
      </c>
      <c r="I3018" s="5" t="s">
        <v>317</v>
      </c>
      <c r="J3018" s="5" t="s">
        <v>1099</v>
      </c>
      <c r="K3018" s="5" t="s">
        <v>233</v>
      </c>
      <c r="L3018" s="6">
        <v>45698</v>
      </c>
      <c r="M3018" s="6">
        <v>45693</v>
      </c>
      <c r="N3018" s="6" t="s">
        <v>811</v>
      </c>
      <c r="O3018" s="5" t="str">
        <f ca="1">IF(P3018&lt;&gt;"EXPEDIÇÃO","Expedido",IF(NETWORKDAYS(C3018,TODAY())&gt;=5,"Risco Alto",IF(NETWORKDAYS(C3018,TODAY())&gt;=3,IF(NETWORKDAYS(C3018,TODAY())&lt;5,"Risco Médio",""),IF(NETWORKDAYS(C3018,TODAY())&lt;=2,"Risco Baixo",""))))</f>
        <v>Expedido</v>
      </c>
      <c r="P3018" s="5" t="s">
        <v>617</v>
      </c>
      <c r="S3018" s="7">
        <f>IF(ISBLANK(M3018),"Aguardando Previsão/Data",NETWORKDAYS(L3018,M3018)-1)</f>
        <v>-5</v>
      </c>
    </row>
    <row r="3019" spans="1:20" x14ac:dyDescent="0.35">
      <c r="A3019" s="5">
        <v>8100281349</v>
      </c>
      <c r="B3019" s="5">
        <v>19529</v>
      </c>
      <c r="C3019" s="6">
        <v>45679</v>
      </c>
      <c r="D3019" s="5" t="s">
        <v>106</v>
      </c>
      <c r="E3019" s="5" t="s">
        <v>107</v>
      </c>
      <c r="F3019" s="5" t="s">
        <v>58</v>
      </c>
      <c r="G3019" s="5" t="s">
        <v>59</v>
      </c>
      <c r="H3019" s="5" t="s">
        <v>218</v>
      </c>
      <c r="I3019" s="5" t="s">
        <v>223</v>
      </c>
      <c r="J3019" s="5" t="s">
        <v>224</v>
      </c>
      <c r="K3019" s="5" t="s">
        <v>221</v>
      </c>
      <c r="L3019" s="6">
        <v>45695</v>
      </c>
      <c r="M3019" s="6">
        <v>45692</v>
      </c>
      <c r="N3019" s="6" t="s">
        <v>811</v>
      </c>
      <c r="O3019" s="5" t="str">
        <f ca="1">IF(P3019&lt;&gt;"EXPEDIÇÃO","Expedido",IF(NETWORKDAYS(C3019,TODAY())&gt;=5,"Risco Alto",IF(NETWORKDAYS(C3019,TODAY())&gt;=3,IF(NETWORKDAYS(C3019,TODAY())&lt;5,"Risco Médio",""),IF(NETWORKDAYS(C3019,TODAY())&lt;=2,"Risco Baixo",""))))</f>
        <v>Expedido</v>
      </c>
      <c r="P3019" s="5" t="s">
        <v>617</v>
      </c>
      <c r="S3019" s="7">
        <f>IF(ISBLANK(M3019),"Aguardando Previsão/Data",NETWORKDAYS(L3019,M3019)-1)</f>
        <v>-5</v>
      </c>
    </row>
    <row r="3020" spans="1:20" x14ac:dyDescent="0.35">
      <c r="A3020" s="5">
        <v>8100281337</v>
      </c>
      <c r="B3020" s="5">
        <v>19531</v>
      </c>
      <c r="C3020" s="6">
        <v>45679</v>
      </c>
      <c r="D3020" s="5" t="s">
        <v>106</v>
      </c>
      <c r="E3020" s="5" t="s">
        <v>107</v>
      </c>
      <c r="F3020" s="5" t="s">
        <v>58</v>
      </c>
      <c r="G3020" s="5" t="s">
        <v>59</v>
      </c>
      <c r="H3020" s="5" t="s">
        <v>108</v>
      </c>
      <c r="I3020" s="5" t="s">
        <v>140</v>
      </c>
      <c r="J3020" s="5" t="s">
        <v>141</v>
      </c>
      <c r="K3020" s="5" t="s">
        <v>110</v>
      </c>
      <c r="L3020" s="6">
        <v>45684</v>
      </c>
      <c r="M3020" s="6">
        <v>45679</v>
      </c>
      <c r="N3020" s="6" t="s">
        <v>811</v>
      </c>
      <c r="O3020" s="5" t="str">
        <f ca="1">IF(P3020&lt;&gt;"EXPEDIÇÃO","Expedido",IF(NETWORKDAYS(C3020,TODAY())&gt;=5,"Risco Alto",IF(NETWORKDAYS(C3020,TODAY())&gt;=3,IF(NETWORKDAYS(C3020,TODAY())&lt;5,"Risco Médio",""),IF(NETWORKDAYS(C3020,TODAY())&lt;=2,"Risco Baixo",""))))</f>
        <v>Expedido</v>
      </c>
      <c r="P3020" s="5" t="s">
        <v>25</v>
      </c>
      <c r="Q3020" s="5" t="s">
        <v>900</v>
      </c>
      <c r="S3020" s="7">
        <f>IF(ISBLANK(M3020),"Aguardando Previsão/Data",NETWORKDAYS(L3020,M3020)-1)</f>
        <v>-5</v>
      </c>
      <c r="T3020" s="5" t="s">
        <v>942</v>
      </c>
    </row>
    <row r="3021" spans="1:20" x14ac:dyDescent="0.35">
      <c r="A3021" s="5">
        <v>8100281338</v>
      </c>
      <c r="B3021" s="5">
        <v>19532</v>
      </c>
      <c r="C3021" s="6">
        <v>45679</v>
      </c>
      <c r="D3021" s="5" t="s">
        <v>106</v>
      </c>
      <c r="E3021" s="5" t="s">
        <v>107</v>
      </c>
      <c r="F3021" s="5" t="s">
        <v>58</v>
      </c>
      <c r="G3021" s="5" t="s">
        <v>59</v>
      </c>
      <c r="H3021" s="5" t="s">
        <v>108</v>
      </c>
      <c r="I3021" s="5" t="s">
        <v>140</v>
      </c>
      <c r="J3021" s="5" t="s">
        <v>141</v>
      </c>
      <c r="K3021" s="5" t="s">
        <v>110</v>
      </c>
      <c r="L3021" s="6">
        <v>45684</v>
      </c>
      <c r="M3021" s="6">
        <v>45679</v>
      </c>
      <c r="N3021" s="6" t="s">
        <v>811</v>
      </c>
      <c r="O3021" s="5" t="str">
        <f ca="1">IF(P3021&lt;&gt;"EXPEDIÇÃO","Expedido",IF(NETWORKDAYS(C3021,TODAY())&gt;=5,"Risco Alto",IF(NETWORKDAYS(C3021,TODAY())&gt;=3,IF(NETWORKDAYS(C3021,TODAY())&lt;5,"Risco Médio",""),IF(NETWORKDAYS(C3021,TODAY())&lt;=2,"Risco Baixo",""))))</f>
        <v>Expedido</v>
      </c>
      <c r="P3021" s="5" t="s">
        <v>25</v>
      </c>
      <c r="Q3021" s="5" t="s">
        <v>900</v>
      </c>
      <c r="S3021" s="7">
        <f>IF(ISBLANK(M3021),"Aguardando Previsão/Data",NETWORKDAYS(L3021,M3021)-1)</f>
        <v>-5</v>
      </c>
      <c r="T3021" s="5" t="s">
        <v>942</v>
      </c>
    </row>
    <row r="3022" spans="1:20" x14ac:dyDescent="0.35">
      <c r="A3022" s="5">
        <v>8100281339</v>
      </c>
      <c r="B3022" s="5">
        <v>19533</v>
      </c>
      <c r="C3022" s="6">
        <v>45679</v>
      </c>
      <c r="D3022" s="5" t="s">
        <v>106</v>
      </c>
      <c r="E3022" s="5" t="s">
        <v>107</v>
      </c>
      <c r="F3022" s="5" t="s">
        <v>58</v>
      </c>
      <c r="G3022" s="5" t="s">
        <v>59</v>
      </c>
      <c r="H3022" s="5" t="s">
        <v>108</v>
      </c>
      <c r="I3022" s="5" t="s">
        <v>140</v>
      </c>
      <c r="J3022" s="5" t="s">
        <v>141</v>
      </c>
      <c r="K3022" s="5" t="s">
        <v>110</v>
      </c>
      <c r="L3022" s="6">
        <v>45684</v>
      </c>
      <c r="M3022" s="6">
        <v>45679</v>
      </c>
      <c r="N3022" s="6" t="s">
        <v>811</v>
      </c>
      <c r="O3022" s="5" t="str">
        <f ca="1">IF(P3022&lt;&gt;"EXPEDIÇÃO","Expedido",IF(NETWORKDAYS(C3022,TODAY())&gt;=5,"Risco Alto",IF(NETWORKDAYS(C3022,TODAY())&gt;=3,IF(NETWORKDAYS(C3022,TODAY())&lt;5,"Risco Médio",""),IF(NETWORKDAYS(C3022,TODAY())&lt;=2,"Risco Baixo",""))))</f>
        <v>Expedido</v>
      </c>
      <c r="P3022" s="5" t="s">
        <v>25</v>
      </c>
      <c r="Q3022" s="5" t="s">
        <v>900</v>
      </c>
      <c r="S3022" s="7">
        <f>IF(ISBLANK(M3022),"Aguardando Previsão/Data",NETWORKDAYS(L3022,M3022)-1)</f>
        <v>-5</v>
      </c>
      <c r="T3022" s="5" t="s">
        <v>942</v>
      </c>
    </row>
    <row r="3023" spans="1:20" x14ac:dyDescent="0.35">
      <c r="A3023" s="5">
        <v>8100281341</v>
      </c>
      <c r="B3023" s="5">
        <v>19534</v>
      </c>
      <c r="C3023" s="6">
        <v>45679</v>
      </c>
      <c r="D3023" s="5" t="s">
        <v>106</v>
      </c>
      <c r="E3023" s="5" t="s">
        <v>107</v>
      </c>
      <c r="F3023" s="5" t="s">
        <v>58</v>
      </c>
      <c r="G3023" s="5" t="s">
        <v>59</v>
      </c>
      <c r="H3023" s="5" t="s">
        <v>108</v>
      </c>
      <c r="I3023" s="5" t="s">
        <v>140</v>
      </c>
      <c r="J3023" s="5" t="s">
        <v>141</v>
      </c>
      <c r="K3023" s="5" t="s">
        <v>110</v>
      </c>
      <c r="L3023" s="6">
        <v>45684</v>
      </c>
      <c r="M3023" s="6">
        <v>45679</v>
      </c>
      <c r="N3023" s="6" t="s">
        <v>811</v>
      </c>
      <c r="O3023" s="5" t="str">
        <f ca="1">IF(P3023&lt;&gt;"EXPEDIÇÃO","Expedido",IF(NETWORKDAYS(C3023,TODAY())&gt;=5,"Risco Alto",IF(NETWORKDAYS(C3023,TODAY())&gt;=3,IF(NETWORKDAYS(C3023,TODAY())&lt;5,"Risco Médio",""),IF(NETWORKDAYS(C3023,TODAY())&lt;=2,"Risco Baixo",""))))</f>
        <v>Expedido</v>
      </c>
      <c r="P3023" s="5" t="s">
        <v>25</v>
      </c>
      <c r="Q3023" s="5" t="s">
        <v>900</v>
      </c>
      <c r="S3023" s="7">
        <f>IF(ISBLANK(M3023),"Aguardando Previsão/Data",NETWORKDAYS(L3023,M3023)-1)</f>
        <v>-5</v>
      </c>
      <c r="T3023" s="5" t="s">
        <v>942</v>
      </c>
    </row>
    <row r="3024" spans="1:20" x14ac:dyDescent="0.35">
      <c r="A3024" s="5">
        <v>8100281097</v>
      </c>
      <c r="B3024" s="5">
        <v>19511</v>
      </c>
      <c r="C3024" s="6">
        <v>45679</v>
      </c>
      <c r="D3024" s="5" t="s">
        <v>106</v>
      </c>
      <c r="E3024" s="5" t="s">
        <v>107</v>
      </c>
      <c r="F3024" s="5" t="s">
        <v>111</v>
      </c>
      <c r="G3024" s="5" t="s">
        <v>112</v>
      </c>
      <c r="H3024" s="5" t="s">
        <v>108</v>
      </c>
      <c r="I3024" s="5" t="s">
        <v>445</v>
      </c>
      <c r="J3024" s="5" t="s">
        <v>446</v>
      </c>
      <c r="K3024" s="5" t="s">
        <v>110</v>
      </c>
      <c r="L3024" s="6">
        <v>45687</v>
      </c>
      <c r="M3024" s="6">
        <v>45681</v>
      </c>
      <c r="N3024" s="6" t="s">
        <v>811</v>
      </c>
      <c r="O3024" s="5" t="str">
        <f ca="1">IF(P3024&lt;&gt;"EXPEDIÇÃO","Expedido",IF(NETWORKDAYS(C3024,TODAY())&gt;=5,"Risco Alto",IF(NETWORKDAYS(C3024,TODAY())&gt;=3,IF(NETWORKDAYS(C3024,TODAY())&lt;5,"Risco Médio",""),IF(NETWORKDAYS(C3024,TODAY())&lt;=2,"Risco Baixo",""))))</f>
        <v>Expedido</v>
      </c>
      <c r="P3024" s="5" t="s">
        <v>25</v>
      </c>
      <c r="S3024" s="7">
        <f>IF(ISBLANK(M3024),"Aguardando Previsão/Data",NETWORKDAYS(L3024,M3024)-1)</f>
        <v>-6</v>
      </c>
      <c r="T3024" s="5" t="s">
        <v>942</v>
      </c>
    </row>
    <row r="3025" spans="1:20" x14ac:dyDescent="0.35">
      <c r="A3025" s="5">
        <v>8100281098</v>
      </c>
      <c r="B3025" s="5">
        <v>19512</v>
      </c>
      <c r="C3025" s="6">
        <v>45679</v>
      </c>
      <c r="D3025" s="5" t="s">
        <v>106</v>
      </c>
      <c r="E3025" s="5" t="s">
        <v>107</v>
      </c>
      <c r="F3025" s="5" t="s">
        <v>111</v>
      </c>
      <c r="G3025" s="5" t="s">
        <v>112</v>
      </c>
      <c r="H3025" s="5" t="s">
        <v>108</v>
      </c>
      <c r="I3025" s="5" t="s">
        <v>445</v>
      </c>
      <c r="J3025" s="5" t="s">
        <v>446</v>
      </c>
      <c r="K3025" s="5" t="s">
        <v>110</v>
      </c>
      <c r="L3025" s="6">
        <v>45687</v>
      </c>
      <c r="M3025" s="6">
        <v>45681</v>
      </c>
      <c r="N3025" s="6" t="s">
        <v>811</v>
      </c>
      <c r="O3025" s="5" t="str">
        <f ca="1">IF(P3025&lt;&gt;"EXPEDIÇÃO","Expedido",IF(NETWORKDAYS(C3025,TODAY())&gt;=5,"Risco Alto",IF(NETWORKDAYS(C3025,TODAY())&gt;=3,IF(NETWORKDAYS(C3025,TODAY())&lt;5,"Risco Médio",""),IF(NETWORKDAYS(C3025,TODAY())&lt;=2,"Risco Baixo",""))))</f>
        <v>Expedido</v>
      </c>
      <c r="P3025" s="5" t="s">
        <v>25</v>
      </c>
      <c r="S3025" s="7">
        <f>IF(ISBLANK(M3025),"Aguardando Previsão/Data",NETWORKDAYS(L3025,M3025)-1)</f>
        <v>-6</v>
      </c>
      <c r="T3025" s="5" t="s">
        <v>942</v>
      </c>
    </row>
    <row r="3026" spans="1:20" x14ac:dyDescent="0.35">
      <c r="A3026" s="5">
        <v>8100281099</v>
      </c>
      <c r="B3026" s="5">
        <v>19513</v>
      </c>
      <c r="C3026" s="6">
        <v>45679</v>
      </c>
      <c r="D3026" s="5" t="s">
        <v>106</v>
      </c>
      <c r="E3026" s="5" t="s">
        <v>107</v>
      </c>
      <c r="F3026" s="5" t="s">
        <v>111</v>
      </c>
      <c r="G3026" s="5" t="s">
        <v>112</v>
      </c>
      <c r="H3026" s="5" t="s">
        <v>108</v>
      </c>
      <c r="I3026" s="5" t="s">
        <v>445</v>
      </c>
      <c r="J3026" s="5" t="s">
        <v>446</v>
      </c>
      <c r="K3026" s="5" t="s">
        <v>110</v>
      </c>
      <c r="L3026" s="6">
        <v>45687</v>
      </c>
      <c r="M3026" s="6">
        <v>45681</v>
      </c>
      <c r="N3026" s="6" t="s">
        <v>811</v>
      </c>
      <c r="O3026" s="5" t="str">
        <f ca="1">IF(P3026&lt;&gt;"EXPEDIÇÃO","Expedido",IF(NETWORKDAYS(C3026,TODAY())&gt;=5,"Risco Alto",IF(NETWORKDAYS(C3026,TODAY())&gt;=3,IF(NETWORKDAYS(C3026,TODAY())&lt;5,"Risco Médio",""),IF(NETWORKDAYS(C3026,TODAY())&lt;=2,"Risco Baixo",""))))</f>
        <v>Expedido</v>
      </c>
      <c r="P3026" s="5" t="s">
        <v>25</v>
      </c>
      <c r="S3026" s="7">
        <f>IF(ISBLANK(M3026),"Aguardando Previsão/Data",NETWORKDAYS(L3026,M3026)-1)</f>
        <v>-6</v>
      </c>
      <c r="T3026" s="5" t="s">
        <v>942</v>
      </c>
    </row>
    <row r="3027" spans="1:20" x14ac:dyDescent="0.35">
      <c r="A3027" s="5">
        <v>8100281100</v>
      </c>
      <c r="B3027" s="5">
        <v>19514</v>
      </c>
      <c r="C3027" s="6">
        <v>45679</v>
      </c>
      <c r="D3027" s="5" t="s">
        <v>106</v>
      </c>
      <c r="E3027" s="5" t="s">
        <v>107</v>
      </c>
      <c r="F3027" s="5" t="s">
        <v>111</v>
      </c>
      <c r="G3027" s="5" t="s">
        <v>112</v>
      </c>
      <c r="H3027" s="5" t="s">
        <v>108</v>
      </c>
      <c r="I3027" s="5" t="s">
        <v>445</v>
      </c>
      <c r="J3027" s="5" t="s">
        <v>446</v>
      </c>
      <c r="K3027" s="5" t="s">
        <v>110</v>
      </c>
      <c r="L3027" s="6">
        <v>45687</v>
      </c>
      <c r="M3027" s="6">
        <v>45681</v>
      </c>
      <c r="N3027" s="6" t="s">
        <v>811</v>
      </c>
      <c r="O3027" s="5" t="str">
        <f ca="1">IF(P3027&lt;&gt;"EXPEDIÇÃO","Expedido",IF(NETWORKDAYS(C3027,TODAY())&gt;=5,"Risco Alto",IF(NETWORKDAYS(C3027,TODAY())&gt;=3,IF(NETWORKDAYS(C3027,TODAY())&lt;5,"Risco Médio",""),IF(NETWORKDAYS(C3027,TODAY())&lt;=2,"Risco Baixo",""))))</f>
        <v>Expedido</v>
      </c>
      <c r="P3027" s="5" t="s">
        <v>25</v>
      </c>
      <c r="S3027" s="7">
        <f>IF(ISBLANK(M3027),"Aguardando Previsão/Data",NETWORKDAYS(L3027,M3027)-1)</f>
        <v>-6</v>
      </c>
      <c r="T3027" s="5" t="s">
        <v>942</v>
      </c>
    </row>
    <row r="3028" spans="1:20" x14ac:dyDescent="0.35">
      <c r="A3028" s="5">
        <v>8100281101</v>
      </c>
      <c r="B3028" s="5">
        <v>19515</v>
      </c>
      <c r="C3028" s="6">
        <v>45679</v>
      </c>
      <c r="D3028" s="5" t="s">
        <v>106</v>
      </c>
      <c r="E3028" s="5" t="s">
        <v>107</v>
      </c>
      <c r="F3028" s="5" t="s">
        <v>111</v>
      </c>
      <c r="G3028" s="5" t="s">
        <v>112</v>
      </c>
      <c r="H3028" s="5" t="s">
        <v>108</v>
      </c>
      <c r="I3028" s="5" t="s">
        <v>445</v>
      </c>
      <c r="J3028" s="5" t="s">
        <v>446</v>
      </c>
      <c r="K3028" s="5" t="s">
        <v>110</v>
      </c>
      <c r="L3028" s="6">
        <v>45687</v>
      </c>
      <c r="M3028" s="6">
        <v>45681</v>
      </c>
      <c r="N3028" s="6" t="s">
        <v>811</v>
      </c>
      <c r="O3028" s="5" t="str">
        <f ca="1">IF(P3028&lt;&gt;"EXPEDIÇÃO","Expedido",IF(NETWORKDAYS(C3028,TODAY())&gt;=5,"Risco Alto",IF(NETWORKDAYS(C3028,TODAY())&gt;=3,IF(NETWORKDAYS(C3028,TODAY())&lt;5,"Risco Médio",""),IF(NETWORKDAYS(C3028,TODAY())&lt;=2,"Risco Baixo",""))))</f>
        <v>Expedido</v>
      </c>
      <c r="P3028" s="5" t="s">
        <v>25</v>
      </c>
      <c r="S3028" s="7">
        <f>IF(ISBLANK(M3028),"Aguardando Previsão/Data",NETWORKDAYS(L3028,M3028)-1)</f>
        <v>-6</v>
      </c>
      <c r="T3028" s="5" t="s">
        <v>942</v>
      </c>
    </row>
    <row r="3029" spans="1:20" x14ac:dyDescent="0.35">
      <c r="A3029" s="5">
        <v>8100281260</v>
      </c>
      <c r="B3029" s="5">
        <v>19519</v>
      </c>
      <c r="C3029" s="6">
        <v>45679</v>
      </c>
      <c r="D3029" s="5" t="s">
        <v>106</v>
      </c>
      <c r="E3029" s="5" t="s">
        <v>107</v>
      </c>
      <c r="F3029" s="5" t="s">
        <v>69</v>
      </c>
      <c r="G3029" s="5" t="s">
        <v>70</v>
      </c>
      <c r="H3029" s="5" t="s">
        <v>108</v>
      </c>
      <c r="I3029" s="5" t="s">
        <v>278</v>
      </c>
      <c r="J3029" s="5" t="s">
        <v>279</v>
      </c>
      <c r="K3029" s="5" t="s">
        <v>110</v>
      </c>
      <c r="L3029" s="6">
        <v>45686</v>
      </c>
      <c r="M3029" s="6">
        <v>45692</v>
      </c>
      <c r="N3029" s="6" t="s">
        <v>811</v>
      </c>
      <c r="O3029" s="5" t="str">
        <f ca="1">IF(P3029&lt;&gt;"EXPEDIÇÃO","Expedido",IF(NETWORKDAYS(C3029,TODAY())&gt;=5,"Risco Alto",IF(NETWORKDAYS(C3029,TODAY())&gt;=3,IF(NETWORKDAYS(C3029,TODAY())&lt;5,"Risco Médio",""),IF(NETWORKDAYS(C3029,TODAY())&lt;=2,"Risco Baixo",""))))</f>
        <v>Risco Alto</v>
      </c>
      <c r="P3029" s="5" t="s">
        <v>726</v>
      </c>
      <c r="Q3029" s="5" t="s">
        <v>897</v>
      </c>
      <c r="R3029" s="5" t="s">
        <v>1616</v>
      </c>
      <c r="S3029" s="7">
        <f>IF(ISBLANK(M3029),"Aguardando Previsão/Data",NETWORKDAYS(L3029,M3029)-1)</f>
        <v>4</v>
      </c>
    </row>
    <row r="3030" spans="1:20" x14ac:dyDescent="0.35">
      <c r="A3030" s="5">
        <v>8100281342</v>
      </c>
      <c r="B3030" s="5">
        <v>19510</v>
      </c>
      <c r="C3030" s="6">
        <v>45679</v>
      </c>
      <c r="D3030" s="5" t="s">
        <v>106</v>
      </c>
      <c r="E3030" s="5" t="s">
        <v>107</v>
      </c>
      <c r="F3030" s="5" t="s">
        <v>147</v>
      </c>
      <c r="G3030" s="5" t="s">
        <v>148</v>
      </c>
      <c r="H3030" s="5" t="s">
        <v>108</v>
      </c>
      <c r="I3030" s="5" t="s">
        <v>128</v>
      </c>
      <c r="J3030" s="5" t="s">
        <v>449</v>
      </c>
      <c r="K3030" s="5" t="s">
        <v>110</v>
      </c>
      <c r="L3030" s="6">
        <v>45687</v>
      </c>
      <c r="M3030" s="6">
        <v>45681</v>
      </c>
      <c r="N3030" s="6" t="s">
        <v>811</v>
      </c>
      <c r="O3030" s="5" t="str">
        <f ca="1">IF(P3030&lt;&gt;"EXPEDIÇÃO","Expedido",IF(NETWORKDAYS(C3030,TODAY())&gt;=5,"Risco Alto",IF(NETWORKDAYS(C3030,TODAY())&gt;=3,IF(NETWORKDAYS(C3030,TODAY())&lt;5,"Risco Médio",""),IF(NETWORKDAYS(C3030,TODAY())&lt;=2,"Risco Baixo",""))))</f>
        <v>Expedido</v>
      </c>
      <c r="P3030" s="5" t="s">
        <v>25</v>
      </c>
      <c r="S3030" s="7">
        <f>IF(ISBLANK(M3030),"Aguardando Previsão/Data",NETWORKDAYS(L3030,M3030)-1)</f>
        <v>-6</v>
      </c>
      <c r="T3030" s="5" t="s">
        <v>942</v>
      </c>
    </row>
    <row r="3031" spans="1:20" x14ac:dyDescent="0.35">
      <c r="A3031" s="5">
        <v>8100281345</v>
      </c>
      <c r="B3031" s="5">
        <v>19508</v>
      </c>
      <c r="C3031" s="6">
        <v>45679</v>
      </c>
      <c r="D3031" s="5" t="s">
        <v>106</v>
      </c>
      <c r="E3031" s="5" t="s">
        <v>107</v>
      </c>
      <c r="F3031" s="5" t="s">
        <v>58</v>
      </c>
      <c r="G3031" s="5" t="s">
        <v>59</v>
      </c>
      <c r="H3031" s="5" t="s">
        <v>108</v>
      </c>
      <c r="I3031" s="5" t="s">
        <v>1054</v>
      </c>
      <c r="J3031" s="5" t="s">
        <v>503</v>
      </c>
      <c r="K3031" s="5" t="s">
        <v>110</v>
      </c>
      <c r="L3031" s="6">
        <v>45686</v>
      </c>
      <c r="M3031" s="6">
        <v>45681</v>
      </c>
      <c r="N3031" s="6" t="s">
        <v>811</v>
      </c>
      <c r="O3031" s="5" t="str">
        <f ca="1">IF(P3031&lt;&gt;"EXPEDIÇÃO","Expedido",IF(NETWORKDAYS(C3031,TODAY())&gt;=5,"Risco Alto",IF(NETWORKDAYS(C3031,TODAY())&gt;=3,IF(NETWORKDAYS(C3031,TODAY())&lt;5,"Risco Médio",""),IF(NETWORKDAYS(C3031,TODAY())&lt;=2,"Risco Baixo",""))))</f>
        <v>Expedido</v>
      </c>
      <c r="P3031" s="5" t="s">
        <v>25</v>
      </c>
      <c r="S3031" s="7">
        <f>IF(ISBLANK(M3031),"Aguardando Previsão/Data",NETWORKDAYS(L3031,M3031)-1)</f>
        <v>-5</v>
      </c>
      <c r="T3031" s="5" t="s">
        <v>942</v>
      </c>
    </row>
    <row r="3032" spans="1:20" x14ac:dyDescent="0.35">
      <c r="A3032" s="5">
        <v>8100281346</v>
      </c>
      <c r="B3032" s="5">
        <v>19507</v>
      </c>
      <c r="C3032" s="6">
        <v>45679</v>
      </c>
      <c r="D3032" s="5" t="s">
        <v>106</v>
      </c>
      <c r="E3032" s="5" t="s">
        <v>107</v>
      </c>
      <c r="F3032" s="5" t="s">
        <v>69</v>
      </c>
      <c r="G3032" s="5" t="s">
        <v>70</v>
      </c>
      <c r="H3032" s="5" t="s">
        <v>108</v>
      </c>
      <c r="I3032" s="5" t="s">
        <v>115</v>
      </c>
      <c r="J3032" s="5" t="s">
        <v>143</v>
      </c>
      <c r="K3032" s="5" t="s">
        <v>110</v>
      </c>
      <c r="L3032" s="6">
        <v>45686</v>
      </c>
      <c r="M3032" s="6">
        <v>45681</v>
      </c>
      <c r="N3032" s="6" t="s">
        <v>811</v>
      </c>
      <c r="O3032" s="5" t="str">
        <f ca="1">IF(P3032&lt;&gt;"EXPEDIÇÃO","Expedido",IF(NETWORKDAYS(C3032,TODAY())&gt;=5,"Risco Alto",IF(NETWORKDAYS(C3032,TODAY())&gt;=3,IF(NETWORKDAYS(C3032,TODAY())&lt;5,"Risco Médio",""),IF(NETWORKDAYS(C3032,TODAY())&lt;=2,"Risco Baixo",""))))</f>
        <v>Expedido</v>
      </c>
      <c r="P3032" s="5" t="s">
        <v>25</v>
      </c>
      <c r="S3032" s="7">
        <f>IF(ISBLANK(M3032),"Aguardando Previsão/Data",NETWORKDAYS(L3032,M3032)-1)</f>
        <v>-5</v>
      </c>
      <c r="T3032" s="5" t="s">
        <v>942</v>
      </c>
    </row>
    <row r="3033" spans="1:20" x14ac:dyDescent="0.35">
      <c r="A3033" s="5">
        <v>8100281348</v>
      </c>
      <c r="B3033" s="5">
        <v>19518</v>
      </c>
      <c r="C3033" s="6">
        <v>45679</v>
      </c>
      <c r="D3033" s="5" t="s">
        <v>106</v>
      </c>
      <c r="E3033" s="5" t="s">
        <v>107</v>
      </c>
      <c r="F3033" s="5" t="s">
        <v>53</v>
      </c>
      <c r="G3033" s="5" t="s">
        <v>54</v>
      </c>
      <c r="H3033" s="5" t="s">
        <v>108</v>
      </c>
      <c r="I3033" s="5" t="s">
        <v>447</v>
      </c>
      <c r="J3033" s="5" t="s">
        <v>448</v>
      </c>
      <c r="K3033" s="5" t="s">
        <v>110</v>
      </c>
      <c r="L3033" s="6">
        <v>45686</v>
      </c>
      <c r="M3033" s="6">
        <v>45684</v>
      </c>
      <c r="N3033" s="6" t="s">
        <v>811</v>
      </c>
      <c r="O3033" s="5" t="str">
        <f ca="1">IF(P3033&lt;&gt;"EXPEDIÇÃO","Expedido",IF(NETWORKDAYS(C3033,TODAY())&gt;=5,"Risco Alto",IF(NETWORKDAYS(C3033,TODAY())&gt;=3,IF(NETWORKDAYS(C3033,TODAY())&lt;5,"Risco Médio",""),IF(NETWORKDAYS(C3033,TODAY())&lt;=2,"Risco Baixo",""))))</f>
        <v>Expedido</v>
      </c>
      <c r="P3033" s="5" t="s">
        <v>25</v>
      </c>
      <c r="S3033" s="7">
        <f>IF(ISBLANK(M3033),"Aguardando Previsão/Data",NETWORKDAYS(L3033,M3033)-1)</f>
        <v>-4</v>
      </c>
      <c r="T3033" s="5" t="s">
        <v>942</v>
      </c>
    </row>
    <row r="3034" spans="1:20" x14ac:dyDescent="0.35">
      <c r="A3034" s="5">
        <v>8100281350</v>
      </c>
      <c r="B3034" s="5">
        <v>19523</v>
      </c>
      <c r="C3034" s="6">
        <v>45679</v>
      </c>
      <c r="D3034" s="5" t="s">
        <v>106</v>
      </c>
      <c r="E3034" s="5" t="s">
        <v>107</v>
      </c>
      <c r="F3034" s="5" t="s">
        <v>53</v>
      </c>
      <c r="G3034" s="5" t="s">
        <v>54</v>
      </c>
      <c r="H3034" s="5" t="s">
        <v>108</v>
      </c>
      <c r="I3034" s="5" t="s">
        <v>341</v>
      </c>
      <c r="J3034" s="5" t="s">
        <v>109</v>
      </c>
      <c r="K3034" s="5" t="s">
        <v>110</v>
      </c>
      <c r="L3034" s="6">
        <v>45686</v>
      </c>
      <c r="M3034" s="6">
        <v>45681</v>
      </c>
      <c r="N3034" s="6" t="s">
        <v>811</v>
      </c>
      <c r="O3034" s="5" t="str">
        <f ca="1">IF(P3034&lt;&gt;"EXPEDIÇÃO","Expedido",IF(NETWORKDAYS(C3034,TODAY())&gt;=5,"Risco Alto",IF(NETWORKDAYS(C3034,TODAY())&gt;=3,IF(NETWORKDAYS(C3034,TODAY())&lt;5,"Risco Médio",""),IF(NETWORKDAYS(C3034,TODAY())&lt;=2,"Risco Baixo",""))))</f>
        <v>Expedido</v>
      </c>
      <c r="P3034" s="5" t="s">
        <v>25</v>
      </c>
      <c r="S3034" s="7">
        <f>IF(ISBLANK(M3034),"Aguardando Previsão/Data",NETWORKDAYS(L3034,M3034)-1)</f>
        <v>-5</v>
      </c>
      <c r="T3034" s="5" t="s">
        <v>942</v>
      </c>
    </row>
    <row r="3035" spans="1:20" x14ac:dyDescent="0.35">
      <c r="A3035" s="5">
        <v>8100281351</v>
      </c>
      <c r="B3035" s="5">
        <v>19520</v>
      </c>
      <c r="C3035" s="6">
        <v>45679</v>
      </c>
      <c r="D3035" s="5" t="s">
        <v>106</v>
      </c>
      <c r="E3035" s="5" t="s">
        <v>107</v>
      </c>
      <c r="F3035" s="5" t="s">
        <v>69</v>
      </c>
      <c r="G3035" s="5" t="s">
        <v>70</v>
      </c>
      <c r="H3035" s="5" t="s">
        <v>108</v>
      </c>
      <c r="I3035" s="5" t="s">
        <v>278</v>
      </c>
      <c r="J3035" s="5" t="s">
        <v>279</v>
      </c>
      <c r="K3035" s="5" t="s">
        <v>110</v>
      </c>
      <c r="L3035" s="6">
        <v>45686</v>
      </c>
      <c r="M3035" s="6">
        <v>45692</v>
      </c>
      <c r="N3035" s="6" t="s">
        <v>811</v>
      </c>
      <c r="O3035" s="5" t="str">
        <f ca="1">IF(P3035&lt;&gt;"EXPEDIÇÃO","Expedido",IF(NETWORKDAYS(C3035,TODAY())&gt;=5,"Risco Alto",IF(NETWORKDAYS(C3035,TODAY())&gt;=3,IF(NETWORKDAYS(C3035,TODAY())&lt;5,"Risco Médio",""),IF(NETWORKDAYS(C3035,TODAY())&lt;=2,"Risco Baixo",""))))</f>
        <v>Risco Alto</v>
      </c>
      <c r="P3035" s="5" t="s">
        <v>726</v>
      </c>
      <c r="Q3035" s="5" t="s">
        <v>897</v>
      </c>
      <c r="R3035" s="5" t="s">
        <v>1616</v>
      </c>
      <c r="S3035" s="7">
        <f>IF(ISBLANK(M3035),"Aguardando Previsão/Data",NETWORKDAYS(L3035,M3035)-1)</f>
        <v>4</v>
      </c>
    </row>
    <row r="3036" spans="1:20" x14ac:dyDescent="0.35">
      <c r="A3036" s="5">
        <v>8100281352</v>
      </c>
      <c r="B3036" s="5">
        <v>19521</v>
      </c>
      <c r="C3036" s="6">
        <v>45679</v>
      </c>
      <c r="D3036" s="5" t="s">
        <v>106</v>
      </c>
      <c r="E3036" s="5" t="s">
        <v>107</v>
      </c>
      <c r="F3036" s="5" t="s">
        <v>69</v>
      </c>
      <c r="G3036" s="5" t="s">
        <v>70</v>
      </c>
      <c r="H3036" s="5" t="s">
        <v>108</v>
      </c>
      <c r="I3036" s="5" t="s">
        <v>278</v>
      </c>
      <c r="J3036" s="5" t="s">
        <v>279</v>
      </c>
      <c r="K3036" s="5" t="s">
        <v>110</v>
      </c>
      <c r="L3036" s="6">
        <v>45686</v>
      </c>
      <c r="M3036" s="6">
        <v>45692</v>
      </c>
      <c r="N3036" s="6" t="s">
        <v>811</v>
      </c>
      <c r="O3036" s="5" t="str">
        <f ca="1">IF(P3036&lt;&gt;"EXPEDIÇÃO","Expedido",IF(NETWORKDAYS(C3036,TODAY())&gt;=5,"Risco Alto",IF(NETWORKDAYS(C3036,TODAY())&gt;=3,IF(NETWORKDAYS(C3036,TODAY())&lt;5,"Risco Médio",""),IF(NETWORKDAYS(C3036,TODAY())&lt;=2,"Risco Baixo",""))))</f>
        <v>Risco Alto</v>
      </c>
      <c r="P3036" s="5" t="s">
        <v>726</v>
      </c>
      <c r="Q3036" s="5" t="s">
        <v>897</v>
      </c>
      <c r="R3036" s="5" t="s">
        <v>1616</v>
      </c>
      <c r="S3036" s="7">
        <f>IF(ISBLANK(M3036),"Aguardando Previsão/Data",NETWORKDAYS(L3036,M3036)-1)</f>
        <v>4</v>
      </c>
    </row>
    <row r="3037" spans="1:20" x14ac:dyDescent="0.35">
      <c r="A3037" s="5">
        <v>8100281353</v>
      </c>
      <c r="B3037" s="5">
        <v>19522</v>
      </c>
      <c r="C3037" s="6">
        <v>45679</v>
      </c>
      <c r="D3037" s="5" t="s">
        <v>106</v>
      </c>
      <c r="E3037" s="5" t="s">
        <v>107</v>
      </c>
      <c r="F3037" s="5" t="s">
        <v>69</v>
      </c>
      <c r="G3037" s="5" t="s">
        <v>70</v>
      </c>
      <c r="H3037" s="5" t="s">
        <v>108</v>
      </c>
      <c r="I3037" s="5" t="s">
        <v>278</v>
      </c>
      <c r="J3037" s="5" t="s">
        <v>279</v>
      </c>
      <c r="K3037" s="5" t="s">
        <v>110</v>
      </c>
      <c r="L3037" s="6">
        <v>45686</v>
      </c>
      <c r="M3037" s="6">
        <v>45692</v>
      </c>
      <c r="N3037" s="6" t="s">
        <v>811</v>
      </c>
      <c r="O3037" s="5" t="str">
        <f ca="1">IF(P3037&lt;&gt;"EXPEDIÇÃO","Expedido",IF(NETWORKDAYS(C3037,TODAY())&gt;=5,"Risco Alto",IF(NETWORKDAYS(C3037,TODAY())&gt;=3,IF(NETWORKDAYS(C3037,TODAY())&lt;5,"Risco Médio",""),IF(NETWORKDAYS(C3037,TODAY())&lt;=2,"Risco Baixo",""))))</f>
        <v>Risco Alto</v>
      </c>
      <c r="P3037" s="5" t="s">
        <v>726</v>
      </c>
      <c r="Q3037" s="5" t="s">
        <v>897</v>
      </c>
      <c r="R3037" s="5" t="s">
        <v>1616</v>
      </c>
      <c r="S3037" s="7">
        <f>IF(ISBLANK(M3037),"Aguardando Previsão/Data",NETWORKDAYS(L3037,M3037)-1)</f>
        <v>4</v>
      </c>
    </row>
    <row r="3038" spans="1:20" x14ac:dyDescent="0.35">
      <c r="A3038" s="5">
        <v>8100281354</v>
      </c>
      <c r="B3038" s="5">
        <v>19524</v>
      </c>
      <c r="C3038" s="6">
        <v>45679</v>
      </c>
      <c r="D3038" s="5" t="s">
        <v>106</v>
      </c>
      <c r="E3038" s="5" t="s">
        <v>107</v>
      </c>
      <c r="F3038" s="5" t="s">
        <v>66</v>
      </c>
      <c r="G3038" s="5" t="s">
        <v>67</v>
      </c>
      <c r="H3038" s="5" t="s">
        <v>108</v>
      </c>
      <c r="I3038" s="5" t="s">
        <v>337</v>
      </c>
      <c r="J3038" s="5" t="s">
        <v>338</v>
      </c>
      <c r="K3038" s="5" t="s">
        <v>110</v>
      </c>
      <c r="L3038" s="6">
        <v>45687</v>
      </c>
      <c r="M3038" s="6">
        <v>45680</v>
      </c>
      <c r="N3038" s="6" t="s">
        <v>811</v>
      </c>
      <c r="O3038" s="5" t="str">
        <f ca="1">IF(P3038&lt;&gt;"EXPEDIÇÃO","Expedido",IF(NETWORKDAYS(C3038,TODAY())&gt;=5,"Risco Alto",IF(NETWORKDAYS(C3038,TODAY())&gt;=3,IF(NETWORKDAYS(C3038,TODAY())&lt;5,"Risco Médio",""),IF(NETWORKDAYS(C3038,TODAY())&lt;=2,"Risco Baixo",""))))</f>
        <v>Expedido</v>
      </c>
      <c r="P3038" s="5" t="s">
        <v>25</v>
      </c>
      <c r="S3038" s="7">
        <f>IF(ISBLANK(M3038),"Aguardando Previsão/Data",NETWORKDAYS(L3038,M3038)-1)</f>
        <v>-7</v>
      </c>
      <c r="T3038" s="5" t="s">
        <v>942</v>
      </c>
    </row>
    <row r="3039" spans="1:20" x14ac:dyDescent="0.35">
      <c r="A3039" s="5">
        <v>8100281356</v>
      </c>
      <c r="B3039" s="5">
        <v>19505</v>
      </c>
      <c r="C3039" s="6">
        <v>45679</v>
      </c>
      <c r="D3039" s="5" t="s">
        <v>106</v>
      </c>
      <c r="E3039" s="5" t="s">
        <v>107</v>
      </c>
      <c r="F3039" s="5" t="s">
        <v>66</v>
      </c>
      <c r="G3039" s="5" t="s">
        <v>67</v>
      </c>
      <c r="H3039" s="5" t="s">
        <v>108</v>
      </c>
      <c r="I3039" s="5" t="s">
        <v>394</v>
      </c>
      <c r="J3039" s="5" t="s">
        <v>395</v>
      </c>
      <c r="K3039" s="5" t="s">
        <v>110</v>
      </c>
      <c r="L3039" s="6">
        <v>45686</v>
      </c>
      <c r="M3039" s="6">
        <v>45681</v>
      </c>
      <c r="N3039" s="6" t="s">
        <v>811</v>
      </c>
      <c r="O3039" s="5" t="str">
        <f ca="1">IF(P3039&lt;&gt;"EXPEDIÇÃO","Expedido",IF(NETWORKDAYS(C3039,TODAY())&gt;=5,"Risco Alto",IF(NETWORKDAYS(C3039,TODAY())&gt;=3,IF(NETWORKDAYS(C3039,TODAY())&lt;5,"Risco Médio",""),IF(NETWORKDAYS(C3039,TODAY())&lt;=2,"Risco Baixo",""))))</f>
        <v>Expedido</v>
      </c>
      <c r="P3039" s="5" t="s">
        <v>25</v>
      </c>
      <c r="S3039" s="7">
        <f>IF(ISBLANK(M3039),"Aguardando Previsão/Data",NETWORKDAYS(L3039,M3039)-1)</f>
        <v>-5</v>
      </c>
      <c r="T3039" s="5" t="s">
        <v>942</v>
      </c>
    </row>
    <row r="3040" spans="1:20" x14ac:dyDescent="0.35">
      <c r="A3040" s="5">
        <v>8100281357</v>
      </c>
      <c r="B3040" s="5">
        <v>19517</v>
      </c>
      <c r="C3040" s="6">
        <v>45679</v>
      </c>
      <c r="D3040" s="5" t="s">
        <v>106</v>
      </c>
      <c r="E3040" s="5" t="s">
        <v>107</v>
      </c>
      <c r="F3040" s="5" t="s">
        <v>53</v>
      </c>
      <c r="G3040" s="5" t="s">
        <v>54</v>
      </c>
      <c r="H3040" s="5" t="s">
        <v>108</v>
      </c>
      <c r="I3040" s="5" t="s">
        <v>473</v>
      </c>
      <c r="J3040" s="5" t="s">
        <v>474</v>
      </c>
      <c r="K3040" s="5" t="s">
        <v>110</v>
      </c>
      <c r="L3040" s="6">
        <v>45687</v>
      </c>
      <c r="M3040" s="6">
        <v>45681</v>
      </c>
      <c r="N3040" s="6" t="s">
        <v>811</v>
      </c>
      <c r="O3040" s="5" t="str">
        <f ca="1">IF(P3040&lt;&gt;"EXPEDIÇÃO","Expedido",IF(NETWORKDAYS(C3040,TODAY())&gt;=5,"Risco Alto",IF(NETWORKDAYS(C3040,TODAY())&gt;=3,IF(NETWORKDAYS(C3040,TODAY())&lt;5,"Risco Médio",""),IF(NETWORKDAYS(C3040,TODAY())&lt;=2,"Risco Baixo",""))))</f>
        <v>Expedido</v>
      </c>
      <c r="P3040" s="5" t="s">
        <v>25</v>
      </c>
      <c r="S3040" s="7">
        <f>IF(ISBLANK(M3040),"Aguardando Previsão/Data",NETWORKDAYS(L3040,M3040)-1)</f>
        <v>-6</v>
      </c>
      <c r="T3040" s="5" t="s">
        <v>942</v>
      </c>
    </row>
    <row r="3041" spans="1:20" x14ac:dyDescent="0.35">
      <c r="A3041" s="5">
        <v>8100281358</v>
      </c>
      <c r="B3041" s="5">
        <v>19516</v>
      </c>
      <c r="C3041" s="6">
        <v>45679</v>
      </c>
      <c r="D3041" s="5" t="s">
        <v>106</v>
      </c>
      <c r="E3041" s="5" t="s">
        <v>107</v>
      </c>
      <c r="F3041" s="5" t="s">
        <v>69</v>
      </c>
      <c r="G3041" s="5" t="s">
        <v>70</v>
      </c>
      <c r="H3041" s="5" t="s">
        <v>108</v>
      </c>
      <c r="I3041" s="5" t="s">
        <v>280</v>
      </c>
      <c r="J3041" s="5" t="s">
        <v>281</v>
      </c>
      <c r="K3041" s="5" t="s">
        <v>110</v>
      </c>
      <c r="L3041" s="6">
        <v>45686</v>
      </c>
      <c r="M3041" s="6">
        <v>45685</v>
      </c>
      <c r="N3041" s="6" t="s">
        <v>811</v>
      </c>
      <c r="O3041" s="5" t="str">
        <f ca="1">IF(P3041&lt;&gt;"EXPEDIÇÃO","Expedido",IF(NETWORKDAYS(C3041,TODAY())&gt;=5,"Risco Alto",IF(NETWORKDAYS(C3041,TODAY())&gt;=3,IF(NETWORKDAYS(C3041,TODAY())&lt;5,"Risco Médio",""),IF(NETWORKDAYS(C3041,TODAY())&lt;=2,"Risco Baixo",""))))</f>
        <v>Expedido</v>
      </c>
      <c r="P3041" s="5" t="s">
        <v>25</v>
      </c>
      <c r="S3041" s="7">
        <f>IF(ISBLANK(M3041),"Aguardando Previsão/Data",NETWORKDAYS(L3041,M3041)-1)</f>
        <v>-3</v>
      </c>
      <c r="T3041" s="5" t="s">
        <v>942</v>
      </c>
    </row>
    <row r="3042" spans="1:20" x14ac:dyDescent="0.35">
      <c r="A3042" s="5">
        <v>8100281359</v>
      </c>
      <c r="B3042" s="5">
        <v>19509</v>
      </c>
      <c r="C3042" s="6">
        <v>45679</v>
      </c>
      <c r="D3042" s="5" t="s">
        <v>106</v>
      </c>
      <c r="E3042" s="5" t="s">
        <v>107</v>
      </c>
      <c r="F3042" s="5" t="s">
        <v>66</v>
      </c>
      <c r="G3042" s="5" t="s">
        <v>67</v>
      </c>
      <c r="H3042" s="5" t="s">
        <v>108</v>
      </c>
      <c r="I3042" s="5" t="s">
        <v>82</v>
      </c>
      <c r="J3042" s="5" t="s">
        <v>282</v>
      </c>
      <c r="K3042" s="5" t="s">
        <v>110</v>
      </c>
      <c r="L3042" s="6">
        <v>45687</v>
      </c>
      <c r="M3042" s="6">
        <v>45685</v>
      </c>
      <c r="N3042" s="6" t="s">
        <v>811</v>
      </c>
      <c r="O3042" s="5" t="str">
        <f ca="1">IF(P3042&lt;&gt;"EXPEDIÇÃO","Expedido",IF(NETWORKDAYS(C3042,TODAY())&gt;=5,"Risco Alto",IF(NETWORKDAYS(C3042,TODAY())&gt;=3,IF(NETWORKDAYS(C3042,TODAY())&lt;5,"Risco Médio",""),IF(NETWORKDAYS(C3042,TODAY())&lt;=2,"Risco Baixo",""))))</f>
        <v>Expedido</v>
      </c>
      <c r="P3042" s="5" t="s">
        <v>25</v>
      </c>
      <c r="S3042" s="7">
        <f>IF(ISBLANK(M3042),"Aguardando Previsão/Data",NETWORKDAYS(L3042,M3042)-1)</f>
        <v>-4</v>
      </c>
      <c r="T3042" s="5" t="s">
        <v>942</v>
      </c>
    </row>
    <row r="3043" spans="1:20" x14ac:dyDescent="0.35">
      <c r="A3043" s="5">
        <v>8100281365</v>
      </c>
      <c r="B3043" s="5">
        <v>19506</v>
      </c>
      <c r="C3043" s="6">
        <v>45679</v>
      </c>
      <c r="D3043" s="5" t="s">
        <v>106</v>
      </c>
      <c r="E3043" s="5" t="s">
        <v>107</v>
      </c>
      <c r="F3043" s="5" t="s">
        <v>329</v>
      </c>
      <c r="G3043" s="5" t="s">
        <v>330</v>
      </c>
      <c r="H3043" s="5" t="s">
        <v>108</v>
      </c>
      <c r="I3043" s="5" t="s">
        <v>311</v>
      </c>
      <c r="J3043" s="5" t="s">
        <v>338</v>
      </c>
      <c r="K3043" s="5" t="s">
        <v>110</v>
      </c>
      <c r="L3043" s="6">
        <v>45687</v>
      </c>
      <c r="M3043" s="6">
        <v>45685</v>
      </c>
      <c r="N3043" s="6" t="s">
        <v>811</v>
      </c>
      <c r="O3043" s="5" t="str">
        <f ca="1">IF(P3043&lt;&gt;"EXPEDIÇÃO","Expedido",IF(NETWORKDAYS(C3043,TODAY())&gt;=5,"Risco Alto",IF(NETWORKDAYS(C3043,TODAY())&gt;=3,IF(NETWORKDAYS(C3043,TODAY())&lt;5,"Risco Médio",""),IF(NETWORKDAYS(C3043,TODAY())&lt;=2,"Risco Baixo",""))))</f>
        <v>Expedido</v>
      </c>
      <c r="P3043" s="5" t="s">
        <v>25</v>
      </c>
      <c r="Q3043" s="5" t="s">
        <v>897</v>
      </c>
      <c r="S3043" s="7">
        <f>IF(ISBLANK(M3043),"Aguardando Previsão/Data",NETWORKDAYS(L3043,M3043)-1)</f>
        <v>-4</v>
      </c>
      <c r="T3043" s="5" t="s">
        <v>942</v>
      </c>
    </row>
    <row r="3044" spans="1:20" x14ac:dyDescent="0.35">
      <c r="A3044" s="5">
        <v>8100281466</v>
      </c>
      <c r="B3044" s="5">
        <v>19544</v>
      </c>
      <c r="C3044" s="6">
        <v>45679</v>
      </c>
      <c r="D3044" s="5" t="s">
        <v>106</v>
      </c>
      <c r="E3044" s="5" t="s">
        <v>107</v>
      </c>
      <c r="F3044" s="5" t="s">
        <v>58</v>
      </c>
      <c r="G3044" s="5" t="s">
        <v>59</v>
      </c>
      <c r="H3044" s="5" t="s">
        <v>108</v>
      </c>
      <c r="I3044" s="5" t="s">
        <v>126</v>
      </c>
      <c r="J3044" s="5" t="s">
        <v>127</v>
      </c>
      <c r="K3044" s="5" t="s">
        <v>110</v>
      </c>
      <c r="L3044" s="6">
        <v>45685</v>
      </c>
      <c r="M3044" s="6">
        <v>45681</v>
      </c>
      <c r="N3044" s="6" t="s">
        <v>811</v>
      </c>
      <c r="O3044" s="5" t="str">
        <f ca="1">IF(P3044&lt;&gt;"EXPEDIÇÃO","Expedido",IF(NETWORKDAYS(C3044,TODAY())&gt;=5,"Risco Alto",IF(NETWORKDAYS(C3044,TODAY())&gt;=3,IF(NETWORKDAYS(C3044,TODAY())&lt;5,"Risco Médio",""),IF(NETWORKDAYS(C3044,TODAY())&lt;=2,"Risco Baixo",""))))</f>
        <v>Expedido</v>
      </c>
      <c r="P3044" s="5" t="s">
        <v>25</v>
      </c>
      <c r="S3044" s="7">
        <f>IF(ISBLANK(M3044),"Aguardando Previsão/Data",NETWORKDAYS(L3044,M3044)-1)</f>
        <v>-4</v>
      </c>
      <c r="T3044" s="5" t="s">
        <v>942</v>
      </c>
    </row>
    <row r="3045" spans="1:20" x14ac:dyDescent="0.35">
      <c r="A3045" s="5">
        <v>8100281468</v>
      </c>
      <c r="B3045" s="5">
        <v>19542</v>
      </c>
      <c r="C3045" s="6">
        <v>45679</v>
      </c>
      <c r="D3045" s="5" t="s">
        <v>106</v>
      </c>
      <c r="E3045" s="5" t="s">
        <v>107</v>
      </c>
      <c r="F3045" s="5" t="s">
        <v>147</v>
      </c>
      <c r="G3045" s="5" t="s">
        <v>148</v>
      </c>
      <c r="H3045" s="5" t="s">
        <v>108</v>
      </c>
      <c r="I3045" s="5" t="s">
        <v>128</v>
      </c>
      <c r="J3045" s="5" t="s">
        <v>298</v>
      </c>
      <c r="K3045" s="5" t="s">
        <v>110</v>
      </c>
      <c r="L3045" s="6">
        <v>45686</v>
      </c>
      <c r="M3045" s="6">
        <v>45684</v>
      </c>
      <c r="N3045" s="6" t="s">
        <v>811</v>
      </c>
      <c r="O3045" s="5" t="str">
        <f ca="1">IF(P3045&lt;&gt;"EXPEDIÇÃO","Expedido",IF(NETWORKDAYS(C3045,TODAY())&gt;=5,"Risco Alto",IF(NETWORKDAYS(C3045,TODAY())&gt;=3,IF(NETWORKDAYS(C3045,TODAY())&lt;5,"Risco Médio",""),IF(NETWORKDAYS(C3045,TODAY())&lt;=2,"Risco Baixo",""))))</f>
        <v>Expedido</v>
      </c>
      <c r="P3045" s="5" t="s">
        <v>25</v>
      </c>
      <c r="S3045" s="7">
        <f>IF(ISBLANK(M3045),"Aguardando Previsão/Data",NETWORKDAYS(L3045,M3045)-1)</f>
        <v>-4</v>
      </c>
      <c r="T3045" s="5" t="s">
        <v>942</v>
      </c>
    </row>
    <row r="3046" spans="1:20" x14ac:dyDescent="0.35">
      <c r="A3046" s="5">
        <v>8100281469</v>
      </c>
      <c r="B3046" s="5">
        <v>19543</v>
      </c>
      <c r="C3046" s="6">
        <v>45679</v>
      </c>
      <c r="D3046" s="5" t="s">
        <v>106</v>
      </c>
      <c r="E3046" s="5" t="s">
        <v>107</v>
      </c>
      <c r="F3046" s="5" t="s">
        <v>66</v>
      </c>
      <c r="G3046" s="5" t="s">
        <v>67</v>
      </c>
      <c r="H3046" s="5" t="s">
        <v>108</v>
      </c>
      <c r="I3046" s="5" t="s">
        <v>583</v>
      </c>
      <c r="J3046" s="5" t="s">
        <v>584</v>
      </c>
      <c r="K3046" s="5" t="s">
        <v>110</v>
      </c>
      <c r="L3046" s="6">
        <v>45687</v>
      </c>
      <c r="M3046" s="6">
        <v>45686</v>
      </c>
      <c r="N3046" s="6" t="s">
        <v>811</v>
      </c>
      <c r="O3046" s="5" t="str">
        <f ca="1">IF(P3046&lt;&gt;"EXPEDIÇÃO","Expedido",IF(NETWORKDAYS(C3046,TODAY())&gt;=5,"Risco Alto",IF(NETWORKDAYS(C3046,TODAY())&gt;=3,IF(NETWORKDAYS(C3046,TODAY())&lt;5,"Risco Médio",""),IF(NETWORKDAYS(C3046,TODAY())&lt;=2,"Risco Baixo",""))))</f>
        <v>Expedido</v>
      </c>
      <c r="P3046" s="5" t="s">
        <v>25</v>
      </c>
      <c r="S3046" s="7">
        <f>IF(ISBLANK(M3046),"Aguardando Previsão/Data",NETWORKDAYS(L3046,M3046)-1)</f>
        <v>-3</v>
      </c>
      <c r="T3046" s="5" t="s">
        <v>942</v>
      </c>
    </row>
    <row r="3047" spans="1:20" x14ac:dyDescent="0.35">
      <c r="A3047" s="5">
        <v>8100281470</v>
      </c>
      <c r="B3047" s="5">
        <v>19541</v>
      </c>
      <c r="C3047" s="6">
        <v>45679</v>
      </c>
      <c r="D3047" s="5" t="s">
        <v>106</v>
      </c>
      <c r="E3047" s="5" t="s">
        <v>107</v>
      </c>
      <c r="F3047" s="5" t="s">
        <v>66</v>
      </c>
      <c r="G3047" s="5" t="s">
        <v>67</v>
      </c>
      <c r="H3047" s="5" t="s">
        <v>108</v>
      </c>
      <c r="I3047" s="5" t="s">
        <v>1482</v>
      </c>
      <c r="J3047" s="5" t="s">
        <v>1483</v>
      </c>
      <c r="K3047" s="5" t="s">
        <v>110</v>
      </c>
      <c r="L3047" s="6">
        <v>45687</v>
      </c>
      <c r="M3047" s="6">
        <v>45686</v>
      </c>
      <c r="N3047" s="6" t="s">
        <v>811</v>
      </c>
      <c r="O3047" s="5" t="str">
        <f ca="1">IF(P3047&lt;&gt;"EXPEDIÇÃO","Expedido",IF(NETWORKDAYS(C3047,TODAY())&gt;=5,"Risco Alto",IF(NETWORKDAYS(C3047,TODAY())&gt;=3,IF(NETWORKDAYS(C3047,TODAY())&lt;5,"Risco Médio",""),IF(NETWORKDAYS(C3047,TODAY())&lt;=2,"Risco Baixo",""))))</f>
        <v>Expedido</v>
      </c>
      <c r="P3047" s="5" t="s">
        <v>25</v>
      </c>
      <c r="S3047" s="7">
        <f>IF(ISBLANK(M3047),"Aguardando Previsão/Data",NETWORKDAYS(L3047,M3047)-1)</f>
        <v>-3</v>
      </c>
      <c r="T3047" s="5" t="s">
        <v>942</v>
      </c>
    </row>
    <row r="3048" spans="1:20" x14ac:dyDescent="0.35">
      <c r="A3048" s="5">
        <v>8100280565</v>
      </c>
      <c r="B3048" s="5">
        <v>7325</v>
      </c>
      <c r="C3048" s="6">
        <v>45679</v>
      </c>
      <c r="D3048" s="5" t="s">
        <v>194</v>
      </c>
      <c r="E3048" s="5" t="s">
        <v>195</v>
      </c>
      <c r="F3048" s="5" t="s">
        <v>406</v>
      </c>
      <c r="G3048" s="5" t="s">
        <v>407</v>
      </c>
      <c r="H3048" s="5" t="s">
        <v>108</v>
      </c>
      <c r="I3048" s="5" t="s">
        <v>1461</v>
      </c>
      <c r="J3048" s="5" t="s">
        <v>1462</v>
      </c>
      <c r="K3048" s="5" t="s">
        <v>198</v>
      </c>
      <c r="L3048" s="6">
        <v>45686</v>
      </c>
      <c r="M3048" s="6">
        <v>45688</v>
      </c>
      <c r="N3048" s="6" t="s">
        <v>812</v>
      </c>
      <c r="O3048" s="5" t="str">
        <f ca="1">IF(P3048&lt;&gt;"EXPEDIÇÃO","Expedido",IF(NETWORKDAYS(C3048,TODAY())&gt;=5,"Risco Alto",IF(NETWORKDAYS(C3048,TODAY())&gt;=3,IF(NETWORKDAYS(C3048,TODAY())&lt;5,"Risco Médio",""),IF(NETWORKDAYS(C3048,TODAY())&lt;=2,"Risco Baixo",""))))</f>
        <v>Expedido</v>
      </c>
      <c r="P3048" s="5" t="s">
        <v>617</v>
      </c>
      <c r="Q3048" s="5" t="s">
        <v>1617</v>
      </c>
      <c r="R3048" s="5">
        <v>3117083</v>
      </c>
      <c r="S3048" s="7">
        <f>IF(ISBLANK(M3048),"Aguardando Previsão/Data",NETWORKDAYS(L3048,M3048)-1)</f>
        <v>2</v>
      </c>
    </row>
    <row r="3049" spans="1:20" x14ac:dyDescent="0.35">
      <c r="A3049" s="5">
        <v>8100280678</v>
      </c>
      <c r="B3049" s="5">
        <v>7326</v>
      </c>
      <c r="C3049" s="6">
        <v>45679</v>
      </c>
      <c r="D3049" s="5" t="s">
        <v>194</v>
      </c>
      <c r="E3049" s="5" t="s">
        <v>195</v>
      </c>
      <c r="F3049" s="5" t="s">
        <v>406</v>
      </c>
      <c r="G3049" s="5" t="s">
        <v>407</v>
      </c>
      <c r="H3049" s="5" t="s">
        <v>108</v>
      </c>
      <c r="I3049" s="5" t="s">
        <v>1469</v>
      </c>
      <c r="J3049" s="5" t="s">
        <v>407</v>
      </c>
      <c r="K3049" s="5" t="s">
        <v>198</v>
      </c>
      <c r="L3049" s="6">
        <v>45685</v>
      </c>
      <c r="M3049" s="6">
        <v>45684</v>
      </c>
      <c r="N3049" s="6" t="s">
        <v>811</v>
      </c>
      <c r="O3049" s="5" t="str">
        <f ca="1">IF(P3049&lt;&gt;"EXPEDIÇÃO","Expedido",IF(NETWORKDAYS(C3049,TODAY())&gt;=5,"Risco Alto",IF(NETWORKDAYS(C3049,TODAY())&gt;=3,IF(NETWORKDAYS(C3049,TODAY())&lt;5,"Risco Médio",""),IF(NETWORKDAYS(C3049,TODAY())&lt;=2,"Risco Baixo",""))))</f>
        <v>Expedido</v>
      </c>
      <c r="P3049" s="5" t="s">
        <v>25</v>
      </c>
      <c r="S3049" s="7">
        <f>IF(ISBLANK(M3049),"Aguardando Previsão/Data",NETWORKDAYS(L3049,M3049)-1)</f>
        <v>-3</v>
      </c>
      <c r="T3049" s="5" t="s">
        <v>942</v>
      </c>
    </row>
    <row r="3050" spans="1:20" x14ac:dyDescent="0.35">
      <c r="A3050" s="5">
        <v>8100281214</v>
      </c>
      <c r="B3050" s="5">
        <v>7327</v>
      </c>
      <c r="C3050" s="6">
        <v>45679</v>
      </c>
      <c r="D3050" s="5" t="s">
        <v>194</v>
      </c>
      <c r="E3050" s="5" t="s">
        <v>195</v>
      </c>
      <c r="F3050" s="5" t="s">
        <v>199</v>
      </c>
      <c r="G3050" s="5" t="s">
        <v>200</v>
      </c>
      <c r="H3050" s="5" t="s">
        <v>108</v>
      </c>
      <c r="I3050" s="5" t="s">
        <v>589</v>
      </c>
      <c r="J3050" s="5" t="s">
        <v>205</v>
      </c>
      <c r="K3050" s="5" t="s">
        <v>198</v>
      </c>
      <c r="L3050" s="6">
        <v>45687</v>
      </c>
      <c r="M3050" s="6">
        <v>45685</v>
      </c>
      <c r="N3050" s="6" t="s">
        <v>811</v>
      </c>
      <c r="O3050" s="5" t="str">
        <f ca="1">IF(P3050&lt;&gt;"EXPEDIÇÃO","Expedido",IF(NETWORKDAYS(C3050,TODAY())&gt;=5,"Risco Alto",IF(NETWORKDAYS(C3050,TODAY())&gt;=3,IF(NETWORKDAYS(C3050,TODAY())&lt;5,"Risco Médio",""),IF(NETWORKDAYS(C3050,TODAY())&lt;=2,"Risco Baixo",""))))</f>
        <v>Expedido</v>
      </c>
      <c r="P3050" s="5" t="s">
        <v>25</v>
      </c>
      <c r="Q3050" s="5" t="s">
        <v>899</v>
      </c>
      <c r="S3050" s="7">
        <f>IF(ISBLANK(M3050),"Aguardando Previsão/Data",NETWORKDAYS(L3050,M3050)-1)</f>
        <v>-4</v>
      </c>
      <c r="T3050" s="5" t="s">
        <v>942</v>
      </c>
    </row>
    <row r="3051" spans="1:20" x14ac:dyDescent="0.35">
      <c r="A3051" s="5">
        <v>8100281215</v>
      </c>
      <c r="B3051" s="5">
        <v>7328</v>
      </c>
      <c r="C3051" s="6">
        <v>45679</v>
      </c>
      <c r="D3051" s="5" t="s">
        <v>194</v>
      </c>
      <c r="E3051" s="5" t="s">
        <v>195</v>
      </c>
      <c r="F3051" s="5" t="s">
        <v>199</v>
      </c>
      <c r="G3051" s="5" t="s">
        <v>200</v>
      </c>
      <c r="H3051" s="5" t="s">
        <v>108</v>
      </c>
      <c r="I3051" s="5" t="s">
        <v>589</v>
      </c>
      <c r="J3051" s="5" t="s">
        <v>205</v>
      </c>
      <c r="K3051" s="5" t="s">
        <v>198</v>
      </c>
      <c r="L3051" s="6">
        <v>45687</v>
      </c>
      <c r="M3051" s="6">
        <v>45685</v>
      </c>
      <c r="N3051" s="6" t="s">
        <v>811</v>
      </c>
      <c r="O3051" s="5" t="str">
        <f ca="1">IF(P3051&lt;&gt;"EXPEDIÇÃO","Expedido",IF(NETWORKDAYS(C3051,TODAY())&gt;=5,"Risco Alto",IF(NETWORKDAYS(C3051,TODAY())&gt;=3,IF(NETWORKDAYS(C3051,TODAY())&lt;5,"Risco Médio",""),IF(NETWORKDAYS(C3051,TODAY())&lt;=2,"Risco Baixo",""))))</f>
        <v>Expedido</v>
      </c>
      <c r="P3051" s="5" t="s">
        <v>25</v>
      </c>
      <c r="Q3051" s="5" t="s">
        <v>899</v>
      </c>
      <c r="S3051" s="7">
        <f>IF(ISBLANK(M3051),"Aguardando Previsão/Data",NETWORKDAYS(L3051,M3051)-1)</f>
        <v>-4</v>
      </c>
      <c r="T3051" s="5" t="s">
        <v>942</v>
      </c>
    </row>
    <row r="3052" spans="1:20" x14ac:dyDescent="0.35">
      <c r="A3052" s="5">
        <v>8100281217</v>
      </c>
      <c r="B3052" s="5">
        <v>7329</v>
      </c>
      <c r="C3052" s="6">
        <v>45679</v>
      </c>
      <c r="D3052" s="5" t="s">
        <v>194</v>
      </c>
      <c r="E3052" s="5" t="s">
        <v>195</v>
      </c>
      <c r="F3052" s="5" t="s">
        <v>199</v>
      </c>
      <c r="G3052" s="5" t="s">
        <v>200</v>
      </c>
      <c r="H3052" s="5" t="s">
        <v>108</v>
      </c>
      <c r="I3052" s="5" t="s">
        <v>589</v>
      </c>
      <c r="J3052" s="5" t="s">
        <v>205</v>
      </c>
      <c r="K3052" s="5" t="s">
        <v>198</v>
      </c>
      <c r="L3052" s="6">
        <v>45687</v>
      </c>
      <c r="M3052" s="6">
        <v>45685</v>
      </c>
      <c r="N3052" s="6" t="s">
        <v>811</v>
      </c>
      <c r="O3052" s="5" t="str">
        <f ca="1">IF(P3052&lt;&gt;"EXPEDIÇÃO","Expedido",IF(NETWORKDAYS(C3052,TODAY())&gt;=5,"Risco Alto",IF(NETWORKDAYS(C3052,TODAY())&gt;=3,IF(NETWORKDAYS(C3052,TODAY())&lt;5,"Risco Médio",""),IF(NETWORKDAYS(C3052,TODAY())&lt;=2,"Risco Baixo",""))))</f>
        <v>Expedido</v>
      </c>
      <c r="P3052" s="5" t="s">
        <v>25</v>
      </c>
      <c r="Q3052" s="5" t="s">
        <v>899</v>
      </c>
      <c r="S3052" s="7">
        <f>IF(ISBLANK(M3052),"Aguardando Previsão/Data",NETWORKDAYS(L3052,M3052)-1)</f>
        <v>-4</v>
      </c>
      <c r="T3052" s="5" t="s">
        <v>942</v>
      </c>
    </row>
    <row r="3053" spans="1:20" x14ac:dyDescent="0.35">
      <c r="A3053" s="5">
        <v>8100281072</v>
      </c>
      <c r="B3053" s="5">
        <v>12392</v>
      </c>
      <c r="C3053" s="6">
        <v>45679</v>
      </c>
      <c r="D3053" s="5" t="s">
        <v>158</v>
      </c>
      <c r="E3053" s="5" t="s">
        <v>159</v>
      </c>
      <c r="F3053" s="5" t="s">
        <v>171</v>
      </c>
      <c r="G3053" s="5" t="s">
        <v>172</v>
      </c>
      <c r="H3053" s="5" t="s">
        <v>108</v>
      </c>
      <c r="I3053" s="5" t="s">
        <v>510</v>
      </c>
      <c r="J3053" s="5" t="s">
        <v>172</v>
      </c>
      <c r="K3053" s="5" t="s">
        <v>170</v>
      </c>
      <c r="L3053" s="6">
        <v>45686</v>
      </c>
      <c r="M3053" s="6">
        <v>45680</v>
      </c>
      <c r="N3053" s="6" t="s">
        <v>811</v>
      </c>
      <c r="O3053" s="5" t="str">
        <f ca="1">IF(P3053&lt;&gt;"EXPEDIÇÃO","Expedido",IF(NETWORKDAYS(C3053,TODAY())&gt;=5,"Risco Alto",IF(NETWORKDAYS(C3053,TODAY())&gt;=3,IF(NETWORKDAYS(C3053,TODAY())&lt;5,"Risco Médio",""),IF(NETWORKDAYS(C3053,TODAY())&lt;=2,"Risco Baixo",""))))</f>
        <v>Expedido</v>
      </c>
      <c r="P3053" s="5" t="s">
        <v>25</v>
      </c>
      <c r="S3053" s="7">
        <f>IF(ISBLANK(M3053),"Aguardando Previsão/Data",NETWORKDAYS(L3053,M3053)-1)</f>
        <v>-6</v>
      </c>
      <c r="T3053" s="5" t="s">
        <v>942</v>
      </c>
    </row>
    <row r="3054" spans="1:20" x14ac:dyDescent="0.35">
      <c r="A3054" s="5">
        <v>8100281223</v>
      </c>
      <c r="B3054" s="5">
        <v>12393</v>
      </c>
      <c r="C3054" s="6">
        <v>45679</v>
      </c>
      <c r="D3054" s="5" t="s">
        <v>158</v>
      </c>
      <c r="E3054" s="5" t="s">
        <v>159</v>
      </c>
      <c r="F3054" s="5" t="s">
        <v>176</v>
      </c>
      <c r="G3054" s="5" t="s">
        <v>177</v>
      </c>
      <c r="H3054" s="5" t="s">
        <v>108</v>
      </c>
      <c r="I3054" s="5" t="s">
        <v>1475</v>
      </c>
      <c r="J3054" s="5" t="s">
        <v>1476</v>
      </c>
      <c r="K3054" s="5" t="s">
        <v>175</v>
      </c>
      <c r="L3054" s="6">
        <v>45688</v>
      </c>
      <c r="M3054" s="6">
        <v>45687</v>
      </c>
      <c r="N3054" s="6" t="s">
        <v>811</v>
      </c>
      <c r="O3054" s="5" t="str">
        <f ca="1">IF(P3054&lt;&gt;"EXPEDIÇÃO","Expedido",IF(NETWORKDAYS(C3054,TODAY())&gt;=5,"Risco Alto",IF(NETWORKDAYS(C3054,TODAY())&gt;=3,IF(NETWORKDAYS(C3054,TODAY())&lt;5,"Risco Médio",""),IF(NETWORKDAYS(C3054,TODAY())&lt;=2,"Risco Baixo",""))))</f>
        <v>Expedido</v>
      </c>
      <c r="P3054" s="5" t="s">
        <v>25</v>
      </c>
      <c r="S3054" s="7">
        <f>IF(ISBLANK(M3054),"Aguardando Previsão/Data",NETWORKDAYS(L3054,M3054)-1)</f>
        <v>-3</v>
      </c>
      <c r="T3054" s="5" t="s">
        <v>942</v>
      </c>
    </row>
    <row r="3055" spans="1:20" x14ac:dyDescent="0.35">
      <c r="A3055" s="5">
        <v>8100281299</v>
      </c>
      <c r="B3055" s="5">
        <v>12391</v>
      </c>
      <c r="C3055" s="6">
        <v>45679</v>
      </c>
      <c r="D3055" s="5" t="s">
        <v>158</v>
      </c>
      <c r="E3055" s="5" t="s">
        <v>159</v>
      </c>
      <c r="F3055" s="5" t="s">
        <v>176</v>
      </c>
      <c r="G3055" s="5" t="s">
        <v>177</v>
      </c>
      <c r="H3055" s="5" t="s">
        <v>108</v>
      </c>
      <c r="I3055" s="5" t="s">
        <v>178</v>
      </c>
      <c r="J3055" s="5" t="s">
        <v>179</v>
      </c>
      <c r="K3055" s="5" t="s">
        <v>175</v>
      </c>
      <c r="L3055" s="6">
        <v>45687</v>
      </c>
      <c r="M3055" s="6">
        <v>45685</v>
      </c>
      <c r="N3055" s="6" t="s">
        <v>811</v>
      </c>
      <c r="O3055" s="5" t="str">
        <f ca="1">IF(P3055&lt;&gt;"EXPEDIÇÃO","Expedido",IF(NETWORKDAYS(C3055,TODAY())&gt;=5,"Risco Alto",IF(NETWORKDAYS(C3055,TODAY())&gt;=3,IF(NETWORKDAYS(C3055,TODAY())&lt;5,"Risco Médio",""),IF(NETWORKDAYS(C3055,TODAY())&lt;=2,"Risco Baixo",""))))</f>
        <v>Expedido</v>
      </c>
      <c r="P3055" s="5" t="s">
        <v>25</v>
      </c>
      <c r="S3055" s="7">
        <f>IF(ISBLANK(M3055),"Aguardando Previsão/Data",NETWORKDAYS(L3055,M3055)-1)</f>
        <v>-4</v>
      </c>
      <c r="T3055" s="5" t="s">
        <v>942</v>
      </c>
    </row>
    <row r="3056" spans="1:20" x14ac:dyDescent="0.35">
      <c r="A3056" s="5">
        <v>8100281464</v>
      </c>
      <c r="B3056" s="5">
        <v>12397</v>
      </c>
      <c r="C3056" s="6">
        <v>45679</v>
      </c>
      <c r="D3056" s="5" t="s">
        <v>158</v>
      </c>
      <c r="E3056" s="5" t="s">
        <v>159</v>
      </c>
      <c r="F3056" s="5" t="s">
        <v>79</v>
      </c>
      <c r="G3056" s="5" t="s">
        <v>80</v>
      </c>
      <c r="H3056" s="5" t="s">
        <v>108</v>
      </c>
      <c r="I3056" s="5" t="s">
        <v>452</v>
      </c>
      <c r="J3056" s="5" t="s">
        <v>183</v>
      </c>
      <c r="K3056" s="5" t="s">
        <v>80</v>
      </c>
      <c r="L3056" s="6">
        <v>45687</v>
      </c>
      <c r="M3056" s="6">
        <v>45685</v>
      </c>
      <c r="N3056" s="6" t="s">
        <v>811</v>
      </c>
      <c r="O3056" s="5" t="str">
        <f ca="1">IF(P3056&lt;&gt;"EXPEDIÇÃO","Expedido",IF(NETWORKDAYS(C3056,TODAY())&gt;=5,"Risco Alto",IF(NETWORKDAYS(C3056,TODAY())&gt;=3,IF(NETWORKDAYS(C3056,TODAY())&lt;5,"Risco Médio",""),IF(NETWORKDAYS(C3056,TODAY())&lt;=2,"Risco Baixo",""))))</f>
        <v>Expedido</v>
      </c>
      <c r="P3056" s="5" t="s">
        <v>25</v>
      </c>
      <c r="S3056" s="7">
        <f>IF(ISBLANK(M3056),"Aguardando Previsão/Data",NETWORKDAYS(L3056,M3056)-1)</f>
        <v>-4</v>
      </c>
      <c r="T3056" s="5" t="s">
        <v>942</v>
      </c>
    </row>
    <row r="3057" spans="1:20" x14ac:dyDescent="0.35">
      <c r="A3057" s="5">
        <v>8100281507</v>
      </c>
      <c r="B3057" s="5">
        <v>12405</v>
      </c>
      <c r="C3057" s="6">
        <v>45679</v>
      </c>
      <c r="D3057" s="5" t="s">
        <v>158</v>
      </c>
      <c r="E3057" s="5" t="s">
        <v>159</v>
      </c>
      <c r="F3057" s="5" t="s">
        <v>167</v>
      </c>
      <c r="G3057" s="5" t="s">
        <v>168</v>
      </c>
      <c r="H3057" s="5" t="s">
        <v>108</v>
      </c>
      <c r="I3057" s="5" t="s">
        <v>164</v>
      </c>
      <c r="J3057" s="5" t="s">
        <v>1484</v>
      </c>
      <c r="K3057" s="5" t="s">
        <v>170</v>
      </c>
      <c r="L3057" s="6">
        <v>45686</v>
      </c>
      <c r="M3057" s="6">
        <v>45682</v>
      </c>
      <c r="N3057" s="6" t="s">
        <v>811</v>
      </c>
      <c r="O3057" s="5" t="str">
        <f ca="1">IF(P3057&lt;&gt;"EXPEDIÇÃO","Expedido",IF(NETWORKDAYS(C3057,TODAY())&gt;=5,"Risco Alto",IF(NETWORKDAYS(C3057,TODAY())&gt;=3,IF(NETWORKDAYS(C3057,TODAY())&lt;5,"Risco Médio",""),IF(NETWORKDAYS(C3057,TODAY())&lt;=2,"Risco Baixo",""))))</f>
        <v>Expedido</v>
      </c>
      <c r="P3057" s="5" t="s">
        <v>25</v>
      </c>
      <c r="S3057" s="7">
        <f>IF(ISBLANK(M3057),"Aguardando Previsão/Data",NETWORKDAYS(L3057,M3057)-1)</f>
        <v>-4</v>
      </c>
      <c r="T3057" s="5" t="s">
        <v>942</v>
      </c>
    </row>
    <row r="3058" spans="1:20" x14ac:dyDescent="0.35">
      <c r="A3058" s="5">
        <v>8100281508</v>
      </c>
      <c r="B3058" s="5">
        <v>12399</v>
      </c>
      <c r="C3058" s="6">
        <v>45679</v>
      </c>
      <c r="D3058" s="5" t="s">
        <v>158</v>
      </c>
      <c r="E3058" s="5" t="s">
        <v>159</v>
      </c>
      <c r="F3058" s="5" t="s">
        <v>167</v>
      </c>
      <c r="G3058" s="5" t="s">
        <v>168</v>
      </c>
      <c r="H3058" s="5" t="s">
        <v>108</v>
      </c>
      <c r="I3058" s="5" t="s">
        <v>164</v>
      </c>
      <c r="J3058" s="5" t="s">
        <v>1485</v>
      </c>
      <c r="K3058" s="5" t="s">
        <v>170</v>
      </c>
      <c r="L3058" s="6">
        <v>45686</v>
      </c>
      <c r="M3058" s="6">
        <v>45681</v>
      </c>
      <c r="N3058" s="6" t="s">
        <v>811</v>
      </c>
      <c r="O3058" s="5" t="str">
        <f ca="1">IF(P3058&lt;&gt;"EXPEDIÇÃO","Expedido",IF(NETWORKDAYS(C3058,TODAY())&gt;=5,"Risco Alto",IF(NETWORKDAYS(C3058,TODAY())&gt;=3,IF(NETWORKDAYS(C3058,TODAY())&lt;5,"Risco Médio",""),IF(NETWORKDAYS(C3058,TODAY())&lt;=2,"Risco Baixo",""))))</f>
        <v>Expedido</v>
      </c>
      <c r="P3058" s="5" t="s">
        <v>25</v>
      </c>
      <c r="S3058" s="7">
        <f>IF(ISBLANK(M3058),"Aguardando Previsão/Data",NETWORKDAYS(L3058,M3058)-1)</f>
        <v>-5</v>
      </c>
      <c r="T3058" s="5" t="s">
        <v>942</v>
      </c>
    </row>
    <row r="3059" spans="1:20" x14ac:dyDescent="0.35">
      <c r="A3059" s="5">
        <v>8100281509</v>
      </c>
      <c r="B3059" s="5">
        <v>12402</v>
      </c>
      <c r="C3059" s="6">
        <v>45679</v>
      </c>
      <c r="D3059" s="5" t="s">
        <v>158</v>
      </c>
      <c r="E3059" s="5" t="s">
        <v>159</v>
      </c>
      <c r="F3059" s="5" t="s">
        <v>167</v>
      </c>
      <c r="G3059" s="5" t="s">
        <v>168</v>
      </c>
      <c r="H3059" s="5" t="s">
        <v>108</v>
      </c>
      <c r="I3059" s="5" t="s">
        <v>164</v>
      </c>
      <c r="J3059" s="5" t="s">
        <v>1486</v>
      </c>
      <c r="K3059" s="5" t="s">
        <v>170</v>
      </c>
      <c r="L3059" s="6">
        <v>45686</v>
      </c>
      <c r="M3059" s="6">
        <v>45685</v>
      </c>
      <c r="N3059" s="6" t="s">
        <v>811</v>
      </c>
      <c r="O3059" s="5" t="str">
        <f ca="1">IF(P3059&lt;&gt;"EXPEDIÇÃO","Expedido",IF(NETWORKDAYS(C3059,TODAY())&gt;=5,"Risco Alto",IF(NETWORKDAYS(C3059,TODAY())&gt;=3,IF(NETWORKDAYS(C3059,TODAY())&lt;5,"Risco Médio",""),IF(NETWORKDAYS(C3059,TODAY())&lt;=2,"Risco Baixo",""))))</f>
        <v>Expedido</v>
      </c>
      <c r="P3059" s="5" t="s">
        <v>25</v>
      </c>
      <c r="S3059" s="7">
        <f>IF(ISBLANK(M3059),"Aguardando Previsão/Data",NETWORKDAYS(L3059,M3059)-1)</f>
        <v>-3</v>
      </c>
      <c r="T3059" s="5" t="s">
        <v>942</v>
      </c>
    </row>
    <row r="3060" spans="1:20" x14ac:dyDescent="0.35">
      <c r="A3060" s="5">
        <v>8100281510</v>
      </c>
      <c r="B3060" s="5">
        <v>12404</v>
      </c>
      <c r="C3060" s="6">
        <v>45679</v>
      </c>
      <c r="D3060" s="5" t="s">
        <v>158</v>
      </c>
      <c r="E3060" s="5" t="s">
        <v>159</v>
      </c>
      <c r="F3060" s="5" t="s">
        <v>167</v>
      </c>
      <c r="G3060" s="5" t="s">
        <v>168</v>
      </c>
      <c r="H3060" s="5" t="s">
        <v>108</v>
      </c>
      <c r="I3060" s="5" t="s">
        <v>164</v>
      </c>
      <c r="J3060" s="5" t="s">
        <v>1487</v>
      </c>
      <c r="K3060" s="5" t="s">
        <v>170</v>
      </c>
      <c r="L3060" s="6">
        <v>45686</v>
      </c>
      <c r="M3060" s="6">
        <v>45686</v>
      </c>
      <c r="N3060" s="6" t="s">
        <v>811</v>
      </c>
      <c r="O3060" s="5" t="str">
        <f ca="1">IF(P3060&lt;&gt;"EXPEDIÇÃO","Expedido",IF(NETWORKDAYS(C3060,TODAY())&gt;=5,"Risco Alto",IF(NETWORKDAYS(C3060,TODAY())&gt;=3,IF(NETWORKDAYS(C3060,TODAY())&lt;5,"Risco Médio",""),IF(NETWORKDAYS(C3060,TODAY())&lt;=2,"Risco Baixo",""))))</f>
        <v>Expedido</v>
      </c>
      <c r="P3060" s="5" t="s">
        <v>25</v>
      </c>
      <c r="Q3060" s="5" t="s">
        <v>810</v>
      </c>
      <c r="R3060" s="5">
        <v>3110103</v>
      </c>
      <c r="S3060" s="7">
        <f>IF(ISBLANK(M3060),"Aguardando Previsão/Data",NETWORKDAYS(L3060,M3060)-1)</f>
        <v>0</v>
      </c>
      <c r="T3060" s="5" t="s">
        <v>942</v>
      </c>
    </row>
    <row r="3061" spans="1:20" x14ac:dyDescent="0.35">
      <c r="A3061" s="5">
        <v>8100281513</v>
      </c>
      <c r="B3061" s="5">
        <v>12403</v>
      </c>
      <c r="C3061" s="6">
        <v>45679</v>
      </c>
      <c r="D3061" s="5" t="s">
        <v>158</v>
      </c>
      <c r="E3061" s="5" t="s">
        <v>159</v>
      </c>
      <c r="F3061" s="5" t="s">
        <v>167</v>
      </c>
      <c r="G3061" s="5" t="s">
        <v>168</v>
      </c>
      <c r="H3061" s="5" t="s">
        <v>108</v>
      </c>
      <c r="I3061" s="5" t="s">
        <v>164</v>
      </c>
      <c r="J3061" s="5" t="s">
        <v>1488</v>
      </c>
      <c r="K3061" s="5" t="s">
        <v>170</v>
      </c>
      <c r="L3061" s="6">
        <v>45686</v>
      </c>
      <c r="M3061" s="6">
        <v>45684</v>
      </c>
      <c r="N3061" s="6" t="s">
        <v>811</v>
      </c>
      <c r="O3061" s="5" t="str">
        <f ca="1">IF(P3061&lt;&gt;"EXPEDIÇÃO","Expedido",IF(NETWORKDAYS(C3061,TODAY())&gt;=5,"Risco Alto",IF(NETWORKDAYS(C3061,TODAY())&gt;=3,IF(NETWORKDAYS(C3061,TODAY())&lt;5,"Risco Médio",""),IF(NETWORKDAYS(C3061,TODAY())&lt;=2,"Risco Baixo",""))))</f>
        <v>Expedido</v>
      </c>
      <c r="P3061" s="5" t="s">
        <v>25</v>
      </c>
      <c r="S3061" s="7">
        <f>IF(ISBLANK(M3061),"Aguardando Previsão/Data",NETWORKDAYS(L3061,M3061)-1)</f>
        <v>-4</v>
      </c>
      <c r="T3061" s="5" t="s">
        <v>942</v>
      </c>
    </row>
    <row r="3062" spans="1:20" x14ac:dyDescent="0.35">
      <c r="A3062" s="5">
        <v>8100281514</v>
      </c>
      <c r="B3062" s="5">
        <v>12398</v>
      </c>
      <c r="C3062" s="6">
        <v>45679</v>
      </c>
      <c r="D3062" s="5" t="s">
        <v>158</v>
      </c>
      <c r="E3062" s="5" t="s">
        <v>159</v>
      </c>
      <c r="F3062" s="5" t="s">
        <v>167</v>
      </c>
      <c r="G3062" s="5" t="s">
        <v>168</v>
      </c>
      <c r="H3062" s="5" t="s">
        <v>108</v>
      </c>
      <c r="I3062" s="5" t="s">
        <v>164</v>
      </c>
      <c r="J3062" s="5" t="s">
        <v>615</v>
      </c>
      <c r="K3062" s="5" t="s">
        <v>170</v>
      </c>
      <c r="L3062" s="6">
        <v>45686</v>
      </c>
      <c r="M3062" s="6">
        <v>45684</v>
      </c>
      <c r="N3062" s="6" t="s">
        <v>811</v>
      </c>
      <c r="O3062" s="5" t="str">
        <f ca="1">IF(P3062&lt;&gt;"EXPEDIÇÃO","Expedido",IF(NETWORKDAYS(C3062,TODAY())&gt;=5,"Risco Alto",IF(NETWORKDAYS(C3062,TODAY())&gt;=3,IF(NETWORKDAYS(C3062,TODAY())&lt;5,"Risco Médio",""),IF(NETWORKDAYS(C3062,TODAY())&lt;=2,"Risco Baixo",""))))</f>
        <v>Expedido</v>
      </c>
      <c r="P3062" s="5" t="s">
        <v>25</v>
      </c>
      <c r="S3062" s="7">
        <f>IF(ISBLANK(M3062),"Aguardando Previsão/Data",NETWORKDAYS(L3062,M3062)-1)</f>
        <v>-4</v>
      </c>
      <c r="T3062" s="5" t="s">
        <v>942</v>
      </c>
    </row>
    <row r="3063" spans="1:20" x14ac:dyDescent="0.35">
      <c r="A3063" s="5">
        <v>8100281515</v>
      </c>
      <c r="B3063" s="5">
        <v>12400</v>
      </c>
      <c r="C3063" s="6">
        <v>45679</v>
      </c>
      <c r="D3063" s="5" t="s">
        <v>158</v>
      </c>
      <c r="E3063" s="5" t="s">
        <v>159</v>
      </c>
      <c r="F3063" s="5" t="s">
        <v>167</v>
      </c>
      <c r="G3063" s="5" t="s">
        <v>168</v>
      </c>
      <c r="H3063" s="5" t="s">
        <v>108</v>
      </c>
      <c r="I3063" s="5" t="s">
        <v>164</v>
      </c>
      <c r="J3063" s="5" t="s">
        <v>1485</v>
      </c>
      <c r="K3063" s="5" t="s">
        <v>170</v>
      </c>
      <c r="L3063" s="6">
        <v>45686</v>
      </c>
      <c r="M3063" s="6">
        <v>45681</v>
      </c>
      <c r="N3063" s="6" t="s">
        <v>811</v>
      </c>
      <c r="O3063" s="5" t="str">
        <f ca="1">IF(P3063&lt;&gt;"EXPEDIÇÃO","Expedido",IF(NETWORKDAYS(C3063,TODAY())&gt;=5,"Risco Alto",IF(NETWORKDAYS(C3063,TODAY())&gt;=3,IF(NETWORKDAYS(C3063,TODAY())&lt;5,"Risco Médio",""),IF(NETWORKDAYS(C3063,TODAY())&lt;=2,"Risco Baixo",""))))</f>
        <v>Expedido</v>
      </c>
      <c r="P3063" s="5" t="s">
        <v>25</v>
      </c>
      <c r="S3063" s="7">
        <f>IF(ISBLANK(M3063),"Aguardando Previsão/Data",NETWORKDAYS(L3063,M3063)-1)</f>
        <v>-5</v>
      </c>
      <c r="T3063" s="5" t="s">
        <v>942</v>
      </c>
    </row>
    <row r="3064" spans="1:20" x14ac:dyDescent="0.35">
      <c r="A3064" s="5">
        <v>8100281516</v>
      </c>
      <c r="B3064" s="5">
        <v>12408</v>
      </c>
      <c r="C3064" s="6">
        <v>45679</v>
      </c>
      <c r="D3064" s="5" t="s">
        <v>158</v>
      </c>
      <c r="E3064" s="5" t="s">
        <v>159</v>
      </c>
      <c r="F3064" s="5" t="s">
        <v>167</v>
      </c>
      <c r="G3064" s="5" t="s">
        <v>168</v>
      </c>
      <c r="H3064" s="5" t="s">
        <v>108</v>
      </c>
      <c r="I3064" s="5" t="s">
        <v>164</v>
      </c>
      <c r="J3064" s="5" t="s">
        <v>193</v>
      </c>
      <c r="K3064" s="5" t="s">
        <v>170</v>
      </c>
      <c r="L3064" s="6">
        <v>45686</v>
      </c>
      <c r="M3064" s="6">
        <v>45685</v>
      </c>
      <c r="N3064" s="6" t="s">
        <v>811</v>
      </c>
      <c r="O3064" s="5" t="str">
        <f ca="1">IF(P3064&lt;&gt;"EXPEDIÇÃO","Expedido",IF(NETWORKDAYS(C3064,TODAY())&gt;=5,"Risco Alto",IF(NETWORKDAYS(C3064,TODAY())&gt;=3,IF(NETWORKDAYS(C3064,TODAY())&lt;5,"Risco Médio",""),IF(NETWORKDAYS(C3064,TODAY())&lt;=2,"Risco Baixo",""))))</f>
        <v>Expedido</v>
      </c>
      <c r="P3064" s="5" t="s">
        <v>25</v>
      </c>
      <c r="S3064" s="7">
        <f>IF(ISBLANK(M3064),"Aguardando Previsão/Data",NETWORKDAYS(L3064,M3064)-1)</f>
        <v>-3</v>
      </c>
      <c r="T3064" s="5" t="s">
        <v>942</v>
      </c>
    </row>
    <row r="3065" spans="1:20" x14ac:dyDescent="0.35">
      <c r="A3065" s="5">
        <v>8100281545</v>
      </c>
      <c r="B3065" s="5">
        <v>12394</v>
      </c>
      <c r="C3065" s="6">
        <v>45679</v>
      </c>
      <c r="D3065" s="5" t="s">
        <v>158</v>
      </c>
      <c r="E3065" s="5" t="s">
        <v>159</v>
      </c>
      <c r="F3065" s="5" t="s">
        <v>136</v>
      </c>
      <c r="G3065" s="5" t="s">
        <v>137</v>
      </c>
      <c r="H3065" s="5" t="s">
        <v>108</v>
      </c>
      <c r="I3065" s="5" t="s">
        <v>304</v>
      </c>
      <c r="J3065" s="5" t="s">
        <v>305</v>
      </c>
      <c r="K3065" s="5" t="s">
        <v>170</v>
      </c>
      <c r="L3065" s="6">
        <v>45685</v>
      </c>
      <c r="M3065" s="6">
        <v>45685</v>
      </c>
      <c r="N3065" s="6" t="s">
        <v>811</v>
      </c>
      <c r="O3065" s="5" t="str">
        <f ca="1">IF(P3065&lt;&gt;"EXPEDIÇÃO","Expedido",IF(NETWORKDAYS(C3065,TODAY())&gt;=5,"Risco Alto",IF(NETWORKDAYS(C3065,TODAY())&gt;=3,IF(NETWORKDAYS(C3065,TODAY())&lt;5,"Risco Médio",""),IF(NETWORKDAYS(C3065,TODAY())&lt;=2,"Risco Baixo",""))))</f>
        <v>Expedido</v>
      </c>
      <c r="P3065" s="5" t="s">
        <v>25</v>
      </c>
      <c r="S3065" s="7">
        <f>IF(ISBLANK(M3065),"Aguardando Previsão/Data",NETWORKDAYS(L3065,M3065)-1)</f>
        <v>0</v>
      </c>
      <c r="T3065" s="5" t="s">
        <v>942</v>
      </c>
    </row>
    <row r="3066" spans="1:20" x14ac:dyDescent="0.35">
      <c r="A3066" s="5">
        <v>8100281546</v>
      </c>
      <c r="B3066" s="5">
        <v>12406</v>
      </c>
      <c r="C3066" s="6">
        <v>45679</v>
      </c>
      <c r="D3066" s="5" t="s">
        <v>158</v>
      </c>
      <c r="E3066" s="5" t="s">
        <v>159</v>
      </c>
      <c r="F3066" s="5" t="s">
        <v>136</v>
      </c>
      <c r="G3066" s="5" t="s">
        <v>137</v>
      </c>
      <c r="H3066" s="5" t="s">
        <v>108</v>
      </c>
      <c r="I3066" s="5" t="s">
        <v>404</v>
      </c>
      <c r="J3066" s="5" t="s">
        <v>405</v>
      </c>
      <c r="K3066" s="5" t="s">
        <v>170</v>
      </c>
      <c r="L3066" s="6">
        <v>45686</v>
      </c>
      <c r="M3066" s="6">
        <v>45684</v>
      </c>
      <c r="N3066" s="6" t="s">
        <v>811</v>
      </c>
      <c r="O3066" s="5" t="str">
        <f ca="1">IF(P3066&lt;&gt;"EXPEDIÇÃO","Expedido",IF(NETWORKDAYS(C3066,TODAY())&gt;=5,"Risco Alto",IF(NETWORKDAYS(C3066,TODAY())&gt;=3,IF(NETWORKDAYS(C3066,TODAY())&lt;5,"Risco Médio",""),IF(NETWORKDAYS(C3066,TODAY())&lt;=2,"Risco Baixo",""))))</f>
        <v>Expedido</v>
      </c>
      <c r="P3066" s="5" t="s">
        <v>25</v>
      </c>
      <c r="S3066" s="7">
        <f>IF(ISBLANK(M3066),"Aguardando Previsão/Data",NETWORKDAYS(L3066,M3066)-1)</f>
        <v>-4</v>
      </c>
      <c r="T3066" s="5" t="s">
        <v>942</v>
      </c>
    </row>
    <row r="3067" spans="1:20" x14ac:dyDescent="0.35">
      <c r="A3067" s="5">
        <v>8100281547</v>
      </c>
      <c r="B3067" s="5">
        <v>12396</v>
      </c>
      <c r="C3067" s="6">
        <v>45679</v>
      </c>
      <c r="D3067" s="5" t="s">
        <v>158</v>
      </c>
      <c r="E3067" s="5" t="s">
        <v>159</v>
      </c>
      <c r="F3067" s="5" t="s">
        <v>160</v>
      </c>
      <c r="G3067" s="5" t="s">
        <v>161</v>
      </c>
      <c r="H3067" s="5" t="s">
        <v>108</v>
      </c>
      <c r="I3067" s="5" t="s">
        <v>162</v>
      </c>
      <c r="J3067" s="5" t="s">
        <v>1146</v>
      </c>
      <c r="K3067" s="5" t="s">
        <v>80</v>
      </c>
      <c r="L3067" s="6">
        <v>45687</v>
      </c>
      <c r="M3067" s="6">
        <v>45681</v>
      </c>
      <c r="N3067" s="6" t="s">
        <v>811</v>
      </c>
      <c r="O3067" s="5" t="str">
        <f ca="1">IF(P3067&lt;&gt;"EXPEDIÇÃO","Expedido",IF(NETWORKDAYS(C3067,TODAY())&gt;=5,"Risco Alto",IF(NETWORKDAYS(C3067,TODAY())&gt;=3,IF(NETWORKDAYS(C3067,TODAY())&lt;5,"Risco Médio",""),IF(NETWORKDAYS(C3067,TODAY())&lt;=2,"Risco Baixo",""))))</f>
        <v>Expedido</v>
      </c>
      <c r="P3067" s="5" t="s">
        <v>25</v>
      </c>
      <c r="S3067" s="7">
        <f>IF(ISBLANK(M3067),"Aguardando Previsão/Data",NETWORKDAYS(L3067,M3067)-1)</f>
        <v>-6</v>
      </c>
      <c r="T3067" s="5" t="s">
        <v>942</v>
      </c>
    </row>
    <row r="3068" spans="1:20" x14ac:dyDescent="0.35">
      <c r="A3068" s="5">
        <v>8100281548</v>
      </c>
      <c r="B3068" s="5">
        <v>12395</v>
      </c>
      <c r="C3068" s="6">
        <v>45679</v>
      </c>
      <c r="D3068" s="5" t="s">
        <v>158</v>
      </c>
      <c r="E3068" s="5" t="s">
        <v>159</v>
      </c>
      <c r="F3068" s="5" t="s">
        <v>160</v>
      </c>
      <c r="G3068" s="5" t="s">
        <v>161</v>
      </c>
      <c r="H3068" s="5" t="s">
        <v>108</v>
      </c>
      <c r="I3068" s="5" t="s">
        <v>162</v>
      </c>
      <c r="J3068" s="5" t="s">
        <v>163</v>
      </c>
      <c r="K3068" s="5" t="s">
        <v>80</v>
      </c>
      <c r="L3068" s="6">
        <v>45687</v>
      </c>
      <c r="M3068" s="6">
        <v>45685</v>
      </c>
      <c r="N3068" s="6" t="s">
        <v>811</v>
      </c>
      <c r="O3068" s="5" t="str">
        <f ca="1">IF(P3068&lt;&gt;"EXPEDIÇÃO","Expedido",IF(NETWORKDAYS(C3068,TODAY())&gt;=5,"Risco Alto",IF(NETWORKDAYS(C3068,TODAY())&gt;=3,IF(NETWORKDAYS(C3068,TODAY())&lt;5,"Risco Médio",""),IF(NETWORKDAYS(C3068,TODAY())&lt;=2,"Risco Baixo",""))))</f>
        <v>Expedido</v>
      </c>
      <c r="P3068" s="5" t="s">
        <v>25</v>
      </c>
      <c r="S3068" s="7">
        <f>IF(ISBLANK(M3068),"Aguardando Previsão/Data",NETWORKDAYS(L3068,M3068)-1)</f>
        <v>-4</v>
      </c>
      <c r="T3068" s="5" t="s">
        <v>942</v>
      </c>
    </row>
    <row r="3069" spans="1:20" x14ac:dyDescent="0.35">
      <c r="A3069" s="5">
        <v>8100281549</v>
      </c>
      <c r="B3069" s="5">
        <v>12410</v>
      </c>
      <c r="C3069" s="6">
        <v>45679</v>
      </c>
      <c r="D3069" s="5" t="s">
        <v>158</v>
      </c>
      <c r="E3069" s="5" t="s">
        <v>159</v>
      </c>
      <c r="F3069" s="5" t="s">
        <v>160</v>
      </c>
      <c r="G3069" s="5" t="s">
        <v>161</v>
      </c>
      <c r="H3069" s="5" t="s">
        <v>108</v>
      </c>
      <c r="I3069" s="5" t="s">
        <v>162</v>
      </c>
      <c r="J3069" s="5" t="s">
        <v>1050</v>
      </c>
      <c r="K3069" s="5" t="s">
        <v>175</v>
      </c>
      <c r="L3069" s="6">
        <v>45687</v>
      </c>
      <c r="M3069" s="6">
        <v>45684</v>
      </c>
      <c r="N3069" s="6" t="s">
        <v>811</v>
      </c>
      <c r="O3069" s="5" t="str">
        <f ca="1">IF(P3069&lt;&gt;"EXPEDIÇÃO","Expedido",IF(NETWORKDAYS(C3069,TODAY())&gt;=5,"Risco Alto",IF(NETWORKDAYS(C3069,TODAY())&gt;=3,IF(NETWORKDAYS(C3069,TODAY())&lt;5,"Risco Médio",""),IF(NETWORKDAYS(C3069,TODAY())&lt;=2,"Risco Baixo",""))))</f>
        <v>Expedido</v>
      </c>
      <c r="P3069" s="5" t="s">
        <v>25</v>
      </c>
      <c r="S3069" s="7">
        <f>IF(ISBLANK(M3069),"Aguardando Previsão/Data",NETWORKDAYS(L3069,M3069)-1)</f>
        <v>-5</v>
      </c>
      <c r="T3069" s="5" t="s">
        <v>942</v>
      </c>
    </row>
    <row r="3070" spans="1:20" x14ac:dyDescent="0.35">
      <c r="A3070" s="5">
        <v>8100281550</v>
      </c>
      <c r="B3070" s="5">
        <v>12401</v>
      </c>
      <c r="C3070" s="6">
        <v>45679</v>
      </c>
      <c r="D3070" s="5" t="s">
        <v>158</v>
      </c>
      <c r="E3070" s="5" t="s">
        <v>159</v>
      </c>
      <c r="F3070" s="5" t="s">
        <v>147</v>
      </c>
      <c r="G3070" s="5" t="s">
        <v>148</v>
      </c>
      <c r="H3070" s="5" t="s">
        <v>108</v>
      </c>
      <c r="I3070" s="5" t="s">
        <v>82</v>
      </c>
      <c r="J3070" s="5" t="s">
        <v>296</v>
      </c>
      <c r="K3070" s="5" t="s">
        <v>80</v>
      </c>
      <c r="L3070" s="6">
        <v>45687</v>
      </c>
      <c r="M3070" s="6">
        <v>45680</v>
      </c>
      <c r="N3070" s="6" t="s">
        <v>811</v>
      </c>
      <c r="O3070" s="5" t="str">
        <f ca="1">IF(P3070&lt;&gt;"EXPEDIÇÃO","Expedido",IF(NETWORKDAYS(C3070,TODAY())&gt;=5,"Risco Alto",IF(NETWORKDAYS(C3070,TODAY())&gt;=3,IF(NETWORKDAYS(C3070,TODAY())&lt;5,"Risco Médio",""),IF(NETWORKDAYS(C3070,TODAY())&lt;=2,"Risco Baixo",""))))</f>
        <v>Expedido</v>
      </c>
      <c r="P3070" s="5" t="s">
        <v>25</v>
      </c>
      <c r="S3070" s="7">
        <f>IF(ISBLANK(M3070),"Aguardando Previsão/Data",NETWORKDAYS(L3070,M3070)-1)</f>
        <v>-7</v>
      </c>
      <c r="T3070" s="5" t="s">
        <v>942</v>
      </c>
    </row>
    <row r="3071" spans="1:20" x14ac:dyDescent="0.35">
      <c r="A3071" s="5">
        <v>8100281551</v>
      </c>
      <c r="B3071" s="5">
        <v>12407</v>
      </c>
      <c r="C3071" s="6">
        <v>45679</v>
      </c>
      <c r="D3071" s="5" t="s">
        <v>158</v>
      </c>
      <c r="E3071" s="5" t="s">
        <v>159</v>
      </c>
      <c r="F3071" s="5" t="s">
        <v>79</v>
      </c>
      <c r="G3071" s="5" t="s">
        <v>80</v>
      </c>
      <c r="H3071" s="5" t="s">
        <v>108</v>
      </c>
      <c r="I3071" s="5" t="s">
        <v>541</v>
      </c>
      <c r="J3071" s="5" t="s">
        <v>163</v>
      </c>
      <c r="K3071" s="5" t="s">
        <v>80</v>
      </c>
      <c r="L3071" s="6">
        <v>45687</v>
      </c>
      <c r="M3071" s="6">
        <v>45681</v>
      </c>
      <c r="N3071" s="6" t="s">
        <v>811</v>
      </c>
      <c r="O3071" s="5" t="str">
        <f ca="1">IF(P3071&lt;&gt;"EXPEDIÇÃO","Expedido",IF(NETWORKDAYS(C3071,TODAY())&gt;=5,"Risco Alto",IF(NETWORKDAYS(C3071,TODAY())&gt;=3,IF(NETWORKDAYS(C3071,TODAY())&lt;5,"Risco Médio",""),IF(NETWORKDAYS(C3071,TODAY())&lt;=2,"Risco Baixo",""))))</f>
        <v>Expedido</v>
      </c>
      <c r="P3071" s="5" t="s">
        <v>25</v>
      </c>
      <c r="S3071" s="7">
        <f>IF(ISBLANK(M3071),"Aguardando Previsão/Data",NETWORKDAYS(L3071,M3071)-1)</f>
        <v>-6</v>
      </c>
      <c r="T3071" s="5" t="s">
        <v>942</v>
      </c>
    </row>
    <row r="3072" spans="1:20" x14ac:dyDescent="0.35">
      <c r="A3072" s="5">
        <v>8100281552</v>
      </c>
      <c r="B3072" s="5">
        <v>12409</v>
      </c>
      <c r="C3072" s="6">
        <v>45679</v>
      </c>
      <c r="D3072" s="5" t="s">
        <v>158</v>
      </c>
      <c r="E3072" s="5" t="s">
        <v>159</v>
      </c>
      <c r="F3072" s="5" t="s">
        <v>160</v>
      </c>
      <c r="G3072" s="5" t="s">
        <v>161</v>
      </c>
      <c r="H3072" s="5" t="s">
        <v>108</v>
      </c>
      <c r="I3072" s="5" t="s">
        <v>347</v>
      </c>
      <c r="J3072" s="5" t="s">
        <v>310</v>
      </c>
      <c r="K3072" s="5" t="s">
        <v>175</v>
      </c>
      <c r="L3072" s="6">
        <v>45688</v>
      </c>
      <c r="M3072" s="6">
        <v>45685</v>
      </c>
      <c r="N3072" s="6" t="s">
        <v>811</v>
      </c>
      <c r="O3072" s="5" t="str">
        <f ca="1">IF(P3072&lt;&gt;"EXPEDIÇÃO","Expedido",IF(NETWORKDAYS(C3072,TODAY())&gt;=5,"Risco Alto",IF(NETWORKDAYS(C3072,TODAY())&gt;=3,IF(NETWORKDAYS(C3072,TODAY())&lt;5,"Risco Médio",""),IF(NETWORKDAYS(C3072,TODAY())&lt;=2,"Risco Baixo",""))))</f>
        <v>Expedido</v>
      </c>
      <c r="P3072" s="5" t="s">
        <v>25</v>
      </c>
      <c r="S3072" s="7">
        <f>IF(ISBLANK(M3072),"Aguardando Previsão/Data",NETWORKDAYS(L3072,M3072)-1)</f>
        <v>-5</v>
      </c>
      <c r="T3072" s="5" t="s">
        <v>942</v>
      </c>
    </row>
    <row r="3073" spans="1:20" x14ac:dyDescent="0.35">
      <c r="A3073" s="5">
        <v>8100281619</v>
      </c>
      <c r="B3073" s="5">
        <v>12413</v>
      </c>
      <c r="C3073" s="6">
        <v>45679</v>
      </c>
      <c r="D3073" s="5" t="s">
        <v>158</v>
      </c>
      <c r="E3073" s="5" t="s">
        <v>159</v>
      </c>
      <c r="F3073" s="5" t="s">
        <v>147</v>
      </c>
      <c r="G3073" s="5" t="s">
        <v>148</v>
      </c>
      <c r="H3073" s="5" t="s">
        <v>108</v>
      </c>
      <c r="I3073" s="5" t="s">
        <v>480</v>
      </c>
      <c r="J3073" s="5" t="s">
        <v>169</v>
      </c>
      <c r="K3073" s="5" t="s">
        <v>170</v>
      </c>
      <c r="L3073" s="6">
        <v>45686</v>
      </c>
      <c r="M3073" s="6">
        <v>45685</v>
      </c>
      <c r="N3073" s="6" t="s">
        <v>811</v>
      </c>
      <c r="O3073" s="5" t="str">
        <f ca="1">IF(P3073&lt;&gt;"EXPEDIÇÃO","Expedido",IF(NETWORKDAYS(C3073,TODAY())&gt;=5,"Risco Alto",IF(NETWORKDAYS(C3073,TODAY())&gt;=3,IF(NETWORKDAYS(C3073,TODAY())&lt;5,"Risco Médio",""),IF(NETWORKDAYS(C3073,TODAY())&lt;=2,"Risco Baixo",""))))</f>
        <v>Expedido</v>
      </c>
      <c r="P3073" s="5" t="s">
        <v>25</v>
      </c>
      <c r="S3073" s="7">
        <f>IF(ISBLANK(M3073),"Aguardando Previsão/Data",NETWORKDAYS(L3073,M3073)-1)</f>
        <v>-3</v>
      </c>
      <c r="T3073" s="5" t="s">
        <v>942</v>
      </c>
    </row>
    <row r="3074" spans="1:20" x14ac:dyDescent="0.35">
      <c r="A3074" s="5">
        <v>8100281625</v>
      </c>
      <c r="B3074" s="5">
        <v>12414</v>
      </c>
      <c r="C3074" s="6">
        <v>45679</v>
      </c>
      <c r="D3074" s="5" t="s">
        <v>158</v>
      </c>
      <c r="E3074" s="5" t="s">
        <v>159</v>
      </c>
      <c r="F3074" s="5" t="s">
        <v>147</v>
      </c>
      <c r="G3074" s="5" t="s">
        <v>148</v>
      </c>
      <c r="H3074" s="5" t="s">
        <v>108</v>
      </c>
      <c r="I3074" s="5" t="s">
        <v>128</v>
      </c>
      <c r="J3074" s="5" t="s">
        <v>163</v>
      </c>
      <c r="K3074" s="5" t="s">
        <v>80</v>
      </c>
      <c r="L3074" s="6">
        <v>45687</v>
      </c>
      <c r="M3074" s="6">
        <v>45684</v>
      </c>
      <c r="N3074" s="6" t="s">
        <v>811</v>
      </c>
      <c r="O3074" s="5" t="str">
        <f ca="1">IF(P3074&lt;&gt;"EXPEDIÇÃO","Expedido",IF(NETWORKDAYS(C3074,TODAY())&gt;=5,"Risco Alto",IF(NETWORKDAYS(C3074,TODAY())&gt;=3,IF(NETWORKDAYS(C3074,TODAY())&lt;5,"Risco Médio",""),IF(NETWORKDAYS(C3074,TODAY())&lt;=2,"Risco Baixo",""))))</f>
        <v>Expedido</v>
      </c>
      <c r="P3074" s="5" t="s">
        <v>25</v>
      </c>
      <c r="S3074" s="7">
        <f>IF(ISBLANK(M3074),"Aguardando Previsão/Data",NETWORKDAYS(L3074,M3074)-1)</f>
        <v>-5</v>
      </c>
      <c r="T3074" s="5" t="s">
        <v>942</v>
      </c>
    </row>
    <row r="3075" spans="1:20" x14ac:dyDescent="0.35">
      <c r="A3075" s="5">
        <v>8100281626</v>
      </c>
      <c r="B3075" s="5">
        <v>12411</v>
      </c>
      <c r="C3075" s="6">
        <v>45679</v>
      </c>
      <c r="D3075" s="5" t="s">
        <v>158</v>
      </c>
      <c r="E3075" s="5" t="s">
        <v>159</v>
      </c>
      <c r="F3075" s="5" t="s">
        <v>147</v>
      </c>
      <c r="G3075" s="5" t="s">
        <v>148</v>
      </c>
      <c r="H3075" s="5" t="s">
        <v>108</v>
      </c>
      <c r="I3075" s="5" t="s">
        <v>128</v>
      </c>
      <c r="J3075" s="5" t="s">
        <v>163</v>
      </c>
      <c r="K3075" s="5" t="s">
        <v>80</v>
      </c>
      <c r="L3075" s="6">
        <v>45687</v>
      </c>
      <c r="M3075" s="6">
        <v>45681</v>
      </c>
      <c r="N3075" s="6" t="s">
        <v>811</v>
      </c>
      <c r="O3075" s="5" t="str">
        <f ca="1">IF(P3075&lt;&gt;"EXPEDIÇÃO","Expedido",IF(NETWORKDAYS(C3075,TODAY())&gt;=5,"Risco Alto",IF(NETWORKDAYS(C3075,TODAY())&gt;=3,IF(NETWORKDAYS(C3075,TODAY())&lt;5,"Risco Médio",""),IF(NETWORKDAYS(C3075,TODAY())&lt;=2,"Risco Baixo",""))))</f>
        <v>Expedido</v>
      </c>
      <c r="P3075" s="5" t="s">
        <v>25</v>
      </c>
      <c r="S3075" s="7">
        <f>IF(ISBLANK(M3075),"Aguardando Previsão/Data",NETWORKDAYS(L3075,M3075)-1)</f>
        <v>-6</v>
      </c>
      <c r="T3075" s="5" t="s">
        <v>942</v>
      </c>
    </row>
    <row r="3076" spans="1:20" x14ac:dyDescent="0.35">
      <c r="A3076" s="5">
        <v>8100281640</v>
      </c>
      <c r="B3076" s="5">
        <v>12415</v>
      </c>
      <c r="C3076" s="6">
        <v>45679</v>
      </c>
      <c r="D3076" s="5" t="s">
        <v>158</v>
      </c>
      <c r="E3076" s="5" t="s">
        <v>159</v>
      </c>
      <c r="F3076" s="5" t="s">
        <v>147</v>
      </c>
      <c r="G3076" s="5" t="s">
        <v>148</v>
      </c>
      <c r="H3076" s="5" t="s">
        <v>108</v>
      </c>
      <c r="I3076" s="5" t="s">
        <v>82</v>
      </c>
      <c r="J3076" s="5" t="s">
        <v>296</v>
      </c>
      <c r="K3076" s="5" t="s">
        <v>80</v>
      </c>
      <c r="L3076" s="6">
        <v>45687</v>
      </c>
      <c r="M3076" s="6">
        <v>45684</v>
      </c>
      <c r="N3076" s="6" t="s">
        <v>811</v>
      </c>
      <c r="O3076" s="5" t="str">
        <f ca="1">IF(P3076&lt;&gt;"EXPEDIÇÃO","Expedido",IF(NETWORKDAYS(C3076,TODAY())&gt;=5,"Risco Alto",IF(NETWORKDAYS(C3076,TODAY())&gt;=3,IF(NETWORKDAYS(C3076,TODAY())&lt;5,"Risco Médio",""),IF(NETWORKDAYS(C3076,TODAY())&lt;=2,"Risco Baixo",""))))</f>
        <v>Expedido</v>
      </c>
      <c r="P3076" s="5" t="s">
        <v>25</v>
      </c>
      <c r="S3076" s="7">
        <f>IF(ISBLANK(M3076),"Aguardando Previsão/Data",NETWORKDAYS(L3076,M3076)-1)</f>
        <v>-5</v>
      </c>
      <c r="T3076" s="5" t="s">
        <v>942</v>
      </c>
    </row>
    <row r="3077" spans="1:20" x14ac:dyDescent="0.35">
      <c r="A3077" s="5">
        <v>8100281641</v>
      </c>
      <c r="B3077" s="5">
        <v>12412</v>
      </c>
      <c r="C3077" s="6">
        <v>45679</v>
      </c>
      <c r="D3077" s="5" t="s">
        <v>158</v>
      </c>
      <c r="E3077" s="5" t="s">
        <v>159</v>
      </c>
      <c r="F3077" s="5" t="s">
        <v>79</v>
      </c>
      <c r="G3077" s="5" t="s">
        <v>80</v>
      </c>
      <c r="H3077" s="5" t="s">
        <v>108</v>
      </c>
      <c r="I3077" s="5" t="s">
        <v>180</v>
      </c>
      <c r="J3077" s="5" t="s">
        <v>181</v>
      </c>
      <c r="K3077" s="5" t="s">
        <v>80</v>
      </c>
      <c r="L3077" s="6">
        <v>45687</v>
      </c>
      <c r="M3077" s="6">
        <v>45685</v>
      </c>
      <c r="N3077" s="6" t="s">
        <v>811</v>
      </c>
      <c r="O3077" s="5" t="str">
        <f ca="1">IF(P3077&lt;&gt;"EXPEDIÇÃO","Expedido",IF(NETWORKDAYS(C3077,TODAY())&gt;=5,"Risco Alto",IF(NETWORKDAYS(C3077,TODAY())&gt;=3,IF(NETWORKDAYS(C3077,TODAY())&lt;5,"Risco Médio",""),IF(NETWORKDAYS(C3077,TODAY())&lt;=2,"Risco Baixo",""))))</f>
        <v>Expedido</v>
      </c>
      <c r="P3077" s="5" t="s">
        <v>25</v>
      </c>
      <c r="S3077" s="7">
        <f>IF(ISBLANK(M3077),"Aguardando Previsão/Data",NETWORKDAYS(L3077,M3077)-1)</f>
        <v>-4</v>
      </c>
      <c r="T3077" s="5" t="s">
        <v>942</v>
      </c>
    </row>
    <row r="3078" spans="1:20" x14ac:dyDescent="0.35">
      <c r="A3078" s="5">
        <v>8100281052</v>
      </c>
      <c r="B3078" s="5">
        <v>17592</v>
      </c>
      <c r="C3078" s="6">
        <v>45680</v>
      </c>
      <c r="D3078" s="5" t="s">
        <v>51</v>
      </c>
      <c r="E3078" s="5" t="s">
        <v>52</v>
      </c>
      <c r="F3078" s="5" t="s">
        <v>147</v>
      </c>
      <c r="G3078" s="5" t="s">
        <v>148</v>
      </c>
      <c r="H3078" s="5" t="s">
        <v>21</v>
      </c>
      <c r="I3078" s="5" t="s">
        <v>1500</v>
      </c>
      <c r="J3078" s="5" t="s">
        <v>531</v>
      </c>
      <c r="K3078" s="5" t="s">
        <v>80</v>
      </c>
      <c r="L3078" s="6">
        <v>45687</v>
      </c>
      <c r="M3078" s="6">
        <v>45684</v>
      </c>
      <c r="N3078" s="6" t="s">
        <v>811</v>
      </c>
      <c r="O3078" s="5" t="str">
        <f ca="1">IF(P3078&lt;&gt;"EXPEDIÇÃO","Expedido",IF(NETWORKDAYS(C3078,TODAY())&gt;=5,"Risco Alto",IF(NETWORKDAYS(C3078,TODAY())&gt;=3,IF(NETWORKDAYS(C3078,TODAY())&lt;5,"Risco Médio",""),IF(NETWORKDAYS(C3078,TODAY())&lt;=2,"Risco Baixo",""))))</f>
        <v>Expedido</v>
      </c>
      <c r="P3078" s="5" t="s">
        <v>25</v>
      </c>
      <c r="S3078" s="7">
        <f>IF(ISBLANK(M3078),"Aguardando Previsão/Data",NETWORKDAYS(L3078,M3078)-1)</f>
        <v>-5</v>
      </c>
      <c r="T3078" s="5" t="s">
        <v>942</v>
      </c>
    </row>
    <row r="3079" spans="1:20" x14ac:dyDescent="0.35">
      <c r="A3079" s="5">
        <v>8100281474</v>
      </c>
      <c r="B3079" s="5">
        <v>17574</v>
      </c>
      <c r="C3079" s="6">
        <v>45680</v>
      </c>
      <c r="D3079" s="5" t="s">
        <v>51</v>
      </c>
      <c r="E3079" s="5" t="s">
        <v>52</v>
      </c>
      <c r="F3079" s="5" t="s">
        <v>69</v>
      </c>
      <c r="G3079" s="5" t="s">
        <v>70</v>
      </c>
      <c r="H3079" s="5" t="s">
        <v>21</v>
      </c>
      <c r="I3079" s="5" t="s">
        <v>1506</v>
      </c>
      <c r="J3079" s="5" t="s">
        <v>1507</v>
      </c>
      <c r="K3079" s="5" t="s">
        <v>57</v>
      </c>
      <c r="L3079" s="6">
        <v>45686</v>
      </c>
      <c r="M3079" s="6">
        <v>45684</v>
      </c>
      <c r="N3079" s="6" t="s">
        <v>811</v>
      </c>
      <c r="O3079" s="5" t="str">
        <f ca="1">IF(P3079&lt;&gt;"EXPEDIÇÃO","Expedido",IF(NETWORKDAYS(C3079,TODAY())&gt;=5,"Risco Alto",IF(NETWORKDAYS(C3079,TODAY())&gt;=3,IF(NETWORKDAYS(C3079,TODAY())&lt;5,"Risco Médio",""),IF(NETWORKDAYS(C3079,TODAY())&lt;=2,"Risco Baixo",""))))</f>
        <v>Expedido</v>
      </c>
      <c r="P3079" s="5" t="s">
        <v>25</v>
      </c>
      <c r="Q3079" s="5" t="s">
        <v>897</v>
      </c>
      <c r="S3079" s="7">
        <f>IF(ISBLANK(M3079),"Aguardando Previsão/Data",NETWORKDAYS(L3079,M3079)-1)</f>
        <v>-4</v>
      </c>
      <c r="T3079" s="5" t="s">
        <v>942</v>
      </c>
    </row>
    <row r="3080" spans="1:20" x14ac:dyDescent="0.35">
      <c r="A3080" s="5">
        <v>8100281733</v>
      </c>
      <c r="B3080" s="5">
        <v>17573</v>
      </c>
      <c r="C3080" s="6">
        <v>45680</v>
      </c>
      <c r="D3080" s="5" t="s">
        <v>51</v>
      </c>
      <c r="E3080" s="5" t="s">
        <v>52</v>
      </c>
      <c r="F3080" s="5" t="s">
        <v>66</v>
      </c>
      <c r="G3080" s="5" t="s">
        <v>67</v>
      </c>
      <c r="H3080" s="5" t="s">
        <v>21</v>
      </c>
      <c r="I3080" s="5" t="s">
        <v>60</v>
      </c>
      <c r="J3080" s="5" t="s">
        <v>61</v>
      </c>
      <c r="K3080" s="5" t="s">
        <v>57</v>
      </c>
      <c r="L3080" s="6">
        <v>45688</v>
      </c>
      <c r="M3080" s="6">
        <v>45685</v>
      </c>
      <c r="N3080" s="6" t="s">
        <v>811</v>
      </c>
      <c r="O3080" s="5" t="str">
        <f ca="1">IF(P3080&lt;&gt;"EXPEDIÇÃO","Expedido",IF(NETWORKDAYS(C3080,TODAY())&gt;=5,"Risco Alto",IF(NETWORKDAYS(C3080,TODAY())&gt;=3,IF(NETWORKDAYS(C3080,TODAY())&lt;5,"Risco Médio",""),IF(NETWORKDAYS(C3080,TODAY())&lt;=2,"Risco Baixo",""))))</f>
        <v>Expedido</v>
      </c>
      <c r="P3080" s="5" t="s">
        <v>25</v>
      </c>
      <c r="S3080" s="7">
        <f>IF(ISBLANK(M3080),"Aguardando Previsão/Data",NETWORKDAYS(L3080,M3080)-1)</f>
        <v>-5</v>
      </c>
      <c r="T3080" s="5" t="s">
        <v>942</v>
      </c>
    </row>
    <row r="3081" spans="1:20" x14ac:dyDescent="0.35">
      <c r="A3081" s="5">
        <v>8100281880</v>
      </c>
      <c r="B3081" s="5">
        <v>17576</v>
      </c>
      <c r="C3081" s="6">
        <v>45680</v>
      </c>
      <c r="D3081" s="5" t="s">
        <v>51</v>
      </c>
      <c r="E3081" s="5" t="s">
        <v>52</v>
      </c>
      <c r="F3081" s="5" t="s">
        <v>329</v>
      </c>
      <c r="G3081" s="5" t="s">
        <v>330</v>
      </c>
      <c r="H3081" s="5" t="s">
        <v>21</v>
      </c>
      <c r="I3081" s="5" t="s">
        <v>865</v>
      </c>
      <c r="J3081" s="5" t="s">
        <v>864</v>
      </c>
      <c r="K3081" s="5" t="s">
        <v>57</v>
      </c>
      <c r="L3081" s="6">
        <v>45687</v>
      </c>
      <c r="M3081" s="6">
        <v>45684</v>
      </c>
      <c r="N3081" s="6" t="s">
        <v>811</v>
      </c>
      <c r="O3081" s="5" t="str">
        <f ca="1">IF(P3081&lt;&gt;"EXPEDIÇÃO","Expedido",IF(NETWORKDAYS(C3081,TODAY())&gt;=5,"Risco Alto",IF(NETWORKDAYS(C3081,TODAY())&gt;=3,IF(NETWORKDAYS(C3081,TODAY())&lt;5,"Risco Médio",""),IF(NETWORKDAYS(C3081,TODAY())&lt;=2,"Risco Baixo",""))))</f>
        <v>Expedido</v>
      </c>
      <c r="P3081" s="5" t="s">
        <v>25</v>
      </c>
      <c r="S3081" s="7">
        <f>IF(ISBLANK(M3081),"Aguardando Previsão/Data",NETWORKDAYS(L3081,M3081)-1)</f>
        <v>-5</v>
      </c>
      <c r="T3081" s="5" t="s">
        <v>942</v>
      </c>
    </row>
    <row r="3082" spans="1:20" x14ac:dyDescent="0.35">
      <c r="A3082" s="5">
        <v>8100281881</v>
      </c>
      <c r="B3082" s="5">
        <v>17575</v>
      </c>
      <c r="C3082" s="6">
        <v>45680</v>
      </c>
      <c r="D3082" s="5" t="s">
        <v>51</v>
      </c>
      <c r="E3082" s="5" t="s">
        <v>52</v>
      </c>
      <c r="F3082" s="5" t="s">
        <v>66</v>
      </c>
      <c r="G3082" s="5" t="s">
        <v>67</v>
      </c>
      <c r="H3082" s="5" t="s">
        <v>21</v>
      </c>
      <c r="I3082" s="5" t="s">
        <v>269</v>
      </c>
      <c r="J3082" s="5" t="s">
        <v>270</v>
      </c>
      <c r="K3082" s="5" t="s">
        <v>57</v>
      </c>
      <c r="L3082" s="6">
        <v>45688</v>
      </c>
      <c r="M3082" s="6">
        <v>45685</v>
      </c>
      <c r="N3082" s="6" t="s">
        <v>811</v>
      </c>
      <c r="O3082" s="5" t="str">
        <f ca="1">IF(P3082&lt;&gt;"EXPEDIÇÃO","Expedido",IF(NETWORKDAYS(C3082,TODAY())&gt;=5,"Risco Alto",IF(NETWORKDAYS(C3082,TODAY())&gt;=3,IF(NETWORKDAYS(C3082,TODAY())&lt;5,"Risco Médio",""),IF(NETWORKDAYS(C3082,TODAY())&lt;=2,"Risco Baixo",""))))</f>
        <v>Expedido</v>
      </c>
      <c r="P3082" s="5" t="s">
        <v>25</v>
      </c>
      <c r="S3082" s="7">
        <f>IF(ISBLANK(M3082),"Aguardando Previsão/Data",NETWORKDAYS(L3082,M3082)-1)</f>
        <v>-5</v>
      </c>
      <c r="T3082" s="5" t="s">
        <v>942</v>
      </c>
    </row>
    <row r="3083" spans="1:20" x14ac:dyDescent="0.35">
      <c r="A3083" s="5">
        <v>8100281882</v>
      </c>
      <c r="B3083" s="5">
        <v>17577</v>
      </c>
      <c r="C3083" s="6">
        <v>45680</v>
      </c>
      <c r="D3083" s="5" t="s">
        <v>51</v>
      </c>
      <c r="E3083" s="5" t="s">
        <v>52</v>
      </c>
      <c r="F3083" s="5" t="s">
        <v>58</v>
      </c>
      <c r="G3083" s="5" t="s">
        <v>59</v>
      </c>
      <c r="H3083" s="5" t="s">
        <v>21</v>
      </c>
      <c r="I3083" s="5" t="s">
        <v>748</v>
      </c>
      <c r="J3083" s="5" t="s">
        <v>620</v>
      </c>
      <c r="K3083" s="5" t="s">
        <v>57</v>
      </c>
      <c r="L3083" s="6">
        <v>45688</v>
      </c>
      <c r="M3083" s="6">
        <v>45686</v>
      </c>
      <c r="N3083" s="6" t="s">
        <v>811</v>
      </c>
      <c r="O3083" s="5" t="str">
        <f ca="1">IF(P3083&lt;&gt;"EXPEDIÇÃO","Expedido",IF(NETWORKDAYS(C3083,TODAY())&gt;=5,"Risco Alto",IF(NETWORKDAYS(C3083,TODAY())&gt;=3,IF(NETWORKDAYS(C3083,TODAY())&lt;5,"Risco Médio",""),IF(NETWORKDAYS(C3083,TODAY())&lt;=2,"Risco Baixo",""))))</f>
        <v>Expedido</v>
      </c>
      <c r="P3083" s="5" t="s">
        <v>25</v>
      </c>
      <c r="S3083" s="7">
        <f>IF(ISBLANK(M3083),"Aguardando Previsão/Data",NETWORKDAYS(L3083,M3083)-1)</f>
        <v>-4</v>
      </c>
      <c r="T3083" s="5" t="s">
        <v>942</v>
      </c>
    </row>
    <row r="3084" spans="1:20" x14ac:dyDescent="0.35">
      <c r="A3084" s="5">
        <v>8100281883</v>
      </c>
      <c r="B3084" s="5">
        <v>17578</v>
      </c>
      <c r="C3084" s="6">
        <v>45680</v>
      </c>
      <c r="D3084" s="5" t="s">
        <v>51</v>
      </c>
      <c r="E3084" s="5" t="s">
        <v>52</v>
      </c>
      <c r="F3084" s="5" t="s">
        <v>66</v>
      </c>
      <c r="G3084" s="5" t="s">
        <v>67</v>
      </c>
      <c r="H3084" s="5" t="s">
        <v>21</v>
      </c>
      <c r="I3084" s="5" t="s">
        <v>269</v>
      </c>
      <c r="J3084" s="5" t="s">
        <v>270</v>
      </c>
      <c r="K3084" s="5" t="s">
        <v>57</v>
      </c>
      <c r="L3084" s="6">
        <v>45688</v>
      </c>
      <c r="M3084" s="6">
        <v>45685</v>
      </c>
      <c r="N3084" s="6" t="s">
        <v>811</v>
      </c>
      <c r="O3084" s="5" t="str">
        <f ca="1">IF(P3084&lt;&gt;"EXPEDIÇÃO","Expedido",IF(NETWORKDAYS(C3084,TODAY())&gt;=5,"Risco Alto",IF(NETWORKDAYS(C3084,TODAY())&gt;=3,IF(NETWORKDAYS(C3084,TODAY())&lt;5,"Risco Médio",""),IF(NETWORKDAYS(C3084,TODAY())&lt;=2,"Risco Baixo",""))))</f>
        <v>Expedido</v>
      </c>
      <c r="P3084" s="5" t="s">
        <v>25</v>
      </c>
      <c r="S3084" s="7">
        <f>IF(ISBLANK(M3084),"Aguardando Previsão/Data",NETWORKDAYS(L3084,M3084)-1)</f>
        <v>-5</v>
      </c>
      <c r="T3084" s="5" t="s">
        <v>942</v>
      </c>
    </row>
    <row r="3085" spans="1:20" x14ac:dyDescent="0.35">
      <c r="A3085" s="5">
        <v>8100281884</v>
      </c>
      <c r="B3085" s="5">
        <v>17580</v>
      </c>
      <c r="C3085" s="6">
        <v>45680</v>
      </c>
      <c r="D3085" s="5" t="s">
        <v>51</v>
      </c>
      <c r="E3085" s="5" t="s">
        <v>52</v>
      </c>
      <c r="F3085" s="5" t="s">
        <v>66</v>
      </c>
      <c r="G3085" s="5" t="s">
        <v>67</v>
      </c>
      <c r="H3085" s="5" t="s">
        <v>21</v>
      </c>
      <c r="I3085" s="5" t="s">
        <v>434</v>
      </c>
      <c r="J3085" s="5" t="s">
        <v>435</v>
      </c>
      <c r="K3085" s="5" t="s">
        <v>57</v>
      </c>
      <c r="L3085" s="6">
        <v>45687</v>
      </c>
      <c r="M3085" s="6">
        <v>45685</v>
      </c>
      <c r="N3085" s="6" t="s">
        <v>811</v>
      </c>
      <c r="O3085" s="5" t="str">
        <f ca="1">IF(P3085&lt;&gt;"EXPEDIÇÃO","Expedido",IF(NETWORKDAYS(C3085,TODAY())&gt;=5,"Risco Alto",IF(NETWORKDAYS(C3085,TODAY())&gt;=3,IF(NETWORKDAYS(C3085,TODAY())&lt;5,"Risco Médio",""),IF(NETWORKDAYS(C3085,TODAY())&lt;=2,"Risco Baixo",""))))</f>
        <v>Expedido</v>
      </c>
      <c r="P3085" s="5" t="s">
        <v>25</v>
      </c>
      <c r="S3085" s="7">
        <f>IF(ISBLANK(M3085),"Aguardando Previsão/Data",NETWORKDAYS(L3085,M3085)-1)</f>
        <v>-4</v>
      </c>
      <c r="T3085" s="5" t="s">
        <v>942</v>
      </c>
    </row>
    <row r="3086" spans="1:20" x14ac:dyDescent="0.35">
      <c r="A3086" s="5">
        <v>8100281885</v>
      </c>
      <c r="B3086" s="5">
        <v>17579</v>
      </c>
      <c r="C3086" s="6">
        <v>45680</v>
      </c>
      <c r="D3086" s="5" t="s">
        <v>51</v>
      </c>
      <c r="E3086" s="5" t="s">
        <v>52</v>
      </c>
      <c r="F3086" s="5" t="s">
        <v>66</v>
      </c>
      <c r="G3086" s="5" t="s">
        <v>67</v>
      </c>
      <c r="H3086" s="5" t="s">
        <v>21</v>
      </c>
      <c r="I3086" s="5" t="s">
        <v>1174</v>
      </c>
      <c r="J3086" s="5" t="s">
        <v>1055</v>
      </c>
      <c r="K3086" s="5" t="s">
        <v>57</v>
      </c>
      <c r="L3086" s="6">
        <v>45688</v>
      </c>
      <c r="M3086" s="6">
        <v>45684</v>
      </c>
      <c r="N3086" s="6" t="s">
        <v>811</v>
      </c>
      <c r="O3086" s="5" t="str">
        <f ca="1">IF(P3086&lt;&gt;"EXPEDIÇÃO","Expedido",IF(NETWORKDAYS(C3086,TODAY())&gt;=5,"Risco Alto",IF(NETWORKDAYS(C3086,TODAY())&gt;=3,IF(NETWORKDAYS(C3086,TODAY())&lt;5,"Risco Médio",""),IF(NETWORKDAYS(C3086,TODAY())&lt;=2,"Risco Baixo",""))))</f>
        <v>Expedido</v>
      </c>
      <c r="P3086" s="5" t="s">
        <v>25</v>
      </c>
      <c r="S3086" s="7">
        <f>IF(ISBLANK(M3086),"Aguardando Previsão/Data",NETWORKDAYS(L3086,M3086)-1)</f>
        <v>-6</v>
      </c>
      <c r="T3086" s="5" t="s">
        <v>942</v>
      </c>
    </row>
    <row r="3087" spans="1:20" x14ac:dyDescent="0.35">
      <c r="A3087" s="5">
        <v>8100281886</v>
      </c>
      <c r="B3087" s="5">
        <v>17582</v>
      </c>
      <c r="C3087" s="6">
        <v>45680</v>
      </c>
      <c r="D3087" s="5" t="s">
        <v>51</v>
      </c>
      <c r="E3087" s="5" t="s">
        <v>52</v>
      </c>
      <c r="F3087" s="5" t="s">
        <v>66</v>
      </c>
      <c r="G3087" s="5" t="s">
        <v>67</v>
      </c>
      <c r="H3087" s="5" t="s">
        <v>21</v>
      </c>
      <c r="I3087" s="5" t="s">
        <v>1337</v>
      </c>
      <c r="J3087" s="5" t="s">
        <v>68</v>
      </c>
      <c r="K3087" s="5" t="s">
        <v>57</v>
      </c>
      <c r="L3087" s="6">
        <v>45687</v>
      </c>
      <c r="M3087" s="6">
        <v>45684</v>
      </c>
      <c r="N3087" s="6" t="s">
        <v>811</v>
      </c>
      <c r="O3087" s="5" t="str">
        <f ca="1">IF(P3087&lt;&gt;"EXPEDIÇÃO","Expedido",IF(NETWORKDAYS(C3087,TODAY())&gt;=5,"Risco Alto",IF(NETWORKDAYS(C3087,TODAY())&gt;=3,IF(NETWORKDAYS(C3087,TODAY())&lt;5,"Risco Médio",""),IF(NETWORKDAYS(C3087,TODAY())&lt;=2,"Risco Baixo",""))))</f>
        <v>Expedido</v>
      </c>
      <c r="P3087" s="5" t="s">
        <v>25</v>
      </c>
      <c r="S3087" s="7">
        <f>IF(ISBLANK(M3087),"Aguardando Previsão/Data",NETWORKDAYS(L3087,M3087)-1)</f>
        <v>-5</v>
      </c>
      <c r="T3087" s="5" t="s">
        <v>942</v>
      </c>
    </row>
    <row r="3088" spans="1:20" x14ac:dyDescent="0.35">
      <c r="A3088" s="5">
        <v>8100281887</v>
      </c>
      <c r="B3088" s="5">
        <v>17588</v>
      </c>
      <c r="C3088" s="6">
        <v>45680</v>
      </c>
      <c r="D3088" s="5" t="s">
        <v>51</v>
      </c>
      <c r="E3088" s="5" t="s">
        <v>52</v>
      </c>
      <c r="F3088" s="5" t="s">
        <v>58</v>
      </c>
      <c r="G3088" s="5" t="s">
        <v>59</v>
      </c>
      <c r="H3088" s="5" t="s">
        <v>21</v>
      </c>
      <c r="I3088" s="5" t="s">
        <v>22</v>
      </c>
      <c r="J3088" s="5" t="s">
        <v>65</v>
      </c>
      <c r="K3088" s="5" t="s">
        <v>57</v>
      </c>
      <c r="L3088" s="6">
        <v>45685</v>
      </c>
      <c r="M3088" s="6">
        <v>45681</v>
      </c>
      <c r="N3088" s="6" t="s">
        <v>811</v>
      </c>
      <c r="O3088" s="5" t="str">
        <f ca="1">IF(P3088&lt;&gt;"EXPEDIÇÃO","Expedido",IF(NETWORKDAYS(C3088,TODAY())&gt;=5,"Risco Alto",IF(NETWORKDAYS(C3088,TODAY())&gt;=3,IF(NETWORKDAYS(C3088,TODAY())&lt;5,"Risco Médio",""),IF(NETWORKDAYS(C3088,TODAY())&lt;=2,"Risco Baixo",""))))</f>
        <v>Expedido</v>
      </c>
      <c r="P3088" s="5" t="s">
        <v>25</v>
      </c>
      <c r="Q3088" s="5" t="s">
        <v>900</v>
      </c>
      <c r="S3088" s="7">
        <f>IF(ISBLANK(M3088),"Aguardando Previsão/Data",NETWORKDAYS(L3088,M3088)-1)</f>
        <v>-4</v>
      </c>
      <c r="T3088" s="5" t="s">
        <v>942</v>
      </c>
    </row>
    <row r="3089" spans="1:20" x14ac:dyDescent="0.35">
      <c r="A3089" s="5">
        <v>8100281888</v>
      </c>
      <c r="B3089" s="5">
        <v>17581</v>
      </c>
      <c r="C3089" s="6">
        <v>45680</v>
      </c>
      <c r="D3089" s="5" t="s">
        <v>51</v>
      </c>
      <c r="E3089" s="5" t="s">
        <v>52</v>
      </c>
      <c r="F3089" s="5" t="s">
        <v>66</v>
      </c>
      <c r="G3089" s="5" t="s">
        <v>67</v>
      </c>
      <c r="H3089" s="5" t="s">
        <v>21</v>
      </c>
      <c r="I3089" s="5" t="s">
        <v>269</v>
      </c>
      <c r="J3089" s="5" t="s">
        <v>270</v>
      </c>
      <c r="K3089" s="5" t="s">
        <v>57</v>
      </c>
      <c r="L3089" s="6">
        <v>45688</v>
      </c>
      <c r="M3089" s="6">
        <v>45685</v>
      </c>
      <c r="N3089" s="6" t="s">
        <v>811</v>
      </c>
      <c r="O3089" s="5" t="str">
        <f ca="1">IF(P3089&lt;&gt;"EXPEDIÇÃO","Expedido",IF(NETWORKDAYS(C3089,TODAY())&gt;=5,"Risco Alto",IF(NETWORKDAYS(C3089,TODAY())&gt;=3,IF(NETWORKDAYS(C3089,TODAY())&lt;5,"Risco Médio",""),IF(NETWORKDAYS(C3089,TODAY())&lt;=2,"Risco Baixo",""))))</f>
        <v>Expedido</v>
      </c>
      <c r="P3089" s="5" t="s">
        <v>25</v>
      </c>
      <c r="S3089" s="7">
        <f>IF(ISBLANK(M3089),"Aguardando Previsão/Data",NETWORKDAYS(L3089,M3089)-1)</f>
        <v>-5</v>
      </c>
      <c r="T3089" s="5" t="s">
        <v>942</v>
      </c>
    </row>
    <row r="3090" spans="1:20" x14ac:dyDescent="0.35">
      <c r="A3090" s="5">
        <v>8100281889</v>
      </c>
      <c r="B3090" s="5">
        <v>17583</v>
      </c>
      <c r="C3090" s="6">
        <v>45680</v>
      </c>
      <c r="D3090" s="5" t="s">
        <v>51</v>
      </c>
      <c r="E3090" s="5" t="s">
        <v>52</v>
      </c>
      <c r="F3090" s="5" t="s">
        <v>58</v>
      </c>
      <c r="G3090" s="5" t="s">
        <v>59</v>
      </c>
      <c r="H3090" s="5" t="s">
        <v>21</v>
      </c>
      <c r="I3090" s="5" t="s">
        <v>555</v>
      </c>
      <c r="J3090" s="5" t="s">
        <v>556</v>
      </c>
      <c r="K3090" s="5" t="s">
        <v>57</v>
      </c>
      <c r="L3090" s="6">
        <v>45688</v>
      </c>
      <c r="M3090" s="6">
        <v>45684</v>
      </c>
      <c r="N3090" s="6" t="s">
        <v>811</v>
      </c>
      <c r="O3090" s="5" t="str">
        <f ca="1">IF(P3090&lt;&gt;"EXPEDIÇÃO","Expedido",IF(NETWORKDAYS(C3090,TODAY())&gt;=5,"Risco Alto",IF(NETWORKDAYS(C3090,TODAY())&gt;=3,IF(NETWORKDAYS(C3090,TODAY())&lt;5,"Risco Médio",""),IF(NETWORKDAYS(C3090,TODAY())&lt;=2,"Risco Baixo",""))))</f>
        <v>Expedido</v>
      </c>
      <c r="P3090" s="5" t="s">
        <v>25</v>
      </c>
      <c r="S3090" s="7">
        <f>IF(ISBLANK(M3090),"Aguardando Previsão/Data",NETWORKDAYS(L3090,M3090)-1)</f>
        <v>-6</v>
      </c>
      <c r="T3090" s="5" t="s">
        <v>942</v>
      </c>
    </row>
    <row r="3091" spans="1:20" x14ac:dyDescent="0.35">
      <c r="A3091" s="5">
        <v>8100281890</v>
      </c>
      <c r="B3091" s="5">
        <v>17584</v>
      </c>
      <c r="C3091" s="6">
        <v>45680</v>
      </c>
      <c r="D3091" s="5" t="s">
        <v>51</v>
      </c>
      <c r="E3091" s="5" t="s">
        <v>52</v>
      </c>
      <c r="F3091" s="5" t="s">
        <v>58</v>
      </c>
      <c r="G3091" s="5" t="s">
        <v>59</v>
      </c>
      <c r="H3091" s="5" t="s">
        <v>21</v>
      </c>
      <c r="I3091" s="5" t="s">
        <v>983</v>
      </c>
      <c r="J3091" s="5" t="s">
        <v>56</v>
      </c>
      <c r="K3091" s="5" t="s">
        <v>57</v>
      </c>
      <c r="L3091" s="6">
        <v>45687</v>
      </c>
      <c r="M3091" s="6">
        <v>45684</v>
      </c>
      <c r="N3091" s="6" t="s">
        <v>811</v>
      </c>
      <c r="O3091" s="5" t="str">
        <f ca="1">IF(P3091&lt;&gt;"EXPEDIÇÃO","Expedido",IF(NETWORKDAYS(C3091,TODAY())&gt;=5,"Risco Alto",IF(NETWORKDAYS(C3091,TODAY())&gt;=3,IF(NETWORKDAYS(C3091,TODAY())&lt;5,"Risco Médio",""),IF(NETWORKDAYS(C3091,TODAY())&lt;=2,"Risco Baixo",""))))</f>
        <v>Expedido</v>
      </c>
      <c r="P3091" s="5" t="s">
        <v>25</v>
      </c>
      <c r="S3091" s="7">
        <f>IF(ISBLANK(M3091),"Aguardando Previsão/Data",NETWORKDAYS(L3091,M3091)-1)</f>
        <v>-5</v>
      </c>
      <c r="T3091" s="5" t="s">
        <v>942</v>
      </c>
    </row>
    <row r="3092" spans="1:20" x14ac:dyDescent="0.35">
      <c r="A3092" s="5">
        <v>8100281891</v>
      </c>
      <c r="B3092" s="5">
        <v>17585</v>
      </c>
      <c r="C3092" s="6">
        <v>45680</v>
      </c>
      <c r="D3092" s="5" t="s">
        <v>51</v>
      </c>
      <c r="E3092" s="5" t="s">
        <v>52</v>
      </c>
      <c r="F3092" s="5" t="s">
        <v>58</v>
      </c>
      <c r="G3092" s="5" t="s">
        <v>59</v>
      </c>
      <c r="H3092" s="5" t="s">
        <v>21</v>
      </c>
      <c r="I3092" s="5" t="s">
        <v>55</v>
      </c>
      <c r="J3092" s="5" t="s">
        <v>648</v>
      </c>
      <c r="K3092" s="5" t="s">
        <v>57</v>
      </c>
      <c r="L3092" s="6">
        <v>45688</v>
      </c>
      <c r="M3092" s="6">
        <v>45684</v>
      </c>
      <c r="N3092" s="6" t="s">
        <v>811</v>
      </c>
      <c r="O3092" s="5" t="str">
        <f ca="1">IF(P3092&lt;&gt;"EXPEDIÇÃO","Expedido",IF(NETWORKDAYS(C3092,TODAY())&gt;=5,"Risco Alto",IF(NETWORKDAYS(C3092,TODAY())&gt;=3,IF(NETWORKDAYS(C3092,TODAY())&lt;5,"Risco Médio",""),IF(NETWORKDAYS(C3092,TODAY())&lt;=2,"Risco Baixo",""))))</f>
        <v>Expedido</v>
      </c>
      <c r="P3092" s="5" t="s">
        <v>25</v>
      </c>
      <c r="S3092" s="7">
        <f>IF(ISBLANK(M3092),"Aguardando Previsão/Data",NETWORKDAYS(L3092,M3092)-1)</f>
        <v>-6</v>
      </c>
      <c r="T3092" s="5" t="s">
        <v>942</v>
      </c>
    </row>
    <row r="3093" spans="1:20" x14ac:dyDescent="0.35">
      <c r="A3093" s="5">
        <v>8100281892</v>
      </c>
      <c r="B3093" s="5">
        <v>17589</v>
      </c>
      <c r="C3093" s="6">
        <v>45680</v>
      </c>
      <c r="D3093" s="5" t="s">
        <v>51</v>
      </c>
      <c r="E3093" s="5" t="s">
        <v>52</v>
      </c>
      <c r="F3093" s="5" t="s">
        <v>58</v>
      </c>
      <c r="G3093" s="5" t="s">
        <v>59</v>
      </c>
      <c r="H3093" s="5" t="s">
        <v>21</v>
      </c>
      <c r="I3093" s="5" t="s">
        <v>497</v>
      </c>
      <c r="J3093" s="5" t="s">
        <v>498</v>
      </c>
      <c r="K3093" s="5" t="s">
        <v>57</v>
      </c>
      <c r="L3093" s="6">
        <v>45688</v>
      </c>
      <c r="M3093" s="6">
        <v>45684</v>
      </c>
      <c r="N3093" s="6" t="s">
        <v>811</v>
      </c>
      <c r="O3093" s="5" t="str">
        <f ca="1">IF(P3093&lt;&gt;"EXPEDIÇÃO","Expedido",IF(NETWORKDAYS(C3093,TODAY())&gt;=5,"Risco Alto",IF(NETWORKDAYS(C3093,TODAY())&gt;=3,IF(NETWORKDAYS(C3093,TODAY())&lt;5,"Risco Médio",""),IF(NETWORKDAYS(C3093,TODAY())&lt;=2,"Risco Baixo",""))))</f>
        <v>Expedido</v>
      </c>
      <c r="P3093" s="5" t="s">
        <v>25</v>
      </c>
      <c r="S3093" s="7">
        <f>IF(ISBLANK(M3093),"Aguardando Previsão/Data",NETWORKDAYS(L3093,M3093)-1)</f>
        <v>-6</v>
      </c>
      <c r="T3093" s="5" t="s">
        <v>942</v>
      </c>
    </row>
    <row r="3094" spans="1:20" x14ac:dyDescent="0.35">
      <c r="A3094" s="5">
        <v>8100281893</v>
      </c>
      <c r="B3094" s="5">
        <v>17590</v>
      </c>
      <c r="C3094" s="6">
        <v>45680</v>
      </c>
      <c r="D3094" s="5" t="s">
        <v>51</v>
      </c>
      <c r="E3094" s="5" t="s">
        <v>52</v>
      </c>
      <c r="F3094" s="5" t="s">
        <v>69</v>
      </c>
      <c r="G3094" s="5" t="s">
        <v>70</v>
      </c>
      <c r="H3094" s="5" t="s">
        <v>21</v>
      </c>
      <c r="I3094" s="5" t="s">
        <v>527</v>
      </c>
      <c r="J3094" s="5" t="s">
        <v>65</v>
      </c>
      <c r="K3094" s="5" t="s">
        <v>57</v>
      </c>
      <c r="L3094" s="6">
        <v>45685</v>
      </c>
      <c r="M3094" s="6">
        <v>45681</v>
      </c>
      <c r="N3094" s="6" t="s">
        <v>811</v>
      </c>
      <c r="O3094" s="5" t="str">
        <f ca="1">IF(P3094&lt;&gt;"EXPEDIÇÃO","Expedido",IF(NETWORKDAYS(C3094,TODAY())&gt;=5,"Risco Alto",IF(NETWORKDAYS(C3094,TODAY())&gt;=3,IF(NETWORKDAYS(C3094,TODAY())&lt;5,"Risco Médio",""),IF(NETWORKDAYS(C3094,TODAY())&lt;=2,"Risco Baixo",""))))</f>
        <v>Expedido</v>
      </c>
      <c r="P3094" s="5" t="s">
        <v>25</v>
      </c>
      <c r="Q3094" s="5" t="s">
        <v>900</v>
      </c>
      <c r="S3094" s="7">
        <f>IF(ISBLANK(M3094),"Aguardando Previsão/Data",NETWORKDAYS(L3094,M3094)-1)</f>
        <v>-4</v>
      </c>
      <c r="T3094" s="5" t="s">
        <v>942</v>
      </c>
    </row>
    <row r="3095" spans="1:20" x14ac:dyDescent="0.35">
      <c r="A3095" s="5">
        <v>8100282060</v>
      </c>
      <c r="B3095" s="5">
        <v>17587</v>
      </c>
      <c r="C3095" s="6">
        <v>45680</v>
      </c>
      <c r="D3095" s="5" t="s">
        <v>51</v>
      </c>
      <c r="E3095" s="5" t="s">
        <v>52</v>
      </c>
      <c r="F3095" s="5" t="s">
        <v>66</v>
      </c>
      <c r="G3095" s="5" t="s">
        <v>67</v>
      </c>
      <c r="H3095" s="5" t="s">
        <v>21</v>
      </c>
      <c r="I3095" s="5" t="s">
        <v>528</v>
      </c>
      <c r="J3095" s="5" t="s">
        <v>268</v>
      </c>
      <c r="K3095" s="5" t="s">
        <v>57</v>
      </c>
      <c r="L3095" s="6">
        <v>45688</v>
      </c>
      <c r="M3095" s="6">
        <v>45684</v>
      </c>
      <c r="N3095" s="6" t="s">
        <v>811</v>
      </c>
      <c r="O3095" s="5" t="str">
        <f ca="1">IF(P3095&lt;&gt;"EXPEDIÇÃO","Expedido",IF(NETWORKDAYS(C3095,TODAY())&gt;=5,"Risco Alto",IF(NETWORKDAYS(C3095,TODAY())&gt;=3,IF(NETWORKDAYS(C3095,TODAY())&lt;5,"Risco Médio",""),IF(NETWORKDAYS(C3095,TODAY())&lt;=2,"Risco Baixo",""))))</f>
        <v>Expedido</v>
      </c>
      <c r="P3095" s="5" t="s">
        <v>25</v>
      </c>
      <c r="S3095" s="7">
        <f>IF(ISBLANK(M3095),"Aguardando Previsão/Data",NETWORKDAYS(L3095,M3095)-1)</f>
        <v>-6</v>
      </c>
      <c r="T3095" s="5" t="s">
        <v>942</v>
      </c>
    </row>
    <row r="3096" spans="1:20" x14ac:dyDescent="0.35">
      <c r="A3096" s="5">
        <v>8100282061</v>
      </c>
      <c r="B3096" s="5">
        <v>17586</v>
      </c>
      <c r="C3096" s="6">
        <v>45680</v>
      </c>
      <c r="D3096" s="5" t="s">
        <v>51</v>
      </c>
      <c r="E3096" s="5" t="s">
        <v>52</v>
      </c>
      <c r="F3096" s="5" t="s">
        <v>58</v>
      </c>
      <c r="G3096" s="5" t="s">
        <v>59</v>
      </c>
      <c r="H3096" s="5" t="s">
        <v>21</v>
      </c>
      <c r="I3096" s="5" t="s">
        <v>269</v>
      </c>
      <c r="J3096" s="5" t="s">
        <v>270</v>
      </c>
      <c r="K3096" s="5" t="s">
        <v>57</v>
      </c>
      <c r="L3096" s="6">
        <v>45688</v>
      </c>
      <c r="M3096" s="6">
        <v>45685</v>
      </c>
      <c r="N3096" s="6" t="s">
        <v>811</v>
      </c>
      <c r="O3096" s="5" t="str">
        <f ca="1">IF(P3096&lt;&gt;"EXPEDIÇÃO","Expedido",IF(NETWORKDAYS(C3096,TODAY())&gt;=5,"Risco Alto",IF(NETWORKDAYS(C3096,TODAY())&gt;=3,IF(NETWORKDAYS(C3096,TODAY())&lt;5,"Risco Médio",""),IF(NETWORKDAYS(C3096,TODAY())&lt;=2,"Risco Baixo",""))))</f>
        <v>Expedido</v>
      </c>
      <c r="P3096" s="5" t="s">
        <v>25</v>
      </c>
      <c r="S3096" s="7">
        <f>IF(ISBLANK(M3096),"Aguardando Previsão/Data",NETWORKDAYS(L3096,M3096)-1)</f>
        <v>-5</v>
      </c>
      <c r="T3096" s="5" t="s">
        <v>942</v>
      </c>
    </row>
    <row r="3097" spans="1:20" x14ac:dyDescent="0.35">
      <c r="A3097" s="5">
        <v>8100282116</v>
      </c>
      <c r="B3097" s="5">
        <v>17591</v>
      </c>
      <c r="C3097" s="6">
        <v>45680</v>
      </c>
      <c r="D3097" s="5" t="s">
        <v>51</v>
      </c>
      <c r="E3097" s="5" t="s">
        <v>52</v>
      </c>
      <c r="F3097" s="5" t="s">
        <v>329</v>
      </c>
      <c r="G3097" s="5" t="s">
        <v>330</v>
      </c>
      <c r="H3097" s="5" t="s">
        <v>21</v>
      </c>
      <c r="I3097" s="5" t="s">
        <v>331</v>
      </c>
      <c r="J3097" s="5" t="s">
        <v>529</v>
      </c>
      <c r="K3097" s="5" t="s">
        <v>57</v>
      </c>
      <c r="L3097" s="6">
        <v>45687</v>
      </c>
      <c r="M3097" s="6">
        <v>45684</v>
      </c>
      <c r="N3097" s="6" t="s">
        <v>811</v>
      </c>
      <c r="O3097" s="5" t="str">
        <f ca="1">IF(P3097&lt;&gt;"EXPEDIÇÃO","Expedido",IF(NETWORKDAYS(C3097,TODAY())&gt;=5,"Risco Alto",IF(NETWORKDAYS(C3097,TODAY())&gt;=3,IF(NETWORKDAYS(C3097,TODAY())&lt;5,"Risco Médio",""),IF(NETWORKDAYS(C3097,TODAY())&lt;=2,"Risco Baixo",""))))</f>
        <v>Expedido</v>
      </c>
      <c r="P3097" s="5" t="s">
        <v>25</v>
      </c>
      <c r="S3097" s="7">
        <f>IF(ISBLANK(M3097),"Aguardando Previsão/Data",NETWORKDAYS(L3097,M3097)-1)</f>
        <v>-5</v>
      </c>
      <c r="T3097" s="5" t="s">
        <v>942</v>
      </c>
    </row>
    <row r="3098" spans="1:20" x14ac:dyDescent="0.35">
      <c r="A3098" s="5">
        <v>8100281028</v>
      </c>
      <c r="B3098" s="5">
        <v>21586</v>
      </c>
      <c r="C3098" s="6">
        <v>45680</v>
      </c>
      <c r="D3098" s="5" t="s">
        <v>17</v>
      </c>
      <c r="E3098" s="5" t="s">
        <v>18</v>
      </c>
      <c r="F3098" s="5" t="s">
        <v>27</v>
      </c>
      <c r="G3098" s="5" t="s">
        <v>28</v>
      </c>
      <c r="H3098" s="5" t="s">
        <v>21</v>
      </c>
      <c r="I3098" s="5" t="s">
        <v>1113</v>
      </c>
      <c r="J3098" s="5" t="s">
        <v>566</v>
      </c>
      <c r="K3098" s="5" t="s">
        <v>24</v>
      </c>
      <c r="L3098" s="6">
        <v>45688</v>
      </c>
      <c r="M3098" s="6">
        <v>45686</v>
      </c>
      <c r="N3098" s="6" t="s">
        <v>811</v>
      </c>
      <c r="O3098" s="5" t="str">
        <f ca="1">IF(P3098&lt;&gt;"EXPEDIÇÃO","Expedido",IF(NETWORKDAYS(C3098,TODAY())&gt;=5,"Risco Alto",IF(NETWORKDAYS(C3098,TODAY())&gt;=3,IF(NETWORKDAYS(C3098,TODAY())&lt;5,"Risco Médio",""),IF(NETWORKDAYS(C3098,TODAY())&lt;=2,"Risco Baixo",""))))</f>
        <v>Expedido</v>
      </c>
      <c r="P3098" s="5" t="s">
        <v>25</v>
      </c>
      <c r="S3098" s="7">
        <f>IF(ISBLANK(M3098),"Aguardando Previsão/Data",NETWORKDAYS(L3098,M3098)-1)</f>
        <v>-4</v>
      </c>
      <c r="T3098" s="5" t="s">
        <v>942</v>
      </c>
    </row>
    <row r="3099" spans="1:20" x14ac:dyDescent="0.35">
      <c r="A3099" s="5">
        <v>8100281276</v>
      </c>
      <c r="B3099" s="5">
        <v>21607</v>
      </c>
      <c r="C3099" s="6">
        <v>45680</v>
      </c>
      <c r="D3099" s="5" t="s">
        <v>17</v>
      </c>
      <c r="E3099" s="5" t="s">
        <v>18</v>
      </c>
      <c r="F3099" s="5" t="s">
        <v>39</v>
      </c>
      <c r="G3099" s="5" t="s">
        <v>40</v>
      </c>
      <c r="H3099" s="5" t="s">
        <v>21</v>
      </c>
      <c r="I3099" s="5" t="s">
        <v>918</v>
      </c>
      <c r="J3099" s="5" t="s">
        <v>495</v>
      </c>
      <c r="K3099" s="5" t="s">
        <v>24</v>
      </c>
      <c r="L3099" s="6">
        <v>45694</v>
      </c>
      <c r="M3099" s="6">
        <v>45685</v>
      </c>
      <c r="N3099" s="6" t="s">
        <v>811</v>
      </c>
      <c r="O3099" s="5" t="str">
        <f ca="1">IF(P3099&lt;&gt;"EXPEDIÇÃO","Expedido",IF(NETWORKDAYS(C3099,TODAY())&gt;=5,"Risco Alto",IF(NETWORKDAYS(C3099,TODAY())&gt;=3,IF(NETWORKDAYS(C3099,TODAY())&lt;5,"Risco Médio",""),IF(NETWORKDAYS(C3099,TODAY())&lt;=2,"Risco Baixo",""))))</f>
        <v>Expedido</v>
      </c>
      <c r="P3099" s="5" t="s">
        <v>25</v>
      </c>
      <c r="S3099" s="7">
        <f>IF(ISBLANK(M3099),"Aguardando Previsão/Data",NETWORKDAYS(L3099,M3099)-1)</f>
        <v>-9</v>
      </c>
      <c r="T3099" s="5" t="s">
        <v>942</v>
      </c>
    </row>
    <row r="3100" spans="1:20" x14ac:dyDescent="0.35">
      <c r="A3100" s="5">
        <v>8100281277</v>
      </c>
      <c r="B3100" s="5">
        <v>21610</v>
      </c>
      <c r="C3100" s="6">
        <v>45680</v>
      </c>
      <c r="D3100" s="5" t="s">
        <v>17</v>
      </c>
      <c r="E3100" s="5" t="s">
        <v>18</v>
      </c>
      <c r="F3100" s="5" t="s">
        <v>44</v>
      </c>
      <c r="G3100" s="5" t="s">
        <v>45</v>
      </c>
      <c r="H3100" s="5" t="s">
        <v>21</v>
      </c>
      <c r="I3100" s="5" t="s">
        <v>46</v>
      </c>
      <c r="J3100" s="5" t="s">
        <v>47</v>
      </c>
      <c r="K3100" s="5" t="s">
        <v>24</v>
      </c>
      <c r="L3100" s="6">
        <v>45687</v>
      </c>
      <c r="M3100" s="6">
        <v>45685</v>
      </c>
      <c r="N3100" s="6" t="s">
        <v>811</v>
      </c>
      <c r="O3100" s="5" t="str">
        <f ca="1">IF(P3100&lt;&gt;"EXPEDIÇÃO","Expedido",IF(NETWORKDAYS(C3100,TODAY())&gt;=5,"Risco Alto",IF(NETWORKDAYS(C3100,TODAY())&gt;=3,IF(NETWORKDAYS(C3100,TODAY())&lt;5,"Risco Médio",""),IF(NETWORKDAYS(C3100,TODAY())&lt;=2,"Risco Baixo",""))))</f>
        <v>Expedido</v>
      </c>
      <c r="P3100" s="5" t="s">
        <v>25</v>
      </c>
      <c r="S3100" s="7">
        <f>IF(ISBLANK(M3100),"Aguardando Previsão/Data",NETWORKDAYS(L3100,M3100)-1)</f>
        <v>-4</v>
      </c>
      <c r="T3100" s="5" t="s">
        <v>942</v>
      </c>
    </row>
    <row r="3101" spans="1:20" x14ac:dyDescent="0.35">
      <c r="A3101" s="5">
        <v>8100281279</v>
      </c>
      <c r="B3101" s="5">
        <v>21605</v>
      </c>
      <c r="C3101" s="6">
        <v>45680</v>
      </c>
      <c r="D3101" s="5" t="s">
        <v>17</v>
      </c>
      <c r="E3101" s="5" t="s">
        <v>18</v>
      </c>
      <c r="F3101" s="5" t="s">
        <v>27</v>
      </c>
      <c r="G3101" s="5" t="s">
        <v>28</v>
      </c>
      <c r="H3101" s="5" t="s">
        <v>21</v>
      </c>
      <c r="I3101" s="5" t="s">
        <v>1501</v>
      </c>
      <c r="J3101" s="5" t="s">
        <v>364</v>
      </c>
      <c r="K3101" s="5" t="s">
        <v>24</v>
      </c>
      <c r="L3101" s="6">
        <v>45687</v>
      </c>
      <c r="M3101" s="6">
        <v>45685</v>
      </c>
      <c r="N3101" s="6" t="s">
        <v>811</v>
      </c>
      <c r="O3101" s="5" t="str">
        <f ca="1">IF(P3101&lt;&gt;"EXPEDIÇÃO","Expedido",IF(NETWORKDAYS(C3101,TODAY())&gt;=5,"Risco Alto",IF(NETWORKDAYS(C3101,TODAY())&gt;=3,IF(NETWORKDAYS(C3101,TODAY())&lt;5,"Risco Médio",""),IF(NETWORKDAYS(C3101,TODAY())&lt;=2,"Risco Baixo",""))))</f>
        <v>Expedido</v>
      </c>
      <c r="P3101" s="5" t="s">
        <v>25</v>
      </c>
      <c r="S3101" s="7">
        <f>IF(ISBLANK(M3101),"Aguardando Previsão/Data",NETWORKDAYS(L3101,M3101)-1)</f>
        <v>-4</v>
      </c>
      <c r="T3101" s="5" t="s">
        <v>942</v>
      </c>
    </row>
    <row r="3102" spans="1:20" x14ac:dyDescent="0.35">
      <c r="A3102" s="5">
        <v>8100281280</v>
      </c>
      <c r="B3102" s="5">
        <v>21606</v>
      </c>
      <c r="C3102" s="6">
        <v>45680</v>
      </c>
      <c r="D3102" s="5" t="s">
        <v>17</v>
      </c>
      <c r="E3102" s="5" t="s">
        <v>18</v>
      </c>
      <c r="F3102" s="5" t="s">
        <v>32</v>
      </c>
      <c r="G3102" s="5" t="s">
        <v>33</v>
      </c>
      <c r="H3102" s="5" t="s">
        <v>21</v>
      </c>
      <c r="I3102" s="5" t="s">
        <v>1502</v>
      </c>
      <c r="J3102" s="5" t="s">
        <v>374</v>
      </c>
      <c r="K3102" s="5" t="s">
        <v>24</v>
      </c>
      <c r="L3102" s="6">
        <v>45692</v>
      </c>
      <c r="M3102" s="6">
        <v>45691</v>
      </c>
      <c r="N3102" s="6" t="s">
        <v>811</v>
      </c>
      <c r="O3102" s="5" t="str">
        <f ca="1">IF(P3102&lt;&gt;"EXPEDIÇÃO","Expedido",IF(NETWORKDAYS(C3102,TODAY())&gt;=5,"Risco Alto",IF(NETWORKDAYS(C3102,TODAY())&gt;=3,IF(NETWORKDAYS(C3102,TODAY())&lt;5,"Risco Médio",""),IF(NETWORKDAYS(C3102,TODAY())&lt;=2,"Risco Baixo",""))))</f>
        <v>Expedido</v>
      </c>
      <c r="P3102" s="5" t="s">
        <v>617</v>
      </c>
      <c r="S3102" s="7">
        <f>IF(ISBLANK(M3102),"Aguardando Previsão/Data",NETWORKDAYS(L3102,M3102)-1)</f>
        <v>-3</v>
      </c>
    </row>
    <row r="3103" spans="1:20" x14ac:dyDescent="0.35">
      <c r="A3103" s="5">
        <v>8100281281</v>
      </c>
      <c r="B3103" s="5">
        <v>21608</v>
      </c>
      <c r="C3103" s="6">
        <v>45680</v>
      </c>
      <c r="D3103" s="5" t="s">
        <v>17</v>
      </c>
      <c r="E3103" s="5" t="s">
        <v>18</v>
      </c>
      <c r="F3103" s="5" t="s">
        <v>27</v>
      </c>
      <c r="G3103" s="5" t="s">
        <v>28</v>
      </c>
      <c r="H3103" s="5" t="s">
        <v>21</v>
      </c>
      <c r="I3103" s="5" t="s">
        <v>1503</v>
      </c>
      <c r="J3103" s="5" t="s">
        <v>1504</v>
      </c>
      <c r="K3103" s="5" t="s">
        <v>24</v>
      </c>
      <c r="L3103" s="6">
        <v>45687</v>
      </c>
      <c r="M3103" s="6">
        <v>45684</v>
      </c>
      <c r="N3103" s="6" t="s">
        <v>811</v>
      </c>
      <c r="O3103" s="5" t="str">
        <f ca="1">IF(P3103&lt;&gt;"EXPEDIÇÃO","Expedido",IF(NETWORKDAYS(C3103,TODAY())&gt;=5,"Risco Alto",IF(NETWORKDAYS(C3103,TODAY())&gt;=3,IF(NETWORKDAYS(C3103,TODAY())&lt;5,"Risco Médio",""),IF(NETWORKDAYS(C3103,TODAY())&lt;=2,"Risco Baixo",""))))</f>
        <v>Expedido</v>
      </c>
      <c r="P3103" s="5" t="s">
        <v>25</v>
      </c>
      <c r="S3103" s="7">
        <f>IF(ISBLANK(M3103),"Aguardando Previsão/Data",NETWORKDAYS(L3103,M3103)-1)</f>
        <v>-5</v>
      </c>
      <c r="T3103" s="5" t="s">
        <v>942</v>
      </c>
    </row>
    <row r="3104" spans="1:20" x14ac:dyDescent="0.35">
      <c r="A3104" s="5">
        <v>8100281431</v>
      </c>
      <c r="B3104" s="5">
        <v>21593</v>
      </c>
      <c r="C3104" s="6">
        <v>45680</v>
      </c>
      <c r="D3104" s="5" t="s">
        <v>17</v>
      </c>
      <c r="E3104" s="5" t="s">
        <v>18</v>
      </c>
      <c r="F3104" s="5" t="s">
        <v>69</v>
      </c>
      <c r="G3104" s="5" t="s">
        <v>70</v>
      </c>
      <c r="H3104" s="5" t="s">
        <v>21</v>
      </c>
      <c r="I3104" s="5" t="s">
        <v>284</v>
      </c>
      <c r="J3104" s="5" t="s">
        <v>286</v>
      </c>
      <c r="K3104" s="5" t="s">
        <v>110</v>
      </c>
      <c r="L3104" s="6">
        <v>45684</v>
      </c>
      <c r="M3104" s="6">
        <v>45691</v>
      </c>
      <c r="N3104" s="6" t="s">
        <v>812</v>
      </c>
      <c r="O3104" s="5" t="str">
        <f ca="1">IF(P3104&lt;&gt;"EXPEDIÇÃO","Expedido",IF(NETWORKDAYS(C3104,TODAY())&gt;=5,"Risco Alto",IF(NETWORKDAYS(C3104,TODAY())&gt;=3,IF(NETWORKDAYS(C3104,TODAY())&lt;5,"Risco Médio",""),IF(NETWORKDAYS(C3104,TODAY())&lt;=2,"Risco Baixo",""))))</f>
        <v>Expedido</v>
      </c>
      <c r="P3104" s="5" t="s">
        <v>617</v>
      </c>
      <c r="S3104" s="7">
        <f>IF(ISBLANK(M3104),"Aguardando Previsão/Data",NETWORKDAYS(L3104,M3104)-1)</f>
        <v>5</v>
      </c>
    </row>
    <row r="3105" spans="1:20" x14ac:dyDescent="0.35">
      <c r="A3105" s="5">
        <v>8100281452</v>
      </c>
      <c r="B3105" s="5">
        <v>21609</v>
      </c>
      <c r="C3105" s="6">
        <v>45680</v>
      </c>
      <c r="D3105" s="5" t="s">
        <v>17</v>
      </c>
      <c r="E3105" s="5" t="s">
        <v>18</v>
      </c>
      <c r="F3105" s="5" t="s">
        <v>27</v>
      </c>
      <c r="G3105" s="5" t="s">
        <v>28</v>
      </c>
      <c r="H3105" s="5" t="s">
        <v>21</v>
      </c>
      <c r="I3105" s="5" t="s">
        <v>967</v>
      </c>
      <c r="J3105" s="5" t="s">
        <v>694</v>
      </c>
      <c r="K3105" s="5" t="s">
        <v>24</v>
      </c>
      <c r="L3105" s="6">
        <v>45688</v>
      </c>
      <c r="M3105" s="6">
        <v>45685</v>
      </c>
      <c r="N3105" s="6" t="s">
        <v>811</v>
      </c>
      <c r="O3105" s="5" t="str">
        <f ca="1">IF(P3105&lt;&gt;"EXPEDIÇÃO","Expedido",IF(NETWORKDAYS(C3105,TODAY())&gt;=5,"Risco Alto",IF(NETWORKDAYS(C3105,TODAY())&gt;=3,IF(NETWORKDAYS(C3105,TODAY())&lt;5,"Risco Médio",""),IF(NETWORKDAYS(C3105,TODAY())&lt;=2,"Risco Baixo",""))))</f>
        <v>Expedido</v>
      </c>
      <c r="P3105" s="5" t="s">
        <v>25</v>
      </c>
      <c r="S3105" s="7">
        <f>IF(ISBLANK(M3105),"Aguardando Previsão/Data",NETWORKDAYS(L3105,M3105)-1)</f>
        <v>-5</v>
      </c>
      <c r="T3105" s="5" t="s">
        <v>942</v>
      </c>
    </row>
    <row r="3106" spans="1:20" x14ac:dyDescent="0.35">
      <c r="A3106" s="5">
        <v>8100281526</v>
      </c>
      <c r="B3106" s="5">
        <v>21583</v>
      </c>
      <c r="C3106" s="6">
        <v>45680</v>
      </c>
      <c r="D3106" s="5" t="s">
        <v>17</v>
      </c>
      <c r="E3106" s="5" t="s">
        <v>18</v>
      </c>
      <c r="F3106" s="5" t="s">
        <v>27</v>
      </c>
      <c r="G3106" s="5" t="s">
        <v>28</v>
      </c>
      <c r="H3106" s="5" t="s">
        <v>21</v>
      </c>
      <c r="I3106" s="5" t="s">
        <v>1501</v>
      </c>
      <c r="J3106" s="5" t="s">
        <v>364</v>
      </c>
      <c r="K3106" s="5" t="s">
        <v>24</v>
      </c>
      <c r="L3106" s="6">
        <v>45687</v>
      </c>
      <c r="M3106" s="6">
        <v>45685</v>
      </c>
      <c r="N3106" s="6" t="s">
        <v>811</v>
      </c>
      <c r="O3106" s="5" t="str">
        <f ca="1">IF(P3106&lt;&gt;"EXPEDIÇÃO","Expedido",IF(NETWORKDAYS(C3106,TODAY())&gt;=5,"Risco Alto",IF(NETWORKDAYS(C3106,TODAY())&gt;=3,IF(NETWORKDAYS(C3106,TODAY())&lt;5,"Risco Médio",""),IF(NETWORKDAYS(C3106,TODAY())&lt;=2,"Risco Baixo",""))))</f>
        <v>Expedido</v>
      </c>
      <c r="P3106" s="5" t="s">
        <v>25</v>
      </c>
      <c r="S3106" s="7">
        <f>IF(ISBLANK(M3106),"Aguardando Previsão/Data",NETWORKDAYS(L3106,M3106)-1)</f>
        <v>-4</v>
      </c>
      <c r="T3106" s="5" t="s">
        <v>942</v>
      </c>
    </row>
    <row r="3107" spans="1:20" x14ac:dyDescent="0.35">
      <c r="A3107" s="5">
        <v>8100281527</v>
      </c>
      <c r="B3107" s="5">
        <v>21587</v>
      </c>
      <c r="C3107" s="6">
        <v>45680</v>
      </c>
      <c r="D3107" s="5" t="s">
        <v>17</v>
      </c>
      <c r="E3107" s="5" t="s">
        <v>18</v>
      </c>
      <c r="F3107" s="5" t="s">
        <v>27</v>
      </c>
      <c r="G3107" s="5" t="s">
        <v>28</v>
      </c>
      <c r="H3107" s="5" t="s">
        <v>21</v>
      </c>
      <c r="I3107" s="5" t="s">
        <v>1508</v>
      </c>
      <c r="J3107" s="5" t="s">
        <v>43</v>
      </c>
      <c r="K3107" s="5" t="s">
        <v>24</v>
      </c>
      <c r="L3107" s="6">
        <v>45687</v>
      </c>
      <c r="M3107" s="6">
        <v>45682</v>
      </c>
      <c r="N3107" s="6" t="s">
        <v>811</v>
      </c>
      <c r="O3107" s="5" t="str">
        <f ca="1">IF(P3107&lt;&gt;"EXPEDIÇÃO","Expedido",IF(NETWORKDAYS(C3107,TODAY())&gt;=5,"Risco Alto",IF(NETWORKDAYS(C3107,TODAY())&gt;=3,IF(NETWORKDAYS(C3107,TODAY())&lt;5,"Risco Médio",""),IF(NETWORKDAYS(C3107,TODAY())&lt;=2,"Risco Baixo",""))))</f>
        <v>Expedido</v>
      </c>
      <c r="P3107" s="5" t="s">
        <v>25</v>
      </c>
      <c r="S3107" s="7">
        <f>IF(ISBLANK(M3107),"Aguardando Previsão/Data",NETWORKDAYS(L3107,M3107)-1)</f>
        <v>-5</v>
      </c>
      <c r="T3107" s="5" t="s">
        <v>942</v>
      </c>
    </row>
    <row r="3108" spans="1:20" x14ac:dyDescent="0.35">
      <c r="A3108" s="5">
        <v>8100281528</v>
      </c>
      <c r="B3108" s="5">
        <v>21597</v>
      </c>
      <c r="C3108" s="6">
        <v>45680</v>
      </c>
      <c r="D3108" s="5" t="s">
        <v>17</v>
      </c>
      <c r="E3108" s="5" t="s">
        <v>18</v>
      </c>
      <c r="F3108" s="5" t="s">
        <v>406</v>
      </c>
      <c r="G3108" s="5" t="s">
        <v>407</v>
      </c>
      <c r="H3108" s="5" t="s">
        <v>21</v>
      </c>
      <c r="I3108" s="5" t="s">
        <v>1489</v>
      </c>
      <c r="J3108" s="5" t="s">
        <v>50</v>
      </c>
      <c r="K3108" s="5" t="s">
        <v>24</v>
      </c>
      <c r="L3108" s="6">
        <v>45688</v>
      </c>
      <c r="M3108" s="6">
        <v>45686</v>
      </c>
      <c r="N3108" s="6" t="s">
        <v>811</v>
      </c>
      <c r="O3108" s="5" t="str">
        <f ca="1">IF(P3108&lt;&gt;"EXPEDIÇÃO","Expedido",IF(NETWORKDAYS(C3108,TODAY())&gt;=5,"Risco Alto",IF(NETWORKDAYS(C3108,TODAY())&gt;=3,IF(NETWORKDAYS(C3108,TODAY())&lt;5,"Risco Médio",""),IF(NETWORKDAYS(C3108,TODAY())&lt;=2,"Risco Baixo",""))))</f>
        <v>Expedido</v>
      </c>
      <c r="P3108" s="5" t="s">
        <v>25</v>
      </c>
      <c r="S3108" s="7">
        <f>IF(ISBLANK(M3108),"Aguardando Previsão/Data",NETWORKDAYS(L3108,M3108)-1)</f>
        <v>-4</v>
      </c>
      <c r="T3108" s="5" t="s">
        <v>942</v>
      </c>
    </row>
    <row r="3109" spans="1:20" x14ac:dyDescent="0.35">
      <c r="A3109" s="5">
        <v>8100281620</v>
      </c>
      <c r="B3109" s="5">
        <v>21582</v>
      </c>
      <c r="C3109" s="6">
        <v>45680</v>
      </c>
      <c r="D3109" s="5" t="s">
        <v>17</v>
      </c>
      <c r="E3109" s="5" t="s">
        <v>18</v>
      </c>
      <c r="F3109" s="5" t="s">
        <v>44</v>
      </c>
      <c r="G3109" s="5" t="s">
        <v>45</v>
      </c>
      <c r="H3109" s="5" t="s">
        <v>21</v>
      </c>
      <c r="I3109" s="5" t="s">
        <v>371</v>
      </c>
      <c r="J3109" s="5" t="s">
        <v>372</v>
      </c>
      <c r="K3109" s="5" t="s">
        <v>24</v>
      </c>
      <c r="L3109" s="6">
        <v>45688</v>
      </c>
      <c r="M3109" s="6">
        <v>45687</v>
      </c>
      <c r="N3109" s="6" t="s">
        <v>811</v>
      </c>
      <c r="O3109" s="5" t="str">
        <f ca="1">IF(P3109&lt;&gt;"EXPEDIÇÃO","Expedido",IF(NETWORKDAYS(C3109,TODAY())&gt;=5,"Risco Alto",IF(NETWORKDAYS(C3109,TODAY())&gt;=3,IF(NETWORKDAYS(C3109,TODAY())&lt;5,"Risco Médio",""),IF(NETWORKDAYS(C3109,TODAY())&lt;=2,"Risco Baixo",""))))</f>
        <v>Expedido</v>
      </c>
      <c r="P3109" s="5" t="s">
        <v>617</v>
      </c>
      <c r="S3109" s="7">
        <f>IF(ISBLANK(M3109),"Aguardando Previsão/Data",NETWORKDAYS(L3109,M3109)-1)</f>
        <v>-3</v>
      </c>
    </row>
    <row r="3110" spans="1:20" x14ac:dyDescent="0.35">
      <c r="A3110" s="5">
        <v>8100281621</v>
      </c>
      <c r="B3110" s="5">
        <v>21588</v>
      </c>
      <c r="C3110" s="6">
        <v>45680</v>
      </c>
      <c r="D3110" s="5" t="s">
        <v>17</v>
      </c>
      <c r="E3110" s="5" t="s">
        <v>18</v>
      </c>
      <c r="F3110" s="5" t="s">
        <v>27</v>
      </c>
      <c r="G3110" s="5" t="s">
        <v>28</v>
      </c>
      <c r="H3110" s="5" t="s">
        <v>21</v>
      </c>
      <c r="I3110" s="5" t="s">
        <v>328</v>
      </c>
      <c r="J3110" s="5" t="s">
        <v>28</v>
      </c>
      <c r="K3110" s="5" t="s">
        <v>24</v>
      </c>
      <c r="L3110" s="6">
        <v>45687</v>
      </c>
      <c r="M3110" s="6">
        <v>45686</v>
      </c>
      <c r="N3110" s="6" t="s">
        <v>811</v>
      </c>
      <c r="O3110" s="5" t="str">
        <f ca="1">IF(P3110&lt;&gt;"EXPEDIÇÃO","Expedido",IF(NETWORKDAYS(C3110,TODAY())&gt;=5,"Risco Alto",IF(NETWORKDAYS(C3110,TODAY())&gt;=3,IF(NETWORKDAYS(C3110,TODAY())&lt;5,"Risco Médio",""),IF(NETWORKDAYS(C3110,TODAY())&lt;=2,"Risco Baixo",""))))</f>
        <v>Expedido</v>
      </c>
      <c r="P3110" s="5" t="s">
        <v>25</v>
      </c>
      <c r="S3110" s="7">
        <f>IF(ISBLANK(M3110),"Aguardando Previsão/Data",NETWORKDAYS(L3110,M3110)-1)</f>
        <v>-3</v>
      </c>
      <c r="T3110" s="5" t="s">
        <v>942</v>
      </c>
    </row>
    <row r="3111" spans="1:20" x14ac:dyDescent="0.35">
      <c r="A3111" s="5">
        <v>8100281731</v>
      </c>
      <c r="B3111" s="5">
        <v>21584</v>
      </c>
      <c r="C3111" s="6">
        <v>45680</v>
      </c>
      <c r="D3111" s="5" t="s">
        <v>17</v>
      </c>
      <c r="E3111" s="5" t="s">
        <v>18</v>
      </c>
      <c r="F3111" s="5" t="s">
        <v>44</v>
      </c>
      <c r="G3111" s="5" t="s">
        <v>45</v>
      </c>
      <c r="H3111" s="5" t="s">
        <v>21</v>
      </c>
      <c r="I3111" s="5" t="s">
        <v>646</v>
      </c>
      <c r="J3111" s="5" t="s">
        <v>463</v>
      </c>
      <c r="K3111" s="5" t="s">
        <v>24</v>
      </c>
      <c r="L3111" s="6">
        <v>45688</v>
      </c>
      <c r="M3111" s="6">
        <v>45684</v>
      </c>
      <c r="N3111" s="6" t="s">
        <v>811</v>
      </c>
      <c r="O3111" s="5" t="str">
        <f ca="1">IF(P3111&lt;&gt;"EXPEDIÇÃO","Expedido",IF(NETWORKDAYS(C3111,TODAY())&gt;=5,"Risco Alto",IF(NETWORKDAYS(C3111,TODAY())&gt;=3,IF(NETWORKDAYS(C3111,TODAY())&lt;5,"Risco Médio",""),IF(NETWORKDAYS(C3111,TODAY())&lt;=2,"Risco Baixo",""))))</f>
        <v>Expedido</v>
      </c>
      <c r="P3111" s="5" t="s">
        <v>25</v>
      </c>
      <c r="S3111" s="7">
        <f>IF(ISBLANK(M3111),"Aguardando Previsão/Data",NETWORKDAYS(L3111,M3111)-1)</f>
        <v>-6</v>
      </c>
      <c r="T3111" s="5" t="s">
        <v>942</v>
      </c>
    </row>
    <row r="3112" spans="1:20" x14ac:dyDescent="0.35">
      <c r="A3112" s="5">
        <v>8100281732</v>
      </c>
      <c r="B3112" s="5">
        <v>21585</v>
      </c>
      <c r="C3112" s="6">
        <v>45680</v>
      </c>
      <c r="D3112" s="5" t="s">
        <v>17</v>
      </c>
      <c r="E3112" s="5" t="s">
        <v>18</v>
      </c>
      <c r="F3112" s="5" t="s">
        <v>44</v>
      </c>
      <c r="G3112" s="5" t="s">
        <v>45</v>
      </c>
      <c r="H3112" s="5" t="s">
        <v>21</v>
      </c>
      <c r="I3112" s="5" t="s">
        <v>646</v>
      </c>
      <c r="J3112" s="5" t="s">
        <v>463</v>
      </c>
      <c r="K3112" s="5" t="s">
        <v>24</v>
      </c>
      <c r="L3112" s="6">
        <v>45688</v>
      </c>
      <c r="M3112" s="6">
        <v>45684</v>
      </c>
      <c r="N3112" s="6" t="s">
        <v>811</v>
      </c>
      <c r="O3112" s="5" t="str">
        <f ca="1">IF(P3112&lt;&gt;"EXPEDIÇÃO","Expedido",IF(NETWORKDAYS(C3112,TODAY())&gt;=5,"Risco Alto",IF(NETWORKDAYS(C3112,TODAY())&gt;=3,IF(NETWORKDAYS(C3112,TODAY())&lt;5,"Risco Médio",""),IF(NETWORKDAYS(C3112,TODAY())&lt;=2,"Risco Baixo",""))))</f>
        <v>Expedido</v>
      </c>
      <c r="P3112" s="5" t="s">
        <v>25</v>
      </c>
      <c r="S3112" s="7">
        <f>IF(ISBLANK(M3112),"Aguardando Previsão/Data",NETWORKDAYS(L3112,M3112)-1)</f>
        <v>-6</v>
      </c>
      <c r="T3112" s="5" t="s">
        <v>942</v>
      </c>
    </row>
    <row r="3113" spans="1:20" x14ac:dyDescent="0.35">
      <c r="A3113" s="5">
        <v>8100281830</v>
      </c>
      <c r="B3113" s="5">
        <v>21598</v>
      </c>
      <c r="C3113" s="6">
        <v>45680</v>
      </c>
      <c r="D3113" s="5" t="s">
        <v>17</v>
      </c>
      <c r="E3113" s="5" t="s">
        <v>18</v>
      </c>
      <c r="F3113" s="5" t="s">
        <v>27</v>
      </c>
      <c r="G3113" s="5" t="s">
        <v>28</v>
      </c>
      <c r="H3113" s="5" t="s">
        <v>21</v>
      </c>
      <c r="I3113" s="5" t="s">
        <v>328</v>
      </c>
      <c r="J3113" s="5" t="s">
        <v>28</v>
      </c>
      <c r="K3113" s="5" t="s">
        <v>24</v>
      </c>
      <c r="L3113" s="6">
        <v>45687</v>
      </c>
      <c r="M3113" s="6">
        <v>45686</v>
      </c>
      <c r="N3113" s="6" t="s">
        <v>811</v>
      </c>
      <c r="O3113" s="5" t="str">
        <f ca="1">IF(P3113&lt;&gt;"EXPEDIÇÃO","Expedido",IF(NETWORKDAYS(C3113,TODAY())&gt;=5,"Risco Alto",IF(NETWORKDAYS(C3113,TODAY())&gt;=3,IF(NETWORKDAYS(C3113,TODAY())&lt;5,"Risco Médio",""),IF(NETWORKDAYS(C3113,TODAY())&lt;=2,"Risco Baixo",""))))</f>
        <v>Expedido</v>
      </c>
      <c r="P3113" s="5" t="s">
        <v>25</v>
      </c>
      <c r="S3113" s="7">
        <f>IF(ISBLANK(M3113),"Aguardando Previsão/Data",NETWORKDAYS(L3113,M3113)-1)</f>
        <v>-3</v>
      </c>
      <c r="T3113" s="5" t="s">
        <v>942</v>
      </c>
    </row>
    <row r="3114" spans="1:20" x14ac:dyDescent="0.35">
      <c r="A3114" s="5">
        <v>8100281831</v>
      </c>
      <c r="B3114" s="5">
        <v>21589</v>
      </c>
      <c r="C3114" s="6">
        <v>45680</v>
      </c>
      <c r="D3114" s="5" t="s">
        <v>17</v>
      </c>
      <c r="E3114" s="5" t="s">
        <v>18</v>
      </c>
      <c r="F3114" s="5" t="s">
        <v>27</v>
      </c>
      <c r="G3114" s="5" t="s">
        <v>28</v>
      </c>
      <c r="H3114" s="5" t="s">
        <v>21</v>
      </c>
      <c r="I3114" s="5" t="s">
        <v>328</v>
      </c>
      <c r="J3114" s="5" t="s">
        <v>28</v>
      </c>
      <c r="K3114" s="5" t="s">
        <v>24</v>
      </c>
      <c r="L3114" s="6">
        <v>45687</v>
      </c>
      <c r="M3114" s="6">
        <v>45686</v>
      </c>
      <c r="N3114" s="6" t="s">
        <v>811</v>
      </c>
      <c r="O3114" s="5" t="str">
        <f ca="1">IF(P3114&lt;&gt;"EXPEDIÇÃO","Expedido",IF(NETWORKDAYS(C3114,TODAY())&gt;=5,"Risco Alto",IF(NETWORKDAYS(C3114,TODAY())&gt;=3,IF(NETWORKDAYS(C3114,TODAY())&lt;5,"Risco Médio",""),IF(NETWORKDAYS(C3114,TODAY())&lt;=2,"Risco Baixo",""))))</f>
        <v>Expedido</v>
      </c>
      <c r="P3114" s="5" t="s">
        <v>25</v>
      </c>
      <c r="S3114" s="7">
        <f>IF(ISBLANK(M3114),"Aguardando Previsão/Data",NETWORKDAYS(L3114,M3114)-1)</f>
        <v>-3</v>
      </c>
      <c r="T3114" s="5" t="s">
        <v>942</v>
      </c>
    </row>
    <row r="3115" spans="1:20" x14ac:dyDescent="0.35">
      <c r="A3115" s="5">
        <v>8100281876</v>
      </c>
      <c r="B3115" s="5">
        <v>21599</v>
      </c>
      <c r="C3115" s="6">
        <v>45680</v>
      </c>
      <c r="D3115" s="5" t="s">
        <v>17</v>
      </c>
      <c r="E3115" s="5" t="s">
        <v>18</v>
      </c>
      <c r="F3115" s="5" t="s">
        <v>27</v>
      </c>
      <c r="G3115" s="5" t="s">
        <v>28</v>
      </c>
      <c r="H3115" s="5" t="s">
        <v>21</v>
      </c>
      <c r="I3115" s="5" t="s">
        <v>328</v>
      </c>
      <c r="J3115" s="5" t="s">
        <v>28</v>
      </c>
      <c r="K3115" s="5" t="s">
        <v>24</v>
      </c>
      <c r="L3115" s="6">
        <v>45687</v>
      </c>
      <c r="M3115" s="6">
        <v>45686</v>
      </c>
      <c r="N3115" s="6" t="s">
        <v>811</v>
      </c>
      <c r="O3115" s="5" t="str">
        <f ca="1">IF(P3115&lt;&gt;"EXPEDIÇÃO","Expedido",IF(NETWORKDAYS(C3115,TODAY())&gt;=5,"Risco Alto",IF(NETWORKDAYS(C3115,TODAY())&gt;=3,IF(NETWORKDAYS(C3115,TODAY())&lt;5,"Risco Médio",""),IF(NETWORKDAYS(C3115,TODAY())&lt;=2,"Risco Baixo",""))))</f>
        <v>Expedido</v>
      </c>
      <c r="P3115" s="5" t="s">
        <v>25</v>
      </c>
      <c r="S3115" s="7">
        <f>IF(ISBLANK(M3115),"Aguardando Previsão/Data",NETWORKDAYS(L3115,M3115)-1)</f>
        <v>-3</v>
      </c>
      <c r="T3115" s="5" t="s">
        <v>942</v>
      </c>
    </row>
    <row r="3116" spans="1:20" x14ac:dyDescent="0.35">
      <c r="A3116" s="5">
        <v>8100281877</v>
      </c>
      <c r="B3116" s="5">
        <v>21596</v>
      </c>
      <c r="C3116" s="6">
        <v>45680</v>
      </c>
      <c r="D3116" s="5" t="s">
        <v>17</v>
      </c>
      <c r="E3116" s="5" t="s">
        <v>18</v>
      </c>
      <c r="F3116" s="5" t="s">
        <v>44</v>
      </c>
      <c r="G3116" s="5" t="s">
        <v>45</v>
      </c>
      <c r="H3116" s="5" t="s">
        <v>21</v>
      </c>
      <c r="I3116" s="5" t="s">
        <v>646</v>
      </c>
      <c r="J3116" s="5" t="s">
        <v>463</v>
      </c>
      <c r="K3116" s="5" t="s">
        <v>24</v>
      </c>
      <c r="L3116" s="6">
        <v>45688</v>
      </c>
      <c r="M3116" s="6">
        <v>45687</v>
      </c>
      <c r="N3116" s="6" t="s">
        <v>811</v>
      </c>
      <c r="O3116" s="5" t="str">
        <f ca="1">IF(P3116&lt;&gt;"EXPEDIÇÃO","Expedido",IF(NETWORKDAYS(C3116,TODAY())&gt;=5,"Risco Alto",IF(NETWORKDAYS(C3116,TODAY())&gt;=3,IF(NETWORKDAYS(C3116,TODAY())&lt;5,"Risco Médio",""),IF(NETWORKDAYS(C3116,TODAY())&lt;=2,"Risco Baixo",""))))</f>
        <v>Expedido</v>
      </c>
      <c r="P3116" s="5" t="s">
        <v>617</v>
      </c>
      <c r="S3116" s="7">
        <f>IF(ISBLANK(M3116),"Aguardando Previsão/Data",NETWORKDAYS(L3116,M3116)-1)</f>
        <v>-3</v>
      </c>
    </row>
    <row r="3117" spans="1:20" x14ac:dyDescent="0.35">
      <c r="A3117" s="5">
        <v>8100281612</v>
      </c>
      <c r="B3117" s="5">
        <v>13441</v>
      </c>
      <c r="C3117" s="6">
        <v>45680</v>
      </c>
      <c r="D3117" s="5" t="s">
        <v>91</v>
      </c>
      <c r="E3117" s="5" t="s">
        <v>92</v>
      </c>
      <c r="F3117" s="5" t="s">
        <v>96</v>
      </c>
      <c r="G3117" s="5" t="s">
        <v>97</v>
      </c>
      <c r="H3117" s="5" t="s">
        <v>21</v>
      </c>
      <c r="I3117" s="5" t="s">
        <v>1070</v>
      </c>
      <c r="J3117" s="5" t="s">
        <v>636</v>
      </c>
      <c r="K3117" s="5" t="s">
        <v>95</v>
      </c>
      <c r="L3117" s="6">
        <v>45687</v>
      </c>
      <c r="M3117" s="6">
        <v>45680</v>
      </c>
      <c r="N3117" s="6" t="s">
        <v>811</v>
      </c>
      <c r="O3117" s="5" t="str">
        <f ca="1">IF(P3117&lt;&gt;"EXPEDIÇÃO","Expedido",IF(NETWORKDAYS(C3117,TODAY())&gt;=5,"Risco Alto",IF(NETWORKDAYS(C3117,TODAY())&gt;=3,IF(NETWORKDAYS(C3117,TODAY())&lt;5,"Risco Médio",""),IF(NETWORKDAYS(C3117,TODAY())&lt;=2,"Risco Baixo",""))))</f>
        <v>Expedido</v>
      </c>
      <c r="P3117" s="5" t="s">
        <v>25</v>
      </c>
      <c r="Q3117" s="5" t="s">
        <v>824</v>
      </c>
      <c r="S3117" s="7">
        <f>IF(ISBLANK(M3117),"Aguardando Previsão/Data",NETWORKDAYS(L3117,M3117)-1)</f>
        <v>-7</v>
      </c>
      <c r="T3117" s="5" t="s">
        <v>942</v>
      </c>
    </row>
    <row r="3118" spans="1:20" x14ac:dyDescent="0.35">
      <c r="A3118" s="5">
        <v>8100281648</v>
      </c>
      <c r="B3118" s="5">
        <v>13446</v>
      </c>
      <c r="C3118" s="6">
        <v>45680</v>
      </c>
      <c r="D3118" s="5" t="s">
        <v>91</v>
      </c>
      <c r="E3118" s="5" t="s">
        <v>92</v>
      </c>
      <c r="F3118" s="5" t="s">
        <v>196</v>
      </c>
      <c r="G3118" s="5" t="s">
        <v>197</v>
      </c>
      <c r="H3118" s="5" t="s">
        <v>21</v>
      </c>
      <c r="I3118" s="5" t="s">
        <v>792</v>
      </c>
      <c r="J3118" s="5" t="s">
        <v>637</v>
      </c>
      <c r="K3118" s="5" t="s">
        <v>423</v>
      </c>
      <c r="L3118" s="6">
        <v>45691</v>
      </c>
      <c r="M3118" s="6">
        <v>45680</v>
      </c>
      <c r="N3118" s="6" t="s">
        <v>811</v>
      </c>
      <c r="O3118" s="5" t="str">
        <f ca="1">IF(P3118&lt;&gt;"EXPEDIÇÃO","Expedido",IF(NETWORKDAYS(C3118,TODAY())&gt;=5,"Risco Alto",IF(NETWORKDAYS(C3118,TODAY())&gt;=3,IF(NETWORKDAYS(C3118,TODAY())&lt;5,"Risco Médio",""),IF(NETWORKDAYS(C3118,TODAY())&lt;=2,"Risco Baixo",""))))</f>
        <v>Expedido</v>
      </c>
      <c r="P3118" s="5" t="s">
        <v>25</v>
      </c>
      <c r="Q3118" s="5" t="s">
        <v>824</v>
      </c>
      <c r="S3118" s="7">
        <f>IF(ISBLANK(M3118),"Aguardando Previsão/Data",NETWORKDAYS(L3118,M3118)-1)</f>
        <v>-9</v>
      </c>
      <c r="T3118" s="5" t="s">
        <v>942</v>
      </c>
    </row>
    <row r="3119" spans="1:20" x14ac:dyDescent="0.35">
      <c r="A3119" s="5">
        <v>8100281793</v>
      </c>
      <c r="B3119" s="5">
        <v>13440</v>
      </c>
      <c r="C3119" s="6">
        <v>45680</v>
      </c>
      <c r="D3119" s="5" t="s">
        <v>91</v>
      </c>
      <c r="E3119" s="5" t="s">
        <v>92</v>
      </c>
      <c r="F3119" s="5" t="s">
        <v>96</v>
      </c>
      <c r="G3119" s="5" t="s">
        <v>97</v>
      </c>
      <c r="H3119" s="5" t="s">
        <v>21</v>
      </c>
      <c r="I3119" s="5" t="s">
        <v>1012</v>
      </c>
      <c r="J3119" s="5" t="s">
        <v>424</v>
      </c>
      <c r="K3119" s="5" t="s">
        <v>95</v>
      </c>
      <c r="L3119" s="6">
        <v>45687</v>
      </c>
      <c r="M3119" s="6">
        <v>45680</v>
      </c>
      <c r="N3119" s="6" t="s">
        <v>811</v>
      </c>
      <c r="O3119" s="5" t="str">
        <f ca="1">IF(P3119&lt;&gt;"EXPEDIÇÃO","Expedido",IF(NETWORKDAYS(C3119,TODAY())&gt;=5,"Risco Alto",IF(NETWORKDAYS(C3119,TODAY())&gt;=3,IF(NETWORKDAYS(C3119,TODAY())&lt;5,"Risco Médio",""),IF(NETWORKDAYS(C3119,TODAY())&lt;=2,"Risco Baixo",""))))</f>
        <v>Expedido</v>
      </c>
      <c r="P3119" s="5" t="s">
        <v>25</v>
      </c>
      <c r="Q3119" s="5" t="s">
        <v>824</v>
      </c>
      <c r="S3119" s="7">
        <f>IF(ISBLANK(M3119),"Aguardando Previsão/Data",NETWORKDAYS(L3119,M3119)-1)</f>
        <v>-7</v>
      </c>
      <c r="T3119" s="5" t="s">
        <v>942</v>
      </c>
    </row>
    <row r="3120" spans="1:20" x14ac:dyDescent="0.35">
      <c r="A3120" s="5">
        <v>8100281838</v>
      </c>
      <c r="B3120" s="5">
        <v>13442</v>
      </c>
      <c r="C3120" s="6">
        <v>45680</v>
      </c>
      <c r="D3120" s="5" t="s">
        <v>91</v>
      </c>
      <c r="E3120" s="5" t="s">
        <v>92</v>
      </c>
      <c r="F3120" s="5" t="s">
        <v>103</v>
      </c>
      <c r="G3120" s="5" t="s">
        <v>104</v>
      </c>
      <c r="H3120" s="5" t="s">
        <v>21</v>
      </c>
      <c r="I3120" s="5" t="s">
        <v>354</v>
      </c>
      <c r="J3120" s="5" t="s">
        <v>273</v>
      </c>
      <c r="K3120" s="5" t="s">
        <v>274</v>
      </c>
      <c r="L3120" s="6">
        <v>45691</v>
      </c>
      <c r="M3120" s="6">
        <v>45685</v>
      </c>
      <c r="N3120" s="6" t="s">
        <v>811</v>
      </c>
      <c r="O3120" s="5" t="str">
        <f ca="1">IF(P3120&lt;&gt;"EXPEDIÇÃO","Expedido",IF(NETWORKDAYS(C3120,TODAY())&gt;=5,"Risco Alto",IF(NETWORKDAYS(C3120,TODAY())&gt;=3,IF(NETWORKDAYS(C3120,TODAY())&lt;5,"Risco Médio",""),IF(NETWORKDAYS(C3120,TODAY())&lt;=2,"Risco Baixo",""))))</f>
        <v>Expedido</v>
      </c>
      <c r="P3120" s="5" t="s">
        <v>25</v>
      </c>
      <c r="S3120" s="7">
        <f>IF(ISBLANK(M3120),"Aguardando Previsão/Data",NETWORKDAYS(L3120,M3120)-1)</f>
        <v>-6</v>
      </c>
      <c r="T3120" s="5" t="s">
        <v>942</v>
      </c>
    </row>
    <row r="3121" spans="1:20" x14ac:dyDescent="0.35">
      <c r="A3121" s="5">
        <v>8100281839</v>
      </c>
      <c r="B3121" s="5">
        <v>13453</v>
      </c>
      <c r="C3121" s="6">
        <v>45680</v>
      </c>
      <c r="D3121" s="5" t="s">
        <v>91</v>
      </c>
      <c r="E3121" s="5" t="s">
        <v>92</v>
      </c>
      <c r="F3121" s="5" t="s">
        <v>96</v>
      </c>
      <c r="G3121" s="5" t="s">
        <v>97</v>
      </c>
      <c r="H3121" s="5" t="s">
        <v>21</v>
      </c>
      <c r="I3121" s="5" t="s">
        <v>1512</v>
      </c>
      <c r="J3121" s="5" t="s">
        <v>1513</v>
      </c>
      <c r="K3121" s="5" t="s">
        <v>101</v>
      </c>
      <c r="L3121" s="6">
        <v>45688</v>
      </c>
      <c r="M3121" s="6">
        <v>45684</v>
      </c>
      <c r="N3121" s="6" t="s">
        <v>811</v>
      </c>
      <c r="O3121" s="5" t="str">
        <f ca="1">IF(P3121&lt;&gt;"EXPEDIÇÃO","Expedido",IF(NETWORKDAYS(C3121,TODAY())&gt;=5,"Risco Alto",IF(NETWORKDAYS(C3121,TODAY())&gt;=3,IF(NETWORKDAYS(C3121,TODAY())&lt;5,"Risco Médio",""),IF(NETWORKDAYS(C3121,TODAY())&lt;=2,"Risco Baixo",""))))</f>
        <v>Expedido</v>
      </c>
      <c r="P3121" s="5" t="s">
        <v>25</v>
      </c>
      <c r="S3121" s="7">
        <f>IF(ISBLANK(M3121),"Aguardando Previsão/Data",NETWORKDAYS(L3121,M3121)-1)</f>
        <v>-6</v>
      </c>
      <c r="T3121" s="5" t="s">
        <v>942</v>
      </c>
    </row>
    <row r="3122" spans="1:20" x14ac:dyDescent="0.35">
      <c r="A3122" s="5">
        <v>8100281840</v>
      </c>
      <c r="B3122" s="5">
        <v>13456</v>
      </c>
      <c r="C3122" s="6">
        <v>45680</v>
      </c>
      <c r="D3122" s="5" t="s">
        <v>91</v>
      </c>
      <c r="E3122" s="5" t="s">
        <v>92</v>
      </c>
      <c r="F3122" s="5" t="s">
        <v>19</v>
      </c>
      <c r="G3122" s="5" t="s">
        <v>20</v>
      </c>
      <c r="H3122" s="5" t="s">
        <v>21</v>
      </c>
      <c r="I3122" s="5" t="s">
        <v>1514</v>
      </c>
      <c r="J3122" s="5" t="s">
        <v>273</v>
      </c>
      <c r="K3122" s="5" t="s">
        <v>274</v>
      </c>
      <c r="L3122" s="6">
        <v>45691</v>
      </c>
      <c r="M3122" s="6">
        <v>45686</v>
      </c>
      <c r="N3122" s="6" t="s">
        <v>811</v>
      </c>
      <c r="O3122" s="5" t="str">
        <f ca="1">IF(P3122&lt;&gt;"EXPEDIÇÃO","Expedido",IF(NETWORKDAYS(C3122,TODAY())&gt;=5,"Risco Alto",IF(NETWORKDAYS(C3122,TODAY())&gt;=3,IF(NETWORKDAYS(C3122,TODAY())&lt;5,"Risco Médio",""),IF(NETWORKDAYS(C3122,TODAY())&lt;=2,"Risco Baixo",""))))</f>
        <v>Expedido</v>
      </c>
      <c r="P3122" s="5" t="s">
        <v>25</v>
      </c>
      <c r="S3122" s="7">
        <f>IF(ISBLANK(M3122),"Aguardando Previsão/Data",NETWORKDAYS(L3122,M3122)-1)</f>
        <v>-5</v>
      </c>
      <c r="T3122" s="5" t="s">
        <v>942</v>
      </c>
    </row>
    <row r="3123" spans="1:20" x14ac:dyDescent="0.35">
      <c r="A3123" s="5">
        <v>8100281841</v>
      </c>
      <c r="B3123" s="5">
        <v>13450</v>
      </c>
      <c r="C3123" s="6">
        <v>45680</v>
      </c>
      <c r="D3123" s="5" t="s">
        <v>91</v>
      </c>
      <c r="E3123" s="5" t="s">
        <v>92</v>
      </c>
      <c r="F3123" s="5" t="s">
        <v>103</v>
      </c>
      <c r="G3123" s="5" t="s">
        <v>104</v>
      </c>
      <c r="H3123" s="5" t="s">
        <v>21</v>
      </c>
      <c r="I3123" s="5" t="s">
        <v>1515</v>
      </c>
      <c r="J3123" s="5" t="s">
        <v>760</v>
      </c>
      <c r="K3123" s="5" t="s">
        <v>274</v>
      </c>
      <c r="L3123" s="6">
        <v>45692</v>
      </c>
      <c r="M3123" s="6">
        <v>45691</v>
      </c>
      <c r="N3123" s="6" t="s">
        <v>811</v>
      </c>
      <c r="O3123" s="5" t="str">
        <f ca="1">IF(P3123&lt;&gt;"EXPEDIÇÃO","Expedido",IF(NETWORKDAYS(C3123,TODAY())&gt;=5,"Risco Alto",IF(NETWORKDAYS(C3123,TODAY())&gt;=3,IF(NETWORKDAYS(C3123,TODAY())&lt;5,"Risco Médio",""),IF(NETWORKDAYS(C3123,TODAY())&lt;=2,"Risco Baixo",""))))</f>
        <v>Expedido</v>
      </c>
      <c r="P3123" s="5" t="s">
        <v>617</v>
      </c>
      <c r="S3123" s="7">
        <f>IF(ISBLANK(M3123),"Aguardando Previsão/Data",NETWORKDAYS(L3123,M3123)-1)</f>
        <v>-3</v>
      </c>
    </row>
    <row r="3124" spans="1:20" x14ac:dyDescent="0.35">
      <c r="A3124" s="5">
        <v>8100281842</v>
      </c>
      <c r="B3124" s="5">
        <v>13443</v>
      </c>
      <c r="C3124" s="6">
        <v>45680</v>
      </c>
      <c r="D3124" s="5" t="s">
        <v>91</v>
      </c>
      <c r="E3124" s="5" t="s">
        <v>92</v>
      </c>
      <c r="F3124" s="5" t="s">
        <v>96</v>
      </c>
      <c r="G3124" s="5" t="s">
        <v>97</v>
      </c>
      <c r="H3124" s="5" t="s">
        <v>21</v>
      </c>
      <c r="I3124" s="5" t="s">
        <v>409</v>
      </c>
      <c r="J3124" s="5" t="s">
        <v>387</v>
      </c>
      <c r="K3124" s="5" t="s">
        <v>101</v>
      </c>
      <c r="L3124" s="6">
        <v>45691</v>
      </c>
      <c r="M3124" s="6">
        <v>45685</v>
      </c>
      <c r="N3124" s="6" t="s">
        <v>811</v>
      </c>
      <c r="O3124" s="5" t="str">
        <f ca="1">IF(P3124&lt;&gt;"EXPEDIÇÃO","Expedido",IF(NETWORKDAYS(C3124,TODAY())&gt;=5,"Risco Alto",IF(NETWORKDAYS(C3124,TODAY())&gt;=3,IF(NETWORKDAYS(C3124,TODAY())&lt;5,"Risco Médio",""),IF(NETWORKDAYS(C3124,TODAY())&lt;=2,"Risco Baixo",""))))</f>
        <v>Expedido</v>
      </c>
      <c r="P3124" s="5" t="s">
        <v>25</v>
      </c>
      <c r="S3124" s="7">
        <f>IF(ISBLANK(M3124),"Aguardando Previsão/Data",NETWORKDAYS(L3124,M3124)-1)</f>
        <v>-6</v>
      </c>
      <c r="T3124" s="5" t="s">
        <v>942</v>
      </c>
    </row>
    <row r="3125" spans="1:20" x14ac:dyDescent="0.35">
      <c r="A3125" s="5">
        <v>8100281994</v>
      </c>
      <c r="B3125" s="5">
        <v>13451</v>
      </c>
      <c r="C3125" s="6">
        <v>45680</v>
      </c>
      <c r="D3125" s="5" t="s">
        <v>91</v>
      </c>
      <c r="E3125" s="5" t="s">
        <v>92</v>
      </c>
      <c r="F3125" s="5" t="s">
        <v>103</v>
      </c>
      <c r="G3125" s="5" t="s">
        <v>104</v>
      </c>
      <c r="H3125" s="5" t="s">
        <v>21</v>
      </c>
      <c r="I3125" s="5" t="s">
        <v>1170</v>
      </c>
      <c r="J3125" s="5" t="s">
        <v>273</v>
      </c>
      <c r="K3125" s="5" t="s">
        <v>274</v>
      </c>
      <c r="L3125" s="6">
        <v>45691</v>
      </c>
      <c r="M3125" s="6">
        <v>45686</v>
      </c>
      <c r="N3125" s="6" t="s">
        <v>811</v>
      </c>
      <c r="O3125" s="5" t="str">
        <f ca="1">IF(P3125&lt;&gt;"EXPEDIÇÃO","Expedido",IF(NETWORKDAYS(C3125,TODAY())&gt;=5,"Risco Alto",IF(NETWORKDAYS(C3125,TODAY())&gt;=3,IF(NETWORKDAYS(C3125,TODAY())&lt;5,"Risco Médio",""),IF(NETWORKDAYS(C3125,TODAY())&lt;=2,"Risco Baixo",""))))</f>
        <v>Expedido</v>
      </c>
      <c r="P3125" s="5" t="s">
        <v>25</v>
      </c>
      <c r="S3125" s="7">
        <f>IF(ISBLANK(M3125),"Aguardando Previsão/Data",NETWORKDAYS(L3125,M3125)-1)</f>
        <v>-5</v>
      </c>
      <c r="T3125" s="5" t="s">
        <v>942</v>
      </c>
    </row>
    <row r="3126" spans="1:20" x14ac:dyDescent="0.35">
      <c r="A3126" s="5">
        <v>8100281995</v>
      </c>
      <c r="B3126" s="5">
        <v>13444</v>
      </c>
      <c r="C3126" s="6">
        <v>45680</v>
      </c>
      <c r="D3126" s="5" t="s">
        <v>91</v>
      </c>
      <c r="E3126" s="5" t="s">
        <v>92</v>
      </c>
      <c r="F3126" s="5" t="s">
        <v>103</v>
      </c>
      <c r="G3126" s="5" t="s">
        <v>104</v>
      </c>
      <c r="H3126" s="5" t="s">
        <v>21</v>
      </c>
      <c r="I3126" s="5" t="s">
        <v>1015</v>
      </c>
      <c r="J3126" s="5" t="s">
        <v>716</v>
      </c>
      <c r="K3126" s="5" t="s">
        <v>423</v>
      </c>
      <c r="L3126" s="6">
        <v>45691</v>
      </c>
      <c r="M3126" s="6">
        <v>45685</v>
      </c>
      <c r="N3126" s="6" t="s">
        <v>811</v>
      </c>
      <c r="O3126" s="5" t="str">
        <f ca="1">IF(P3126&lt;&gt;"EXPEDIÇÃO","Expedido",IF(NETWORKDAYS(C3126,TODAY())&gt;=5,"Risco Alto",IF(NETWORKDAYS(C3126,TODAY())&gt;=3,IF(NETWORKDAYS(C3126,TODAY())&lt;5,"Risco Médio",""),IF(NETWORKDAYS(C3126,TODAY())&lt;=2,"Risco Baixo",""))))</f>
        <v>Expedido</v>
      </c>
      <c r="P3126" s="5" t="s">
        <v>25</v>
      </c>
      <c r="S3126" s="7">
        <f>IF(ISBLANK(M3126),"Aguardando Previsão/Data",NETWORKDAYS(L3126,M3126)-1)</f>
        <v>-6</v>
      </c>
      <c r="T3126" s="5" t="s">
        <v>942</v>
      </c>
    </row>
    <row r="3127" spans="1:20" x14ac:dyDescent="0.35">
      <c r="A3127" s="5">
        <v>8100281996</v>
      </c>
      <c r="B3127" s="5">
        <v>13445</v>
      </c>
      <c r="C3127" s="6">
        <v>45680</v>
      </c>
      <c r="D3127" s="5" t="s">
        <v>91</v>
      </c>
      <c r="E3127" s="5" t="s">
        <v>92</v>
      </c>
      <c r="F3127" s="5" t="s">
        <v>103</v>
      </c>
      <c r="G3127" s="5" t="s">
        <v>104</v>
      </c>
      <c r="H3127" s="5" t="s">
        <v>21</v>
      </c>
      <c r="I3127" s="5" t="s">
        <v>1015</v>
      </c>
      <c r="J3127" s="5" t="s">
        <v>716</v>
      </c>
      <c r="K3127" s="5" t="s">
        <v>423</v>
      </c>
      <c r="L3127" s="6">
        <v>45691</v>
      </c>
      <c r="M3127" s="6">
        <v>45685</v>
      </c>
      <c r="N3127" s="6" t="s">
        <v>811</v>
      </c>
      <c r="O3127" s="5" t="str">
        <f ca="1">IF(P3127&lt;&gt;"EXPEDIÇÃO","Expedido",IF(NETWORKDAYS(C3127,TODAY())&gt;=5,"Risco Alto",IF(NETWORKDAYS(C3127,TODAY())&gt;=3,IF(NETWORKDAYS(C3127,TODAY())&lt;5,"Risco Médio",""),IF(NETWORKDAYS(C3127,TODAY())&lt;=2,"Risco Baixo",""))))</f>
        <v>Expedido</v>
      </c>
      <c r="P3127" s="5" t="s">
        <v>25</v>
      </c>
      <c r="S3127" s="7">
        <f>IF(ISBLANK(M3127),"Aguardando Previsão/Data",NETWORKDAYS(L3127,M3127)-1)</f>
        <v>-6</v>
      </c>
      <c r="T3127" s="5" t="s">
        <v>942</v>
      </c>
    </row>
    <row r="3128" spans="1:20" x14ac:dyDescent="0.35">
      <c r="A3128" s="5">
        <v>8100281997</v>
      </c>
      <c r="B3128" s="5">
        <v>13454</v>
      </c>
      <c r="C3128" s="6">
        <v>45680</v>
      </c>
      <c r="D3128" s="5" t="s">
        <v>91</v>
      </c>
      <c r="E3128" s="5" t="s">
        <v>92</v>
      </c>
      <c r="F3128" s="5" t="s">
        <v>96</v>
      </c>
      <c r="G3128" s="5" t="s">
        <v>97</v>
      </c>
      <c r="H3128" s="5" t="s">
        <v>21</v>
      </c>
      <c r="I3128" s="5" t="s">
        <v>940</v>
      </c>
      <c r="J3128" s="5" t="s">
        <v>941</v>
      </c>
      <c r="K3128" s="5" t="s">
        <v>101</v>
      </c>
      <c r="L3128" s="6">
        <v>45688</v>
      </c>
      <c r="M3128" s="6">
        <v>45685</v>
      </c>
      <c r="N3128" s="6" t="s">
        <v>811</v>
      </c>
      <c r="O3128" s="5" t="str">
        <f ca="1">IF(P3128&lt;&gt;"EXPEDIÇÃO","Expedido",IF(NETWORKDAYS(C3128,TODAY())&gt;=5,"Risco Alto",IF(NETWORKDAYS(C3128,TODAY())&gt;=3,IF(NETWORKDAYS(C3128,TODAY())&lt;5,"Risco Médio",""),IF(NETWORKDAYS(C3128,TODAY())&lt;=2,"Risco Baixo",""))))</f>
        <v>Expedido</v>
      </c>
      <c r="P3128" s="5" t="s">
        <v>25</v>
      </c>
      <c r="S3128" s="7">
        <f>IF(ISBLANK(M3128),"Aguardando Previsão/Data",NETWORKDAYS(L3128,M3128)-1)</f>
        <v>-5</v>
      </c>
      <c r="T3128" s="5" t="s">
        <v>942</v>
      </c>
    </row>
    <row r="3129" spans="1:20" x14ac:dyDescent="0.35">
      <c r="A3129" s="5">
        <v>8100281998</v>
      </c>
      <c r="B3129" s="5">
        <v>13449</v>
      </c>
      <c r="C3129" s="6">
        <v>45680</v>
      </c>
      <c r="D3129" s="5" t="s">
        <v>91</v>
      </c>
      <c r="E3129" s="5" t="s">
        <v>92</v>
      </c>
      <c r="F3129" s="5" t="s">
        <v>96</v>
      </c>
      <c r="G3129" s="5" t="s">
        <v>97</v>
      </c>
      <c r="H3129" s="5" t="s">
        <v>21</v>
      </c>
      <c r="I3129" s="5" t="s">
        <v>1037</v>
      </c>
      <c r="J3129" s="5" t="s">
        <v>1105</v>
      </c>
      <c r="K3129" s="5" t="s">
        <v>101</v>
      </c>
      <c r="L3129" s="6">
        <v>45691</v>
      </c>
      <c r="M3129" s="6">
        <v>45688</v>
      </c>
      <c r="N3129" s="6" t="s">
        <v>811</v>
      </c>
      <c r="O3129" s="5" t="str">
        <f ca="1">IF(P3129&lt;&gt;"EXPEDIÇÃO","Expedido",IF(NETWORKDAYS(C3129,TODAY())&gt;=5,"Risco Alto",IF(NETWORKDAYS(C3129,TODAY())&gt;=3,IF(NETWORKDAYS(C3129,TODAY())&lt;5,"Risco Médio",""),IF(NETWORKDAYS(C3129,TODAY())&lt;=2,"Risco Baixo",""))))</f>
        <v>Expedido</v>
      </c>
      <c r="P3129" s="5" t="s">
        <v>617</v>
      </c>
      <c r="S3129" s="7">
        <f>IF(ISBLANK(M3129),"Aguardando Previsão/Data",NETWORKDAYS(L3129,M3129)-1)</f>
        <v>-3</v>
      </c>
    </row>
    <row r="3130" spans="1:20" x14ac:dyDescent="0.35">
      <c r="A3130" s="5">
        <v>8100281999</v>
      </c>
      <c r="B3130" s="5">
        <v>13455</v>
      </c>
      <c r="C3130" s="6">
        <v>45680</v>
      </c>
      <c r="D3130" s="5" t="s">
        <v>91</v>
      </c>
      <c r="E3130" s="5" t="s">
        <v>92</v>
      </c>
      <c r="F3130" s="5" t="s">
        <v>96</v>
      </c>
      <c r="G3130" s="5" t="s">
        <v>97</v>
      </c>
      <c r="H3130" s="5" t="s">
        <v>21</v>
      </c>
      <c r="I3130" s="5" t="s">
        <v>1071</v>
      </c>
      <c r="J3130" s="5" t="s">
        <v>472</v>
      </c>
      <c r="K3130" s="5" t="s">
        <v>95</v>
      </c>
      <c r="L3130" s="6">
        <v>45687</v>
      </c>
      <c r="M3130" s="6">
        <v>45685</v>
      </c>
      <c r="N3130" s="6" t="s">
        <v>811</v>
      </c>
      <c r="O3130" s="5" t="str">
        <f ca="1">IF(P3130&lt;&gt;"EXPEDIÇÃO","Expedido",IF(NETWORKDAYS(C3130,TODAY())&gt;=5,"Risco Alto",IF(NETWORKDAYS(C3130,TODAY())&gt;=3,IF(NETWORKDAYS(C3130,TODAY())&lt;5,"Risco Médio",""),IF(NETWORKDAYS(C3130,TODAY())&lt;=2,"Risco Baixo",""))))</f>
        <v>Expedido</v>
      </c>
      <c r="P3130" s="5" t="s">
        <v>25</v>
      </c>
      <c r="S3130" s="7">
        <f>IF(ISBLANK(M3130),"Aguardando Previsão/Data",NETWORKDAYS(L3130,M3130)-1)</f>
        <v>-4</v>
      </c>
      <c r="T3130" s="5" t="s">
        <v>942</v>
      </c>
    </row>
    <row r="3131" spans="1:20" x14ac:dyDescent="0.35">
      <c r="A3131" s="5">
        <v>8100282086</v>
      </c>
      <c r="B3131" s="5">
        <v>13447</v>
      </c>
      <c r="C3131" s="6">
        <v>45680</v>
      </c>
      <c r="D3131" s="5" t="s">
        <v>91</v>
      </c>
      <c r="E3131" s="5" t="s">
        <v>92</v>
      </c>
      <c r="F3131" s="5" t="s">
        <v>196</v>
      </c>
      <c r="G3131" s="5" t="s">
        <v>197</v>
      </c>
      <c r="H3131" s="5" t="s">
        <v>21</v>
      </c>
      <c r="I3131" s="5" t="s">
        <v>790</v>
      </c>
      <c r="J3131" s="5" t="s">
        <v>424</v>
      </c>
      <c r="K3131" s="5" t="s">
        <v>95</v>
      </c>
      <c r="L3131" s="6">
        <v>45687</v>
      </c>
      <c r="M3131" s="6">
        <v>45680</v>
      </c>
      <c r="N3131" s="6" t="s">
        <v>811</v>
      </c>
      <c r="O3131" s="5" t="str">
        <f ca="1">IF(P3131&lt;&gt;"EXPEDIÇÃO","Expedido",IF(NETWORKDAYS(C3131,TODAY())&gt;=5,"Risco Alto",IF(NETWORKDAYS(C3131,TODAY())&gt;=3,IF(NETWORKDAYS(C3131,TODAY())&lt;5,"Risco Médio",""),IF(NETWORKDAYS(C3131,TODAY())&lt;=2,"Risco Baixo",""))))</f>
        <v>Expedido</v>
      </c>
      <c r="P3131" s="5" t="s">
        <v>25</v>
      </c>
      <c r="Q3131" s="5" t="s">
        <v>824</v>
      </c>
      <c r="S3131" s="7">
        <f>IF(ISBLANK(M3131),"Aguardando Previsão/Data",NETWORKDAYS(L3131,M3131)-1)</f>
        <v>-7</v>
      </c>
      <c r="T3131" s="5" t="s">
        <v>942</v>
      </c>
    </row>
    <row r="3132" spans="1:20" x14ac:dyDescent="0.35">
      <c r="A3132" s="5">
        <v>8100282139</v>
      </c>
      <c r="B3132" s="5">
        <v>13452</v>
      </c>
      <c r="C3132" s="6">
        <v>45680</v>
      </c>
      <c r="D3132" s="5" t="s">
        <v>91</v>
      </c>
      <c r="E3132" s="5" t="s">
        <v>92</v>
      </c>
      <c r="F3132" s="5" t="s">
        <v>103</v>
      </c>
      <c r="G3132" s="5" t="s">
        <v>104</v>
      </c>
      <c r="H3132" s="5" t="s">
        <v>21</v>
      </c>
      <c r="I3132" s="5" t="s">
        <v>801</v>
      </c>
      <c r="J3132" s="5" t="s">
        <v>637</v>
      </c>
      <c r="K3132" s="5" t="s">
        <v>423</v>
      </c>
      <c r="L3132" s="6">
        <v>45691</v>
      </c>
      <c r="M3132" s="6">
        <v>45688</v>
      </c>
      <c r="N3132" s="6" t="s">
        <v>811</v>
      </c>
      <c r="O3132" s="5" t="str">
        <f ca="1">IF(P3132&lt;&gt;"EXPEDIÇÃO","Expedido",IF(NETWORKDAYS(C3132,TODAY())&gt;=5,"Risco Alto",IF(NETWORKDAYS(C3132,TODAY())&gt;=3,IF(NETWORKDAYS(C3132,TODAY())&lt;5,"Risco Médio",""),IF(NETWORKDAYS(C3132,TODAY())&lt;=2,"Risco Baixo",""))))</f>
        <v>Expedido</v>
      </c>
      <c r="P3132" s="5" t="s">
        <v>617</v>
      </c>
      <c r="S3132" s="7">
        <f>IF(ISBLANK(M3132),"Aguardando Previsão/Data",NETWORKDAYS(L3132,M3132)-1)</f>
        <v>-3</v>
      </c>
    </row>
    <row r="3133" spans="1:20" x14ac:dyDescent="0.35">
      <c r="A3133" s="5">
        <v>8100276857</v>
      </c>
      <c r="B3133" s="5">
        <v>21594</v>
      </c>
      <c r="C3133" s="6">
        <v>45680</v>
      </c>
      <c r="D3133" s="5" t="s">
        <v>836</v>
      </c>
      <c r="E3133" s="5" t="s">
        <v>837</v>
      </c>
      <c r="F3133" s="5" t="s">
        <v>84</v>
      </c>
      <c r="G3133" s="5" t="s">
        <v>85</v>
      </c>
      <c r="H3133" s="5" t="s">
        <v>21</v>
      </c>
      <c r="I3133" s="5" t="s">
        <v>952</v>
      </c>
      <c r="J3133" s="5" t="s">
        <v>857</v>
      </c>
      <c r="K3133" s="5" t="s">
        <v>24</v>
      </c>
      <c r="L3133" s="6">
        <v>45688</v>
      </c>
      <c r="M3133" s="6">
        <v>45684</v>
      </c>
      <c r="N3133" s="6" t="s">
        <v>811</v>
      </c>
      <c r="O3133" s="5" t="str">
        <f ca="1">IF(P3133&lt;&gt;"EXPEDIÇÃO","Expedido",IF(NETWORKDAYS(C3133,TODAY())&gt;=5,"Risco Alto",IF(NETWORKDAYS(C3133,TODAY())&gt;=3,IF(NETWORKDAYS(C3133,TODAY())&lt;5,"Risco Médio",""),IF(NETWORKDAYS(C3133,TODAY())&lt;=2,"Risco Baixo",""))))</f>
        <v>Expedido</v>
      </c>
      <c r="P3133" s="5" t="s">
        <v>25</v>
      </c>
      <c r="S3133" s="7">
        <f>IF(ISBLANK(M3133),"Aguardando Previsão/Data",NETWORKDAYS(L3133,M3133)-1)</f>
        <v>-6</v>
      </c>
      <c r="T3133" s="5" t="s">
        <v>942</v>
      </c>
    </row>
    <row r="3134" spans="1:20" x14ac:dyDescent="0.35">
      <c r="A3134" s="5">
        <v>8100276858</v>
      </c>
      <c r="B3134" s="5">
        <v>21595</v>
      </c>
      <c r="C3134" s="6">
        <v>45680</v>
      </c>
      <c r="D3134" s="5" t="s">
        <v>836</v>
      </c>
      <c r="E3134" s="5" t="s">
        <v>837</v>
      </c>
      <c r="F3134" s="5" t="s">
        <v>84</v>
      </c>
      <c r="G3134" s="5" t="s">
        <v>85</v>
      </c>
      <c r="H3134" s="5" t="s">
        <v>21</v>
      </c>
      <c r="I3134" s="5" t="s">
        <v>952</v>
      </c>
      <c r="J3134" s="5" t="s">
        <v>857</v>
      </c>
      <c r="K3134" s="5" t="s">
        <v>24</v>
      </c>
      <c r="L3134" s="6">
        <v>45688</v>
      </c>
      <c r="M3134" s="6">
        <v>45684</v>
      </c>
      <c r="N3134" s="6" t="s">
        <v>811</v>
      </c>
      <c r="O3134" s="5" t="str">
        <f ca="1">IF(P3134&lt;&gt;"EXPEDIÇÃO","Expedido",IF(NETWORKDAYS(C3134,TODAY())&gt;=5,"Risco Alto",IF(NETWORKDAYS(C3134,TODAY())&gt;=3,IF(NETWORKDAYS(C3134,TODAY())&lt;5,"Risco Médio",""),IF(NETWORKDAYS(C3134,TODAY())&lt;=2,"Risco Baixo",""))))</f>
        <v>Expedido</v>
      </c>
      <c r="P3134" s="5" t="s">
        <v>25</v>
      </c>
      <c r="S3134" s="7">
        <f>IF(ISBLANK(M3134),"Aguardando Previsão/Data",NETWORKDAYS(L3134,M3134)-1)</f>
        <v>-6</v>
      </c>
      <c r="T3134" s="5" t="s">
        <v>942</v>
      </c>
    </row>
    <row r="3135" spans="1:20" x14ac:dyDescent="0.35">
      <c r="A3135" s="5">
        <v>8100276860</v>
      </c>
      <c r="B3135" s="5">
        <v>21600</v>
      </c>
      <c r="C3135" s="6">
        <v>45680</v>
      </c>
      <c r="D3135" s="5" t="s">
        <v>836</v>
      </c>
      <c r="E3135" s="5" t="s">
        <v>837</v>
      </c>
      <c r="F3135" s="5" t="s">
        <v>84</v>
      </c>
      <c r="G3135" s="5" t="s">
        <v>85</v>
      </c>
      <c r="H3135" s="5" t="s">
        <v>21</v>
      </c>
      <c r="I3135" s="5" t="s">
        <v>952</v>
      </c>
      <c r="J3135" s="5" t="s">
        <v>857</v>
      </c>
      <c r="K3135" s="5" t="s">
        <v>24</v>
      </c>
      <c r="L3135" s="6">
        <v>45688</v>
      </c>
      <c r="M3135" s="6">
        <v>45684</v>
      </c>
      <c r="N3135" s="6" t="s">
        <v>811</v>
      </c>
      <c r="O3135" s="5" t="str">
        <f ca="1">IF(P3135&lt;&gt;"EXPEDIÇÃO","Expedido",IF(NETWORKDAYS(C3135,TODAY())&gt;=5,"Risco Alto",IF(NETWORKDAYS(C3135,TODAY())&gt;=3,IF(NETWORKDAYS(C3135,TODAY())&lt;5,"Risco Médio",""),IF(NETWORKDAYS(C3135,TODAY())&lt;=2,"Risco Baixo",""))))</f>
        <v>Expedido</v>
      </c>
      <c r="P3135" s="5" t="s">
        <v>25</v>
      </c>
      <c r="S3135" s="7">
        <f>IF(ISBLANK(M3135),"Aguardando Previsão/Data",NETWORKDAYS(L3135,M3135)-1)</f>
        <v>-6</v>
      </c>
      <c r="T3135" s="5" t="s">
        <v>942</v>
      </c>
    </row>
    <row r="3136" spans="1:20" x14ac:dyDescent="0.35">
      <c r="A3136" s="5">
        <v>8100280436</v>
      </c>
      <c r="B3136" s="5">
        <v>21601</v>
      </c>
      <c r="C3136" s="6">
        <v>45680</v>
      </c>
      <c r="D3136" s="5" t="s">
        <v>836</v>
      </c>
      <c r="E3136" s="5" t="s">
        <v>837</v>
      </c>
      <c r="F3136" s="5" t="s">
        <v>84</v>
      </c>
      <c r="G3136" s="5" t="s">
        <v>85</v>
      </c>
      <c r="H3136" s="5" t="s">
        <v>21</v>
      </c>
      <c r="I3136" s="5" t="s">
        <v>954</v>
      </c>
      <c r="J3136" s="5" t="s">
        <v>857</v>
      </c>
      <c r="K3136" s="5" t="s">
        <v>24</v>
      </c>
      <c r="L3136" s="6">
        <v>45688</v>
      </c>
      <c r="M3136" s="6">
        <v>45684</v>
      </c>
      <c r="N3136" s="6" t="s">
        <v>811</v>
      </c>
      <c r="O3136" s="5" t="str">
        <f ca="1">IF(P3136&lt;&gt;"EXPEDIÇÃO","Expedido",IF(NETWORKDAYS(C3136,TODAY())&gt;=5,"Risco Alto",IF(NETWORKDAYS(C3136,TODAY())&gt;=3,IF(NETWORKDAYS(C3136,TODAY())&lt;5,"Risco Médio",""),IF(NETWORKDAYS(C3136,TODAY())&lt;=2,"Risco Baixo",""))))</f>
        <v>Expedido</v>
      </c>
      <c r="P3136" s="5" t="s">
        <v>25</v>
      </c>
      <c r="S3136" s="7">
        <f>IF(ISBLANK(M3136),"Aguardando Previsão/Data",NETWORKDAYS(L3136,M3136)-1)</f>
        <v>-6</v>
      </c>
      <c r="T3136" s="5" t="s">
        <v>942</v>
      </c>
    </row>
    <row r="3137" spans="1:20" x14ac:dyDescent="0.35">
      <c r="A3137" s="5">
        <v>8100280437</v>
      </c>
      <c r="B3137" s="5">
        <v>21602</v>
      </c>
      <c r="C3137" s="6">
        <v>45680</v>
      </c>
      <c r="D3137" s="5" t="s">
        <v>836</v>
      </c>
      <c r="E3137" s="5" t="s">
        <v>837</v>
      </c>
      <c r="F3137" s="5" t="s">
        <v>84</v>
      </c>
      <c r="G3137" s="5" t="s">
        <v>85</v>
      </c>
      <c r="H3137" s="5" t="s">
        <v>21</v>
      </c>
      <c r="I3137" s="5" t="s">
        <v>954</v>
      </c>
      <c r="J3137" s="5" t="s">
        <v>857</v>
      </c>
      <c r="K3137" s="5" t="s">
        <v>24</v>
      </c>
      <c r="L3137" s="6">
        <v>45688</v>
      </c>
      <c r="M3137" s="6">
        <v>45684</v>
      </c>
      <c r="N3137" s="6" t="s">
        <v>811</v>
      </c>
      <c r="O3137" s="5" t="str">
        <f ca="1">IF(P3137&lt;&gt;"EXPEDIÇÃO","Expedido",IF(NETWORKDAYS(C3137,TODAY())&gt;=5,"Risco Alto",IF(NETWORKDAYS(C3137,TODAY())&gt;=3,IF(NETWORKDAYS(C3137,TODAY())&lt;5,"Risco Médio",""),IF(NETWORKDAYS(C3137,TODAY())&lt;=2,"Risco Baixo",""))))</f>
        <v>Expedido</v>
      </c>
      <c r="P3137" s="5" t="s">
        <v>25</v>
      </c>
      <c r="S3137" s="7">
        <f>IF(ISBLANK(M3137),"Aguardando Previsão/Data",NETWORKDAYS(L3137,M3137)-1)</f>
        <v>-6</v>
      </c>
      <c r="T3137" s="5" t="s">
        <v>942</v>
      </c>
    </row>
    <row r="3138" spans="1:20" x14ac:dyDescent="0.35">
      <c r="A3138" s="5">
        <v>8100280439</v>
      </c>
      <c r="B3138" s="5">
        <v>21603</v>
      </c>
      <c r="C3138" s="6">
        <v>45680</v>
      </c>
      <c r="D3138" s="5" t="s">
        <v>836</v>
      </c>
      <c r="E3138" s="5" t="s">
        <v>837</v>
      </c>
      <c r="F3138" s="5" t="s">
        <v>84</v>
      </c>
      <c r="G3138" s="5" t="s">
        <v>85</v>
      </c>
      <c r="H3138" s="5" t="s">
        <v>21</v>
      </c>
      <c r="I3138" s="5" t="s">
        <v>954</v>
      </c>
      <c r="J3138" s="5" t="s">
        <v>857</v>
      </c>
      <c r="K3138" s="5" t="s">
        <v>24</v>
      </c>
      <c r="L3138" s="6">
        <v>45688</v>
      </c>
      <c r="M3138" s="6">
        <v>45684</v>
      </c>
      <c r="N3138" s="6" t="s">
        <v>811</v>
      </c>
      <c r="O3138" s="5" t="str">
        <f ca="1">IF(P3138&lt;&gt;"EXPEDIÇÃO","Expedido",IF(NETWORKDAYS(C3138,TODAY())&gt;=5,"Risco Alto",IF(NETWORKDAYS(C3138,TODAY())&gt;=3,IF(NETWORKDAYS(C3138,TODAY())&lt;5,"Risco Médio",""),IF(NETWORKDAYS(C3138,TODAY())&lt;=2,"Risco Baixo",""))))</f>
        <v>Expedido</v>
      </c>
      <c r="P3138" s="5" t="s">
        <v>25</v>
      </c>
      <c r="S3138" s="7">
        <f>IF(ISBLANK(M3138),"Aguardando Previsão/Data",NETWORKDAYS(L3138,M3138)-1)</f>
        <v>-6</v>
      </c>
      <c r="T3138" s="5" t="s">
        <v>942</v>
      </c>
    </row>
    <row r="3139" spans="1:20" x14ac:dyDescent="0.35">
      <c r="A3139" s="5">
        <v>8100280801</v>
      </c>
      <c r="B3139" s="5">
        <v>21604</v>
      </c>
      <c r="C3139" s="6">
        <v>45680</v>
      </c>
      <c r="D3139" s="5" t="s">
        <v>836</v>
      </c>
      <c r="E3139" s="5" t="s">
        <v>837</v>
      </c>
      <c r="F3139" s="5" t="s">
        <v>84</v>
      </c>
      <c r="G3139" s="5" t="s">
        <v>85</v>
      </c>
      <c r="H3139" s="5" t="s">
        <v>21</v>
      </c>
      <c r="I3139" s="5" t="s">
        <v>952</v>
      </c>
      <c r="J3139" s="5" t="s">
        <v>857</v>
      </c>
      <c r="K3139" s="5" t="s">
        <v>24</v>
      </c>
      <c r="L3139" s="6">
        <v>45688</v>
      </c>
      <c r="M3139" s="6">
        <v>45684</v>
      </c>
      <c r="N3139" s="6" t="s">
        <v>811</v>
      </c>
      <c r="O3139" s="5" t="str">
        <f ca="1">IF(P3139&lt;&gt;"EXPEDIÇÃO","Expedido",IF(NETWORKDAYS(C3139,TODAY())&gt;=5,"Risco Alto",IF(NETWORKDAYS(C3139,TODAY())&gt;=3,IF(NETWORKDAYS(C3139,TODAY())&lt;5,"Risco Médio",""),IF(NETWORKDAYS(C3139,TODAY())&lt;=2,"Risco Baixo",""))))</f>
        <v>Expedido</v>
      </c>
      <c r="P3139" s="5" t="s">
        <v>25</v>
      </c>
      <c r="S3139" s="7">
        <f>IF(ISBLANK(M3139),"Aguardando Previsão/Data",NETWORKDAYS(L3139,M3139)-1)</f>
        <v>-6</v>
      </c>
      <c r="T3139" s="5" t="s">
        <v>942</v>
      </c>
    </row>
    <row r="3140" spans="1:20" x14ac:dyDescent="0.35">
      <c r="A3140" s="5">
        <v>8100280803</v>
      </c>
      <c r="B3140" s="5">
        <v>21592</v>
      </c>
      <c r="C3140" s="6">
        <v>45680</v>
      </c>
      <c r="D3140" s="5" t="s">
        <v>836</v>
      </c>
      <c r="E3140" s="5" t="s">
        <v>837</v>
      </c>
      <c r="F3140" s="5" t="s">
        <v>84</v>
      </c>
      <c r="G3140" s="5" t="s">
        <v>85</v>
      </c>
      <c r="H3140" s="5" t="s">
        <v>21</v>
      </c>
      <c r="I3140" s="5" t="s">
        <v>1499</v>
      </c>
      <c r="J3140" s="5" t="s">
        <v>608</v>
      </c>
      <c r="K3140" s="5" t="s">
        <v>24</v>
      </c>
      <c r="L3140" s="6">
        <v>45688</v>
      </c>
      <c r="M3140" s="6">
        <v>45688</v>
      </c>
      <c r="N3140" s="6" t="s">
        <v>811</v>
      </c>
      <c r="O3140" s="5" t="str">
        <f ca="1">IF(P3140&lt;&gt;"EXPEDIÇÃO","Expedido",IF(NETWORKDAYS(C3140,TODAY())&gt;=5,"Risco Alto",IF(NETWORKDAYS(C3140,TODAY())&gt;=3,IF(NETWORKDAYS(C3140,TODAY())&lt;5,"Risco Médio",""),IF(NETWORKDAYS(C3140,TODAY())&lt;=2,"Risco Baixo",""))))</f>
        <v>Expedido</v>
      </c>
      <c r="P3140" s="5" t="s">
        <v>617</v>
      </c>
      <c r="Q3140" s="5" t="s">
        <v>897</v>
      </c>
      <c r="S3140" s="7">
        <f>IF(ISBLANK(M3140),"Aguardando Previsão/Data",NETWORKDAYS(L3140,M3140)-1)</f>
        <v>0</v>
      </c>
    </row>
    <row r="3141" spans="1:20" x14ac:dyDescent="0.35">
      <c r="A3141" s="5">
        <v>8100281456</v>
      </c>
      <c r="B3141" s="5">
        <v>21590</v>
      </c>
      <c r="C3141" s="6">
        <v>45680</v>
      </c>
      <c r="D3141" s="5" t="s">
        <v>836</v>
      </c>
      <c r="E3141" s="5" t="s">
        <v>837</v>
      </c>
      <c r="F3141" s="5" t="s">
        <v>84</v>
      </c>
      <c r="G3141" s="5" t="s">
        <v>85</v>
      </c>
      <c r="H3141" s="5" t="s">
        <v>21</v>
      </c>
      <c r="I3141" s="5" t="s">
        <v>913</v>
      </c>
      <c r="J3141" s="5" t="s">
        <v>736</v>
      </c>
      <c r="K3141" s="5" t="s">
        <v>24</v>
      </c>
      <c r="L3141" s="6">
        <v>45688</v>
      </c>
      <c r="M3141" s="6">
        <v>45688</v>
      </c>
      <c r="N3141" s="6" t="s">
        <v>811</v>
      </c>
      <c r="O3141" s="5" t="str">
        <f ca="1">IF(P3141&lt;&gt;"EXPEDIÇÃO","Expedido",IF(NETWORKDAYS(C3141,TODAY())&gt;=5,"Risco Alto",IF(NETWORKDAYS(C3141,TODAY())&gt;=3,IF(NETWORKDAYS(C3141,TODAY())&lt;5,"Risco Médio",""),IF(NETWORKDAYS(C3141,TODAY())&lt;=2,"Risco Baixo",""))))</f>
        <v>Risco Alto</v>
      </c>
      <c r="P3141" s="5" t="s">
        <v>726</v>
      </c>
      <c r="S3141" s="7">
        <f>IF(ISBLANK(M3141),"Aguardando Previsão/Data",NETWORKDAYS(L3141,M3141)-1)</f>
        <v>0</v>
      </c>
    </row>
    <row r="3142" spans="1:20" x14ac:dyDescent="0.35">
      <c r="A3142" s="5">
        <v>8100281458</v>
      </c>
      <c r="B3142" s="5">
        <v>21591</v>
      </c>
      <c r="C3142" s="6">
        <v>45680</v>
      </c>
      <c r="D3142" s="5" t="s">
        <v>836</v>
      </c>
      <c r="E3142" s="5" t="s">
        <v>837</v>
      </c>
      <c r="F3142" s="5" t="s">
        <v>39</v>
      </c>
      <c r="G3142" s="5" t="s">
        <v>40</v>
      </c>
      <c r="H3142" s="5" t="s">
        <v>21</v>
      </c>
      <c r="I3142" s="5" t="s">
        <v>794</v>
      </c>
      <c r="J3142" s="5" t="s">
        <v>495</v>
      </c>
      <c r="K3142" s="5" t="s">
        <v>24</v>
      </c>
      <c r="L3142" s="6">
        <v>45691</v>
      </c>
      <c r="M3142" s="6">
        <v>45688</v>
      </c>
      <c r="N3142" s="6" t="s">
        <v>811</v>
      </c>
      <c r="O3142" s="5" t="str">
        <f ca="1">IF(P3142&lt;&gt;"EXPEDIÇÃO","Expedido",IF(NETWORKDAYS(C3142,TODAY())&gt;=5,"Risco Alto",IF(NETWORKDAYS(C3142,TODAY())&gt;=3,IF(NETWORKDAYS(C3142,TODAY())&lt;5,"Risco Médio",""),IF(NETWORKDAYS(C3142,TODAY())&lt;=2,"Risco Baixo",""))))</f>
        <v>Risco Alto</v>
      </c>
      <c r="P3142" s="5" t="s">
        <v>726</v>
      </c>
      <c r="S3142" s="7">
        <f>IF(ISBLANK(M3142),"Aguardando Previsão/Data",NETWORKDAYS(L3142,M3142)-1)</f>
        <v>-3</v>
      </c>
    </row>
    <row r="3143" spans="1:20" x14ac:dyDescent="0.35">
      <c r="A3143" s="5">
        <v>8100281638</v>
      </c>
      <c r="B3143" s="5">
        <v>10950</v>
      </c>
      <c r="C3143" s="6">
        <v>45680</v>
      </c>
      <c r="D3143" s="5" t="s">
        <v>239</v>
      </c>
      <c r="E3143" s="5" t="s">
        <v>240</v>
      </c>
      <c r="F3143" s="5" t="s">
        <v>176</v>
      </c>
      <c r="G3143" s="5" t="s">
        <v>177</v>
      </c>
      <c r="H3143" s="5" t="s">
        <v>218</v>
      </c>
      <c r="I3143" s="5" t="s">
        <v>1509</v>
      </c>
      <c r="J3143" s="5" t="s">
        <v>1510</v>
      </c>
      <c r="K3143" s="5" t="s">
        <v>241</v>
      </c>
      <c r="L3143" s="6">
        <v>45687</v>
      </c>
      <c r="M3143" s="6">
        <v>45686</v>
      </c>
      <c r="N3143" s="6" t="s">
        <v>811</v>
      </c>
      <c r="O3143" s="5" t="str">
        <f ca="1">IF(P3143&lt;&gt;"EXPEDIÇÃO","Expedido",IF(NETWORKDAYS(C3143,TODAY())&gt;=5,"Risco Alto",IF(NETWORKDAYS(C3143,TODAY())&gt;=3,IF(NETWORKDAYS(C3143,TODAY())&lt;5,"Risco Médio",""),IF(NETWORKDAYS(C3143,TODAY())&lt;=2,"Risco Baixo",""))))</f>
        <v>Expedido</v>
      </c>
      <c r="P3143" s="5" t="s">
        <v>25</v>
      </c>
      <c r="Q3143" s="5" t="s">
        <v>793</v>
      </c>
      <c r="S3143" s="7">
        <f>IF(ISBLANK(M3143),"Aguardando Previsão/Data",NETWORKDAYS(L3143,M3143)-1)</f>
        <v>-3</v>
      </c>
      <c r="T3143" s="5" t="s">
        <v>942</v>
      </c>
    </row>
    <row r="3144" spans="1:20" x14ac:dyDescent="0.35">
      <c r="A3144" s="5">
        <v>8100281683</v>
      </c>
      <c r="B3144" s="5">
        <v>10949</v>
      </c>
      <c r="C3144" s="6">
        <v>45680</v>
      </c>
      <c r="D3144" s="5" t="s">
        <v>239</v>
      </c>
      <c r="E3144" s="5" t="s">
        <v>240</v>
      </c>
      <c r="F3144" s="5" t="s">
        <v>160</v>
      </c>
      <c r="G3144" s="5" t="s">
        <v>161</v>
      </c>
      <c r="H3144" s="5" t="s">
        <v>218</v>
      </c>
      <c r="I3144" s="5" t="s">
        <v>318</v>
      </c>
      <c r="J3144" s="5" t="s">
        <v>319</v>
      </c>
      <c r="K3144" s="5" t="s">
        <v>241</v>
      </c>
      <c r="L3144" s="6">
        <v>45686</v>
      </c>
      <c r="M3144" s="6">
        <v>45686</v>
      </c>
      <c r="N3144" s="6" t="s">
        <v>811</v>
      </c>
      <c r="O3144" s="5" t="str">
        <f ca="1">IF(P3144&lt;&gt;"EXPEDIÇÃO","Expedido",IF(NETWORKDAYS(C3144,TODAY())&gt;=5,"Risco Alto",IF(NETWORKDAYS(C3144,TODAY())&gt;=3,IF(NETWORKDAYS(C3144,TODAY())&lt;5,"Risco Médio",""),IF(NETWORKDAYS(C3144,TODAY())&lt;=2,"Risco Baixo",""))))</f>
        <v>Expedido</v>
      </c>
      <c r="P3144" s="5" t="s">
        <v>25</v>
      </c>
      <c r="Q3144" s="5" t="s">
        <v>793</v>
      </c>
      <c r="S3144" s="7">
        <f>IF(ISBLANK(M3144),"Aguardando Previsão/Data",NETWORKDAYS(L3144,M3144)-1)</f>
        <v>0</v>
      </c>
      <c r="T3144" s="5" t="s">
        <v>942</v>
      </c>
    </row>
    <row r="3145" spans="1:20" x14ac:dyDescent="0.35">
      <c r="A3145" s="5">
        <v>8100281861</v>
      </c>
      <c r="B3145" s="5">
        <v>10962</v>
      </c>
      <c r="C3145" s="6">
        <v>45680</v>
      </c>
      <c r="D3145" s="5" t="s">
        <v>239</v>
      </c>
      <c r="E3145" s="5" t="s">
        <v>240</v>
      </c>
      <c r="F3145" s="5" t="s">
        <v>242</v>
      </c>
      <c r="G3145" s="5" t="s">
        <v>243</v>
      </c>
      <c r="H3145" s="5" t="s">
        <v>218</v>
      </c>
      <c r="I3145" s="5" t="s">
        <v>354</v>
      </c>
      <c r="J3145" s="5" t="s">
        <v>355</v>
      </c>
      <c r="K3145" s="5" t="s">
        <v>241</v>
      </c>
      <c r="L3145" s="6">
        <v>45686</v>
      </c>
      <c r="M3145" s="6">
        <v>45684</v>
      </c>
      <c r="N3145" s="6" t="s">
        <v>811</v>
      </c>
      <c r="O3145" s="5" t="str">
        <f ca="1">IF(P3145&lt;&gt;"EXPEDIÇÃO","Expedido",IF(NETWORKDAYS(C3145,TODAY())&gt;=5,"Risco Alto",IF(NETWORKDAYS(C3145,TODAY())&gt;=3,IF(NETWORKDAYS(C3145,TODAY())&lt;5,"Risco Médio",""),IF(NETWORKDAYS(C3145,TODAY())&lt;=2,"Risco Baixo",""))))</f>
        <v>Expedido</v>
      </c>
      <c r="P3145" s="5" t="s">
        <v>25</v>
      </c>
      <c r="Q3145" s="5" t="s">
        <v>793</v>
      </c>
      <c r="S3145" s="7">
        <f>IF(ISBLANK(M3145),"Aguardando Previsão/Data",NETWORKDAYS(L3145,M3145)-1)</f>
        <v>-4</v>
      </c>
      <c r="T3145" s="5" t="s">
        <v>942</v>
      </c>
    </row>
    <row r="3146" spans="1:20" x14ac:dyDescent="0.35">
      <c r="A3146" s="5">
        <v>8100281862</v>
      </c>
      <c r="B3146" s="5">
        <v>10961</v>
      </c>
      <c r="C3146" s="6">
        <v>45680</v>
      </c>
      <c r="D3146" s="5" t="s">
        <v>239</v>
      </c>
      <c r="E3146" s="5" t="s">
        <v>240</v>
      </c>
      <c r="F3146" s="5" t="s">
        <v>176</v>
      </c>
      <c r="G3146" s="5" t="s">
        <v>177</v>
      </c>
      <c r="H3146" s="5" t="s">
        <v>218</v>
      </c>
      <c r="I3146" s="5" t="s">
        <v>654</v>
      </c>
      <c r="J3146" s="5" t="s">
        <v>627</v>
      </c>
      <c r="K3146" s="5" t="s">
        <v>175</v>
      </c>
      <c r="L3146" s="6">
        <v>45693</v>
      </c>
      <c r="M3146" s="6">
        <v>45684</v>
      </c>
      <c r="N3146" s="6" t="s">
        <v>811</v>
      </c>
      <c r="O3146" s="5" t="str">
        <f ca="1">IF(P3146&lt;&gt;"EXPEDIÇÃO","Expedido",IF(NETWORKDAYS(C3146,TODAY())&gt;=5,"Risco Alto",IF(NETWORKDAYS(C3146,TODAY())&gt;=3,IF(NETWORKDAYS(C3146,TODAY())&lt;5,"Risco Médio",""),IF(NETWORKDAYS(C3146,TODAY())&lt;=2,"Risco Baixo",""))))</f>
        <v>Expedido</v>
      </c>
      <c r="P3146" s="5" t="s">
        <v>25</v>
      </c>
      <c r="Q3146" s="5" t="s">
        <v>926</v>
      </c>
      <c r="S3146" s="7">
        <f>IF(ISBLANK(M3146),"Aguardando Previsão/Data",NETWORKDAYS(L3146,M3146)-1)</f>
        <v>-9</v>
      </c>
      <c r="T3146" s="5" t="s">
        <v>942</v>
      </c>
    </row>
    <row r="3147" spans="1:20" x14ac:dyDescent="0.35">
      <c r="A3147" s="5">
        <v>8100281967</v>
      </c>
      <c r="B3147" s="5">
        <v>10959</v>
      </c>
      <c r="C3147" s="6">
        <v>45680</v>
      </c>
      <c r="D3147" s="5" t="s">
        <v>239</v>
      </c>
      <c r="E3147" s="5" t="s">
        <v>240</v>
      </c>
      <c r="F3147" s="5" t="s">
        <v>242</v>
      </c>
      <c r="G3147" s="5" t="s">
        <v>243</v>
      </c>
      <c r="H3147" s="5" t="s">
        <v>218</v>
      </c>
      <c r="I3147" s="5" t="s">
        <v>245</v>
      </c>
      <c r="J3147" s="5" t="s">
        <v>656</v>
      </c>
      <c r="K3147" s="5" t="s">
        <v>241</v>
      </c>
      <c r="L3147" s="6">
        <v>45686</v>
      </c>
      <c r="M3147" s="6">
        <v>45684</v>
      </c>
      <c r="N3147" s="6" t="s">
        <v>811</v>
      </c>
      <c r="O3147" s="5" t="str">
        <f ca="1">IF(P3147&lt;&gt;"EXPEDIÇÃO","Expedido",IF(NETWORKDAYS(C3147,TODAY())&gt;=5,"Risco Alto",IF(NETWORKDAYS(C3147,TODAY())&gt;=3,IF(NETWORKDAYS(C3147,TODAY())&lt;5,"Risco Médio",""),IF(NETWORKDAYS(C3147,TODAY())&lt;=2,"Risco Baixo",""))))</f>
        <v>Expedido</v>
      </c>
      <c r="P3147" s="5" t="s">
        <v>25</v>
      </c>
      <c r="Q3147" s="5" t="s">
        <v>793</v>
      </c>
      <c r="S3147" s="7">
        <f>IF(ISBLANK(M3147),"Aguardando Previsão/Data",NETWORKDAYS(L3147,M3147)-1)</f>
        <v>-4</v>
      </c>
      <c r="T3147" s="5" t="s">
        <v>942</v>
      </c>
    </row>
    <row r="3148" spans="1:20" x14ac:dyDescent="0.35">
      <c r="A3148" s="5">
        <v>8100281968</v>
      </c>
      <c r="B3148" s="5">
        <v>10956</v>
      </c>
      <c r="C3148" s="6">
        <v>45680</v>
      </c>
      <c r="D3148" s="5" t="s">
        <v>239</v>
      </c>
      <c r="E3148" s="5" t="s">
        <v>240</v>
      </c>
      <c r="F3148" s="5" t="s">
        <v>176</v>
      </c>
      <c r="G3148" s="5" t="s">
        <v>177</v>
      </c>
      <c r="H3148" s="5" t="s">
        <v>218</v>
      </c>
      <c r="I3148" s="5" t="s">
        <v>191</v>
      </c>
      <c r="J3148" s="5" t="s">
        <v>192</v>
      </c>
      <c r="K3148" s="5" t="s">
        <v>175</v>
      </c>
      <c r="L3148" s="6">
        <v>45691</v>
      </c>
      <c r="M3148" s="6">
        <v>45684</v>
      </c>
      <c r="N3148" s="6" t="s">
        <v>811</v>
      </c>
      <c r="O3148" s="5" t="str">
        <f ca="1">IF(P3148&lt;&gt;"EXPEDIÇÃO","Expedido",IF(NETWORKDAYS(C3148,TODAY())&gt;=5,"Risco Alto",IF(NETWORKDAYS(C3148,TODAY())&gt;=3,IF(NETWORKDAYS(C3148,TODAY())&lt;5,"Risco Médio",""),IF(NETWORKDAYS(C3148,TODAY())&lt;=2,"Risco Baixo",""))))</f>
        <v>Expedido</v>
      </c>
      <c r="P3148" s="5" t="s">
        <v>25</v>
      </c>
      <c r="Q3148" s="5" t="s">
        <v>926</v>
      </c>
      <c r="S3148" s="7">
        <f>IF(ISBLANK(M3148),"Aguardando Previsão/Data",NETWORKDAYS(L3148,M3148)-1)</f>
        <v>-7</v>
      </c>
      <c r="T3148" s="5" t="s">
        <v>942</v>
      </c>
    </row>
    <row r="3149" spans="1:20" x14ac:dyDescent="0.35">
      <c r="A3149" s="5">
        <v>8100282002</v>
      </c>
      <c r="B3149" s="5">
        <v>10955</v>
      </c>
      <c r="C3149" s="6">
        <v>45680</v>
      </c>
      <c r="D3149" s="5" t="s">
        <v>239</v>
      </c>
      <c r="E3149" s="5" t="s">
        <v>240</v>
      </c>
      <c r="F3149" s="5" t="s">
        <v>176</v>
      </c>
      <c r="G3149" s="5" t="s">
        <v>177</v>
      </c>
      <c r="H3149" s="5" t="s">
        <v>218</v>
      </c>
      <c r="I3149" s="5" t="s">
        <v>1164</v>
      </c>
      <c r="J3149" s="5" t="s">
        <v>1129</v>
      </c>
      <c r="K3149" s="5" t="s">
        <v>241</v>
      </c>
      <c r="L3149" s="6">
        <v>45687</v>
      </c>
      <c r="M3149" s="6">
        <v>45687</v>
      </c>
      <c r="N3149" s="6" t="s">
        <v>811</v>
      </c>
      <c r="O3149" s="5" t="str">
        <f ca="1">IF(P3149&lt;&gt;"EXPEDIÇÃO","Expedido",IF(NETWORKDAYS(C3149,TODAY())&gt;=5,"Risco Alto",IF(NETWORKDAYS(C3149,TODAY())&gt;=3,IF(NETWORKDAYS(C3149,TODAY())&lt;5,"Risco Médio",""),IF(NETWORKDAYS(C3149,TODAY())&lt;=2,"Risco Baixo",""))))</f>
        <v>Expedido</v>
      </c>
      <c r="P3149" s="5" t="s">
        <v>25</v>
      </c>
      <c r="Q3149" s="5" t="s">
        <v>793</v>
      </c>
      <c r="S3149" s="7">
        <f>IF(ISBLANK(M3149),"Aguardando Previsão/Data",NETWORKDAYS(L3149,M3149)-1)</f>
        <v>0</v>
      </c>
      <c r="T3149" s="5" t="s">
        <v>942</v>
      </c>
    </row>
    <row r="3150" spans="1:20" x14ac:dyDescent="0.35">
      <c r="A3150" s="5">
        <v>8100282003</v>
      </c>
      <c r="B3150" s="5">
        <v>10957</v>
      </c>
      <c r="C3150" s="6">
        <v>45680</v>
      </c>
      <c r="D3150" s="5" t="s">
        <v>239</v>
      </c>
      <c r="E3150" s="5" t="s">
        <v>240</v>
      </c>
      <c r="F3150" s="5" t="s">
        <v>242</v>
      </c>
      <c r="G3150" s="5" t="s">
        <v>243</v>
      </c>
      <c r="H3150" s="5" t="s">
        <v>218</v>
      </c>
      <c r="I3150" s="5" t="s">
        <v>245</v>
      </c>
      <c r="J3150" s="5" t="s">
        <v>246</v>
      </c>
      <c r="K3150" s="5" t="s">
        <v>241</v>
      </c>
      <c r="L3150" s="6">
        <v>45687</v>
      </c>
      <c r="M3150" s="6">
        <v>45685</v>
      </c>
      <c r="N3150" s="6" t="s">
        <v>811</v>
      </c>
      <c r="O3150" s="5" t="str">
        <f ca="1">IF(P3150&lt;&gt;"EXPEDIÇÃO","Expedido",IF(NETWORKDAYS(C3150,TODAY())&gt;=5,"Risco Alto",IF(NETWORKDAYS(C3150,TODAY())&gt;=3,IF(NETWORKDAYS(C3150,TODAY())&lt;5,"Risco Médio",""),IF(NETWORKDAYS(C3150,TODAY())&lt;=2,"Risco Baixo",""))))</f>
        <v>Expedido</v>
      </c>
      <c r="P3150" s="5" t="s">
        <v>25</v>
      </c>
      <c r="Q3150" s="5" t="s">
        <v>793</v>
      </c>
      <c r="S3150" s="7">
        <f>IF(ISBLANK(M3150),"Aguardando Previsão/Data",NETWORKDAYS(L3150,M3150)-1)</f>
        <v>-4</v>
      </c>
      <c r="T3150" s="5" t="s">
        <v>942</v>
      </c>
    </row>
    <row r="3151" spans="1:20" x14ac:dyDescent="0.35">
      <c r="A3151" s="5">
        <v>8100282004</v>
      </c>
      <c r="B3151" s="5">
        <v>10951</v>
      </c>
      <c r="C3151" s="6">
        <v>45680</v>
      </c>
      <c r="D3151" s="5" t="s">
        <v>239</v>
      </c>
      <c r="E3151" s="5" t="s">
        <v>240</v>
      </c>
      <c r="F3151" s="5" t="s">
        <v>242</v>
      </c>
      <c r="G3151" s="5" t="s">
        <v>243</v>
      </c>
      <c r="H3151" s="5" t="s">
        <v>218</v>
      </c>
      <c r="I3151" s="5" t="s">
        <v>546</v>
      </c>
      <c r="J3151" s="5" t="s">
        <v>355</v>
      </c>
      <c r="K3151" s="5" t="s">
        <v>241</v>
      </c>
      <c r="L3151" s="6">
        <v>45686</v>
      </c>
      <c r="M3151" s="6">
        <v>45680</v>
      </c>
      <c r="N3151" s="6" t="s">
        <v>811</v>
      </c>
      <c r="O3151" s="5" t="str">
        <f ca="1">IF(P3151&lt;&gt;"EXPEDIÇÃO","Expedido",IF(NETWORKDAYS(C3151,TODAY())&gt;=5,"Risco Alto",IF(NETWORKDAYS(C3151,TODAY())&gt;=3,IF(NETWORKDAYS(C3151,TODAY())&lt;5,"Risco Médio",""),IF(NETWORKDAYS(C3151,TODAY())&lt;=2,"Risco Baixo",""))))</f>
        <v>Expedido</v>
      </c>
      <c r="P3151" s="5" t="s">
        <v>25</v>
      </c>
      <c r="Q3151" s="5" t="s">
        <v>26</v>
      </c>
      <c r="S3151" s="7">
        <f>IF(ISBLANK(M3151),"Aguardando Previsão/Data",NETWORKDAYS(L3151,M3151)-1)</f>
        <v>-6</v>
      </c>
      <c r="T3151" s="5" t="s">
        <v>942</v>
      </c>
    </row>
    <row r="3152" spans="1:20" x14ac:dyDescent="0.35">
      <c r="A3152" s="5">
        <v>8100282005</v>
      </c>
      <c r="B3152" s="5">
        <v>10952</v>
      </c>
      <c r="C3152" s="6">
        <v>45680</v>
      </c>
      <c r="D3152" s="5" t="s">
        <v>239</v>
      </c>
      <c r="E3152" s="5" t="s">
        <v>240</v>
      </c>
      <c r="F3152" s="5" t="s">
        <v>242</v>
      </c>
      <c r="G3152" s="5" t="s">
        <v>243</v>
      </c>
      <c r="H3152" s="5" t="s">
        <v>218</v>
      </c>
      <c r="I3152" s="5" t="s">
        <v>546</v>
      </c>
      <c r="J3152" s="5" t="s">
        <v>355</v>
      </c>
      <c r="K3152" s="5" t="s">
        <v>241</v>
      </c>
      <c r="L3152" s="6">
        <v>45686</v>
      </c>
      <c r="M3152" s="6">
        <v>45680</v>
      </c>
      <c r="N3152" s="6" t="s">
        <v>811</v>
      </c>
      <c r="O3152" s="5" t="str">
        <f ca="1">IF(P3152&lt;&gt;"EXPEDIÇÃO","Expedido",IF(NETWORKDAYS(C3152,TODAY())&gt;=5,"Risco Alto",IF(NETWORKDAYS(C3152,TODAY())&gt;=3,IF(NETWORKDAYS(C3152,TODAY())&lt;5,"Risco Médio",""),IF(NETWORKDAYS(C3152,TODAY())&lt;=2,"Risco Baixo",""))))</f>
        <v>Expedido</v>
      </c>
      <c r="P3152" s="5" t="s">
        <v>25</v>
      </c>
      <c r="Q3152" s="5" t="s">
        <v>26</v>
      </c>
      <c r="S3152" s="7">
        <f>IF(ISBLANK(M3152),"Aguardando Previsão/Data",NETWORKDAYS(L3152,M3152)-1)</f>
        <v>-6</v>
      </c>
      <c r="T3152" s="5" t="s">
        <v>942</v>
      </c>
    </row>
    <row r="3153" spans="1:20" x14ac:dyDescent="0.35">
      <c r="A3153" s="5">
        <v>8100282006</v>
      </c>
      <c r="B3153" s="5">
        <v>10953</v>
      </c>
      <c r="C3153" s="6">
        <v>45680</v>
      </c>
      <c r="D3153" s="5" t="s">
        <v>239</v>
      </c>
      <c r="E3153" s="5" t="s">
        <v>240</v>
      </c>
      <c r="F3153" s="5" t="s">
        <v>242</v>
      </c>
      <c r="G3153" s="5" t="s">
        <v>243</v>
      </c>
      <c r="H3153" s="5" t="s">
        <v>218</v>
      </c>
      <c r="I3153" s="5" t="s">
        <v>546</v>
      </c>
      <c r="J3153" s="5" t="s">
        <v>355</v>
      </c>
      <c r="K3153" s="5" t="s">
        <v>241</v>
      </c>
      <c r="L3153" s="6">
        <v>45686</v>
      </c>
      <c r="M3153" s="6">
        <v>45680</v>
      </c>
      <c r="N3153" s="6" t="s">
        <v>811</v>
      </c>
      <c r="O3153" s="5" t="str">
        <f ca="1">IF(P3153&lt;&gt;"EXPEDIÇÃO","Expedido",IF(NETWORKDAYS(C3153,TODAY())&gt;=5,"Risco Alto",IF(NETWORKDAYS(C3153,TODAY())&gt;=3,IF(NETWORKDAYS(C3153,TODAY())&lt;5,"Risco Médio",""),IF(NETWORKDAYS(C3153,TODAY())&lt;=2,"Risco Baixo",""))))</f>
        <v>Expedido</v>
      </c>
      <c r="P3153" s="5" t="s">
        <v>25</v>
      </c>
      <c r="Q3153" s="5" t="s">
        <v>26</v>
      </c>
      <c r="S3153" s="7">
        <f>IF(ISBLANK(M3153),"Aguardando Previsão/Data",NETWORKDAYS(L3153,M3153)-1)</f>
        <v>-6</v>
      </c>
      <c r="T3153" s="5" t="s">
        <v>942</v>
      </c>
    </row>
    <row r="3154" spans="1:20" x14ac:dyDescent="0.35">
      <c r="A3154" s="5">
        <v>8100282007</v>
      </c>
      <c r="B3154" s="5">
        <v>10954</v>
      </c>
      <c r="C3154" s="6">
        <v>45680</v>
      </c>
      <c r="D3154" s="5" t="s">
        <v>239</v>
      </c>
      <c r="E3154" s="5" t="s">
        <v>240</v>
      </c>
      <c r="F3154" s="5" t="s">
        <v>242</v>
      </c>
      <c r="G3154" s="5" t="s">
        <v>243</v>
      </c>
      <c r="H3154" s="5" t="s">
        <v>218</v>
      </c>
      <c r="I3154" s="5" t="s">
        <v>546</v>
      </c>
      <c r="J3154" s="5" t="s">
        <v>355</v>
      </c>
      <c r="K3154" s="5" t="s">
        <v>241</v>
      </c>
      <c r="L3154" s="6">
        <v>45686</v>
      </c>
      <c r="M3154" s="6">
        <v>45680</v>
      </c>
      <c r="N3154" s="6" t="s">
        <v>811</v>
      </c>
      <c r="O3154" s="5" t="str">
        <f ca="1">IF(P3154&lt;&gt;"EXPEDIÇÃO","Expedido",IF(NETWORKDAYS(C3154,TODAY())&gt;=5,"Risco Alto",IF(NETWORKDAYS(C3154,TODAY())&gt;=3,IF(NETWORKDAYS(C3154,TODAY())&lt;5,"Risco Médio",""),IF(NETWORKDAYS(C3154,TODAY())&lt;=2,"Risco Baixo",""))))</f>
        <v>Expedido</v>
      </c>
      <c r="P3154" s="5" t="s">
        <v>25</v>
      </c>
      <c r="Q3154" s="5" t="s">
        <v>26</v>
      </c>
      <c r="S3154" s="7">
        <f>IF(ISBLANK(M3154),"Aguardando Previsão/Data",NETWORKDAYS(L3154,M3154)-1)</f>
        <v>-6</v>
      </c>
      <c r="T3154" s="5" t="s">
        <v>942</v>
      </c>
    </row>
    <row r="3155" spans="1:20" x14ac:dyDescent="0.35">
      <c r="A3155" s="5">
        <v>8100282008</v>
      </c>
      <c r="B3155" s="5">
        <v>10960</v>
      </c>
      <c r="C3155" s="6">
        <v>45680</v>
      </c>
      <c r="D3155" s="5" t="s">
        <v>239</v>
      </c>
      <c r="E3155" s="5" t="s">
        <v>240</v>
      </c>
      <c r="F3155" s="5" t="s">
        <v>242</v>
      </c>
      <c r="G3155" s="5" t="s">
        <v>243</v>
      </c>
      <c r="H3155" s="5" t="s">
        <v>218</v>
      </c>
      <c r="I3155" s="5" t="s">
        <v>245</v>
      </c>
      <c r="J3155" s="5" t="s">
        <v>656</v>
      </c>
      <c r="K3155" s="5" t="s">
        <v>241</v>
      </c>
      <c r="L3155" s="6">
        <v>45686</v>
      </c>
      <c r="M3155" s="6">
        <v>45684</v>
      </c>
      <c r="N3155" s="6" t="s">
        <v>811</v>
      </c>
      <c r="O3155" s="5" t="str">
        <f ca="1">IF(P3155&lt;&gt;"EXPEDIÇÃO","Expedido",IF(NETWORKDAYS(C3155,TODAY())&gt;=5,"Risco Alto",IF(NETWORKDAYS(C3155,TODAY())&gt;=3,IF(NETWORKDAYS(C3155,TODAY())&lt;5,"Risco Médio",""),IF(NETWORKDAYS(C3155,TODAY())&lt;=2,"Risco Baixo",""))))</f>
        <v>Expedido</v>
      </c>
      <c r="P3155" s="5" t="s">
        <v>25</v>
      </c>
      <c r="Q3155" s="5" t="s">
        <v>793</v>
      </c>
      <c r="S3155" s="7">
        <f>IF(ISBLANK(M3155),"Aguardando Previsão/Data",NETWORKDAYS(L3155,M3155)-1)</f>
        <v>-4</v>
      </c>
      <c r="T3155" s="5" t="s">
        <v>942</v>
      </c>
    </row>
    <row r="3156" spans="1:20" x14ac:dyDescent="0.35">
      <c r="A3156" s="5">
        <v>8100282009</v>
      </c>
      <c r="B3156" s="5">
        <v>10958</v>
      </c>
      <c r="C3156" s="6">
        <v>45680</v>
      </c>
      <c r="D3156" s="5" t="s">
        <v>239</v>
      </c>
      <c r="E3156" s="5" t="s">
        <v>240</v>
      </c>
      <c r="F3156" s="5" t="s">
        <v>176</v>
      </c>
      <c r="G3156" s="5" t="s">
        <v>177</v>
      </c>
      <c r="H3156" s="5" t="s">
        <v>218</v>
      </c>
      <c r="I3156" s="5" t="s">
        <v>429</v>
      </c>
      <c r="J3156" s="5" t="s">
        <v>430</v>
      </c>
      <c r="K3156" s="5" t="s">
        <v>241</v>
      </c>
      <c r="L3156" s="6">
        <v>45687</v>
      </c>
      <c r="M3156" s="6">
        <v>45687</v>
      </c>
      <c r="N3156" s="6" t="s">
        <v>811</v>
      </c>
      <c r="O3156" s="5" t="str">
        <f ca="1">IF(P3156&lt;&gt;"EXPEDIÇÃO","Expedido",IF(NETWORKDAYS(C3156,TODAY())&gt;=5,"Risco Alto",IF(NETWORKDAYS(C3156,TODAY())&gt;=3,IF(NETWORKDAYS(C3156,TODAY())&lt;5,"Risco Médio",""),IF(NETWORKDAYS(C3156,TODAY())&lt;=2,"Risco Baixo",""))))</f>
        <v>Expedido</v>
      </c>
      <c r="P3156" s="5" t="s">
        <v>25</v>
      </c>
      <c r="Q3156" s="5" t="s">
        <v>793</v>
      </c>
      <c r="S3156" s="7">
        <f>IF(ISBLANK(M3156),"Aguardando Previsão/Data",NETWORKDAYS(L3156,M3156)-1)</f>
        <v>0</v>
      </c>
      <c r="T3156" s="5" t="s">
        <v>942</v>
      </c>
    </row>
    <row r="3157" spans="1:20" x14ac:dyDescent="0.35">
      <c r="A3157" s="5">
        <v>8100282010</v>
      </c>
      <c r="B3157" s="5">
        <v>10963</v>
      </c>
      <c r="C3157" s="6">
        <v>45680</v>
      </c>
      <c r="D3157" s="5" t="s">
        <v>239</v>
      </c>
      <c r="E3157" s="5" t="s">
        <v>240</v>
      </c>
      <c r="F3157" s="5" t="s">
        <v>242</v>
      </c>
      <c r="G3157" s="5" t="s">
        <v>243</v>
      </c>
      <c r="H3157" s="5" t="s">
        <v>218</v>
      </c>
      <c r="I3157" s="5" t="s">
        <v>354</v>
      </c>
      <c r="J3157" s="5" t="s">
        <v>355</v>
      </c>
      <c r="K3157" s="5" t="s">
        <v>241</v>
      </c>
      <c r="L3157" s="6">
        <v>45686</v>
      </c>
      <c r="M3157" s="6">
        <v>45684</v>
      </c>
      <c r="N3157" s="6" t="s">
        <v>811</v>
      </c>
      <c r="O3157" s="5" t="str">
        <f ca="1">IF(P3157&lt;&gt;"EXPEDIÇÃO","Expedido",IF(NETWORKDAYS(C3157,TODAY())&gt;=5,"Risco Alto",IF(NETWORKDAYS(C3157,TODAY())&gt;=3,IF(NETWORKDAYS(C3157,TODAY())&lt;5,"Risco Médio",""),IF(NETWORKDAYS(C3157,TODAY())&lt;=2,"Risco Baixo",""))))</f>
        <v>Expedido</v>
      </c>
      <c r="P3157" s="5" t="s">
        <v>25</v>
      </c>
      <c r="Q3157" s="5" t="s">
        <v>793</v>
      </c>
      <c r="S3157" s="7">
        <f>IF(ISBLANK(M3157),"Aguardando Previsão/Data",NETWORKDAYS(L3157,M3157)-1)</f>
        <v>-4</v>
      </c>
      <c r="T3157" s="5" t="s">
        <v>942</v>
      </c>
    </row>
    <row r="3158" spans="1:20" x14ac:dyDescent="0.35">
      <c r="A3158" s="5">
        <v>8100282015</v>
      </c>
      <c r="B3158" s="5">
        <v>10965</v>
      </c>
      <c r="C3158" s="6">
        <v>45680</v>
      </c>
      <c r="D3158" s="5" t="s">
        <v>239</v>
      </c>
      <c r="E3158" s="5" t="s">
        <v>240</v>
      </c>
      <c r="F3158" s="5" t="s">
        <v>242</v>
      </c>
      <c r="G3158" s="5" t="s">
        <v>243</v>
      </c>
      <c r="H3158" s="5" t="s">
        <v>218</v>
      </c>
      <c r="I3158" s="5" t="s">
        <v>547</v>
      </c>
      <c r="J3158" s="5" t="s">
        <v>428</v>
      </c>
      <c r="K3158" s="5" t="s">
        <v>241</v>
      </c>
      <c r="L3158" s="6">
        <v>45687</v>
      </c>
      <c r="M3158" s="6">
        <v>45685</v>
      </c>
      <c r="N3158" s="6" t="s">
        <v>811</v>
      </c>
      <c r="O3158" s="5" t="str">
        <f ca="1">IF(P3158&lt;&gt;"EXPEDIÇÃO","Expedido",IF(NETWORKDAYS(C3158,TODAY())&gt;=5,"Risco Alto",IF(NETWORKDAYS(C3158,TODAY())&gt;=3,IF(NETWORKDAYS(C3158,TODAY())&lt;5,"Risco Médio",""),IF(NETWORKDAYS(C3158,TODAY())&lt;=2,"Risco Baixo",""))))</f>
        <v>Expedido</v>
      </c>
      <c r="P3158" s="5" t="s">
        <v>25</v>
      </c>
      <c r="Q3158" s="5" t="s">
        <v>793</v>
      </c>
      <c r="S3158" s="7">
        <f>IF(ISBLANK(M3158),"Aguardando Previsão/Data",NETWORKDAYS(L3158,M3158)-1)</f>
        <v>-4</v>
      </c>
      <c r="T3158" s="5" t="s">
        <v>942</v>
      </c>
    </row>
    <row r="3159" spans="1:20" x14ac:dyDescent="0.35">
      <c r="A3159" s="5">
        <v>8100282016</v>
      </c>
      <c r="B3159" s="5">
        <v>10964</v>
      </c>
      <c r="C3159" s="6">
        <v>45680</v>
      </c>
      <c r="D3159" s="5" t="s">
        <v>239</v>
      </c>
      <c r="E3159" s="5" t="s">
        <v>240</v>
      </c>
      <c r="F3159" s="5" t="s">
        <v>176</v>
      </c>
      <c r="G3159" s="5" t="s">
        <v>177</v>
      </c>
      <c r="H3159" s="5" t="s">
        <v>218</v>
      </c>
      <c r="I3159" s="5" t="s">
        <v>324</v>
      </c>
      <c r="J3159" s="5" t="s">
        <v>325</v>
      </c>
      <c r="K3159" s="5" t="s">
        <v>241</v>
      </c>
      <c r="L3159" s="6">
        <v>45688</v>
      </c>
      <c r="M3159" s="6">
        <v>45687</v>
      </c>
      <c r="N3159" s="6" t="s">
        <v>811</v>
      </c>
      <c r="O3159" s="5" t="str">
        <f ca="1">IF(P3159&lt;&gt;"EXPEDIÇÃO","Expedido",IF(NETWORKDAYS(C3159,TODAY())&gt;=5,"Risco Alto",IF(NETWORKDAYS(C3159,TODAY())&gt;=3,IF(NETWORKDAYS(C3159,TODAY())&lt;5,"Risco Médio",""),IF(NETWORKDAYS(C3159,TODAY())&lt;=2,"Risco Baixo",""))))</f>
        <v>Expedido</v>
      </c>
      <c r="P3159" s="5" t="s">
        <v>617</v>
      </c>
      <c r="Q3159" s="5" t="s">
        <v>793</v>
      </c>
      <c r="S3159" s="7">
        <f>IF(ISBLANK(M3159),"Aguardando Previsão/Data",NETWORKDAYS(L3159,M3159)-1)</f>
        <v>-3</v>
      </c>
    </row>
    <row r="3160" spans="1:20" x14ac:dyDescent="0.35">
      <c r="A3160" s="5">
        <v>8100282067</v>
      </c>
      <c r="B3160" s="5">
        <v>10975</v>
      </c>
      <c r="C3160" s="6">
        <v>45680</v>
      </c>
      <c r="D3160" s="5" t="s">
        <v>239</v>
      </c>
      <c r="E3160" s="5" t="s">
        <v>240</v>
      </c>
      <c r="F3160" s="5" t="s">
        <v>242</v>
      </c>
      <c r="G3160" s="5" t="s">
        <v>243</v>
      </c>
      <c r="H3160" s="5" t="s">
        <v>218</v>
      </c>
      <c r="I3160" s="5" t="s">
        <v>458</v>
      </c>
      <c r="J3160" s="5" t="s">
        <v>459</v>
      </c>
      <c r="K3160" s="5" t="s">
        <v>241</v>
      </c>
      <c r="L3160" s="6">
        <v>45686</v>
      </c>
      <c r="M3160" s="6">
        <v>45686</v>
      </c>
      <c r="N3160" s="6" t="s">
        <v>811</v>
      </c>
      <c r="O3160" s="5" t="str">
        <f ca="1">IF(P3160&lt;&gt;"EXPEDIÇÃO","Expedido",IF(NETWORKDAYS(C3160,TODAY())&gt;=5,"Risco Alto",IF(NETWORKDAYS(C3160,TODAY())&gt;=3,IF(NETWORKDAYS(C3160,TODAY())&lt;5,"Risco Médio",""),IF(NETWORKDAYS(C3160,TODAY())&lt;=2,"Risco Baixo",""))))</f>
        <v>Expedido</v>
      </c>
      <c r="P3160" s="5" t="s">
        <v>25</v>
      </c>
      <c r="Q3160" s="5" t="s">
        <v>793</v>
      </c>
      <c r="S3160" s="7">
        <f>IF(ISBLANK(M3160),"Aguardando Previsão/Data",NETWORKDAYS(L3160,M3160)-1)</f>
        <v>0</v>
      </c>
      <c r="T3160" s="5" t="s">
        <v>942</v>
      </c>
    </row>
    <row r="3161" spans="1:20" x14ac:dyDescent="0.35">
      <c r="A3161" s="5">
        <v>8100282068</v>
      </c>
      <c r="B3161" s="5">
        <v>10976</v>
      </c>
      <c r="C3161" s="6">
        <v>45680</v>
      </c>
      <c r="D3161" s="5" t="s">
        <v>239</v>
      </c>
      <c r="E3161" s="5" t="s">
        <v>240</v>
      </c>
      <c r="F3161" s="5" t="s">
        <v>242</v>
      </c>
      <c r="G3161" s="5" t="s">
        <v>243</v>
      </c>
      <c r="H3161" s="5" t="s">
        <v>218</v>
      </c>
      <c r="I3161" s="5" t="s">
        <v>458</v>
      </c>
      <c r="J3161" s="5" t="s">
        <v>459</v>
      </c>
      <c r="K3161" s="5" t="s">
        <v>241</v>
      </c>
      <c r="L3161" s="6">
        <v>45686</v>
      </c>
      <c r="M3161" s="6">
        <v>45686</v>
      </c>
      <c r="N3161" s="6" t="s">
        <v>811</v>
      </c>
      <c r="O3161" s="5" t="str">
        <f ca="1">IF(P3161&lt;&gt;"EXPEDIÇÃO","Expedido",IF(NETWORKDAYS(C3161,TODAY())&gt;=5,"Risco Alto",IF(NETWORKDAYS(C3161,TODAY())&gt;=3,IF(NETWORKDAYS(C3161,TODAY())&lt;5,"Risco Médio",""),IF(NETWORKDAYS(C3161,TODAY())&lt;=2,"Risco Baixo",""))))</f>
        <v>Expedido</v>
      </c>
      <c r="P3161" s="5" t="s">
        <v>25</v>
      </c>
      <c r="Q3161" s="5" t="s">
        <v>793</v>
      </c>
      <c r="S3161" s="7">
        <f>IF(ISBLANK(M3161),"Aguardando Previsão/Data",NETWORKDAYS(L3161,M3161)-1)</f>
        <v>0</v>
      </c>
      <c r="T3161" s="5" t="s">
        <v>942</v>
      </c>
    </row>
    <row r="3162" spans="1:20" x14ac:dyDescent="0.35">
      <c r="A3162" s="5">
        <v>8100282099</v>
      </c>
      <c r="B3162" s="5">
        <v>10973</v>
      </c>
      <c r="C3162" s="6">
        <v>45680</v>
      </c>
      <c r="D3162" s="5" t="s">
        <v>239</v>
      </c>
      <c r="E3162" s="5" t="s">
        <v>240</v>
      </c>
      <c r="F3162" s="5" t="s">
        <v>160</v>
      </c>
      <c r="G3162" s="5" t="s">
        <v>161</v>
      </c>
      <c r="H3162" s="5" t="s">
        <v>218</v>
      </c>
      <c r="I3162" s="5" t="s">
        <v>354</v>
      </c>
      <c r="J3162" s="5" t="s">
        <v>641</v>
      </c>
      <c r="K3162" s="5" t="s">
        <v>241</v>
      </c>
      <c r="L3162" s="6">
        <v>45686</v>
      </c>
      <c r="M3162" s="6">
        <v>45686</v>
      </c>
      <c r="N3162" s="6" t="s">
        <v>811</v>
      </c>
      <c r="O3162" s="5" t="str">
        <f ca="1">IF(P3162&lt;&gt;"EXPEDIÇÃO","Expedido",IF(NETWORKDAYS(C3162,TODAY())&gt;=5,"Risco Alto",IF(NETWORKDAYS(C3162,TODAY())&gt;=3,IF(NETWORKDAYS(C3162,TODAY())&lt;5,"Risco Médio",""),IF(NETWORKDAYS(C3162,TODAY())&lt;=2,"Risco Baixo",""))))</f>
        <v>Expedido</v>
      </c>
      <c r="P3162" s="5" t="s">
        <v>25</v>
      </c>
      <c r="Q3162" s="5" t="s">
        <v>793</v>
      </c>
      <c r="S3162" s="7">
        <f>IF(ISBLANK(M3162),"Aguardando Previsão/Data",NETWORKDAYS(L3162,M3162)-1)</f>
        <v>0</v>
      </c>
      <c r="T3162" s="5" t="s">
        <v>942</v>
      </c>
    </row>
    <row r="3163" spans="1:20" x14ac:dyDescent="0.35">
      <c r="A3163" s="5">
        <v>8100282100</v>
      </c>
      <c r="B3163" s="5">
        <v>10974</v>
      </c>
      <c r="C3163" s="6">
        <v>45680</v>
      </c>
      <c r="D3163" s="5" t="s">
        <v>239</v>
      </c>
      <c r="E3163" s="5" t="s">
        <v>240</v>
      </c>
      <c r="F3163" s="5" t="s">
        <v>242</v>
      </c>
      <c r="G3163" s="5" t="s">
        <v>243</v>
      </c>
      <c r="H3163" s="5" t="s">
        <v>218</v>
      </c>
      <c r="I3163" s="5" t="s">
        <v>354</v>
      </c>
      <c r="J3163" s="5" t="s">
        <v>641</v>
      </c>
      <c r="K3163" s="5" t="s">
        <v>241</v>
      </c>
      <c r="L3163" s="6">
        <v>45686</v>
      </c>
      <c r="M3163" s="6">
        <v>45686</v>
      </c>
      <c r="N3163" s="6" t="s">
        <v>811</v>
      </c>
      <c r="O3163" s="5" t="str">
        <f ca="1">IF(P3163&lt;&gt;"EXPEDIÇÃO","Expedido",IF(NETWORKDAYS(C3163,TODAY())&gt;=5,"Risco Alto",IF(NETWORKDAYS(C3163,TODAY())&gt;=3,IF(NETWORKDAYS(C3163,TODAY())&lt;5,"Risco Médio",""),IF(NETWORKDAYS(C3163,TODAY())&lt;=2,"Risco Baixo",""))))</f>
        <v>Expedido</v>
      </c>
      <c r="P3163" s="5" t="s">
        <v>25</v>
      </c>
      <c r="Q3163" s="5" t="s">
        <v>793</v>
      </c>
      <c r="S3163" s="7">
        <f>IF(ISBLANK(M3163),"Aguardando Previsão/Data",NETWORKDAYS(L3163,M3163)-1)</f>
        <v>0</v>
      </c>
      <c r="T3163" s="5" t="s">
        <v>942</v>
      </c>
    </row>
    <row r="3164" spans="1:20" x14ac:dyDescent="0.35">
      <c r="A3164" s="5">
        <v>8100282220</v>
      </c>
      <c r="B3164" s="5">
        <v>10979</v>
      </c>
      <c r="C3164" s="6">
        <v>45680</v>
      </c>
      <c r="D3164" s="5" t="s">
        <v>239</v>
      </c>
      <c r="E3164" s="5" t="s">
        <v>240</v>
      </c>
      <c r="F3164" s="5" t="s">
        <v>160</v>
      </c>
      <c r="G3164" s="5" t="s">
        <v>161</v>
      </c>
      <c r="H3164" s="5" t="s">
        <v>218</v>
      </c>
      <c r="I3164" s="5" t="s">
        <v>1100</v>
      </c>
      <c r="J3164" s="5" t="s">
        <v>161</v>
      </c>
      <c r="K3164" s="5" t="s">
        <v>241</v>
      </c>
      <c r="L3164" s="6">
        <v>45686</v>
      </c>
      <c r="M3164" s="6">
        <v>45685</v>
      </c>
      <c r="N3164" s="6" t="s">
        <v>811</v>
      </c>
      <c r="O3164" s="5" t="str">
        <f ca="1">IF(P3164&lt;&gt;"EXPEDIÇÃO","Expedido",IF(NETWORKDAYS(C3164,TODAY())&gt;=5,"Risco Alto",IF(NETWORKDAYS(C3164,TODAY())&gt;=3,IF(NETWORKDAYS(C3164,TODAY())&lt;5,"Risco Médio",""),IF(NETWORKDAYS(C3164,TODAY())&lt;=2,"Risco Baixo",""))))</f>
        <v>Expedido</v>
      </c>
      <c r="P3164" s="5" t="s">
        <v>25</v>
      </c>
      <c r="Q3164" s="5" t="s">
        <v>793</v>
      </c>
      <c r="S3164" s="7">
        <f>IF(ISBLANK(M3164),"Aguardando Previsão/Data",NETWORKDAYS(L3164,M3164)-1)</f>
        <v>-3</v>
      </c>
      <c r="T3164" s="5" t="s">
        <v>942</v>
      </c>
    </row>
    <row r="3165" spans="1:20" x14ac:dyDescent="0.35">
      <c r="A3165" s="5">
        <v>8100282222</v>
      </c>
      <c r="B3165" s="5">
        <v>10977</v>
      </c>
      <c r="C3165" s="6">
        <v>45680</v>
      </c>
      <c r="D3165" s="5" t="s">
        <v>239</v>
      </c>
      <c r="E3165" s="5" t="s">
        <v>240</v>
      </c>
      <c r="F3165" s="5" t="s">
        <v>160</v>
      </c>
      <c r="G3165" s="5" t="s">
        <v>161</v>
      </c>
      <c r="H3165" s="5" t="s">
        <v>218</v>
      </c>
      <c r="I3165" s="5" t="s">
        <v>354</v>
      </c>
      <c r="J3165" s="5" t="s">
        <v>355</v>
      </c>
      <c r="K3165" s="5" t="s">
        <v>241</v>
      </c>
      <c r="L3165" s="6">
        <v>45686</v>
      </c>
      <c r="M3165" s="6">
        <v>45684</v>
      </c>
      <c r="N3165" s="6" t="s">
        <v>811</v>
      </c>
      <c r="O3165" s="5" t="str">
        <f ca="1">IF(P3165&lt;&gt;"EXPEDIÇÃO","Expedido",IF(NETWORKDAYS(C3165,TODAY())&gt;=5,"Risco Alto",IF(NETWORKDAYS(C3165,TODAY())&gt;=3,IF(NETWORKDAYS(C3165,TODAY())&lt;5,"Risco Médio",""),IF(NETWORKDAYS(C3165,TODAY())&lt;=2,"Risco Baixo",""))))</f>
        <v>Expedido</v>
      </c>
      <c r="P3165" s="5" t="s">
        <v>25</v>
      </c>
      <c r="Q3165" s="5" t="s">
        <v>793</v>
      </c>
      <c r="S3165" s="7">
        <f>IF(ISBLANK(M3165),"Aguardando Previsão/Data",NETWORKDAYS(L3165,M3165)-1)</f>
        <v>-4</v>
      </c>
      <c r="T3165" s="5" t="s">
        <v>942</v>
      </c>
    </row>
    <row r="3166" spans="1:20" x14ac:dyDescent="0.35">
      <c r="A3166" s="5">
        <v>8100282228</v>
      </c>
      <c r="B3166" s="5">
        <v>10980</v>
      </c>
      <c r="C3166" s="6">
        <v>45680</v>
      </c>
      <c r="D3166" s="5" t="s">
        <v>239</v>
      </c>
      <c r="E3166" s="5" t="s">
        <v>240</v>
      </c>
      <c r="F3166" s="5" t="s">
        <v>160</v>
      </c>
      <c r="G3166" s="5" t="s">
        <v>161</v>
      </c>
      <c r="H3166" s="5" t="s">
        <v>218</v>
      </c>
      <c r="I3166" s="5" t="s">
        <v>1100</v>
      </c>
      <c r="J3166" s="5" t="s">
        <v>161</v>
      </c>
      <c r="K3166" s="5" t="s">
        <v>241</v>
      </c>
      <c r="L3166" s="6">
        <v>45686</v>
      </c>
      <c r="M3166" s="6">
        <v>45685</v>
      </c>
      <c r="N3166" s="6" t="s">
        <v>811</v>
      </c>
      <c r="O3166" s="5" t="str">
        <f ca="1">IF(P3166&lt;&gt;"EXPEDIÇÃO","Expedido",IF(NETWORKDAYS(C3166,TODAY())&gt;=5,"Risco Alto",IF(NETWORKDAYS(C3166,TODAY())&gt;=3,IF(NETWORKDAYS(C3166,TODAY())&lt;5,"Risco Médio",""),IF(NETWORKDAYS(C3166,TODAY())&lt;=2,"Risco Baixo",""))))</f>
        <v>Expedido</v>
      </c>
      <c r="P3166" s="5" t="s">
        <v>25</v>
      </c>
      <c r="Q3166" s="5" t="s">
        <v>793</v>
      </c>
      <c r="S3166" s="7">
        <f>IF(ISBLANK(M3166),"Aguardando Previsão/Data",NETWORKDAYS(L3166,M3166)-1)</f>
        <v>-3</v>
      </c>
      <c r="T3166" s="5" t="s">
        <v>942</v>
      </c>
    </row>
    <row r="3167" spans="1:20" x14ac:dyDescent="0.35">
      <c r="A3167" s="5">
        <v>8100282266</v>
      </c>
      <c r="B3167" s="5">
        <v>10978</v>
      </c>
      <c r="C3167" s="6">
        <v>45680</v>
      </c>
      <c r="D3167" s="5" t="s">
        <v>239</v>
      </c>
      <c r="E3167" s="5" t="s">
        <v>240</v>
      </c>
      <c r="F3167" s="5" t="s">
        <v>176</v>
      </c>
      <c r="G3167" s="5" t="s">
        <v>177</v>
      </c>
      <c r="H3167" s="5" t="s">
        <v>218</v>
      </c>
      <c r="I3167" s="5" t="s">
        <v>247</v>
      </c>
      <c r="J3167" s="5" t="s">
        <v>248</v>
      </c>
      <c r="K3167" s="5" t="s">
        <v>241</v>
      </c>
      <c r="L3167" s="6">
        <v>45687</v>
      </c>
      <c r="M3167" s="6">
        <v>45686</v>
      </c>
      <c r="N3167" s="6" t="s">
        <v>811</v>
      </c>
      <c r="O3167" s="5" t="str">
        <f ca="1">IF(P3167&lt;&gt;"EXPEDIÇÃO","Expedido",IF(NETWORKDAYS(C3167,TODAY())&gt;=5,"Risco Alto",IF(NETWORKDAYS(C3167,TODAY())&gt;=3,IF(NETWORKDAYS(C3167,TODAY())&lt;5,"Risco Médio",""),IF(NETWORKDAYS(C3167,TODAY())&lt;=2,"Risco Baixo",""))))</f>
        <v>Expedido</v>
      </c>
      <c r="P3167" s="5" t="s">
        <v>25</v>
      </c>
      <c r="Q3167" s="5" t="s">
        <v>793</v>
      </c>
      <c r="S3167" s="7">
        <f>IF(ISBLANK(M3167),"Aguardando Previsão/Data",NETWORKDAYS(L3167,M3167)-1)</f>
        <v>-3</v>
      </c>
      <c r="T3167" s="5" t="s">
        <v>942</v>
      </c>
    </row>
    <row r="3168" spans="1:20" x14ac:dyDescent="0.35">
      <c r="A3168" s="5">
        <v>8100281939</v>
      </c>
      <c r="B3168" s="5">
        <v>19572</v>
      </c>
      <c r="C3168" s="6">
        <v>45680</v>
      </c>
      <c r="D3168" s="5" t="s">
        <v>106</v>
      </c>
      <c r="E3168" s="5" t="s">
        <v>107</v>
      </c>
      <c r="F3168" s="5" t="s">
        <v>58</v>
      </c>
      <c r="G3168" s="5" t="s">
        <v>59</v>
      </c>
      <c r="H3168" s="5" t="s">
        <v>218</v>
      </c>
      <c r="I3168" s="5" t="s">
        <v>384</v>
      </c>
      <c r="J3168" s="5" t="s">
        <v>487</v>
      </c>
      <c r="K3168" s="5" t="s">
        <v>226</v>
      </c>
      <c r="L3168" s="6">
        <v>45699</v>
      </c>
      <c r="N3168" s="6" t="s">
        <v>811</v>
      </c>
      <c r="O3168" s="5" t="str">
        <f ca="1">IF(P3168&lt;&gt;"EXPEDIÇÃO","Expedido",IF(NETWORKDAYS(C3168,TODAY())&gt;=5,"Risco Alto",IF(NETWORKDAYS(C3168,TODAY())&gt;=3,IF(NETWORKDAYS(C3168,TODAY())&lt;5,"Risco Médio",""),IF(NETWORKDAYS(C3168,TODAY())&lt;=2,"Risco Baixo",""))))</f>
        <v>Risco Alto</v>
      </c>
      <c r="P3168" s="5" t="s">
        <v>726</v>
      </c>
      <c r="R3168" s="5" t="s">
        <v>1618</v>
      </c>
      <c r="S3168" s="7" t="str">
        <f>IF(ISBLANK(M3168),"Aguardando Previsão/Data",NETWORKDAYS(L3168,M3168)-1)</f>
        <v>Aguardando Previsão/Data</v>
      </c>
    </row>
    <row r="3169" spans="1:20" x14ac:dyDescent="0.35">
      <c r="A3169" s="5">
        <v>8100281940</v>
      </c>
      <c r="B3169" s="5">
        <v>19575</v>
      </c>
      <c r="C3169" s="6">
        <v>45680</v>
      </c>
      <c r="D3169" s="5" t="s">
        <v>106</v>
      </c>
      <c r="E3169" s="5" t="s">
        <v>107</v>
      </c>
      <c r="F3169" s="5" t="s">
        <v>58</v>
      </c>
      <c r="G3169" s="5" t="s">
        <v>59</v>
      </c>
      <c r="H3169" s="5" t="s">
        <v>218</v>
      </c>
      <c r="I3169" s="5" t="s">
        <v>230</v>
      </c>
      <c r="J3169" s="5" t="s">
        <v>684</v>
      </c>
      <c r="K3169" s="5" t="s">
        <v>238</v>
      </c>
      <c r="L3169" s="6">
        <v>45699</v>
      </c>
      <c r="M3169" s="6">
        <v>45693</v>
      </c>
      <c r="N3169" s="6" t="s">
        <v>811</v>
      </c>
      <c r="O3169" s="5" t="str">
        <f ca="1">IF(P3169&lt;&gt;"EXPEDIÇÃO","Expedido",IF(NETWORKDAYS(C3169,TODAY())&gt;=5,"Risco Alto",IF(NETWORKDAYS(C3169,TODAY())&gt;=3,IF(NETWORKDAYS(C3169,TODAY())&lt;5,"Risco Médio",""),IF(NETWORKDAYS(C3169,TODAY())&lt;=2,"Risco Baixo",""))))</f>
        <v>Expedido</v>
      </c>
      <c r="P3169" s="5" t="s">
        <v>617</v>
      </c>
      <c r="S3169" s="7">
        <f>IF(ISBLANK(M3169),"Aguardando Previsão/Data",NETWORKDAYS(L3169,M3169)-1)</f>
        <v>-6</v>
      </c>
    </row>
    <row r="3170" spans="1:20" x14ac:dyDescent="0.35">
      <c r="A3170" s="5">
        <v>8100281945</v>
      </c>
      <c r="B3170" s="5">
        <v>19578</v>
      </c>
      <c r="C3170" s="6">
        <v>45680</v>
      </c>
      <c r="D3170" s="5" t="s">
        <v>106</v>
      </c>
      <c r="E3170" s="5" t="s">
        <v>107</v>
      </c>
      <c r="F3170" s="5" t="s">
        <v>58</v>
      </c>
      <c r="G3170" s="5" t="s">
        <v>59</v>
      </c>
      <c r="H3170" s="5" t="s">
        <v>218</v>
      </c>
      <c r="I3170" s="5" t="s">
        <v>520</v>
      </c>
      <c r="J3170" s="5" t="s">
        <v>684</v>
      </c>
      <c r="K3170" s="5" t="s">
        <v>238</v>
      </c>
      <c r="L3170" s="6">
        <v>45699</v>
      </c>
      <c r="M3170" s="6">
        <v>45693</v>
      </c>
      <c r="N3170" s="6" t="s">
        <v>811</v>
      </c>
      <c r="O3170" s="5" t="str">
        <f ca="1">IF(P3170&lt;&gt;"EXPEDIÇÃO","Expedido",IF(NETWORKDAYS(C3170,TODAY())&gt;=5,"Risco Alto",IF(NETWORKDAYS(C3170,TODAY())&gt;=3,IF(NETWORKDAYS(C3170,TODAY())&lt;5,"Risco Médio",""),IF(NETWORKDAYS(C3170,TODAY())&lt;=2,"Risco Baixo",""))))</f>
        <v>Expedido</v>
      </c>
      <c r="P3170" s="5" t="s">
        <v>617</v>
      </c>
      <c r="S3170" s="7">
        <f>IF(ISBLANK(M3170),"Aguardando Previsão/Data",NETWORKDAYS(L3170,M3170)-1)</f>
        <v>-6</v>
      </c>
    </row>
    <row r="3171" spans="1:20" x14ac:dyDescent="0.35">
      <c r="A3171" s="5">
        <v>8100281947</v>
      </c>
      <c r="B3171" s="5">
        <v>19574</v>
      </c>
      <c r="C3171" s="6">
        <v>45680</v>
      </c>
      <c r="D3171" s="5" t="s">
        <v>106</v>
      </c>
      <c r="E3171" s="5" t="s">
        <v>107</v>
      </c>
      <c r="F3171" s="5" t="s">
        <v>58</v>
      </c>
      <c r="G3171" s="5" t="s">
        <v>59</v>
      </c>
      <c r="H3171" s="5" t="s">
        <v>218</v>
      </c>
      <c r="I3171" s="5" t="s">
        <v>519</v>
      </c>
      <c r="J3171" s="5" t="s">
        <v>640</v>
      </c>
      <c r="K3171" s="5" t="s">
        <v>233</v>
      </c>
      <c r="L3171" s="6">
        <v>45699</v>
      </c>
      <c r="N3171" s="6" t="s">
        <v>811</v>
      </c>
      <c r="O3171" s="5" t="str">
        <f ca="1">IF(P3171&lt;&gt;"EXPEDIÇÃO","Expedido",IF(NETWORKDAYS(C3171,TODAY())&gt;=5,"Risco Alto",IF(NETWORKDAYS(C3171,TODAY())&gt;=3,IF(NETWORKDAYS(C3171,TODAY())&lt;5,"Risco Médio",""),IF(NETWORKDAYS(C3171,TODAY())&lt;=2,"Risco Baixo",""))))</f>
        <v>Risco Alto</v>
      </c>
      <c r="P3171" s="5" t="s">
        <v>726</v>
      </c>
      <c r="R3171" s="5" t="s">
        <v>1618</v>
      </c>
      <c r="S3171" s="7" t="str">
        <f>IF(ISBLANK(M3171),"Aguardando Previsão/Data",NETWORKDAYS(L3171,M3171)-1)</f>
        <v>Aguardando Previsão/Data</v>
      </c>
    </row>
    <row r="3172" spans="1:20" x14ac:dyDescent="0.35">
      <c r="A3172" s="5">
        <v>8100281971</v>
      </c>
      <c r="B3172" s="5">
        <v>19576</v>
      </c>
      <c r="C3172" s="6">
        <v>45680</v>
      </c>
      <c r="D3172" s="5" t="s">
        <v>106</v>
      </c>
      <c r="E3172" s="5" t="s">
        <v>107</v>
      </c>
      <c r="F3172" s="5" t="s">
        <v>58</v>
      </c>
      <c r="G3172" s="5" t="s">
        <v>59</v>
      </c>
      <c r="H3172" s="5" t="s">
        <v>218</v>
      </c>
      <c r="I3172" s="5" t="s">
        <v>230</v>
      </c>
      <c r="J3172" s="5" t="s">
        <v>684</v>
      </c>
      <c r="K3172" s="5" t="s">
        <v>238</v>
      </c>
      <c r="L3172" s="6">
        <v>45699</v>
      </c>
      <c r="M3172" s="6">
        <v>45693</v>
      </c>
      <c r="N3172" s="6" t="s">
        <v>811</v>
      </c>
      <c r="O3172" s="5" t="str">
        <f ca="1">IF(P3172&lt;&gt;"EXPEDIÇÃO","Expedido",IF(NETWORKDAYS(C3172,TODAY())&gt;=5,"Risco Alto",IF(NETWORKDAYS(C3172,TODAY())&gt;=3,IF(NETWORKDAYS(C3172,TODAY())&lt;5,"Risco Médio",""),IF(NETWORKDAYS(C3172,TODAY())&lt;=2,"Risco Baixo",""))))</f>
        <v>Expedido</v>
      </c>
      <c r="P3172" s="5" t="s">
        <v>617</v>
      </c>
      <c r="S3172" s="7">
        <f>IF(ISBLANK(M3172),"Aguardando Previsão/Data",NETWORKDAYS(L3172,M3172)-1)</f>
        <v>-6</v>
      </c>
    </row>
    <row r="3173" spans="1:20" x14ac:dyDescent="0.35">
      <c r="A3173" s="5">
        <v>8100281972</v>
      </c>
      <c r="B3173" s="5">
        <v>19571</v>
      </c>
      <c r="C3173" s="6">
        <v>45680</v>
      </c>
      <c r="D3173" s="5" t="s">
        <v>106</v>
      </c>
      <c r="E3173" s="5" t="s">
        <v>107</v>
      </c>
      <c r="F3173" s="5" t="s">
        <v>58</v>
      </c>
      <c r="G3173" s="5" t="s">
        <v>59</v>
      </c>
      <c r="H3173" s="5" t="s">
        <v>218</v>
      </c>
      <c r="I3173" s="5" t="s">
        <v>317</v>
      </c>
      <c r="J3173" s="5" t="s">
        <v>770</v>
      </c>
      <c r="K3173" s="5" t="s">
        <v>238</v>
      </c>
      <c r="L3173" s="6">
        <v>45699</v>
      </c>
      <c r="M3173" s="6">
        <v>45693</v>
      </c>
      <c r="N3173" s="6" t="s">
        <v>811</v>
      </c>
      <c r="O3173" s="5" t="str">
        <f ca="1">IF(P3173&lt;&gt;"EXPEDIÇÃO","Expedido",IF(NETWORKDAYS(C3173,TODAY())&gt;=5,"Risco Alto",IF(NETWORKDAYS(C3173,TODAY())&gt;=3,IF(NETWORKDAYS(C3173,TODAY())&lt;5,"Risco Médio",""),IF(NETWORKDAYS(C3173,TODAY())&lt;=2,"Risco Baixo",""))))</f>
        <v>Expedido</v>
      </c>
      <c r="P3173" s="5" t="s">
        <v>617</v>
      </c>
      <c r="S3173" s="7">
        <f>IF(ISBLANK(M3173),"Aguardando Previsão/Data",NETWORKDAYS(L3173,M3173)-1)</f>
        <v>-6</v>
      </c>
    </row>
    <row r="3174" spans="1:20" x14ac:dyDescent="0.35">
      <c r="A3174" s="5">
        <v>8100281975</v>
      </c>
      <c r="B3174" s="5">
        <v>19577</v>
      </c>
      <c r="C3174" s="6">
        <v>45680</v>
      </c>
      <c r="D3174" s="5" t="s">
        <v>106</v>
      </c>
      <c r="E3174" s="5" t="s">
        <v>107</v>
      </c>
      <c r="F3174" s="5" t="s">
        <v>58</v>
      </c>
      <c r="G3174" s="5" t="s">
        <v>59</v>
      </c>
      <c r="H3174" s="5" t="s">
        <v>218</v>
      </c>
      <c r="I3174" s="5" t="s">
        <v>384</v>
      </c>
      <c r="J3174" s="5" t="s">
        <v>220</v>
      </c>
      <c r="K3174" s="5" t="s">
        <v>221</v>
      </c>
      <c r="L3174" s="6">
        <v>45695</v>
      </c>
      <c r="N3174" s="6" t="s">
        <v>811</v>
      </c>
      <c r="O3174" s="5" t="str">
        <f ca="1">IF(P3174&lt;&gt;"EXPEDIÇÃO","Expedido",IF(NETWORKDAYS(C3174,TODAY())&gt;=5,"Risco Alto",IF(NETWORKDAYS(C3174,TODAY())&gt;=3,IF(NETWORKDAYS(C3174,TODAY())&lt;5,"Risco Médio",""),IF(NETWORKDAYS(C3174,TODAY())&lt;=2,"Risco Baixo",""))))</f>
        <v>Risco Alto</v>
      </c>
      <c r="P3174" s="5" t="s">
        <v>726</v>
      </c>
      <c r="R3174" s="5" t="s">
        <v>1618</v>
      </c>
      <c r="S3174" s="7" t="str">
        <f>IF(ISBLANK(M3174),"Aguardando Previsão/Data",NETWORKDAYS(L3174,M3174)-1)</f>
        <v>Aguardando Previsão/Data</v>
      </c>
    </row>
    <row r="3175" spans="1:20" x14ac:dyDescent="0.35">
      <c r="A3175" s="5">
        <v>8100282024</v>
      </c>
      <c r="B3175" s="5">
        <v>19579</v>
      </c>
      <c r="C3175" s="6">
        <v>45680</v>
      </c>
      <c r="D3175" s="5" t="s">
        <v>106</v>
      </c>
      <c r="E3175" s="5" t="s">
        <v>107</v>
      </c>
      <c r="F3175" s="5" t="s">
        <v>58</v>
      </c>
      <c r="G3175" s="5" t="s">
        <v>59</v>
      </c>
      <c r="H3175" s="5" t="s">
        <v>218</v>
      </c>
      <c r="I3175" s="5" t="s">
        <v>520</v>
      </c>
      <c r="J3175" s="5" t="s">
        <v>684</v>
      </c>
      <c r="K3175" s="5" t="s">
        <v>238</v>
      </c>
      <c r="L3175" s="6">
        <v>45699</v>
      </c>
      <c r="M3175" s="6">
        <v>45693</v>
      </c>
      <c r="N3175" s="6" t="s">
        <v>811</v>
      </c>
      <c r="O3175" s="5" t="str">
        <f ca="1">IF(P3175&lt;&gt;"EXPEDIÇÃO","Expedido",IF(NETWORKDAYS(C3175,TODAY())&gt;=5,"Risco Alto",IF(NETWORKDAYS(C3175,TODAY())&gt;=3,IF(NETWORKDAYS(C3175,TODAY())&lt;5,"Risco Médio",""),IF(NETWORKDAYS(C3175,TODAY())&lt;=2,"Risco Baixo",""))))</f>
        <v>Expedido</v>
      </c>
      <c r="P3175" s="5" t="s">
        <v>617</v>
      </c>
      <c r="S3175" s="7">
        <f>IF(ISBLANK(M3175),"Aguardando Previsão/Data",NETWORKDAYS(L3175,M3175)-1)</f>
        <v>-6</v>
      </c>
    </row>
    <row r="3176" spans="1:20" x14ac:dyDescent="0.35">
      <c r="A3176" s="5">
        <v>8100282078</v>
      </c>
      <c r="B3176" s="5">
        <v>19587</v>
      </c>
      <c r="C3176" s="6">
        <v>45680</v>
      </c>
      <c r="D3176" s="5" t="s">
        <v>106</v>
      </c>
      <c r="E3176" s="5" t="s">
        <v>107</v>
      </c>
      <c r="F3176" s="5" t="s">
        <v>58</v>
      </c>
      <c r="G3176" s="5" t="s">
        <v>59</v>
      </c>
      <c r="H3176" s="5" t="s">
        <v>218</v>
      </c>
      <c r="I3176" s="5" t="s">
        <v>384</v>
      </c>
      <c r="J3176" s="5" t="s">
        <v>487</v>
      </c>
      <c r="K3176" s="5" t="s">
        <v>226</v>
      </c>
      <c r="L3176" s="6">
        <v>45699</v>
      </c>
      <c r="M3176" s="6">
        <v>45688</v>
      </c>
      <c r="N3176" s="6" t="s">
        <v>811</v>
      </c>
      <c r="O3176" s="5" t="str">
        <f ca="1">IF(P3176&lt;&gt;"EXPEDIÇÃO","Expedido",IF(NETWORKDAYS(C3176,TODAY())&gt;=5,"Risco Alto",IF(NETWORKDAYS(C3176,TODAY())&gt;=3,IF(NETWORKDAYS(C3176,TODAY())&lt;5,"Risco Médio",""),IF(NETWORKDAYS(C3176,TODAY())&lt;=2,"Risco Baixo",""))))</f>
        <v>Expedido</v>
      </c>
      <c r="P3176" s="5" t="s">
        <v>617</v>
      </c>
      <c r="S3176" s="7">
        <f>IF(ISBLANK(M3176),"Aguardando Previsão/Data",NETWORKDAYS(L3176,M3176)-1)</f>
        <v>-9</v>
      </c>
    </row>
    <row r="3177" spans="1:20" x14ac:dyDescent="0.35">
      <c r="A3177" s="5">
        <v>8100282179</v>
      </c>
      <c r="B3177" s="5">
        <v>19591</v>
      </c>
      <c r="C3177" s="6">
        <v>45680</v>
      </c>
      <c r="D3177" s="5" t="s">
        <v>106</v>
      </c>
      <c r="E3177" s="5" t="s">
        <v>107</v>
      </c>
      <c r="F3177" s="5" t="s">
        <v>58</v>
      </c>
      <c r="G3177" s="5" t="s">
        <v>59</v>
      </c>
      <c r="H3177" s="5" t="s">
        <v>218</v>
      </c>
      <c r="I3177" s="5" t="s">
        <v>384</v>
      </c>
      <c r="J3177" s="5" t="s">
        <v>487</v>
      </c>
      <c r="K3177" s="5" t="s">
        <v>226</v>
      </c>
      <c r="L3177" s="6">
        <v>45699</v>
      </c>
      <c r="M3177" s="6">
        <v>45688</v>
      </c>
      <c r="N3177" s="6" t="s">
        <v>811</v>
      </c>
      <c r="O3177" s="5" t="str">
        <f ca="1">IF(P3177&lt;&gt;"EXPEDIÇÃO","Expedido",IF(NETWORKDAYS(C3177,TODAY())&gt;=5,"Risco Alto",IF(NETWORKDAYS(C3177,TODAY())&gt;=3,IF(NETWORKDAYS(C3177,TODAY())&lt;5,"Risco Médio",""),IF(NETWORKDAYS(C3177,TODAY())&lt;=2,"Risco Baixo",""))))</f>
        <v>Expedido</v>
      </c>
      <c r="P3177" s="5" t="s">
        <v>617</v>
      </c>
      <c r="S3177" s="7">
        <f>IF(ISBLANK(M3177),"Aguardando Previsão/Data",NETWORKDAYS(L3177,M3177)-1)</f>
        <v>-9</v>
      </c>
    </row>
    <row r="3178" spans="1:20" x14ac:dyDescent="0.35">
      <c r="A3178" s="5">
        <v>8100282182</v>
      </c>
      <c r="B3178" s="5">
        <v>19592</v>
      </c>
      <c r="C3178" s="6">
        <v>45680</v>
      </c>
      <c r="D3178" s="5" t="s">
        <v>106</v>
      </c>
      <c r="E3178" s="5" t="s">
        <v>107</v>
      </c>
      <c r="F3178" s="5" t="s">
        <v>58</v>
      </c>
      <c r="G3178" s="5" t="s">
        <v>59</v>
      </c>
      <c r="H3178" s="5" t="s">
        <v>218</v>
      </c>
      <c r="I3178" s="5" t="s">
        <v>384</v>
      </c>
      <c r="J3178" s="5" t="s">
        <v>487</v>
      </c>
      <c r="K3178" s="5" t="s">
        <v>226</v>
      </c>
      <c r="L3178" s="6">
        <v>45699</v>
      </c>
      <c r="M3178" s="6">
        <v>45688</v>
      </c>
      <c r="N3178" s="6" t="s">
        <v>811</v>
      </c>
      <c r="O3178" s="5" t="str">
        <f ca="1">IF(P3178&lt;&gt;"EXPEDIÇÃO","Expedido",IF(NETWORKDAYS(C3178,TODAY())&gt;=5,"Risco Alto",IF(NETWORKDAYS(C3178,TODAY())&gt;=3,IF(NETWORKDAYS(C3178,TODAY())&lt;5,"Risco Médio",""),IF(NETWORKDAYS(C3178,TODAY())&lt;=2,"Risco Baixo",""))))</f>
        <v>Expedido</v>
      </c>
      <c r="P3178" s="5" t="s">
        <v>617</v>
      </c>
      <c r="S3178" s="7">
        <f>IF(ISBLANK(M3178),"Aguardando Previsão/Data",NETWORKDAYS(L3178,M3178)-1)</f>
        <v>-9</v>
      </c>
    </row>
    <row r="3179" spans="1:20" x14ac:dyDescent="0.35">
      <c r="A3179" s="5">
        <v>8100282183</v>
      </c>
      <c r="B3179" s="5">
        <v>19593</v>
      </c>
      <c r="C3179" s="6">
        <v>45680</v>
      </c>
      <c r="D3179" s="5" t="s">
        <v>106</v>
      </c>
      <c r="E3179" s="5" t="s">
        <v>107</v>
      </c>
      <c r="F3179" s="5" t="s">
        <v>58</v>
      </c>
      <c r="G3179" s="5" t="s">
        <v>59</v>
      </c>
      <c r="H3179" s="5" t="s">
        <v>218</v>
      </c>
      <c r="I3179" s="5" t="s">
        <v>384</v>
      </c>
      <c r="J3179" s="5" t="s">
        <v>487</v>
      </c>
      <c r="K3179" s="5" t="s">
        <v>226</v>
      </c>
      <c r="L3179" s="6">
        <v>45699</v>
      </c>
      <c r="M3179" s="6">
        <v>45688</v>
      </c>
      <c r="N3179" s="6" t="s">
        <v>811</v>
      </c>
      <c r="O3179" s="5" t="str">
        <f ca="1">IF(P3179&lt;&gt;"EXPEDIÇÃO","Expedido",IF(NETWORKDAYS(C3179,TODAY())&gt;=5,"Risco Alto",IF(NETWORKDAYS(C3179,TODAY())&gt;=3,IF(NETWORKDAYS(C3179,TODAY())&lt;5,"Risco Médio",""),IF(NETWORKDAYS(C3179,TODAY())&lt;=2,"Risco Baixo",""))))</f>
        <v>Expedido</v>
      </c>
      <c r="P3179" s="5" t="s">
        <v>617</v>
      </c>
      <c r="S3179" s="7">
        <f>IF(ISBLANK(M3179),"Aguardando Previsão/Data",NETWORKDAYS(L3179,M3179)-1)</f>
        <v>-9</v>
      </c>
    </row>
    <row r="3180" spans="1:20" x14ac:dyDescent="0.35">
      <c r="A3180" s="5">
        <v>8100282184</v>
      </c>
      <c r="B3180" s="5">
        <v>19594</v>
      </c>
      <c r="C3180" s="6">
        <v>45680</v>
      </c>
      <c r="D3180" s="5" t="s">
        <v>106</v>
      </c>
      <c r="E3180" s="5" t="s">
        <v>107</v>
      </c>
      <c r="F3180" s="5" t="s">
        <v>58</v>
      </c>
      <c r="G3180" s="5" t="s">
        <v>59</v>
      </c>
      <c r="H3180" s="5" t="s">
        <v>218</v>
      </c>
      <c r="I3180" s="5" t="s">
        <v>384</v>
      </c>
      <c r="J3180" s="5" t="s">
        <v>487</v>
      </c>
      <c r="K3180" s="5" t="s">
        <v>226</v>
      </c>
      <c r="L3180" s="6">
        <v>45699</v>
      </c>
      <c r="M3180" s="6">
        <v>45688</v>
      </c>
      <c r="N3180" s="6" t="s">
        <v>811</v>
      </c>
      <c r="O3180" s="5" t="str">
        <f ca="1">IF(P3180&lt;&gt;"EXPEDIÇÃO","Expedido",IF(NETWORKDAYS(C3180,TODAY())&gt;=5,"Risco Alto",IF(NETWORKDAYS(C3180,TODAY())&gt;=3,IF(NETWORKDAYS(C3180,TODAY())&lt;5,"Risco Médio",""),IF(NETWORKDAYS(C3180,TODAY())&lt;=2,"Risco Baixo",""))))</f>
        <v>Expedido</v>
      </c>
      <c r="P3180" s="5" t="s">
        <v>617</v>
      </c>
      <c r="S3180" s="7">
        <f>IF(ISBLANK(M3180),"Aguardando Previsão/Data",NETWORKDAYS(L3180,M3180)-1)</f>
        <v>-9</v>
      </c>
    </row>
    <row r="3181" spans="1:20" x14ac:dyDescent="0.35">
      <c r="A3181" s="5">
        <v>8100281334</v>
      </c>
      <c r="B3181" s="5">
        <v>19586</v>
      </c>
      <c r="C3181" s="6">
        <v>45680</v>
      </c>
      <c r="D3181" s="5" t="s">
        <v>106</v>
      </c>
      <c r="E3181" s="5" t="s">
        <v>107</v>
      </c>
      <c r="F3181" s="5" t="s">
        <v>147</v>
      </c>
      <c r="G3181" s="5" t="s">
        <v>148</v>
      </c>
      <c r="H3181" s="5" t="s">
        <v>108</v>
      </c>
      <c r="I3181" s="5" t="s">
        <v>905</v>
      </c>
      <c r="J3181" s="5" t="s">
        <v>906</v>
      </c>
      <c r="K3181" s="5" t="s">
        <v>110</v>
      </c>
      <c r="L3181" s="6">
        <v>45688</v>
      </c>
      <c r="M3181" s="6">
        <v>45685</v>
      </c>
      <c r="N3181" s="6" t="s">
        <v>811</v>
      </c>
      <c r="O3181" s="5" t="str">
        <f ca="1">IF(P3181&lt;&gt;"EXPEDIÇÃO","Expedido",IF(NETWORKDAYS(C3181,TODAY())&gt;=5,"Risco Alto",IF(NETWORKDAYS(C3181,TODAY())&gt;=3,IF(NETWORKDAYS(C3181,TODAY())&lt;5,"Risco Médio",""),IF(NETWORKDAYS(C3181,TODAY())&lt;=2,"Risco Baixo",""))))</f>
        <v>Expedido</v>
      </c>
      <c r="P3181" s="5" t="s">
        <v>25</v>
      </c>
      <c r="S3181" s="7">
        <f>IF(ISBLANK(M3181),"Aguardando Previsão/Data",NETWORKDAYS(L3181,M3181)-1)</f>
        <v>-5</v>
      </c>
      <c r="T3181" s="5" t="s">
        <v>942</v>
      </c>
    </row>
    <row r="3182" spans="1:20" x14ac:dyDescent="0.35">
      <c r="A3182" s="5">
        <v>8100281347</v>
      </c>
      <c r="B3182" s="5">
        <v>19581</v>
      </c>
      <c r="C3182" s="6">
        <v>45680</v>
      </c>
      <c r="D3182" s="5" t="s">
        <v>106</v>
      </c>
      <c r="E3182" s="5" t="s">
        <v>107</v>
      </c>
      <c r="F3182" s="5" t="s">
        <v>53</v>
      </c>
      <c r="G3182" s="5" t="s">
        <v>54</v>
      </c>
      <c r="H3182" s="5" t="s">
        <v>108</v>
      </c>
      <c r="I3182" s="5" t="s">
        <v>1200</v>
      </c>
      <c r="J3182" s="5" t="s">
        <v>393</v>
      </c>
      <c r="K3182" s="5" t="s">
        <v>110</v>
      </c>
      <c r="L3182" s="6">
        <v>45688</v>
      </c>
      <c r="M3182" s="6">
        <v>45685</v>
      </c>
      <c r="N3182" s="6" t="s">
        <v>811</v>
      </c>
      <c r="O3182" s="5" t="str">
        <f ca="1">IF(P3182&lt;&gt;"EXPEDIÇÃO","Expedido",IF(NETWORKDAYS(C3182,TODAY())&gt;=5,"Risco Alto",IF(NETWORKDAYS(C3182,TODAY())&gt;=3,IF(NETWORKDAYS(C3182,TODAY())&lt;5,"Risco Médio",""),IF(NETWORKDAYS(C3182,TODAY())&lt;=2,"Risco Baixo",""))))</f>
        <v>Expedido</v>
      </c>
      <c r="P3182" s="5" t="s">
        <v>25</v>
      </c>
      <c r="S3182" s="7">
        <f>IF(ISBLANK(M3182),"Aguardando Previsão/Data",NETWORKDAYS(L3182,M3182)-1)</f>
        <v>-5</v>
      </c>
      <c r="T3182" s="5" t="s">
        <v>942</v>
      </c>
    </row>
    <row r="3183" spans="1:20" x14ac:dyDescent="0.35">
      <c r="A3183" s="5">
        <v>8100281355</v>
      </c>
      <c r="B3183" s="5">
        <v>19582</v>
      </c>
      <c r="C3183" s="6">
        <v>45680</v>
      </c>
      <c r="D3183" s="5" t="s">
        <v>106</v>
      </c>
      <c r="E3183" s="5" t="s">
        <v>107</v>
      </c>
      <c r="F3183" s="5" t="s">
        <v>58</v>
      </c>
      <c r="G3183" s="5" t="s">
        <v>59</v>
      </c>
      <c r="H3183" s="5" t="s">
        <v>108</v>
      </c>
      <c r="I3183" s="5" t="s">
        <v>1384</v>
      </c>
      <c r="J3183" s="5" t="s">
        <v>1385</v>
      </c>
      <c r="K3183" s="5" t="s">
        <v>110</v>
      </c>
      <c r="L3183" s="6">
        <v>45688</v>
      </c>
      <c r="M3183" s="6">
        <v>45684</v>
      </c>
      <c r="N3183" s="6" t="s">
        <v>811</v>
      </c>
      <c r="O3183" s="5" t="str">
        <f ca="1">IF(P3183&lt;&gt;"EXPEDIÇÃO","Expedido",IF(NETWORKDAYS(C3183,TODAY())&gt;=5,"Risco Alto",IF(NETWORKDAYS(C3183,TODAY())&gt;=3,IF(NETWORKDAYS(C3183,TODAY())&lt;5,"Risco Médio",""),IF(NETWORKDAYS(C3183,TODAY())&lt;=2,"Risco Baixo",""))))</f>
        <v>Expedido</v>
      </c>
      <c r="P3183" s="5" t="s">
        <v>25</v>
      </c>
      <c r="S3183" s="7">
        <f>IF(ISBLANK(M3183),"Aguardando Previsão/Data",NETWORKDAYS(L3183,M3183)-1)</f>
        <v>-6</v>
      </c>
      <c r="T3183" s="5" t="s">
        <v>942</v>
      </c>
    </row>
    <row r="3184" spans="1:20" x14ac:dyDescent="0.35">
      <c r="A3184" s="5">
        <v>8100281591</v>
      </c>
      <c r="B3184" s="5">
        <v>19550</v>
      </c>
      <c r="C3184" s="6">
        <v>45680</v>
      </c>
      <c r="D3184" s="5" t="s">
        <v>106</v>
      </c>
      <c r="E3184" s="5" t="s">
        <v>107</v>
      </c>
      <c r="F3184" s="5" t="s">
        <v>53</v>
      </c>
      <c r="G3184" s="5" t="s">
        <v>54</v>
      </c>
      <c r="H3184" s="5" t="s">
        <v>108</v>
      </c>
      <c r="I3184" s="5" t="s">
        <v>128</v>
      </c>
      <c r="J3184" s="5" t="s">
        <v>283</v>
      </c>
      <c r="K3184" s="5" t="s">
        <v>110</v>
      </c>
      <c r="L3184" s="6">
        <v>45687</v>
      </c>
      <c r="M3184" s="6">
        <v>45681</v>
      </c>
      <c r="N3184" s="6" t="s">
        <v>811</v>
      </c>
      <c r="O3184" s="5" t="str">
        <f ca="1">IF(P3184&lt;&gt;"EXPEDIÇÃO","Expedido",IF(NETWORKDAYS(C3184,TODAY())&gt;=5,"Risco Alto",IF(NETWORKDAYS(C3184,TODAY())&gt;=3,IF(NETWORKDAYS(C3184,TODAY())&lt;5,"Risco Médio",""),IF(NETWORKDAYS(C3184,TODAY())&lt;=2,"Risco Baixo",""))))</f>
        <v>Expedido</v>
      </c>
      <c r="P3184" s="5" t="s">
        <v>25</v>
      </c>
      <c r="S3184" s="7">
        <f>IF(ISBLANK(M3184),"Aguardando Previsão/Data",NETWORKDAYS(L3184,M3184)-1)</f>
        <v>-6</v>
      </c>
      <c r="T3184" s="5" t="s">
        <v>942</v>
      </c>
    </row>
    <row r="3185" spans="1:20" x14ac:dyDescent="0.35">
      <c r="A3185" s="5">
        <v>8100281592</v>
      </c>
      <c r="B3185" s="5">
        <v>19551</v>
      </c>
      <c r="C3185" s="6">
        <v>45680</v>
      </c>
      <c r="D3185" s="5" t="s">
        <v>106</v>
      </c>
      <c r="E3185" s="5" t="s">
        <v>107</v>
      </c>
      <c r="F3185" s="5" t="s">
        <v>53</v>
      </c>
      <c r="G3185" s="5" t="s">
        <v>54</v>
      </c>
      <c r="H3185" s="5" t="s">
        <v>108</v>
      </c>
      <c r="I3185" s="5" t="s">
        <v>128</v>
      </c>
      <c r="J3185" s="5" t="s">
        <v>283</v>
      </c>
      <c r="K3185" s="5" t="s">
        <v>110</v>
      </c>
      <c r="L3185" s="6">
        <v>45687</v>
      </c>
      <c r="M3185" s="6">
        <v>45681</v>
      </c>
      <c r="N3185" s="6" t="s">
        <v>811</v>
      </c>
      <c r="O3185" s="5" t="str">
        <f ca="1">IF(P3185&lt;&gt;"EXPEDIÇÃO","Expedido",IF(NETWORKDAYS(C3185,TODAY())&gt;=5,"Risco Alto",IF(NETWORKDAYS(C3185,TODAY())&gt;=3,IF(NETWORKDAYS(C3185,TODAY())&lt;5,"Risco Médio",""),IF(NETWORKDAYS(C3185,TODAY())&lt;=2,"Risco Baixo",""))))</f>
        <v>Expedido</v>
      </c>
      <c r="P3185" s="5" t="s">
        <v>25</v>
      </c>
      <c r="S3185" s="7">
        <f>IF(ISBLANK(M3185),"Aguardando Previsão/Data",NETWORKDAYS(L3185,M3185)-1)</f>
        <v>-6</v>
      </c>
      <c r="T3185" s="5" t="s">
        <v>942</v>
      </c>
    </row>
    <row r="3186" spans="1:20" x14ac:dyDescent="0.35">
      <c r="A3186" s="5">
        <v>8100281593</v>
      </c>
      <c r="B3186" s="5">
        <v>19552</v>
      </c>
      <c r="C3186" s="6">
        <v>45680</v>
      </c>
      <c r="D3186" s="5" t="s">
        <v>106</v>
      </c>
      <c r="E3186" s="5" t="s">
        <v>107</v>
      </c>
      <c r="F3186" s="5" t="s">
        <v>53</v>
      </c>
      <c r="G3186" s="5" t="s">
        <v>54</v>
      </c>
      <c r="H3186" s="5" t="s">
        <v>108</v>
      </c>
      <c r="I3186" s="5" t="s">
        <v>128</v>
      </c>
      <c r="J3186" s="5" t="s">
        <v>283</v>
      </c>
      <c r="K3186" s="5" t="s">
        <v>110</v>
      </c>
      <c r="L3186" s="6">
        <v>45687</v>
      </c>
      <c r="M3186" s="6">
        <v>45685</v>
      </c>
      <c r="N3186" s="6" t="s">
        <v>811</v>
      </c>
      <c r="O3186" s="5" t="str">
        <f ca="1">IF(P3186&lt;&gt;"EXPEDIÇÃO","Expedido",IF(NETWORKDAYS(C3186,TODAY())&gt;=5,"Risco Alto",IF(NETWORKDAYS(C3186,TODAY())&gt;=3,IF(NETWORKDAYS(C3186,TODAY())&lt;5,"Risco Médio",""),IF(NETWORKDAYS(C3186,TODAY())&lt;=2,"Risco Baixo",""))))</f>
        <v>Expedido</v>
      </c>
      <c r="P3186" s="5" t="s">
        <v>25</v>
      </c>
      <c r="S3186" s="7">
        <f>IF(ISBLANK(M3186),"Aguardando Previsão/Data",NETWORKDAYS(L3186,M3186)-1)</f>
        <v>-4</v>
      </c>
      <c r="T3186" s="5" t="s">
        <v>942</v>
      </c>
    </row>
    <row r="3187" spans="1:20" x14ac:dyDescent="0.35">
      <c r="A3187" s="5">
        <v>8100281659</v>
      </c>
      <c r="B3187" s="5">
        <v>19557</v>
      </c>
      <c r="C3187" s="6">
        <v>45680</v>
      </c>
      <c r="D3187" s="5" t="s">
        <v>106</v>
      </c>
      <c r="E3187" s="5" t="s">
        <v>107</v>
      </c>
      <c r="F3187" s="5" t="s">
        <v>58</v>
      </c>
      <c r="G3187" s="5" t="s">
        <v>59</v>
      </c>
      <c r="H3187" s="5" t="s">
        <v>108</v>
      </c>
      <c r="I3187" s="5" t="s">
        <v>130</v>
      </c>
      <c r="J3187" s="5" t="s">
        <v>131</v>
      </c>
      <c r="K3187" s="5" t="s">
        <v>110</v>
      </c>
      <c r="L3187" s="6">
        <v>45686</v>
      </c>
      <c r="M3187" s="6">
        <v>45681</v>
      </c>
      <c r="N3187" s="6" t="s">
        <v>811</v>
      </c>
      <c r="O3187" s="5" t="str">
        <f ca="1">IF(P3187&lt;&gt;"EXPEDIÇÃO","Expedido",IF(NETWORKDAYS(C3187,TODAY())&gt;=5,"Risco Alto",IF(NETWORKDAYS(C3187,TODAY())&gt;=3,IF(NETWORKDAYS(C3187,TODAY())&lt;5,"Risco Médio",""),IF(NETWORKDAYS(C3187,TODAY())&lt;=2,"Risco Baixo",""))))</f>
        <v>Expedido</v>
      </c>
      <c r="P3187" s="5" t="s">
        <v>25</v>
      </c>
      <c r="S3187" s="7">
        <f>IF(ISBLANK(M3187),"Aguardando Previsão/Data",NETWORKDAYS(L3187,M3187)-1)</f>
        <v>-5</v>
      </c>
      <c r="T3187" s="5" t="s">
        <v>942</v>
      </c>
    </row>
    <row r="3188" spans="1:20" x14ac:dyDescent="0.35">
      <c r="A3188" s="5">
        <v>8100281660</v>
      </c>
      <c r="B3188" s="5">
        <v>19548</v>
      </c>
      <c r="C3188" s="6">
        <v>45680</v>
      </c>
      <c r="D3188" s="5" t="s">
        <v>106</v>
      </c>
      <c r="E3188" s="5" t="s">
        <v>107</v>
      </c>
      <c r="F3188" s="5" t="s">
        <v>58</v>
      </c>
      <c r="G3188" s="5" t="s">
        <v>59</v>
      </c>
      <c r="H3188" s="5" t="s">
        <v>108</v>
      </c>
      <c r="I3188" s="5" t="s">
        <v>1054</v>
      </c>
      <c r="J3188" s="5" t="s">
        <v>503</v>
      </c>
      <c r="K3188" s="5" t="s">
        <v>110</v>
      </c>
      <c r="L3188" s="6">
        <v>45687</v>
      </c>
      <c r="M3188" s="6">
        <v>45681</v>
      </c>
      <c r="N3188" s="6" t="s">
        <v>811</v>
      </c>
      <c r="O3188" s="5" t="str">
        <f ca="1">IF(P3188&lt;&gt;"EXPEDIÇÃO","Expedido",IF(NETWORKDAYS(C3188,TODAY())&gt;=5,"Risco Alto",IF(NETWORKDAYS(C3188,TODAY())&gt;=3,IF(NETWORKDAYS(C3188,TODAY())&lt;5,"Risco Médio",""),IF(NETWORKDAYS(C3188,TODAY())&lt;=2,"Risco Baixo",""))))</f>
        <v>Expedido</v>
      </c>
      <c r="P3188" s="5" t="s">
        <v>25</v>
      </c>
      <c r="S3188" s="7">
        <f>IF(ISBLANK(M3188),"Aguardando Previsão/Data",NETWORKDAYS(L3188,M3188)-1)</f>
        <v>-6</v>
      </c>
      <c r="T3188" s="5" t="s">
        <v>942</v>
      </c>
    </row>
    <row r="3189" spans="1:20" x14ac:dyDescent="0.35">
      <c r="A3189" s="5">
        <v>8100281661</v>
      </c>
      <c r="B3189" s="5">
        <v>19549</v>
      </c>
      <c r="C3189" s="6">
        <v>45680</v>
      </c>
      <c r="D3189" s="5" t="s">
        <v>106</v>
      </c>
      <c r="E3189" s="5" t="s">
        <v>107</v>
      </c>
      <c r="F3189" s="5" t="s">
        <v>58</v>
      </c>
      <c r="G3189" s="5" t="s">
        <v>59</v>
      </c>
      <c r="H3189" s="5" t="s">
        <v>108</v>
      </c>
      <c r="I3189" s="5" t="s">
        <v>1054</v>
      </c>
      <c r="J3189" s="5" t="s">
        <v>503</v>
      </c>
      <c r="K3189" s="5" t="s">
        <v>110</v>
      </c>
      <c r="L3189" s="6">
        <v>45687</v>
      </c>
      <c r="M3189" s="6">
        <v>45681</v>
      </c>
      <c r="N3189" s="6" t="s">
        <v>811</v>
      </c>
      <c r="O3189" s="5" t="str">
        <f ca="1">IF(P3189&lt;&gt;"EXPEDIÇÃO","Expedido",IF(NETWORKDAYS(C3189,TODAY())&gt;=5,"Risco Alto",IF(NETWORKDAYS(C3189,TODAY())&gt;=3,IF(NETWORKDAYS(C3189,TODAY())&lt;5,"Risco Médio",""),IF(NETWORKDAYS(C3189,TODAY())&lt;=2,"Risco Baixo",""))))</f>
        <v>Expedido</v>
      </c>
      <c r="P3189" s="5" t="s">
        <v>25</v>
      </c>
      <c r="S3189" s="7">
        <f>IF(ISBLANK(M3189),"Aguardando Previsão/Data",NETWORKDAYS(L3189,M3189)-1)</f>
        <v>-6</v>
      </c>
      <c r="T3189" s="5" t="s">
        <v>942</v>
      </c>
    </row>
    <row r="3190" spans="1:20" x14ac:dyDescent="0.35">
      <c r="A3190" s="5">
        <v>8100281662</v>
      </c>
      <c r="B3190" s="5">
        <v>19547</v>
      </c>
      <c r="C3190" s="6">
        <v>45680</v>
      </c>
      <c r="D3190" s="5" t="s">
        <v>106</v>
      </c>
      <c r="E3190" s="5" t="s">
        <v>107</v>
      </c>
      <c r="F3190" s="5" t="s">
        <v>58</v>
      </c>
      <c r="G3190" s="5" t="s">
        <v>59</v>
      </c>
      <c r="H3190" s="5" t="s">
        <v>108</v>
      </c>
      <c r="I3190" s="5" t="s">
        <v>115</v>
      </c>
      <c r="J3190" s="5" t="s">
        <v>125</v>
      </c>
      <c r="K3190" s="5" t="s">
        <v>110</v>
      </c>
      <c r="L3190" s="6">
        <v>45686</v>
      </c>
      <c r="M3190" s="6">
        <v>45681</v>
      </c>
      <c r="N3190" s="6" t="s">
        <v>811</v>
      </c>
      <c r="O3190" s="5" t="str">
        <f ca="1">IF(P3190&lt;&gt;"EXPEDIÇÃO","Expedido",IF(NETWORKDAYS(C3190,TODAY())&gt;=5,"Risco Alto",IF(NETWORKDAYS(C3190,TODAY())&gt;=3,IF(NETWORKDAYS(C3190,TODAY())&lt;5,"Risco Médio",""),IF(NETWORKDAYS(C3190,TODAY())&lt;=2,"Risco Baixo",""))))</f>
        <v>Expedido</v>
      </c>
      <c r="P3190" s="5" t="s">
        <v>25</v>
      </c>
      <c r="S3190" s="7">
        <f>IF(ISBLANK(M3190),"Aguardando Previsão/Data",NETWORKDAYS(L3190,M3190)-1)</f>
        <v>-5</v>
      </c>
      <c r="T3190" s="5" t="s">
        <v>942</v>
      </c>
    </row>
    <row r="3191" spans="1:20" x14ac:dyDescent="0.35">
      <c r="A3191" s="5">
        <v>8100281663</v>
      </c>
      <c r="B3191" s="5">
        <v>19554</v>
      </c>
      <c r="C3191" s="6">
        <v>45680</v>
      </c>
      <c r="D3191" s="5" t="s">
        <v>106</v>
      </c>
      <c r="E3191" s="5" t="s">
        <v>107</v>
      </c>
      <c r="F3191" s="5" t="s">
        <v>66</v>
      </c>
      <c r="G3191" s="5" t="s">
        <v>67</v>
      </c>
      <c r="H3191" s="5" t="s">
        <v>108</v>
      </c>
      <c r="I3191" s="5" t="s">
        <v>398</v>
      </c>
      <c r="J3191" s="5" t="s">
        <v>399</v>
      </c>
      <c r="K3191" s="5" t="s">
        <v>156</v>
      </c>
      <c r="L3191" s="6">
        <v>45693</v>
      </c>
      <c r="M3191" s="6">
        <v>45693</v>
      </c>
      <c r="N3191" s="6" t="s">
        <v>811</v>
      </c>
      <c r="O3191" s="5" t="str">
        <f ca="1">IF(P3191&lt;&gt;"EXPEDIÇÃO","Expedido",IF(NETWORKDAYS(C3191,TODAY())&gt;=5,"Risco Alto",IF(NETWORKDAYS(C3191,TODAY())&gt;=3,IF(NETWORKDAYS(C3191,TODAY())&lt;5,"Risco Médio",""),IF(NETWORKDAYS(C3191,TODAY())&lt;=2,"Risco Baixo",""))))</f>
        <v>Expedido</v>
      </c>
      <c r="P3191" s="5" t="s">
        <v>617</v>
      </c>
      <c r="Q3191" s="5" t="s">
        <v>1619</v>
      </c>
      <c r="S3191" s="7">
        <f>IF(ISBLANK(M3191),"Aguardando Previsão/Data",NETWORKDAYS(L3191,M3191)-1)</f>
        <v>0</v>
      </c>
    </row>
    <row r="3192" spans="1:20" x14ac:dyDescent="0.35">
      <c r="A3192" s="5">
        <v>8100281664</v>
      </c>
      <c r="B3192" s="5">
        <v>19555</v>
      </c>
      <c r="C3192" s="6">
        <v>45680</v>
      </c>
      <c r="D3192" s="5" t="s">
        <v>106</v>
      </c>
      <c r="E3192" s="5" t="s">
        <v>107</v>
      </c>
      <c r="F3192" s="5" t="s">
        <v>66</v>
      </c>
      <c r="G3192" s="5" t="s">
        <v>67</v>
      </c>
      <c r="H3192" s="5" t="s">
        <v>108</v>
      </c>
      <c r="I3192" s="5" t="s">
        <v>398</v>
      </c>
      <c r="J3192" s="5" t="s">
        <v>399</v>
      </c>
      <c r="K3192" s="5" t="s">
        <v>156</v>
      </c>
      <c r="L3192" s="6">
        <v>45693</v>
      </c>
      <c r="M3192" s="6">
        <v>45693</v>
      </c>
      <c r="N3192" s="6" t="s">
        <v>811</v>
      </c>
      <c r="O3192" s="5" t="str">
        <f ca="1">IF(P3192&lt;&gt;"EXPEDIÇÃO","Expedido",IF(NETWORKDAYS(C3192,TODAY())&gt;=5,"Risco Alto",IF(NETWORKDAYS(C3192,TODAY())&gt;=3,IF(NETWORKDAYS(C3192,TODAY())&lt;5,"Risco Médio",""),IF(NETWORKDAYS(C3192,TODAY())&lt;=2,"Risco Baixo",""))))</f>
        <v>Expedido</v>
      </c>
      <c r="P3192" s="5" t="s">
        <v>617</v>
      </c>
      <c r="Q3192" s="5" t="s">
        <v>1619</v>
      </c>
      <c r="S3192" s="7">
        <f>IF(ISBLANK(M3192),"Aguardando Previsão/Data",NETWORKDAYS(L3192,M3192)-1)</f>
        <v>0</v>
      </c>
    </row>
    <row r="3193" spans="1:20" x14ac:dyDescent="0.35">
      <c r="A3193" s="5">
        <v>8100281758</v>
      </c>
      <c r="B3193" s="5">
        <v>19553</v>
      </c>
      <c r="C3193" s="6">
        <v>45680</v>
      </c>
      <c r="D3193" s="5" t="s">
        <v>106</v>
      </c>
      <c r="E3193" s="5" t="s">
        <v>107</v>
      </c>
      <c r="F3193" s="5" t="s">
        <v>58</v>
      </c>
      <c r="G3193" s="5" t="s">
        <v>59</v>
      </c>
      <c r="H3193" s="5" t="s">
        <v>108</v>
      </c>
      <c r="I3193" s="5" t="s">
        <v>501</v>
      </c>
      <c r="J3193" s="5" t="s">
        <v>502</v>
      </c>
      <c r="K3193" s="5" t="s">
        <v>110</v>
      </c>
      <c r="L3193" s="6">
        <v>45687</v>
      </c>
      <c r="M3193" s="6">
        <v>45684</v>
      </c>
      <c r="N3193" s="6" t="s">
        <v>811</v>
      </c>
      <c r="O3193" s="5" t="str">
        <f ca="1">IF(P3193&lt;&gt;"EXPEDIÇÃO","Expedido",IF(NETWORKDAYS(C3193,TODAY())&gt;=5,"Risco Alto",IF(NETWORKDAYS(C3193,TODAY())&gt;=3,IF(NETWORKDAYS(C3193,TODAY())&lt;5,"Risco Médio",""),IF(NETWORKDAYS(C3193,TODAY())&lt;=2,"Risco Baixo",""))))</f>
        <v>Expedido</v>
      </c>
      <c r="P3193" s="5" t="s">
        <v>25</v>
      </c>
      <c r="S3193" s="7">
        <f>IF(ISBLANK(M3193),"Aguardando Previsão/Data",NETWORKDAYS(L3193,M3193)-1)</f>
        <v>-5</v>
      </c>
      <c r="T3193" s="5" t="s">
        <v>942</v>
      </c>
    </row>
    <row r="3194" spans="1:20" x14ac:dyDescent="0.35">
      <c r="A3194" s="5">
        <v>8100281789</v>
      </c>
      <c r="B3194" s="5">
        <v>19556</v>
      </c>
      <c r="C3194" s="6">
        <v>45680</v>
      </c>
      <c r="D3194" s="5" t="s">
        <v>106</v>
      </c>
      <c r="E3194" s="5" t="s">
        <v>107</v>
      </c>
      <c r="F3194" s="5" t="s">
        <v>53</v>
      </c>
      <c r="G3194" s="5" t="s">
        <v>54</v>
      </c>
      <c r="H3194" s="5" t="s">
        <v>108</v>
      </c>
      <c r="I3194" s="5" t="s">
        <v>280</v>
      </c>
      <c r="J3194" s="5" t="s">
        <v>281</v>
      </c>
      <c r="K3194" s="5" t="s">
        <v>110</v>
      </c>
      <c r="L3194" s="6">
        <v>45687</v>
      </c>
      <c r="M3194" s="6">
        <v>45685</v>
      </c>
      <c r="N3194" s="6" t="s">
        <v>811</v>
      </c>
      <c r="O3194" s="5" t="str">
        <f ca="1">IF(P3194&lt;&gt;"EXPEDIÇÃO","Expedido",IF(NETWORKDAYS(C3194,TODAY())&gt;=5,"Risco Alto",IF(NETWORKDAYS(C3194,TODAY())&gt;=3,IF(NETWORKDAYS(C3194,TODAY())&lt;5,"Risco Médio",""),IF(NETWORKDAYS(C3194,TODAY())&lt;=2,"Risco Baixo",""))))</f>
        <v>Expedido</v>
      </c>
      <c r="P3194" s="5" t="s">
        <v>25</v>
      </c>
      <c r="S3194" s="7">
        <f>IF(ISBLANK(M3194),"Aguardando Previsão/Data",NETWORKDAYS(L3194,M3194)-1)</f>
        <v>-4</v>
      </c>
      <c r="T3194" s="5" t="s">
        <v>942</v>
      </c>
    </row>
    <row r="3195" spans="1:20" x14ac:dyDescent="0.35">
      <c r="A3195" s="5">
        <v>8100281938</v>
      </c>
      <c r="B3195" s="5">
        <v>19570</v>
      </c>
      <c r="C3195" s="6">
        <v>45680</v>
      </c>
      <c r="D3195" s="5" t="s">
        <v>106</v>
      </c>
      <c r="E3195" s="5" t="s">
        <v>107</v>
      </c>
      <c r="F3195" s="5" t="s">
        <v>66</v>
      </c>
      <c r="G3195" s="5" t="s">
        <v>67</v>
      </c>
      <c r="H3195" s="5" t="s">
        <v>108</v>
      </c>
      <c r="I3195" s="5" t="s">
        <v>1517</v>
      </c>
      <c r="J3195" s="5" t="s">
        <v>1518</v>
      </c>
      <c r="K3195" s="5" t="s">
        <v>156</v>
      </c>
      <c r="L3195" s="6">
        <v>45691</v>
      </c>
      <c r="M3195" s="6">
        <v>45691</v>
      </c>
      <c r="N3195" s="6" t="s">
        <v>811</v>
      </c>
      <c r="O3195" s="5" t="str">
        <f ca="1">IF(P3195&lt;&gt;"EXPEDIÇÃO","Expedido",IF(NETWORKDAYS(C3195,TODAY())&gt;=5,"Risco Alto",IF(NETWORKDAYS(C3195,TODAY())&gt;=3,IF(NETWORKDAYS(C3195,TODAY())&lt;5,"Risco Médio",""),IF(NETWORKDAYS(C3195,TODAY())&lt;=2,"Risco Baixo",""))))</f>
        <v>Expedido</v>
      </c>
      <c r="P3195" s="5" t="s">
        <v>617</v>
      </c>
      <c r="Q3195" s="5" t="s">
        <v>1620</v>
      </c>
      <c r="S3195" s="7">
        <f>IF(ISBLANK(M3195),"Aguardando Previsão/Data",NETWORKDAYS(L3195,M3195)-1)</f>
        <v>0</v>
      </c>
    </row>
    <row r="3196" spans="1:20" x14ac:dyDescent="0.35">
      <c r="A3196" s="5">
        <v>8100281941</v>
      </c>
      <c r="B3196" s="5">
        <v>19569</v>
      </c>
      <c r="C3196" s="6">
        <v>45680</v>
      </c>
      <c r="D3196" s="5" t="s">
        <v>106</v>
      </c>
      <c r="E3196" s="5" t="s">
        <v>107</v>
      </c>
      <c r="F3196" s="5" t="s">
        <v>58</v>
      </c>
      <c r="G3196" s="5" t="s">
        <v>59</v>
      </c>
      <c r="H3196" s="5" t="s">
        <v>108</v>
      </c>
      <c r="I3196" s="5" t="s">
        <v>130</v>
      </c>
      <c r="J3196" s="5" t="s">
        <v>131</v>
      </c>
      <c r="K3196" s="5" t="s">
        <v>110</v>
      </c>
      <c r="L3196" s="6">
        <v>45686</v>
      </c>
      <c r="M3196" s="6">
        <v>45685</v>
      </c>
      <c r="N3196" s="6" t="s">
        <v>811</v>
      </c>
      <c r="O3196" s="5" t="str">
        <f ca="1">IF(P3196&lt;&gt;"EXPEDIÇÃO","Expedido",IF(NETWORKDAYS(C3196,TODAY())&gt;=5,"Risco Alto",IF(NETWORKDAYS(C3196,TODAY())&gt;=3,IF(NETWORKDAYS(C3196,TODAY())&lt;5,"Risco Médio",""),IF(NETWORKDAYS(C3196,TODAY())&lt;=2,"Risco Baixo",""))))</f>
        <v>Expedido</v>
      </c>
      <c r="P3196" s="5" t="s">
        <v>25</v>
      </c>
      <c r="S3196" s="7">
        <f>IF(ISBLANK(M3196),"Aguardando Previsão/Data",NETWORKDAYS(L3196,M3196)-1)</f>
        <v>-3</v>
      </c>
      <c r="T3196" s="5" t="s">
        <v>942</v>
      </c>
    </row>
    <row r="3197" spans="1:20" x14ac:dyDescent="0.35">
      <c r="A3197" s="5">
        <v>8100281942</v>
      </c>
      <c r="B3197" s="5">
        <v>19588</v>
      </c>
      <c r="C3197" s="6">
        <v>45680</v>
      </c>
      <c r="D3197" s="5" t="s">
        <v>106</v>
      </c>
      <c r="E3197" s="5" t="s">
        <v>107</v>
      </c>
      <c r="F3197" s="5" t="s">
        <v>58</v>
      </c>
      <c r="G3197" s="5" t="s">
        <v>59</v>
      </c>
      <c r="H3197" s="5" t="s">
        <v>108</v>
      </c>
      <c r="I3197" s="5" t="s">
        <v>140</v>
      </c>
      <c r="J3197" s="5" t="s">
        <v>141</v>
      </c>
      <c r="K3197" s="5" t="s">
        <v>110</v>
      </c>
      <c r="L3197" s="6">
        <v>45686</v>
      </c>
      <c r="M3197" s="6">
        <v>45680</v>
      </c>
      <c r="N3197" s="6" t="s">
        <v>811</v>
      </c>
      <c r="O3197" s="5" t="str">
        <f ca="1">IF(P3197&lt;&gt;"EXPEDIÇÃO","Expedido",IF(NETWORKDAYS(C3197,TODAY())&gt;=5,"Risco Alto",IF(NETWORKDAYS(C3197,TODAY())&gt;=3,IF(NETWORKDAYS(C3197,TODAY())&lt;5,"Risco Médio",""),IF(NETWORKDAYS(C3197,TODAY())&lt;=2,"Risco Baixo",""))))</f>
        <v>Expedido</v>
      </c>
      <c r="P3197" s="5" t="s">
        <v>25</v>
      </c>
      <c r="Q3197" s="5" t="s">
        <v>900</v>
      </c>
      <c r="S3197" s="7">
        <f>IF(ISBLANK(M3197),"Aguardando Previsão/Data",NETWORKDAYS(L3197,M3197)-1)</f>
        <v>-6</v>
      </c>
      <c r="T3197" s="5" t="s">
        <v>942</v>
      </c>
    </row>
    <row r="3198" spans="1:20" x14ac:dyDescent="0.35">
      <c r="A3198" s="5">
        <v>8100281944</v>
      </c>
      <c r="B3198" s="5">
        <v>19568</v>
      </c>
      <c r="C3198" s="6">
        <v>45680</v>
      </c>
      <c r="D3198" s="5" t="s">
        <v>106</v>
      </c>
      <c r="E3198" s="5" t="s">
        <v>107</v>
      </c>
      <c r="F3198" s="5" t="s">
        <v>53</v>
      </c>
      <c r="G3198" s="5" t="s">
        <v>54</v>
      </c>
      <c r="H3198" s="5" t="s">
        <v>108</v>
      </c>
      <c r="I3198" s="5" t="s">
        <v>341</v>
      </c>
      <c r="J3198" s="5" t="s">
        <v>109</v>
      </c>
      <c r="K3198" s="5" t="s">
        <v>110</v>
      </c>
      <c r="L3198" s="6">
        <v>45687</v>
      </c>
      <c r="M3198" s="6">
        <v>45685</v>
      </c>
      <c r="N3198" s="6" t="s">
        <v>811</v>
      </c>
      <c r="O3198" s="5" t="str">
        <f ca="1">IF(P3198&lt;&gt;"EXPEDIÇÃO","Expedido",IF(NETWORKDAYS(C3198,TODAY())&gt;=5,"Risco Alto",IF(NETWORKDAYS(C3198,TODAY())&gt;=3,IF(NETWORKDAYS(C3198,TODAY())&lt;5,"Risco Médio",""),IF(NETWORKDAYS(C3198,TODAY())&lt;=2,"Risco Baixo",""))))</f>
        <v>Expedido</v>
      </c>
      <c r="P3198" s="5" t="s">
        <v>25</v>
      </c>
      <c r="S3198" s="7">
        <f>IF(ISBLANK(M3198),"Aguardando Previsão/Data",NETWORKDAYS(L3198,M3198)-1)</f>
        <v>-4</v>
      </c>
      <c r="T3198" s="5" t="s">
        <v>942</v>
      </c>
    </row>
    <row r="3199" spans="1:20" x14ac:dyDescent="0.35">
      <c r="A3199" s="5">
        <v>8100281946</v>
      </c>
      <c r="B3199" s="5">
        <v>19559</v>
      </c>
      <c r="C3199" s="6">
        <v>45680</v>
      </c>
      <c r="D3199" s="5" t="s">
        <v>106</v>
      </c>
      <c r="E3199" s="5" t="s">
        <v>107</v>
      </c>
      <c r="F3199" s="5" t="s">
        <v>329</v>
      </c>
      <c r="G3199" s="5" t="s">
        <v>330</v>
      </c>
      <c r="H3199" s="5" t="s">
        <v>108</v>
      </c>
      <c r="I3199" s="5" t="s">
        <v>311</v>
      </c>
      <c r="J3199" s="5" t="s">
        <v>338</v>
      </c>
      <c r="K3199" s="5" t="s">
        <v>110</v>
      </c>
      <c r="L3199" s="6">
        <v>45688</v>
      </c>
      <c r="M3199" s="6">
        <v>45685</v>
      </c>
      <c r="N3199" s="6" t="s">
        <v>811</v>
      </c>
      <c r="O3199" s="5" t="str">
        <f ca="1">IF(P3199&lt;&gt;"EXPEDIÇÃO","Expedido",IF(NETWORKDAYS(C3199,TODAY())&gt;=5,"Risco Alto",IF(NETWORKDAYS(C3199,TODAY())&gt;=3,IF(NETWORKDAYS(C3199,TODAY())&lt;5,"Risco Médio",""),IF(NETWORKDAYS(C3199,TODAY())&lt;=2,"Risco Baixo",""))))</f>
        <v>Expedido</v>
      </c>
      <c r="P3199" s="5" t="s">
        <v>25</v>
      </c>
      <c r="Q3199" s="5" t="s">
        <v>897</v>
      </c>
      <c r="S3199" s="7">
        <f>IF(ISBLANK(M3199),"Aguardando Previsão/Data",NETWORKDAYS(L3199,M3199)-1)</f>
        <v>-5</v>
      </c>
      <c r="T3199" s="5" t="s">
        <v>942</v>
      </c>
    </row>
    <row r="3200" spans="1:20" x14ac:dyDescent="0.35">
      <c r="A3200" s="5">
        <v>8100281948</v>
      </c>
      <c r="B3200" s="5">
        <v>19563</v>
      </c>
      <c r="C3200" s="6">
        <v>45680</v>
      </c>
      <c r="D3200" s="5" t="s">
        <v>106</v>
      </c>
      <c r="E3200" s="5" t="s">
        <v>107</v>
      </c>
      <c r="F3200" s="5" t="s">
        <v>111</v>
      </c>
      <c r="G3200" s="5" t="s">
        <v>112</v>
      </c>
      <c r="H3200" s="5" t="s">
        <v>108</v>
      </c>
      <c r="I3200" s="5" t="s">
        <v>115</v>
      </c>
      <c r="J3200" s="5" t="s">
        <v>117</v>
      </c>
      <c r="K3200" s="5" t="s">
        <v>110</v>
      </c>
      <c r="L3200" s="6">
        <v>45687</v>
      </c>
      <c r="M3200" s="6">
        <v>45684</v>
      </c>
      <c r="N3200" s="6" t="s">
        <v>811</v>
      </c>
      <c r="O3200" s="5" t="str">
        <f ca="1">IF(P3200&lt;&gt;"EXPEDIÇÃO","Expedido",IF(NETWORKDAYS(C3200,TODAY())&gt;=5,"Risco Alto",IF(NETWORKDAYS(C3200,TODAY())&gt;=3,IF(NETWORKDAYS(C3200,TODAY())&lt;5,"Risco Médio",""),IF(NETWORKDAYS(C3200,TODAY())&lt;=2,"Risco Baixo",""))))</f>
        <v>Expedido</v>
      </c>
      <c r="P3200" s="5" t="s">
        <v>25</v>
      </c>
      <c r="S3200" s="7">
        <f>IF(ISBLANK(M3200),"Aguardando Previsão/Data",NETWORKDAYS(L3200,M3200)-1)</f>
        <v>-5</v>
      </c>
      <c r="T3200" s="5" t="s">
        <v>942</v>
      </c>
    </row>
    <row r="3201" spans="1:20" x14ac:dyDescent="0.35">
      <c r="A3201" s="5">
        <v>8100281949</v>
      </c>
      <c r="B3201" s="5">
        <v>19562</v>
      </c>
      <c r="C3201" s="6">
        <v>45680</v>
      </c>
      <c r="D3201" s="5" t="s">
        <v>106</v>
      </c>
      <c r="E3201" s="5" t="s">
        <v>107</v>
      </c>
      <c r="F3201" s="5" t="s">
        <v>53</v>
      </c>
      <c r="G3201" s="5" t="s">
        <v>54</v>
      </c>
      <c r="H3201" s="5" t="s">
        <v>108</v>
      </c>
      <c r="I3201" s="5" t="s">
        <v>851</v>
      </c>
      <c r="J3201" s="5" t="s">
        <v>135</v>
      </c>
      <c r="K3201" s="5" t="s">
        <v>110</v>
      </c>
      <c r="L3201" s="6">
        <v>45688</v>
      </c>
      <c r="M3201" s="6">
        <v>45684</v>
      </c>
      <c r="N3201" s="6" t="s">
        <v>811</v>
      </c>
      <c r="O3201" s="5" t="str">
        <f ca="1">IF(P3201&lt;&gt;"EXPEDIÇÃO","Expedido",IF(NETWORKDAYS(C3201,TODAY())&gt;=5,"Risco Alto",IF(NETWORKDAYS(C3201,TODAY())&gt;=3,IF(NETWORKDAYS(C3201,TODAY())&lt;5,"Risco Médio",""),IF(NETWORKDAYS(C3201,TODAY())&lt;=2,"Risco Baixo",""))))</f>
        <v>Expedido</v>
      </c>
      <c r="P3201" s="5" t="s">
        <v>25</v>
      </c>
      <c r="S3201" s="7">
        <f>IF(ISBLANK(M3201),"Aguardando Previsão/Data",NETWORKDAYS(L3201,M3201)-1)</f>
        <v>-6</v>
      </c>
      <c r="T3201" s="5" t="s">
        <v>942</v>
      </c>
    </row>
    <row r="3202" spans="1:20" x14ac:dyDescent="0.35">
      <c r="A3202" s="5">
        <v>8100281951</v>
      </c>
      <c r="B3202" s="5">
        <v>19566</v>
      </c>
      <c r="C3202" s="6">
        <v>45680</v>
      </c>
      <c r="D3202" s="5" t="s">
        <v>106</v>
      </c>
      <c r="E3202" s="5" t="s">
        <v>107</v>
      </c>
      <c r="F3202" s="5" t="s">
        <v>69</v>
      </c>
      <c r="G3202" s="5" t="s">
        <v>70</v>
      </c>
      <c r="H3202" s="5" t="s">
        <v>108</v>
      </c>
      <c r="I3202" s="5" t="s">
        <v>278</v>
      </c>
      <c r="J3202" s="5" t="s">
        <v>279</v>
      </c>
      <c r="K3202" s="5" t="s">
        <v>110</v>
      </c>
      <c r="L3202" s="6">
        <v>45687</v>
      </c>
      <c r="M3202" s="6">
        <v>45692</v>
      </c>
      <c r="N3202" s="6" t="s">
        <v>811</v>
      </c>
      <c r="O3202" s="5" t="str">
        <f ca="1">IF(P3202&lt;&gt;"EXPEDIÇÃO","Expedido",IF(NETWORKDAYS(C3202,TODAY())&gt;=5,"Risco Alto",IF(NETWORKDAYS(C3202,TODAY())&gt;=3,IF(NETWORKDAYS(C3202,TODAY())&lt;5,"Risco Médio",""),IF(NETWORKDAYS(C3202,TODAY())&lt;=2,"Risco Baixo",""))))</f>
        <v>Risco Alto</v>
      </c>
      <c r="P3202" s="5" t="s">
        <v>726</v>
      </c>
      <c r="Q3202" s="5" t="s">
        <v>897</v>
      </c>
      <c r="R3202" s="5" t="s">
        <v>1616</v>
      </c>
      <c r="S3202" s="7">
        <f>IF(ISBLANK(M3202),"Aguardando Previsão/Data",NETWORKDAYS(L3202,M3202)-1)</f>
        <v>3</v>
      </c>
    </row>
    <row r="3203" spans="1:20" x14ac:dyDescent="0.35">
      <c r="A3203" s="5">
        <v>8100281952</v>
      </c>
      <c r="B3203" s="5">
        <v>19567</v>
      </c>
      <c r="C3203" s="6">
        <v>45680</v>
      </c>
      <c r="D3203" s="5" t="s">
        <v>106</v>
      </c>
      <c r="E3203" s="5" t="s">
        <v>107</v>
      </c>
      <c r="F3203" s="5" t="s">
        <v>69</v>
      </c>
      <c r="G3203" s="5" t="s">
        <v>70</v>
      </c>
      <c r="H3203" s="5" t="s">
        <v>108</v>
      </c>
      <c r="I3203" s="5" t="s">
        <v>278</v>
      </c>
      <c r="J3203" s="5" t="s">
        <v>279</v>
      </c>
      <c r="K3203" s="5" t="s">
        <v>110</v>
      </c>
      <c r="L3203" s="6">
        <v>45687</v>
      </c>
      <c r="M3203" s="6">
        <v>45692</v>
      </c>
      <c r="N3203" s="6" t="s">
        <v>811</v>
      </c>
      <c r="O3203" s="5" t="str">
        <f ca="1">IF(P3203&lt;&gt;"EXPEDIÇÃO","Expedido",IF(NETWORKDAYS(C3203,TODAY())&gt;=5,"Risco Alto",IF(NETWORKDAYS(C3203,TODAY())&gt;=3,IF(NETWORKDAYS(C3203,TODAY())&lt;5,"Risco Médio",""),IF(NETWORKDAYS(C3203,TODAY())&lt;=2,"Risco Baixo",""))))</f>
        <v>Risco Alto</v>
      </c>
      <c r="P3203" s="5" t="s">
        <v>726</v>
      </c>
      <c r="Q3203" s="5" t="s">
        <v>897</v>
      </c>
      <c r="R3203" s="5" t="s">
        <v>1616</v>
      </c>
      <c r="S3203" s="7">
        <f>IF(ISBLANK(M3203),"Aguardando Previsão/Data",NETWORKDAYS(L3203,M3203)-1)</f>
        <v>3</v>
      </c>
    </row>
    <row r="3204" spans="1:20" x14ac:dyDescent="0.35">
      <c r="A3204" s="5">
        <v>8100281953</v>
      </c>
      <c r="B3204" s="5">
        <v>19560</v>
      </c>
      <c r="C3204" s="6">
        <v>45680</v>
      </c>
      <c r="D3204" s="5" t="s">
        <v>106</v>
      </c>
      <c r="E3204" s="5" t="s">
        <v>107</v>
      </c>
      <c r="F3204" s="5" t="s">
        <v>111</v>
      </c>
      <c r="G3204" s="5" t="s">
        <v>112</v>
      </c>
      <c r="H3204" s="5" t="s">
        <v>108</v>
      </c>
      <c r="I3204" s="5" t="s">
        <v>115</v>
      </c>
      <c r="J3204" s="5" t="s">
        <v>343</v>
      </c>
      <c r="K3204" s="5" t="s">
        <v>110</v>
      </c>
      <c r="L3204" s="6">
        <v>45688</v>
      </c>
      <c r="M3204" s="6">
        <v>45685</v>
      </c>
      <c r="N3204" s="6" t="s">
        <v>811</v>
      </c>
      <c r="O3204" s="5" t="str">
        <f ca="1">IF(P3204&lt;&gt;"EXPEDIÇÃO","Expedido",IF(NETWORKDAYS(C3204,TODAY())&gt;=5,"Risco Alto",IF(NETWORKDAYS(C3204,TODAY())&gt;=3,IF(NETWORKDAYS(C3204,TODAY())&lt;5,"Risco Médio",""),IF(NETWORKDAYS(C3204,TODAY())&lt;=2,"Risco Baixo",""))))</f>
        <v>Expedido</v>
      </c>
      <c r="P3204" s="5" t="s">
        <v>25</v>
      </c>
      <c r="S3204" s="7">
        <f>IF(ISBLANK(M3204),"Aguardando Previsão/Data",NETWORKDAYS(L3204,M3204)-1)</f>
        <v>-5</v>
      </c>
      <c r="T3204" s="5" t="s">
        <v>942</v>
      </c>
    </row>
    <row r="3205" spans="1:20" x14ac:dyDescent="0.35">
      <c r="A3205" s="5">
        <v>8100281954</v>
      </c>
      <c r="B3205" s="5">
        <v>19561</v>
      </c>
      <c r="C3205" s="6">
        <v>45680</v>
      </c>
      <c r="D3205" s="5" t="s">
        <v>106</v>
      </c>
      <c r="E3205" s="5" t="s">
        <v>107</v>
      </c>
      <c r="F3205" s="5" t="s">
        <v>69</v>
      </c>
      <c r="G3205" s="5" t="s">
        <v>70</v>
      </c>
      <c r="H3205" s="5" t="s">
        <v>108</v>
      </c>
      <c r="I3205" s="5" t="s">
        <v>64</v>
      </c>
      <c r="J3205" s="5" t="s">
        <v>537</v>
      </c>
      <c r="K3205" s="5" t="s">
        <v>110</v>
      </c>
      <c r="L3205" s="6">
        <v>45688</v>
      </c>
      <c r="M3205" s="6">
        <v>45685</v>
      </c>
      <c r="N3205" s="6" t="s">
        <v>811</v>
      </c>
      <c r="O3205" s="5" t="str">
        <f ca="1">IF(P3205&lt;&gt;"EXPEDIÇÃO","Expedido",IF(NETWORKDAYS(C3205,TODAY())&gt;=5,"Risco Alto",IF(NETWORKDAYS(C3205,TODAY())&gt;=3,IF(NETWORKDAYS(C3205,TODAY())&lt;5,"Risco Médio",""),IF(NETWORKDAYS(C3205,TODAY())&lt;=2,"Risco Baixo",""))))</f>
        <v>Expedido</v>
      </c>
      <c r="P3205" s="5" t="s">
        <v>25</v>
      </c>
      <c r="S3205" s="7">
        <f>IF(ISBLANK(M3205),"Aguardando Previsão/Data",NETWORKDAYS(L3205,M3205)-1)</f>
        <v>-5</v>
      </c>
      <c r="T3205" s="5" t="s">
        <v>942</v>
      </c>
    </row>
    <row r="3206" spans="1:20" x14ac:dyDescent="0.35">
      <c r="A3206" s="5">
        <v>8100281955</v>
      </c>
      <c r="B3206" s="5">
        <v>19584</v>
      </c>
      <c r="C3206" s="6">
        <v>45680</v>
      </c>
      <c r="D3206" s="5" t="s">
        <v>106</v>
      </c>
      <c r="E3206" s="5" t="s">
        <v>107</v>
      </c>
      <c r="F3206" s="5" t="s">
        <v>53</v>
      </c>
      <c r="G3206" s="5" t="s">
        <v>54</v>
      </c>
      <c r="H3206" s="5" t="s">
        <v>108</v>
      </c>
      <c r="I3206" s="5" t="s">
        <v>1073</v>
      </c>
      <c r="J3206" s="5" t="s">
        <v>109</v>
      </c>
      <c r="K3206" s="5" t="s">
        <v>110</v>
      </c>
      <c r="L3206" s="6">
        <v>45687</v>
      </c>
      <c r="M3206" s="6">
        <v>45685</v>
      </c>
      <c r="N3206" s="6" t="s">
        <v>811</v>
      </c>
      <c r="O3206" s="5" t="str">
        <f ca="1">IF(P3206&lt;&gt;"EXPEDIÇÃO","Expedido",IF(NETWORKDAYS(C3206,TODAY())&gt;=5,"Risco Alto",IF(NETWORKDAYS(C3206,TODAY())&gt;=3,IF(NETWORKDAYS(C3206,TODAY())&lt;5,"Risco Médio",""),IF(NETWORKDAYS(C3206,TODAY())&lt;=2,"Risco Baixo",""))))</f>
        <v>Expedido</v>
      </c>
      <c r="P3206" s="5" t="s">
        <v>25</v>
      </c>
      <c r="S3206" s="7">
        <f>IF(ISBLANK(M3206),"Aguardando Previsão/Data",NETWORKDAYS(L3206,M3206)-1)</f>
        <v>-4</v>
      </c>
      <c r="T3206" s="5" t="s">
        <v>942</v>
      </c>
    </row>
    <row r="3207" spans="1:20" x14ac:dyDescent="0.35">
      <c r="A3207" s="5">
        <v>8100281973</v>
      </c>
      <c r="B3207" s="5">
        <v>19583</v>
      </c>
      <c r="C3207" s="6">
        <v>45680</v>
      </c>
      <c r="D3207" s="5" t="s">
        <v>106</v>
      </c>
      <c r="E3207" s="5" t="s">
        <v>107</v>
      </c>
      <c r="F3207" s="5" t="s">
        <v>111</v>
      </c>
      <c r="G3207" s="5" t="s">
        <v>112</v>
      </c>
      <c r="H3207" s="5" t="s">
        <v>108</v>
      </c>
      <c r="I3207" s="5" t="s">
        <v>120</v>
      </c>
      <c r="J3207" s="5" t="s">
        <v>121</v>
      </c>
      <c r="K3207" s="5" t="s">
        <v>110</v>
      </c>
      <c r="L3207" s="6">
        <v>45687</v>
      </c>
      <c r="M3207" s="6">
        <v>45684</v>
      </c>
      <c r="N3207" s="6" t="s">
        <v>811</v>
      </c>
      <c r="O3207" s="5" t="str">
        <f ca="1">IF(P3207&lt;&gt;"EXPEDIÇÃO","Expedido",IF(NETWORKDAYS(C3207,TODAY())&gt;=5,"Risco Alto",IF(NETWORKDAYS(C3207,TODAY())&gt;=3,IF(NETWORKDAYS(C3207,TODAY())&lt;5,"Risco Médio",""),IF(NETWORKDAYS(C3207,TODAY())&lt;=2,"Risco Baixo",""))))</f>
        <v>Expedido</v>
      </c>
      <c r="P3207" s="5" t="s">
        <v>25</v>
      </c>
      <c r="S3207" s="7">
        <f>IF(ISBLANK(M3207),"Aguardando Previsão/Data",NETWORKDAYS(L3207,M3207)-1)</f>
        <v>-5</v>
      </c>
      <c r="T3207" s="5" t="s">
        <v>942</v>
      </c>
    </row>
    <row r="3208" spans="1:20" x14ac:dyDescent="0.35">
      <c r="A3208" s="5">
        <v>8100281974</v>
      </c>
      <c r="B3208" s="5">
        <v>19580</v>
      </c>
      <c r="C3208" s="6">
        <v>45680</v>
      </c>
      <c r="D3208" s="5" t="s">
        <v>106</v>
      </c>
      <c r="E3208" s="5" t="s">
        <v>107</v>
      </c>
      <c r="F3208" s="5" t="s">
        <v>58</v>
      </c>
      <c r="G3208" s="5" t="s">
        <v>59</v>
      </c>
      <c r="H3208" s="5" t="s">
        <v>108</v>
      </c>
      <c r="I3208" s="5" t="s">
        <v>504</v>
      </c>
      <c r="J3208" s="5" t="s">
        <v>340</v>
      </c>
      <c r="K3208" s="5" t="s">
        <v>110</v>
      </c>
      <c r="L3208" s="6">
        <v>45686</v>
      </c>
      <c r="M3208" s="6">
        <v>45684</v>
      </c>
      <c r="N3208" s="6" t="s">
        <v>811</v>
      </c>
      <c r="O3208" s="5" t="str">
        <f ca="1">IF(P3208&lt;&gt;"EXPEDIÇÃO","Expedido",IF(NETWORKDAYS(C3208,TODAY())&gt;=5,"Risco Alto",IF(NETWORKDAYS(C3208,TODAY())&gt;=3,IF(NETWORKDAYS(C3208,TODAY())&lt;5,"Risco Médio",""),IF(NETWORKDAYS(C3208,TODAY())&lt;=2,"Risco Baixo",""))))</f>
        <v>Expedido</v>
      </c>
      <c r="P3208" s="5" t="s">
        <v>25</v>
      </c>
      <c r="S3208" s="7">
        <f>IF(ISBLANK(M3208),"Aguardando Previsão/Data",NETWORKDAYS(L3208,M3208)-1)</f>
        <v>-4</v>
      </c>
      <c r="T3208" s="5" t="s">
        <v>942</v>
      </c>
    </row>
    <row r="3209" spans="1:20" x14ac:dyDescent="0.35">
      <c r="A3209" s="5">
        <v>8100281976</v>
      </c>
      <c r="B3209" s="5">
        <v>19564</v>
      </c>
      <c r="C3209" s="6">
        <v>45680</v>
      </c>
      <c r="D3209" s="5" t="s">
        <v>106</v>
      </c>
      <c r="E3209" s="5" t="s">
        <v>107</v>
      </c>
      <c r="F3209" s="5" t="s">
        <v>66</v>
      </c>
      <c r="G3209" s="5" t="s">
        <v>67</v>
      </c>
      <c r="H3209" s="5" t="s">
        <v>108</v>
      </c>
      <c r="I3209" s="5" t="s">
        <v>152</v>
      </c>
      <c r="J3209" s="5" t="s">
        <v>153</v>
      </c>
      <c r="K3209" s="5" t="s">
        <v>110</v>
      </c>
      <c r="L3209" s="6">
        <v>45687</v>
      </c>
      <c r="M3209" s="6">
        <v>45686</v>
      </c>
      <c r="N3209" s="6" t="s">
        <v>811</v>
      </c>
      <c r="O3209" s="5" t="str">
        <f ca="1">IF(P3209&lt;&gt;"EXPEDIÇÃO","Expedido",IF(NETWORKDAYS(C3209,TODAY())&gt;=5,"Risco Alto",IF(NETWORKDAYS(C3209,TODAY())&gt;=3,IF(NETWORKDAYS(C3209,TODAY())&lt;5,"Risco Médio",""),IF(NETWORKDAYS(C3209,TODAY())&lt;=2,"Risco Baixo",""))))</f>
        <v>Expedido</v>
      </c>
      <c r="P3209" s="5" t="s">
        <v>25</v>
      </c>
      <c r="S3209" s="7">
        <f>IF(ISBLANK(M3209),"Aguardando Previsão/Data",NETWORKDAYS(L3209,M3209)-1)</f>
        <v>-3</v>
      </c>
      <c r="T3209" s="5" t="s">
        <v>942</v>
      </c>
    </row>
    <row r="3210" spans="1:20" x14ac:dyDescent="0.35">
      <c r="A3210" s="5">
        <v>8100281977</v>
      </c>
      <c r="B3210" s="5">
        <v>19585</v>
      </c>
      <c r="C3210" s="6">
        <v>45680</v>
      </c>
      <c r="D3210" s="5" t="s">
        <v>106</v>
      </c>
      <c r="E3210" s="5" t="s">
        <v>107</v>
      </c>
      <c r="F3210" s="5" t="s">
        <v>53</v>
      </c>
      <c r="G3210" s="5" t="s">
        <v>54</v>
      </c>
      <c r="H3210" s="5" t="s">
        <v>108</v>
      </c>
      <c r="I3210" s="5" t="s">
        <v>1073</v>
      </c>
      <c r="J3210" s="5" t="s">
        <v>109</v>
      </c>
      <c r="K3210" s="5" t="s">
        <v>110</v>
      </c>
      <c r="L3210" s="6">
        <v>45687</v>
      </c>
      <c r="M3210" s="6">
        <v>45685</v>
      </c>
      <c r="N3210" s="6" t="s">
        <v>811</v>
      </c>
      <c r="O3210" s="5" t="str">
        <f ca="1">IF(P3210&lt;&gt;"EXPEDIÇÃO","Expedido",IF(NETWORKDAYS(C3210,TODAY())&gt;=5,"Risco Alto",IF(NETWORKDAYS(C3210,TODAY())&gt;=3,IF(NETWORKDAYS(C3210,TODAY())&lt;5,"Risco Médio",""),IF(NETWORKDAYS(C3210,TODAY())&lt;=2,"Risco Baixo",""))))</f>
        <v>Expedido</v>
      </c>
      <c r="P3210" s="5" t="s">
        <v>25</v>
      </c>
      <c r="S3210" s="7">
        <f>IF(ISBLANK(M3210),"Aguardando Previsão/Data",NETWORKDAYS(L3210,M3210)-1)</f>
        <v>-4</v>
      </c>
      <c r="T3210" s="5" t="s">
        <v>942</v>
      </c>
    </row>
    <row r="3211" spans="1:20" x14ac:dyDescent="0.35">
      <c r="A3211" s="5">
        <v>8100282023</v>
      </c>
      <c r="B3211" s="5">
        <v>19558</v>
      </c>
      <c r="C3211" s="6">
        <v>45680</v>
      </c>
      <c r="D3211" s="5" t="s">
        <v>106</v>
      </c>
      <c r="E3211" s="5" t="s">
        <v>107</v>
      </c>
      <c r="F3211" s="5" t="s">
        <v>66</v>
      </c>
      <c r="G3211" s="5" t="s">
        <v>67</v>
      </c>
      <c r="H3211" s="5" t="s">
        <v>108</v>
      </c>
      <c r="I3211" s="5" t="s">
        <v>517</v>
      </c>
      <c r="J3211" s="5" t="s">
        <v>316</v>
      </c>
      <c r="K3211" s="5" t="s">
        <v>156</v>
      </c>
      <c r="L3211" s="6">
        <v>45694</v>
      </c>
      <c r="M3211" s="6">
        <v>45693</v>
      </c>
      <c r="N3211" s="6" t="s">
        <v>811</v>
      </c>
      <c r="O3211" s="5" t="str">
        <f ca="1">IF(P3211&lt;&gt;"EXPEDIÇÃO","Expedido",IF(NETWORKDAYS(C3211,TODAY())&gt;=5,"Risco Alto",IF(NETWORKDAYS(C3211,TODAY())&gt;=3,IF(NETWORKDAYS(C3211,TODAY())&lt;5,"Risco Médio",""),IF(NETWORKDAYS(C3211,TODAY())&lt;=2,"Risco Baixo",""))))</f>
        <v>Expedido</v>
      </c>
      <c r="P3211" s="5" t="s">
        <v>617</v>
      </c>
      <c r="Q3211" s="5" t="s">
        <v>1619</v>
      </c>
      <c r="S3211" s="7">
        <f>IF(ISBLANK(M3211),"Aguardando Previsão/Data",NETWORKDAYS(L3211,M3211)-1)</f>
        <v>-3</v>
      </c>
    </row>
    <row r="3212" spans="1:20" x14ac:dyDescent="0.35">
      <c r="A3212" s="5">
        <v>8100282053</v>
      </c>
      <c r="B3212" s="5">
        <v>19598</v>
      </c>
      <c r="C3212" s="6">
        <v>45680</v>
      </c>
      <c r="D3212" s="5" t="s">
        <v>106</v>
      </c>
      <c r="E3212" s="5" t="s">
        <v>107</v>
      </c>
      <c r="F3212" s="5" t="s">
        <v>69</v>
      </c>
      <c r="G3212" s="5" t="s">
        <v>70</v>
      </c>
      <c r="H3212" s="5" t="s">
        <v>108</v>
      </c>
      <c r="I3212" s="5" t="s">
        <v>128</v>
      </c>
      <c r="J3212" s="5" t="s">
        <v>290</v>
      </c>
      <c r="K3212" s="5" t="s">
        <v>198</v>
      </c>
      <c r="L3212" s="6">
        <v>45691</v>
      </c>
      <c r="M3212" s="6">
        <v>45686</v>
      </c>
      <c r="N3212" s="6" t="s">
        <v>811</v>
      </c>
      <c r="O3212" s="5" t="str">
        <f ca="1">IF(P3212&lt;&gt;"EXPEDIÇÃO","Expedido",IF(NETWORKDAYS(C3212,TODAY())&gt;=5,"Risco Alto",IF(NETWORKDAYS(C3212,TODAY())&gt;=3,IF(NETWORKDAYS(C3212,TODAY())&lt;5,"Risco Médio",""),IF(NETWORKDAYS(C3212,TODAY())&lt;=2,"Risco Baixo",""))))</f>
        <v>Expedido</v>
      </c>
      <c r="P3212" s="5" t="s">
        <v>25</v>
      </c>
      <c r="Q3212" s="5" t="s">
        <v>926</v>
      </c>
      <c r="S3212" s="7">
        <f>IF(ISBLANK(M3212),"Aguardando Previsão/Data",NETWORKDAYS(L3212,M3212)-1)</f>
        <v>-5</v>
      </c>
      <c r="T3212" s="5" t="s">
        <v>942</v>
      </c>
    </row>
    <row r="3213" spans="1:20" x14ac:dyDescent="0.35">
      <c r="A3213" s="5">
        <v>8100282180</v>
      </c>
      <c r="B3213" s="5">
        <v>19589</v>
      </c>
      <c r="C3213" s="6">
        <v>45680</v>
      </c>
      <c r="D3213" s="5" t="s">
        <v>106</v>
      </c>
      <c r="E3213" s="5" t="s">
        <v>107</v>
      </c>
      <c r="F3213" s="5" t="s">
        <v>53</v>
      </c>
      <c r="G3213" s="5" t="s">
        <v>54</v>
      </c>
      <c r="H3213" s="5" t="s">
        <v>108</v>
      </c>
      <c r="I3213" s="5" t="s">
        <v>128</v>
      </c>
      <c r="J3213" s="5" t="s">
        <v>297</v>
      </c>
      <c r="K3213" s="5" t="s">
        <v>110</v>
      </c>
      <c r="L3213" s="6">
        <v>45686</v>
      </c>
      <c r="M3213" s="6">
        <v>45692</v>
      </c>
      <c r="N3213" s="6" t="s">
        <v>811</v>
      </c>
      <c r="O3213" s="5" t="str">
        <f ca="1">IF(P3213&lt;&gt;"EXPEDIÇÃO","Expedido",IF(NETWORKDAYS(C3213,TODAY())&gt;=5,"Risco Alto",IF(NETWORKDAYS(C3213,TODAY())&gt;=3,IF(NETWORKDAYS(C3213,TODAY())&lt;5,"Risco Médio",""),IF(NETWORKDAYS(C3213,TODAY())&lt;=2,"Risco Baixo",""))))</f>
        <v>Risco Alto</v>
      </c>
      <c r="P3213" s="5" t="s">
        <v>726</v>
      </c>
      <c r="Q3213" s="5" t="s">
        <v>897</v>
      </c>
      <c r="R3213" s="5" t="s">
        <v>1621</v>
      </c>
      <c r="S3213" s="7">
        <f>IF(ISBLANK(M3213),"Aguardando Previsão/Data",NETWORKDAYS(L3213,M3213)-1)</f>
        <v>4</v>
      </c>
    </row>
    <row r="3214" spans="1:20" x14ac:dyDescent="0.35">
      <c r="A3214" s="5">
        <v>8100282181</v>
      </c>
      <c r="B3214" s="5">
        <v>19590</v>
      </c>
      <c r="C3214" s="6">
        <v>45680</v>
      </c>
      <c r="D3214" s="5" t="s">
        <v>106</v>
      </c>
      <c r="E3214" s="5" t="s">
        <v>107</v>
      </c>
      <c r="F3214" s="5" t="s">
        <v>53</v>
      </c>
      <c r="G3214" s="5" t="s">
        <v>54</v>
      </c>
      <c r="H3214" s="5" t="s">
        <v>108</v>
      </c>
      <c r="I3214" s="5" t="s">
        <v>128</v>
      </c>
      <c r="J3214" s="5" t="s">
        <v>297</v>
      </c>
      <c r="K3214" s="5" t="s">
        <v>110</v>
      </c>
      <c r="L3214" s="6">
        <v>45686</v>
      </c>
      <c r="M3214" s="6">
        <v>45692</v>
      </c>
      <c r="N3214" s="6" t="s">
        <v>811</v>
      </c>
      <c r="O3214" s="5" t="str">
        <f ca="1">IF(P3214&lt;&gt;"EXPEDIÇÃO","Expedido",IF(NETWORKDAYS(C3214,TODAY())&gt;=5,"Risco Alto",IF(NETWORKDAYS(C3214,TODAY())&gt;=3,IF(NETWORKDAYS(C3214,TODAY())&lt;5,"Risco Médio",""),IF(NETWORKDAYS(C3214,TODAY())&lt;=2,"Risco Baixo",""))))</f>
        <v>Risco Alto</v>
      </c>
      <c r="P3214" s="5" t="s">
        <v>726</v>
      </c>
      <c r="Q3214" s="5" t="s">
        <v>897</v>
      </c>
      <c r="R3214" s="5" t="s">
        <v>1621</v>
      </c>
      <c r="S3214" s="7">
        <f>IF(ISBLANK(M3214),"Aguardando Previsão/Data",NETWORKDAYS(L3214,M3214)-1)</f>
        <v>4</v>
      </c>
    </row>
    <row r="3215" spans="1:20" x14ac:dyDescent="0.35">
      <c r="A3215" s="5">
        <v>8100281383</v>
      </c>
      <c r="B3215" s="5">
        <v>7331</v>
      </c>
      <c r="C3215" s="6">
        <v>45680</v>
      </c>
      <c r="D3215" s="5" t="s">
        <v>194</v>
      </c>
      <c r="E3215" s="5" t="s">
        <v>195</v>
      </c>
      <c r="F3215" s="5" t="s">
        <v>406</v>
      </c>
      <c r="G3215" s="5" t="s">
        <v>407</v>
      </c>
      <c r="H3215" s="5" t="s">
        <v>108</v>
      </c>
      <c r="I3215" s="5" t="s">
        <v>1505</v>
      </c>
      <c r="J3215" s="5" t="s">
        <v>616</v>
      </c>
      <c r="K3215" s="5" t="s">
        <v>198</v>
      </c>
      <c r="L3215" s="6">
        <v>45686</v>
      </c>
      <c r="M3215" s="6">
        <v>45686</v>
      </c>
      <c r="N3215" s="6" t="s">
        <v>811</v>
      </c>
      <c r="O3215" s="5" t="str">
        <f ca="1">IF(P3215&lt;&gt;"EXPEDIÇÃO","Expedido",IF(NETWORKDAYS(C3215,TODAY())&gt;=5,"Risco Alto",IF(NETWORKDAYS(C3215,TODAY())&gt;=3,IF(NETWORKDAYS(C3215,TODAY())&lt;5,"Risco Médio",""),IF(NETWORKDAYS(C3215,TODAY())&lt;=2,"Risco Baixo",""))))</f>
        <v>Expedido</v>
      </c>
      <c r="P3215" s="5" t="s">
        <v>25</v>
      </c>
      <c r="Q3215" s="5" t="s">
        <v>899</v>
      </c>
      <c r="S3215" s="7">
        <f>IF(ISBLANK(M3215),"Aguardando Previsão/Data",NETWORKDAYS(L3215,M3215)-1)</f>
        <v>0</v>
      </c>
      <c r="T3215" s="5" t="s">
        <v>942</v>
      </c>
    </row>
    <row r="3216" spans="1:20" x14ac:dyDescent="0.35">
      <c r="A3216" s="5">
        <v>8100281630</v>
      </c>
      <c r="B3216" s="5">
        <v>7330</v>
      </c>
      <c r="C3216" s="6">
        <v>45680</v>
      </c>
      <c r="D3216" s="5" t="s">
        <v>194</v>
      </c>
      <c r="E3216" s="5" t="s">
        <v>195</v>
      </c>
      <c r="F3216" s="5" t="s">
        <v>147</v>
      </c>
      <c r="G3216" s="5" t="s">
        <v>148</v>
      </c>
      <c r="H3216" s="5" t="s">
        <v>108</v>
      </c>
      <c r="I3216" s="5" t="s">
        <v>128</v>
      </c>
      <c r="J3216" s="5" t="s">
        <v>291</v>
      </c>
      <c r="K3216" s="5" t="s">
        <v>198</v>
      </c>
      <c r="L3216" s="6">
        <v>45687</v>
      </c>
      <c r="M3216" s="6">
        <v>45688</v>
      </c>
      <c r="N3216" s="6" t="s">
        <v>812</v>
      </c>
      <c r="O3216" s="5" t="str">
        <f ca="1">IF(P3216&lt;&gt;"EXPEDIÇÃO","Expedido",IF(NETWORKDAYS(C3216,TODAY())&gt;=5,"Risco Alto",IF(NETWORKDAYS(C3216,TODAY())&gt;=3,IF(NETWORKDAYS(C3216,TODAY())&lt;5,"Risco Médio",""),IF(NETWORKDAYS(C3216,TODAY())&lt;=2,"Risco Baixo",""))))</f>
        <v>Expedido</v>
      </c>
      <c r="P3216" s="5" t="s">
        <v>617</v>
      </c>
      <c r="Q3216" s="5" t="s">
        <v>1622</v>
      </c>
      <c r="S3216" s="7">
        <f>IF(ISBLANK(M3216),"Aguardando Previsão/Data",NETWORKDAYS(L3216,M3216)-1)</f>
        <v>1</v>
      </c>
    </row>
    <row r="3217" spans="1:20" x14ac:dyDescent="0.35">
      <c r="A3217" s="5">
        <v>8100281633</v>
      </c>
      <c r="B3217" s="5">
        <v>7332</v>
      </c>
      <c r="C3217" s="6">
        <v>45680</v>
      </c>
      <c r="D3217" s="5" t="s">
        <v>194</v>
      </c>
      <c r="E3217" s="5" t="s">
        <v>195</v>
      </c>
      <c r="F3217" s="5" t="s">
        <v>406</v>
      </c>
      <c r="G3217" s="5" t="s">
        <v>407</v>
      </c>
      <c r="H3217" s="5" t="s">
        <v>108</v>
      </c>
      <c r="I3217" s="5" t="s">
        <v>544</v>
      </c>
      <c r="J3217" s="5" t="s">
        <v>202</v>
      </c>
      <c r="K3217" s="5" t="s">
        <v>198</v>
      </c>
      <c r="L3217" s="6">
        <v>45687</v>
      </c>
      <c r="M3217" s="6">
        <v>45684</v>
      </c>
      <c r="N3217" s="6" t="s">
        <v>811</v>
      </c>
      <c r="O3217" s="5" t="str">
        <f ca="1">IF(P3217&lt;&gt;"EXPEDIÇÃO","Expedido",IF(NETWORKDAYS(C3217,TODAY())&gt;=5,"Risco Alto",IF(NETWORKDAYS(C3217,TODAY())&gt;=3,IF(NETWORKDAYS(C3217,TODAY())&lt;5,"Risco Médio",""),IF(NETWORKDAYS(C3217,TODAY())&lt;=2,"Risco Baixo",""))))</f>
        <v>Expedido</v>
      </c>
      <c r="P3217" s="5" t="s">
        <v>25</v>
      </c>
      <c r="Q3217" s="5" t="s">
        <v>1572</v>
      </c>
      <c r="S3217" s="7">
        <f>IF(ISBLANK(M3217),"Aguardando Previsão/Data",NETWORKDAYS(L3217,M3217)-1)</f>
        <v>-5</v>
      </c>
      <c r="T3217" s="5" t="s">
        <v>942</v>
      </c>
    </row>
    <row r="3218" spans="1:20" x14ac:dyDescent="0.35">
      <c r="A3218" s="5">
        <v>8100281833</v>
      </c>
      <c r="B3218" s="5">
        <v>7333</v>
      </c>
      <c r="C3218" s="6">
        <v>45680</v>
      </c>
      <c r="D3218" s="5" t="s">
        <v>723</v>
      </c>
      <c r="E3218" s="5" t="s">
        <v>195</v>
      </c>
      <c r="F3218" s="5" t="s">
        <v>724</v>
      </c>
      <c r="G3218" s="5" t="s">
        <v>725</v>
      </c>
      <c r="H3218" s="5" t="s">
        <v>108</v>
      </c>
      <c r="I3218" s="5" t="s">
        <v>1511</v>
      </c>
      <c r="J3218" s="5" t="s">
        <v>1339</v>
      </c>
      <c r="K3218" s="5" t="s">
        <v>198</v>
      </c>
      <c r="L3218" s="6">
        <v>45687</v>
      </c>
      <c r="M3218" s="6">
        <v>45680</v>
      </c>
      <c r="N3218" s="6" t="s">
        <v>811</v>
      </c>
      <c r="O3218" s="5" t="str">
        <f ca="1">IF(P3218&lt;&gt;"EXPEDIÇÃO","Expedido",IF(NETWORKDAYS(C3218,TODAY())&gt;=5,"Risco Alto",IF(NETWORKDAYS(C3218,TODAY())&gt;=3,IF(NETWORKDAYS(C3218,TODAY())&lt;5,"Risco Médio",""),IF(NETWORKDAYS(C3218,TODAY())&lt;=2,"Risco Baixo",""))))</f>
        <v>Expedido</v>
      </c>
      <c r="P3218" s="5" t="s">
        <v>25</v>
      </c>
      <c r="S3218" s="7">
        <f>IF(ISBLANK(M3218),"Aguardando Previsão/Data",NETWORKDAYS(L3218,M3218)-1)</f>
        <v>-7</v>
      </c>
      <c r="T3218" s="5" t="s">
        <v>942</v>
      </c>
    </row>
    <row r="3219" spans="1:20" x14ac:dyDescent="0.35">
      <c r="A3219" s="5">
        <v>8100281856</v>
      </c>
      <c r="B3219" s="5">
        <v>7335</v>
      </c>
      <c r="C3219" s="6">
        <v>45680</v>
      </c>
      <c r="D3219" s="5" t="s">
        <v>194</v>
      </c>
      <c r="E3219" s="5" t="s">
        <v>195</v>
      </c>
      <c r="F3219" s="5" t="s">
        <v>329</v>
      </c>
      <c r="G3219" s="5" t="s">
        <v>330</v>
      </c>
      <c r="H3219" s="5" t="s">
        <v>108</v>
      </c>
      <c r="I3219" s="5" t="s">
        <v>979</v>
      </c>
      <c r="J3219" s="5" t="s">
        <v>205</v>
      </c>
      <c r="K3219" s="5" t="s">
        <v>198</v>
      </c>
      <c r="L3219" s="6">
        <v>45688</v>
      </c>
      <c r="M3219" s="6">
        <v>45687</v>
      </c>
      <c r="N3219" s="6" t="s">
        <v>811</v>
      </c>
      <c r="O3219" s="5" t="str">
        <f ca="1">IF(P3219&lt;&gt;"EXPEDIÇÃO","Expedido",IF(NETWORKDAYS(C3219,TODAY())&gt;=5,"Risco Alto",IF(NETWORKDAYS(C3219,TODAY())&gt;=3,IF(NETWORKDAYS(C3219,TODAY())&lt;5,"Risco Médio",""),IF(NETWORKDAYS(C3219,TODAY())&lt;=2,"Risco Baixo",""))))</f>
        <v>Expedido</v>
      </c>
      <c r="P3219" s="5" t="s">
        <v>617</v>
      </c>
      <c r="Q3219" s="5" t="s">
        <v>899</v>
      </c>
      <c r="S3219" s="7">
        <f>IF(ISBLANK(M3219),"Aguardando Previsão/Data",NETWORKDAYS(L3219,M3219)-1)</f>
        <v>-3</v>
      </c>
    </row>
    <row r="3220" spans="1:20" x14ac:dyDescent="0.35">
      <c r="A3220" s="5">
        <v>8100281858</v>
      </c>
      <c r="B3220" s="5">
        <v>7336</v>
      </c>
      <c r="C3220" s="6">
        <v>45680</v>
      </c>
      <c r="D3220" s="5" t="s">
        <v>194</v>
      </c>
      <c r="E3220" s="5" t="s">
        <v>195</v>
      </c>
      <c r="F3220" s="5" t="s">
        <v>406</v>
      </c>
      <c r="G3220" s="5" t="s">
        <v>407</v>
      </c>
      <c r="H3220" s="5" t="s">
        <v>108</v>
      </c>
      <c r="I3220" s="5" t="s">
        <v>788</v>
      </c>
      <c r="J3220" s="5" t="s">
        <v>407</v>
      </c>
      <c r="K3220" s="5" t="s">
        <v>198</v>
      </c>
      <c r="L3220" s="6">
        <v>45686</v>
      </c>
      <c r="M3220" s="6">
        <v>45685</v>
      </c>
      <c r="N3220" s="6" t="s">
        <v>811</v>
      </c>
      <c r="O3220" s="5" t="str">
        <f ca="1">IF(P3220&lt;&gt;"EXPEDIÇÃO","Expedido",IF(NETWORKDAYS(C3220,TODAY())&gt;=5,"Risco Alto",IF(NETWORKDAYS(C3220,TODAY())&gt;=3,IF(NETWORKDAYS(C3220,TODAY())&lt;5,"Risco Médio",""),IF(NETWORKDAYS(C3220,TODAY())&lt;=2,"Risco Baixo",""))))</f>
        <v>Expedido</v>
      </c>
      <c r="P3220" s="5" t="s">
        <v>25</v>
      </c>
      <c r="Q3220" s="5" t="s">
        <v>899</v>
      </c>
      <c r="S3220" s="7">
        <f>IF(ISBLANK(M3220),"Aguardando Previsão/Data",NETWORKDAYS(L3220,M3220)-1)</f>
        <v>-3</v>
      </c>
      <c r="T3220" s="5" t="s">
        <v>942</v>
      </c>
    </row>
    <row r="3221" spans="1:20" x14ac:dyDescent="0.35">
      <c r="A3221" s="5">
        <v>8100281878</v>
      </c>
      <c r="B3221" s="5">
        <v>7334</v>
      </c>
      <c r="C3221" s="6">
        <v>45680</v>
      </c>
      <c r="D3221" s="5" t="s">
        <v>723</v>
      </c>
      <c r="E3221" s="5" t="s">
        <v>195</v>
      </c>
      <c r="F3221" s="5" t="s">
        <v>724</v>
      </c>
      <c r="G3221" s="5" t="s">
        <v>725</v>
      </c>
      <c r="H3221" s="5" t="s">
        <v>108</v>
      </c>
      <c r="I3221" s="5" t="s">
        <v>1516</v>
      </c>
      <c r="J3221" s="5" t="s">
        <v>407</v>
      </c>
      <c r="K3221" s="5" t="s">
        <v>198</v>
      </c>
      <c r="L3221" s="6">
        <v>45686</v>
      </c>
      <c r="M3221" s="6">
        <v>45681</v>
      </c>
      <c r="N3221" s="6" t="s">
        <v>811</v>
      </c>
      <c r="O3221" s="5" t="str">
        <f ca="1">IF(P3221&lt;&gt;"EXPEDIÇÃO","Expedido",IF(NETWORKDAYS(C3221,TODAY())&gt;=5,"Risco Alto",IF(NETWORKDAYS(C3221,TODAY())&gt;=3,IF(NETWORKDAYS(C3221,TODAY())&lt;5,"Risco Médio",""),IF(NETWORKDAYS(C3221,TODAY())&lt;=2,"Risco Baixo",""))))</f>
        <v>Expedido</v>
      </c>
      <c r="P3221" s="5" t="s">
        <v>25</v>
      </c>
      <c r="S3221" s="7">
        <f>IF(ISBLANK(M3221),"Aguardando Previsão/Data",NETWORKDAYS(L3221,M3221)-1)</f>
        <v>-5</v>
      </c>
      <c r="T3221" s="5" t="s">
        <v>942</v>
      </c>
    </row>
    <row r="3222" spans="1:20" x14ac:dyDescent="0.35">
      <c r="A3222" s="5">
        <v>8100282171</v>
      </c>
      <c r="B3222" s="5">
        <v>7337</v>
      </c>
      <c r="C3222" s="6">
        <v>45680</v>
      </c>
      <c r="D3222" s="5" t="s">
        <v>723</v>
      </c>
      <c r="E3222" s="5" t="s">
        <v>195</v>
      </c>
      <c r="F3222" s="5" t="s">
        <v>724</v>
      </c>
      <c r="G3222" s="5" t="s">
        <v>725</v>
      </c>
      <c r="H3222" s="5" t="s">
        <v>108</v>
      </c>
      <c r="I3222" s="5" t="s">
        <v>1521</v>
      </c>
      <c r="J3222" s="5" t="s">
        <v>671</v>
      </c>
      <c r="K3222" s="5" t="s">
        <v>198</v>
      </c>
      <c r="L3222" s="6">
        <v>45687</v>
      </c>
      <c r="M3222" s="6">
        <v>45681</v>
      </c>
      <c r="N3222" s="6" t="s">
        <v>811</v>
      </c>
      <c r="O3222" s="5" t="str">
        <f ca="1">IF(P3222&lt;&gt;"EXPEDIÇÃO","Expedido",IF(NETWORKDAYS(C3222,TODAY())&gt;=5,"Risco Alto",IF(NETWORKDAYS(C3222,TODAY())&gt;=3,IF(NETWORKDAYS(C3222,TODAY())&lt;5,"Risco Médio",""),IF(NETWORKDAYS(C3222,TODAY())&lt;=2,"Risco Baixo",""))))</f>
        <v>Expedido</v>
      </c>
      <c r="P3222" s="5" t="s">
        <v>25</v>
      </c>
      <c r="S3222" s="7">
        <f>IF(ISBLANK(M3222),"Aguardando Previsão/Data",NETWORKDAYS(L3222,M3222)-1)</f>
        <v>-6</v>
      </c>
      <c r="T3222" s="5" t="s">
        <v>942</v>
      </c>
    </row>
    <row r="3223" spans="1:20" x14ac:dyDescent="0.35">
      <c r="A3223" s="5">
        <v>8100282242</v>
      </c>
      <c r="B3223" s="5">
        <v>7338</v>
      </c>
      <c r="C3223" s="6">
        <v>45680</v>
      </c>
      <c r="D3223" s="5" t="s">
        <v>723</v>
      </c>
      <c r="E3223" s="5" t="s">
        <v>195</v>
      </c>
      <c r="F3223" s="5" t="s">
        <v>724</v>
      </c>
      <c r="G3223" s="5" t="s">
        <v>725</v>
      </c>
      <c r="H3223" s="5" t="s">
        <v>108</v>
      </c>
      <c r="I3223" s="5" t="s">
        <v>902</v>
      </c>
      <c r="J3223" s="5" t="s">
        <v>483</v>
      </c>
      <c r="K3223" s="5" t="s">
        <v>198</v>
      </c>
      <c r="L3223" s="6">
        <v>45687</v>
      </c>
      <c r="M3223" s="6">
        <v>45680</v>
      </c>
      <c r="N3223" s="6" t="s">
        <v>811</v>
      </c>
      <c r="O3223" s="5" t="str">
        <f ca="1">IF(P3223&lt;&gt;"EXPEDIÇÃO","Expedido",IF(NETWORKDAYS(C3223,TODAY())&gt;=5,"Risco Alto",IF(NETWORKDAYS(C3223,TODAY())&gt;=3,IF(NETWORKDAYS(C3223,TODAY())&lt;5,"Risco Médio",""),IF(NETWORKDAYS(C3223,TODAY())&lt;=2,"Risco Baixo",""))))</f>
        <v>Expedido</v>
      </c>
      <c r="P3223" s="5" t="s">
        <v>25</v>
      </c>
      <c r="S3223" s="7">
        <f>IF(ISBLANK(M3223),"Aguardando Previsão/Data",NETWORKDAYS(L3223,M3223)-1)</f>
        <v>-7</v>
      </c>
      <c r="T3223" s="5" t="s">
        <v>942</v>
      </c>
    </row>
    <row r="3224" spans="1:20" x14ac:dyDescent="0.35">
      <c r="A3224" s="5">
        <v>8100281755</v>
      </c>
      <c r="B3224" s="16">
        <v>14656</v>
      </c>
      <c r="C3224" s="6">
        <v>45680</v>
      </c>
      <c r="D3224" s="5" t="s">
        <v>211</v>
      </c>
      <c r="E3224" s="5" t="s">
        <v>212</v>
      </c>
      <c r="F3224" s="5" t="s">
        <v>58</v>
      </c>
      <c r="G3224" s="5" t="s">
        <v>59</v>
      </c>
      <c r="H3224" s="5" t="s">
        <v>108</v>
      </c>
      <c r="I3224" s="5" t="s">
        <v>269</v>
      </c>
      <c r="J3224" s="5" t="s">
        <v>316</v>
      </c>
      <c r="K3224" s="5" t="s">
        <v>156</v>
      </c>
      <c r="L3224" s="6">
        <v>45692</v>
      </c>
      <c r="M3224" s="6">
        <v>45686</v>
      </c>
      <c r="N3224" s="6" t="s">
        <v>811</v>
      </c>
      <c r="O3224" s="5" t="str">
        <f ca="1">IF(P3224&lt;&gt;"EXPEDIÇÃO","Expedido",IF(NETWORKDAYS(C3224,TODAY())&gt;=5,"Risco Alto",IF(NETWORKDAYS(C3224,TODAY())&gt;=3,IF(NETWORKDAYS(C3224,TODAY())&lt;5,"Risco Médio",""),IF(NETWORKDAYS(C3224,TODAY())&lt;=2,"Risco Baixo",""))))</f>
        <v>Expedido</v>
      </c>
      <c r="P3224" s="5" t="s">
        <v>25</v>
      </c>
      <c r="S3224" s="7">
        <f>IF(ISBLANK(M3224),"Aguardando Previsão/Data",NETWORKDAYS(L3224,M3224)-1)</f>
        <v>-6</v>
      </c>
      <c r="T3224" s="5" t="s">
        <v>942</v>
      </c>
    </row>
    <row r="3225" spans="1:20" x14ac:dyDescent="0.35">
      <c r="A3225" s="5">
        <v>8100281931</v>
      </c>
      <c r="B3225" s="5">
        <v>14660</v>
      </c>
      <c r="C3225" s="6">
        <v>45680</v>
      </c>
      <c r="D3225" s="5" t="s">
        <v>211</v>
      </c>
      <c r="E3225" s="5" t="s">
        <v>212</v>
      </c>
      <c r="F3225" s="5" t="s">
        <v>58</v>
      </c>
      <c r="G3225" s="5" t="s">
        <v>59</v>
      </c>
      <c r="H3225" s="5" t="s">
        <v>108</v>
      </c>
      <c r="I3225" s="5" t="s">
        <v>213</v>
      </c>
      <c r="J3225" s="5" t="s">
        <v>214</v>
      </c>
      <c r="K3225" s="5" t="s">
        <v>119</v>
      </c>
      <c r="L3225" s="6">
        <v>45686</v>
      </c>
      <c r="M3225" s="6">
        <v>45684</v>
      </c>
      <c r="N3225" s="6" t="s">
        <v>811</v>
      </c>
      <c r="O3225" s="5" t="str">
        <f ca="1">IF(P3225&lt;&gt;"EXPEDIÇÃO","Expedido",IF(NETWORKDAYS(C3225,TODAY())&gt;=5,"Risco Alto",IF(NETWORKDAYS(C3225,TODAY())&gt;=3,IF(NETWORKDAYS(C3225,TODAY())&lt;5,"Risco Médio",""),IF(NETWORKDAYS(C3225,TODAY())&lt;=2,"Risco Baixo",""))))</f>
        <v>Expedido</v>
      </c>
      <c r="P3225" s="5" t="s">
        <v>25</v>
      </c>
      <c r="S3225" s="7">
        <f>IF(ISBLANK(M3225),"Aguardando Previsão/Data",NETWORKDAYS(L3225,M3225)-1)</f>
        <v>-4</v>
      </c>
      <c r="T3225" s="5" t="s">
        <v>942</v>
      </c>
    </row>
    <row r="3226" spans="1:20" x14ac:dyDescent="0.35">
      <c r="A3226" s="5">
        <v>8100282158</v>
      </c>
      <c r="B3226" s="5">
        <v>14659</v>
      </c>
      <c r="C3226" s="6">
        <v>45680</v>
      </c>
      <c r="D3226" s="5" t="s">
        <v>211</v>
      </c>
      <c r="E3226" s="5" t="s">
        <v>212</v>
      </c>
      <c r="F3226" s="5" t="s">
        <v>58</v>
      </c>
      <c r="G3226" s="5" t="s">
        <v>59</v>
      </c>
      <c r="H3226" s="5" t="s">
        <v>108</v>
      </c>
      <c r="I3226" s="5" t="s">
        <v>1268</v>
      </c>
      <c r="J3226" s="5" t="s">
        <v>1269</v>
      </c>
      <c r="K3226" s="5" t="s">
        <v>119</v>
      </c>
      <c r="L3226" s="6">
        <v>45686</v>
      </c>
      <c r="M3226" s="6">
        <v>45686</v>
      </c>
      <c r="N3226" s="6" t="s">
        <v>811</v>
      </c>
      <c r="O3226" s="5" t="str">
        <f ca="1">IF(P3226&lt;&gt;"EXPEDIÇÃO","Expedido",IF(NETWORKDAYS(C3226,TODAY())&gt;=5,"Risco Alto",IF(NETWORKDAYS(C3226,TODAY())&gt;=3,IF(NETWORKDAYS(C3226,TODAY())&lt;5,"Risco Médio",""),IF(NETWORKDAYS(C3226,TODAY())&lt;=2,"Risco Baixo",""))))</f>
        <v>Expedido</v>
      </c>
      <c r="P3226" s="5" t="s">
        <v>25</v>
      </c>
      <c r="Q3226" s="5" t="s">
        <v>1581</v>
      </c>
      <c r="S3226" s="7">
        <f>IF(ISBLANK(M3226),"Aguardando Previsão/Data",NETWORKDAYS(L3226,M3226)-1)</f>
        <v>0</v>
      </c>
      <c r="T3226" s="5" t="s">
        <v>942</v>
      </c>
    </row>
    <row r="3227" spans="1:20" x14ac:dyDescent="0.35">
      <c r="A3227" s="5">
        <v>8100282159</v>
      </c>
      <c r="B3227" s="5">
        <v>14658</v>
      </c>
      <c r="C3227" s="6">
        <v>45680</v>
      </c>
      <c r="D3227" s="5" t="s">
        <v>211</v>
      </c>
      <c r="E3227" s="5" t="s">
        <v>212</v>
      </c>
      <c r="F3227" s="5" t="s">
        <v>58</v>
      </c>
      <c r="G3227" s="5" t="s">
        <v>59</v>
      </c>
      <c r="H3227" s="5" t="s">
        <v>108</v>
      </c>
      <c r="I3227" s="5" t="s">
        <v>486</v>
      </c>
      <c r="J3227" s="5" t="s">
        <v>214</v>
      </c>
      <c r="K3227" s="5" t="s">
        <v>119</v>
      </c>
      <c r="L3227" s="6">
        <v>45686</v>
      </c>
      <c r="M3227" s="6">
        <v>45684</v>
      </c>
      <c r="N3227" s="6" t="s">
        <v>811</v>
      </c>
      <c r="O3227" s="5" t="str">
        <f ca="1">IF(P3227&lt;&gt;"EXPEDIÇÃO","Expedido",IF(NETWORKDAYS(C3227,TODAY())&gt;=5,"Risco Alto",IF(NETWORKDAYS(C3227,TODAY())&gt;=3,IF(NETWORKDAYS(C3227,TODAY())&lt;5,"Risco Médio",""),IF(NETWORKDAYS(C3227,TODAY())&lt;=2,"Risco Baixo",""))))</f>
        <v>Expedido</v>
      </c>
      <c r="P3227" s="5" t="s">
        <v>25</v>
      </c>
      <c r="S3227" s="7">
        <f>IF(ISBLANK(M3227),"Aguardando Previsão/Data",NETWORKDAYS(L3227,M3227)-1)</f>
        <v>-4</v>
      </c>
      <c r="T3227" s="5" t="s">
        <v>942</v>
      </c>
    </row>
    <row r="3228" spans="1:20" x14ac:dyDescent="0.35">
      <c r="A3228" s="5">
        <v>8100282160</v>
      </c>
      <c r="B3228" s="5">
        <v>14657</v>
      </c>
      <c r="C3228" s="6">
        <v>45680</v>
      </c>
      <c r="D3228" s="5" t="s">
        <v>211</v>
      </c>
      <c r="E3228" s="5" t="s">
        <v>212</v>
      </c>
      <c r="F3228" s="5" t="s">
        <v>58</v>
      </c>
      <c r="G3228" s="5" t="s">
        <v>59</v>
      </c>
      <c r="H3228" s="5" t="s">
        <v>108</v>
      </c>
      <c r="I3228" s="5" t="s">
        <v>1519</v>
      </c>
      <c r="J3228" s="5" t="s">
        <v>1520</v>
      </c>
      <c r="K3228" s="5" t="s">
        <v>119</v>
      </c>
      <c r="L3228" s="6">
        <v>45686</v>
      </c>
      <c r="M3228" s="6">
        <v>45684</v>
      </c>
      <c r="N3228" s="6" t="s">
        <v>811</v>
      </c>
      <c r="O3228" s="5" t="str">
        <f ca="1">IF(P3228&lt;&gt;"EXPEDIÇÃO","Expedido",IF(NETWORKDAYS(C3228,TODAY())&gt;=5,"Risco Alto",IF(NETWORKDAYS(C3228,TODAY())&gt;=3,IF(NETWORKDAYS(C3228,TODAY())&lt;5,"Risco Médio",""),IF(NETWORKDAYS(C3228,TODAY())&lt;=2,"Risco Baixo",""))))</f>
        <v>Expedido</v>
      </c>
      <c r="P3228" s="5" t="s">
        <v>25</v>
      </c>
      <c r="S3228" s="7">
        <f>IF(ISBLANK(M3228),"Aguardando Previsão/Data",NETWORKDAYS(L3228,M3228)-1)</f>
        <v>-4</v>
      </c>
      <c r="T3228" s="5" t="s">
        <v>942</v>
      </c>
    </row>
    <row r="3229" spans="1:20" x14ac:dyDescent="0.35">
      <c r="A3229" s="5">
        <v>8100282161</v>
      </c>
      <c r="B3229" s="5">
        <v>14661</v>
      </c>
      <c r="C3229" s="6">
        <v>45680</v>
      </c>
      <c r="D3229" s="5" t="s">
        <v>211</v>
      </c>
      <c r="E3229" s="5" t="s">
        <v>212</v>
      </c>
      <c r="F3229" s="5" t="s">
        <v>136</v>
      </c>
      <c r="G3229" s="5" t="s">
        <v>137</v>
      </c>
      <c r="H3229" s="5" t="s">
        <v>108</v>
      </c>
      <c r="I3229" s="5" t="s">
        <v>680</v>
      </c>
      <c r="J3229" s="5" t="s">
        <v>681</v>
      </c>
      <c r="K3229" s="5" t="s">
        <v>170</v>
      </c>
      <c r="L3229" s="6">
        <v>45692</v>
      </c>
      <c r="M3229" s="6">
        <v>45692</v>
      </c>
      <c r="N3229" s="6" t="s">
        <v>811</v>
      </c>
      <c r="O3229" s="5" t="str">
        <f ca="1">IF(P3229&lt;&gt;"EXPEDIÇÃO","Expedido",IF(NETWORKDAYS(C3229,TODAY())&gt;=5,"Risco Alto",IF(NETWORKDAYS(C3229,TODAY())&gt;=3,IF(NETWORKDAYS(C3229,TODAY())&lt;5,"Risco Médio",""),IF(NETWORKDAYS(C3229,TODAY())&lt;=2,"Risco Baixo",""))))</f>
        <v>Expedido</v>
      </c>
      <c r="P3229" s="5" t="s">
        <v>617</v>
      </c>
      <c r="S3229" s="7">
        <f>IF(ISBLANK(M3229),"Aguardando Previsão/Data",NETWORKDAYS(L3229,M3229)-1)</f>
        <v>0</v>
      </c>
    </row>
    <row r="3230" spans="1:20" x14ac:dyDescent="0.35">
      <c r="A3230" s="5">
        <v>8100282248</v>
      </c>
      <c r="B3230" s="5">
        <v>14662</v>
      </c>
      <c r="C3230" s="6">
        <v>45680</v>
      </c>
      <c r="D3230" s="5" t="s">
        <v>211</v>
      </c>
      <c r="E3230" s="5" t="s">
        <v>212</v>
      </c>
      <c r="F3230" s="5" t="s">
        <v>136</v>
      </c>
      <c r="G3230" s="5" t="s">
        <v>137</v>
      </c>
      <c r="H3230" s="5" t="s">
        <v>108</v>
      </c>
      <c r="I3230" s="5" t="s">
        <v>680</v>
      </c>
      <c r="J3230" s="5" t="s">
        <v>681</v>
      </c>
      <c r="K3230" s="5" t="s">
        <v>170</v>
      </c>
      <c r="L3230" s="6">
        <v>45692</v>
      </c>
      <c r="M3230" s="6">
        <v>45692</v>
      </c>
      <c r="N3230" s="6" t="s">
        <v>811</v>
      </c>
      <c r="O3230" s="5" t="str">
        <f ca="1">IF(P3230&lt;&gt;"EXPEDIÇÃO","Expedido",IF(NETWORKDAYS(C3230,TODAY())&gt;=5,"Risco Alto",IF(NETWORKDAYS(C3230,TODAY())&gt;=3,IF(NETWORKDAYS(C3230,TODAY())&lt;5,"Risco Médio",""),IF(NETWORKDAYS(C3230,TODAY())&lt;=2,"Risco Baixo",""))))</f>
        <v>Expedido</v>
      </c>
      <c r="P3230" s="5" t="s">
        <v>617</v>
      </c>
      <c r="S3230" s="7">
        <f>IF(ISBLANK(M3230),"Aguardando Previsão/Data",NETWORKDAYS(L3230,M3230)-1)</f>
        <v>0</v>
      </c>
    </row>
    <row r="3231" spans="1:20" x14ac:dyDescent="0.35">
      <c r="A3231" s="5">
        <v>8100281273</v>
      </c>
      <c r="B3231" s="5">
        <v>12429</v>
      </c>
      <c r="C3231" s="6">
        <v>45680</v>
      </c>
      <c r="D3231" s="5" t="s">
        <v>158</v>
      </c>
      <c r="E3231" s="5" t="s">
        <v>159</v>
      </c>
      <c r="F3231" s="5" t="s">
        <v>147</v>
      </c>
      <c r="G3231" s="5" t="s">
        <v>148</v>
      </c>
      <c r="H3231" s="5" t="s">
        <v>108</v>
      </c>
      <c r="I3231" s="5" t="s">
        <v>128</v>
      </c>
      <c r="J3231" s="5" t="s">
        <v>531</v>
      </c>
      <c r="K3231" s="5" t="s">
        <v>80</v>
      </c>
      <c r="L3231" s="6">
        <v>45684</v>
      </c>
      <c r="M3231" s="6">
        <v>45685</v>
      </c>
      <c r="N3231" s="6" t="s">
        <v>811</v>
      </c>
      <c r="O3231" s="5" t="str">
        <f ca="1">IF(P3231&lt;&gt;"EXPEDIÇÃO","Expedido",IF(NETWORKDAYS(C3231,TODAY())&gt;=5,"Risco Alto",IF(NETWORKDAYS(C3231,TODAY())&gt;=3,IF(NETWORKDAYS(C3231,TODAY())&lt;5,"Risco Médio",""),IF(NETWORKDAYS(C3231,TODAY())&lt;=2,"Risco Baixo",""))))</f>
        <v>Expedido</v>
      </c>
      <c r="P3231" s="5" t="s">
        <v>25</v>
      </c>
      <c r="Q3231" s="5" t="s">
        <v>926</v>
      </c>
      <c r="S3231" s="7">
        <f>IF(ISBLANK(M3231),"Aguardando Previsão/Data",NETWORKDAYS(L3231,M3231)-1)</f>
        <v>1</v>
      </c>
      <c r="T3231" s="5" t="s">
        <v>942</v>
      </c>
    </row>
    <row r="3232" spans="1:20" x14ac:dyDescent="0.35">
      <c r="A3232" s="5">
        <v>8100281696</v>
      </c>
      <c r="B3232" s="5">
        <v>12416</v>
      </c>
      <c r="C3232" s="6">
        <v>45680</v>
      </c>
      <c r="D3232" s="5" t="s">
        <v>158</v>
      </c>
      <c r="E3232" s="5" t="s">
        <v>159</v>
      </c>
      <c r="F3232" s="5" t="s">
        <v>176</v>
      </c>
      <c r="G3232" s="5" t="s">
        <v>177</v>
      </c>
      <c r="H3232" s="5" t="s">
        <v>108</v>
      </c>
      <c r="I3232" s="5" t="s">
        <v>654</v>
      </c>
      <c r="J3232" s="5" t="s">
        <v>627</v>
      </c>
      <c r="K3232" s="5" t="s">
        <v>175</v>
      </c>
      <c r="L3232" s="6">
        <v>45691</v>
      </c>
      <c r="M3232" s="6">
        <v>45687</v>
      </c>
      <c r="N3232" s="6" t="s">
        <v>811</v>
      </c>
      <c r="O3232" s="5" t="str">
        <f ca="1">IF(P3232&lt;&gt;"EXPEDIÇÃO","Expedido",IF(NETWORKDAYS(C3232,TODAY())&gt;=5,"Risco Alto",IF(NETWORKDAYS(C3232,TODAY())&gt;=3,IF(NETWORKDAYS(C3232,TODAY())&lt;5,"Risco Médio",""),IF(NETWORKDAYS(C3232,TODAY())&lt;=2,"Risco Baixo",""))))</f>
        <v>Expedido</v>
      </c>
      <c r="P3232" s="5" t="s">
        <v>25</v>
      </c>
      <c r="S3232" s="7">
        <f>IF(ISBLANK(M3232),"Aguardando Previsão/Data",NETWORKDAYS(L3232,M3232)-1)</f>
        <v>-4</v>
      </c>
      <c r="T3232" s="5" t="s">
        <v>942</v>
      </c>
    </row>
    <row r="3233" spans="1:20" x14ac:dyDescent="0.35">
      <c r="A3233" s="5">
        <v>8100281869</v>
      </c>
      <c r="B3233" s="5">
        <v>12421</v>
      </c>
      <c r="C3233" s="6">
        <v>45680</v>
      </c>
      <c r="D3233" s="5" t="s">
        <v>158</v>
      </c>
      <c r="E3233" s="5" t="s">
        <v>159</v>
      </c>
      <c r="F3233" s="5" t="s">
        <v>160</v>
      </c>
      <c r="G3233" s="5" t="s">
        <v>161</v>
      </c>
      <c r="H3233" s="5" t="s">
        <v>108</v>
      </c>
      <c r="I3233" s="5" t="s">
        <v>1175</v>
      </c>
      <c r="J3233" s="5" t="s">
        <v>310</v>
      </c>
      <c r="K3233" s="5" t="s">
        <v>175</v>
      </c>
      <c r="L3233" s="6">
        <v>45691</v>
      </c>
      <c r="M3233" s="6">
        <v>45685</v>
      </c>
      <c r="N3233" s="6" t="s">
        <v>811</v>
      </c>
      <c r="O3233" s="5" t="str">
        <f ca="1">IF(P3233&lt;&gt;"EXPEDIÇÃO","Expedido",IF(NETWORKDAYS(C3233,TODAY())&gt;=5,"Risco Alto",IF(NETWORKDAYS(C3233,TODAY())&gt;=3,IF(NETWORKDAYS(C3233,TODAY())&lt;5,"Risco Médio",""),IF(NETWORKDAYS(C3233,TODAY())&lt;=2,"Risco Baixo",""))))</f>
        <v>Expedido</v>
      </c>
      <c r="P3233" s="5" t="s">
        <v>25</v>
      </c>
      <c r="S3233" s="7">
        <f>IF(ISBLANK(M3233),"Aguardando Previsão/Data",NETWORKDAYS(L3233,M3233)-1)</f>
        <v>-6</v>
      </c>
      <c r="T3233" s="5" t="s">
        <v>942</v>
      </c>
    </row>
    <row r="3234" spans="1:20" x14ac:dyDescent="0.35">
      <c r="A3234" s="5">
        <v>8100281871</v>
      </c>
      <c r="B3234" s="5">
        <v>12418</v>
      </c>
      <c r="C3234" s="6">
        <v>45680</v>
      </c>
      <c r="D3234" s="5" t="s">
        <v>158</v>
      </c>
      <c r="E3234" s="5" t="s">
        <v>159</v>
      </c>
      <c r="F3234" s="5" t="s">
        <v>167</v>
      </c>
      <c r="G3234" s="5" t="s">
        <v>168</v>
      </c>
      <c r="H3234" s="5" t="s">
        <v>108</v>
      </c>
      <c r="I3234" s="5" t="s">
        <v>164</v>
      </c>
      <c r="J3234" s="5" t="s">
        <v>615</v>
      </c>
      <c r="K3234" s="5" t="s">
        <v>170</v>
      </c>
      <c r="L3234" s="6">
        <v>45687</v>
      </c>
      <c r="M3234" s="6">
        <v>45684</v>
      </c>
      <c r="N3234" s="6" t="s">
        <v>811</v>
      </c>
      <c r="O3234" s="5" t="str">
        <f ca="1">IF(P3234&lt;&gt;"EXPEDIÇÃO","Expedido",IF(NETWORKDAYS(C3234,TODAY())&gt;=5,"Risco Alto",IF(NETWORKDAYS(C3234,TODAY())&gt;=3,IF(NETWORKDAYS(C3234,TODAY())&lt;5,"Risco Médio",""),IF(NETWORKDAYS(C3234,TODAY())&lt;=2,"Risco Baixo",""))))</f>
        <v>Expedido</v>
      </c>
      <c r="P3234" s="5" t="s">
        <v>25</v>
      </c>
      <c r="S3234" s="7">
        <f>IF(ISBLANK(M3234),"Aguardando Previsão/Data",NETWORKDAYS(L3234,M3234)-1)</f>
        <v>-5</v>
      </c>
      <c r="T3234" s="5" t="s">
        <v>942</v>
      </c>
    </row>
    <row r="3235" spans="1:20" x14ac:dyDescent="0.35">
      <c r="A3235" s="5">
        <v>8100281872</v>
      </c>
      <c r="B3235" s="5">
        <v>12419</v>
      </c>
      <c r="C3235" s="6">
        <v>45680</v>
      </c>
      <c r="D3235" s="5" t="s">
        <v>158</v>
      </c>
      <c r="E3235" s="5" t="s">
        <v>159</v>
      </c>
      <c r="F3235" s="5" t="s">
        <v>167</v>
      </c>
      <c r="G3235" s="5" t="s">
        <v>168</v>
      </c>
      <c r="H3235" s="5" t="s">
        <v>108</v>
      </c>
      <c r="I3235" s="5" t="s">
        <v>164</v>
      </c>
      <c r="J3235" s="5" t="s">
        <v>987</v>
      </c>
      <c r="K3235" s="5" t="s">
        <v>170</v>
      </c>
      <c r="L3235" s="6">
        <v>45687</v>
      </c>
      <c r="M3235" s="6">
        <v>45684</v>
      </c>
      <c r="N3235" s="6" t="s">
        <v>811</v>
      </c>
      <c r="O3235" s="5" t="str">
        <f ca="1">IF(P3235&lt;&gt;"EXPEDIÇÃO","Expedido",IF(NETWORKDAYS(C3235,TODAY())&gt;=5,"Risco Alto",IF(NETWORKDAYS(C3235,TODAY())&gt;=3,IF(NETWORKDAYS(C3235,TODAY())&lt;5,"Risco Médio",""),IF(NETWORKDAYS(C3235,TODAY())&lt;=2,"Risco Baixo",""))))</f>
        <v>Expedido</v>
      </c>
      <c r="P3235" s="5" t="s">
        <v>25</v>
      </c>
      <c r="S3235" s="7">
        <f>IF(ISBLANK(M3235),"Aguardando Previsão/Data",NETWORKDAYS(L3235,M3235)-1)</f>
        <v>-5</v>
      </c>
      <c r="T3235" s="5" t="s">
        <v>942</v>
      </c>
    </row>
    <row r="3236" spans="1:20" x14ac:dyDescent="0.35">
      <c r="A3236" s="5">
        <v>8100281873</v>
      </c>
      <c r="B3236" s="5">
        <v>12420</v>
      </c>
      <c r="C3236" s="6">
        <v>45680</v>
      </c>
      <c r="D3236" s="5" t="s">
        <v>158</v>
      </c>
      <c r="E3236" s="5" t="s">
        <v>159</v>
      </c>
      <c r="F3236" s="5" t="s">
        <v>167</v>
      </c>
      <c r="G3236" s="5" t="s">
        <v>168</v>
      </c>
      <c r="H3236" s="5" t="s">
        <v>108</v>
      </c>
      <c r="I3236" s="5" t="s">
        <v>164</v>
      </c>
      <c r="J3236" s="5" t="s">
        <v>784</v>
      </c>
      <c r="K3236" s="5" t="s">
        <v>170</v>
      </c>
      <c r="L3236" s="6">
        <v>45687</v>
      </c>
      <c r="M3236" s="6">
        <v>45685</v>
      </c>
      <c r="N3236" s="6" t="s">
        <v>811</v>
      </c>
      <c r="O3236" s="5" t="str">
        <f ca="1">IF(P3236&lt;&gt;"EXPEDIÇÃO","Expedido",IF(NETWORKDAYS(C3236,TODAY())&gt;=5,"Risco Alto",IF(NETWORKDAYS(C3236,TODAY())&gt;=3,IF(NETWORKDAYS(C3236,TODAY())&lt;5,"Risco Médio",""),IF(NETWORKDAYS(C3236,TODAY())&lt;=2,"Risco Baixo",""))))</f>
        <v>Expedido</v>
      </c>
      <c r="P3236" s="5" t="s">
        <v>25</v>
      </c>
      <c r="S3236" s="7">
        <f>IF(ISBLANK(M3236),"Aguardando Previsão/Data",NETWORKDAYS(L3236,M3236)-1)</f>
        <v>-4</v>
      </c>
      <c r="T3236" s="5" t="s">
        <v>942</v>
      </c>
    </row>
    <row r="3237" spans="1:20" x14ac:dyDescent="0.35">
      <c r="A3237" s="5">
        <v>8100281969</v>
      </c>
      <c r="B3237" s="5">
        <v>12422</v>
      </c>
      <c r="C3237" s="6">
        <v>45680</v>
      </c>
      <c r="D3237" s="5" t="s">
        <v>158</v>
      </c>
      <c r="E3237" s="5" t="s">
        <v>159</v>
      </c>
      <c r="F3237" s="5" t="s">
        <v>171</v>
      </c>
      <c r="G3237" s="5" t="s">
        <v>172</v>
      </c>
      <c r="H3237" s="5" t="s">
        <v>108</v>
      </c>
      <c r="I3237" s="5" t="s">
        <v>481</v>
      </c>
      <c r="J3237" s="5" t="s">
        <v>482</v>
      </c>
      <c r="K3237" s="5" t="s">
        <v>170</v>
      </c>
      <c r="L3237" s="6">
        <v>45688</v>
      </c>
      <c r="M3237" s="6">
        <v>45686</v>
      </c>
      <c r="N3237" s="6" t="s">
        <v>811</v>
      </c>
      <c r="O3237" s="5" t="str">
        <f ca="1">IF(P3237&lt;&gt;"EXPEDIÇÃO","Expedido",IF(NETWORKDAYS(C3237,TODAY())&gt;=5,"Risco Alto",IF(NETWORKDAYS(C3237,TODAY())&gt;=3,IF(NETWORKDAYS(C3237,TODAY())&lt;5,"Risco Médio",""),IF(NETWORKDAYS(C3237,TODAY())&lt;=2,"Risco Baixo",""))))</f>
        <v>Expedido</v>
      </c>
      <c r="P3237" s="5" t="s">
        <v>25</v>
      </c>
      <c r="S3237" s="7">
        <f>IF(ISBLANK(M3237),"Aguardando Previsão/Data",NETWORKDAYS(L3237,M3237)-1)</f>
        <v>-4</v>
      </c>
      <c r="T3237" s="5" t="s">
        <v>942</v>
      </c>
    </row>
    <row r="3238" spans="1:20" x14ac:dyDescent="0.35">
      <c r="A3238" s="5">
        <v>8100281970</v>
      </c>
      <c r="B3238" s="5">
        <v>12417</v>
      </c>
      <c r="C3238" s="6">
        <v>45680</v>
      </c>
      <c r="D3238" s="5" t="s">
        <v>158</v>
      </c>
      <c r="E3238" s="5" t="s">
        <v>159</v>
      </c>
      <c r="F3238" s="5" t="s">
        <v>167</v>
      </c>
      <c r="G3238" s="5" t="s">
        <v>168</v>
      </c>
      <c r="H3238" s="5" t="s">
        <v>108</v>
      </c>
      <c r="I3238" s="5" t="s">
        <v>709</v>
      </c>
      <c r="J3238" s="5" t="s">
        <v>710</v>
      </c>
      <c r="K3238" s="5" t="s">
        <v>170</v>
      </c>
      <c r="L3238" s="6">
        <v>45686</v>
      </c>
      <c r="O3238" s="5" t="str">
        <f ca="1">IF(P3238&lt;&gt;"EXPEDIÇÃO","Expedido",IF(NETWORKDAYS(C3238,TODAY())&gt;=5,"Risco Alto",IF(NETWORKDAYS(C3238,TODAY())&gt;=3,IF(NETWORKDAYS(C3238,TODAY())&lt;5,"Risco Médio",""),IF(NETWORKDAYS(C3238,TODAY())&lt;=2,"Risco Baixo",""))))</f>
        <v>Expedido</v>
      </c>
      <c r="P3238" s="5" t="s">
        <v>145</v>
      </c>
      <c r="Q3238" s="5" t="s">
        <v>363</v>
      </c>
      <c r="R3238" s="5" t="s">
        <v>1577</v>
      </c>
      <c r="S3238" s="7" t="str">
        <f>IF(ISBLANK(M3238),"Aguardando Previsão/Data",NETWORKDAYS(L3238,M3238)-1)</f>
        <v>Aguardando Previsão/Data</v>
      </c>
      <c r="T3238" s="5" t="s">
        <v>942</v>
      </c>
    </row>
    <row r="3239" spans="1:20" x14ac:dyDescent="0.35">
      <c r="A3239" s="5">
        <v>8100282082</v>
      </c>
      <c r="B3239" s="5">
        <v>12423</v>
      </c>
      <c r="C3239" s="6">
        <v>45680</v>
      </c>
      <c r="D3239" s="5" t="s">
        <v>158</v>
      </c>
      <c r="E3239" s="5" t="s">
        <v>159</v>
      </c>
      <c r="F3239" s="5" t="s">
        <v>79</v>
      </c>
      <c r="G3239" s="5" t="s">
        <v>80</v>
      </c>
      <c r="H3239" s="5" t="s">
        <v>108</v>
      </c>
      <c r="I3239" s="5" t="s">
        <v>180</v>
      </c>
      <c r="J3239" s="5" t="s">
        <v>181</v>
      </c>
      <c r="K3239" s="5" t="s">
        <v>80</v>
      </c>
      <c r="L3239" s="6">
        <v>45688</v>
      </c>
      <c r="M3239" s="6">
        <v>45685</v>
      </c>
      <c r="N3239" s="6" t="s">
        <v>811</v>
      </c>
      <c r="O3239" s="5" t="str">
        <f ca="1">IF(P3239&lt;&gt;"EXPEDIÇÃO","Expedido",IF(NETWORKDAYS(C3239,TODAY())&gt;=5,"Risco Alto",IF(NETWORKDAYS(C3239,TODAY())&gt;=3,IF(NETWORKDAYS(C3239,TODAY())&lt;5,"Risco Médio",""),IF(NETWORKDAYS(C3239,TODAY())&lt;=2,"Risco Baixo",""))))</f>
        <v>Expedido</v>
      </c>
      <c r="P3239" s="5" t="s">
        <v>25</v>
      </c>
      <c r="S3239" s="7">
        <f>IF(ISBLANK(M3239),"Aguardando Previsão/Data",NETWORKDAYS(L3239,M3239)-1)</f>
        <v>-5</v>
      </c>
      <c r="T3239" s="5" t="s">
        <v>942</v>
      </c>
    </row>
    <row r="3240" spans="1:20" x14ac:dyDescent="0.35">
      <c r="A3240" s="5">
        <v>8100282101</v>
      </c>
      <c r="B3240" s="5">
        <v>12424</v>
      </c>
      <c r="C3240" s="6">
        <v>45680</v>
      </c>
      <c r="D3240" s="5" t="s">
        <v>158</v>
      </c>
      <c r="E3240" s="5" t="s">
        <v>159</v>
      </c>
      <c r="F3240" s="5" t="s">
        <v>167</v>
      </c>
      <c r="G3240" s="5" t="s">
        <v>168</v>
      </c>
      <c r="H3240" s="5" t="s">
        <v>108</v>
      </c>
      <c r="I3240" s="5" t="s">
        <v>164</v>
      </c>
      <c r="J3240" s="5" t="s">
        <v>215</v>
      </c>
      <c r="K3240" s="5" t="s">
        <v>170</v>
      </c>
      <c r="L3240" s="6">
        <v>45687</v>
      </c>
      <c r="M3240" s="6">
        <v>45684</v>
      </c>
      <c r="N3240" s="6" t="s">
        <v>811</v>
      </c>
      <c r="O3240" s="5" t="str">
        <f ca="1">IF(P3240&lt;&gt;"EXPEDIÇÃO","Expedido",IF(NETWORKDAYS(C3240,TODAY())&gt;=5,"Risco Alto",IF(NETWORKDAYS(C3240,TODAY())&gt;=3,IF(NETWORKDAYS(C3240,TODAY())&lt;5,"Risco Médio",""),IF(NETWORKDAYS(C3240,TODAY())&lt;=2,"Risco Baixo",""))))</f>
        <v>Expedido</v>
      </c>
      <c r="P3240" s="5" t="s">
        <v>25</v>
      </c>
      <c r="S3240" s="7">
        <f>IF(ISBLANK(M3240),"Aguardando Previsão/Data",NETWORKDAYS(L3240,M3240)-1)</f>
        <v>-5</v>
      </c>
      <c r="T3240" s="5" t="s">
        <v>942</v>
      </c>
    </row>
    <row r="3241" spans="1:20" x14ac:dyDescent="0.35">
      <c r="A3241" s="5">
        <v>8100282102</v>
      </c>
      <c r="B3241" s="5">
        <v>12425</v>
      </c>
      <c r="C3241" s="6">
        <v>45680</v>
      </c>
      <c r="D3241" s="5" t="s">
        <v>158</v>
      </c>
      <c r="E3241" s="5" t="s">
        <v>159</v>
      </c>
      <c r="F3241" s="5" t="s">
        <v>136</v>
      </c>
      <c r="G3241" s="5" t="s">
        <v>137</v>
      </c>
      <c r="H3241" s="5" t="s">
        <v>108</v>
      </c>
      <c r="I3241" s="5" t="s">
        <v>450</v>
      </c>
      <c r="J3241" s="5" t="s">
        <v>451</v>
      </c>
      <c r="K3241" s="5" t="s">
        <v>170</v>
      </c>
      <c r="L3241" s="6">
        <v>45687</v>
      </c>
      <c r="M3241" s="6">
        <v>45684</v>
      </c>
      <c r="N3241" s="6" t="s">
        <v>811</v>
      </c>
      <c r="O3241" s="5" t="str">
        <f ca="1">IF(P3241&lt;&gt;"EXPEDIÇÃO","Expedido",IF(NETWORKDAYS(C3241,TODAY())&gt;=5,"Risco Alto",IF(NETWORKDAYS(C3241,TODAY())&gt;=3,IF(NETWORKDAYS(C3241,TODAY())&lt;5,"Risco Médio",""),IF(NETWORKDAYS(C3241,TODAY())&lt;=2,"Risco Baixo",""))))</f>
        <v>Expedido</v>
      </c>
      <c r="P3241" s="5" t="s">
        <v>25</v>
      </c>
      <c r="S3241" s="7">
        <f>IF(ISBLANK(M3241),"Aguardando Previsão/Data",NETWORKDAYS(L3241,M3241)-1)</f>
        <v>-5</v>
      </c>
      <c r="T3241" s="5" t="s">
        <v>942</v>
      </c>
    </row>
    <row r="3242" spans="1:20" x14ac:dyDescent="0.35">
      <c r="A3242" s="5">
        <v>8100282103</v>
      </c>
      <c r="B3242" s="5">
        <v>12426</v>
      </c>
      <c r="C3242" s="6">
        <v>45680</v>
      </c>
      <c r="D3242" s="5" t="s">
        <v>158</v>
      </c>
      <c r="E3242" s="5" t="s">
        <v>159</v>
      </c>
      <c r="F3242" s="5" t="s">
        <v>136</v>
      </c>
      <c r="G3242" s="5" t="s">
        <v>137</v>
      </c>
      <c r="H3242" s="5" t="s">
        <v>108</v>
      </c>
      <c r="I3242" s="5" t="s">
        <v>450</v>
      </c>
      <c r="J3242" s="5" t="s">
        <v>451</v>
      </c>
      <c r="K3242" s="5" t="s">
        <v>170</v>
      </c>
      <c r="L3242" s="6">
        <v>45687</v>
      </c>
      <c r="M3242" s="6">
        <v>45684</v>
      </c>
      <c r="N3242" s="6" t="s">
        <v>811</v>
      </c>
      <c r="O3242" s="5" t="str">
        <f ca="1">IF(P3242&lt;&gt;"EXPEDIÇÃO","Expedido",IF(NETWORKDAYS(C3242,TODAY())&gt;=5,"Risco Alto",IF(NETWORKDAYS(C3242,TODAY())&gt;=3,IF(NETWORKDAYS(C3242,TODAY())&lt;5,"Risco Médio",""),IF(NETWORKDAYS(C3242,TODAY())&lt;=2,"Risco Baixo",""))))</f>
        <v>Expedido</v>
      </c>
      <c r="P3242" s="5" t="s">
        <v>25</v>
      </c>
      <c r="S3242" s="7">
        <f>IF(ISBLANK(M3242),"Aguardando Previsão/Data",NETWORKDAYS(L3242,M3242)-1)</f>
        <v>-5</v>
      </c>
      <c r="T3242" s="5" t="s">
        <v>942</v>
      </c>
    </row>
    <row r="3243" spans="1:20" x14ac:dyDescent="0.35">
      <c r="A3243" s="5">
        <v>8100282104</v>
      </c>
      <c r="B3243" s="5">
        <v>12427</v>
      </c>
      <c r="C3243" s="6">
        <v>45680</v>
      </c>
      <c r="D3243" s="5" t="s">
        <v>158</v>
      </c>
      <c r="E3243" s="5" t="s">
        <v>159</v>
      </c>
      <c r="F3243" s="5" t="s">
        <v>136</v>
      </c>
      <c r="G3243" s="5" t="s">
        <v>137</v>
      </c>
      <c r="H3243" s="5" t="s">
        <v>108</v>
      </c>
      <c r="I3243" s="5" t="s">
        <v>450</v>
      </c>
      <c r="J3243" s="5" t="s">
        <v>451</v>
      </c>
      <c r="K3243" s="5" t="s">
        <v>170</v>
      </c>
      <c r="L3243" s="6">
        <v>45687</v>
      </c>
      <c r="M3243" s="6">
        <v>45684</v>
      </c>
      <c r="N3243" s="6" t="s">
        <v>811</v>
      </c>
      <c r="O3243" s="5" t="str">
        <f ca="1">IF(P3243&lt;&gt;"EXPEDIÇÃO","Expedido",IF(NETWORKDAYS(C3243,TODAY())&gt;=5,"Risco Alto",IF(NETWORKDAYS(C3243,TODAY())&gt;=3,IF(NETWORKDAYS(C3243,TODAY())&lt;5,"Risco Médio",""),IF(NETWORKDAYS(C3243,TODAY())&lt;=2,"Risco Baixo",""))))</f>
        <v>Expedido</v>
      </c>
      <c r="P3243" s="5" t="s">
        <v>25</v>
      </c>
      <c r="S3243" s="7">
        <f>IF(ISBLANK(M3243),"Aguardando Previsão/Data",NETWORKDAYS(L3243,M3243)-1)</f>
        <v>-5</v>
      </c>
      <c r="T3243" s="5" t="s">
        <v>942</v>
      </c>
    </row>
    <row r="3244" spans="1:20" x14ac:dyDescent="0.35">
      <c r="A3244" s="5">
        <v>8100282105</v>
      </c>
      <c r="B3244" s="5">
        <v>12428</v>
      </c>
      <c r="C3244" s="6">
        <v>45680</v>
      </c>
      <c r="D3244" s="5" t="s">
        <v>158</v>
      </c>
      <c r="E3244" s="5" t="s">
        <v>159</v>
      </c>
      <c r="F3244" s="5" t="s">
        <v>136</v>
      </c>
      <c r="G3244" s="5" t="s">
        <v>137</v>
      </c>
      <c r="H3244" s="5" t="s">
        <v>108</v>
      </c>
      <c r="I3244" s="5" t="s">
        <v>450</v>
      </c>
      <c r="J3244" s="5" t="s">
        <v>451</v>
      </c>
      <c r="K3244" s="5" t="s">
        <v>170</v>
      </c>
      <c r="L3244" s="6">
        <v>45687</v>
      </c>
      <c r="M3244" s="6">
        <v>45684</v>
      </c>
      <c r="N3244" s="6" t="s">
        <v>811</v>
      </c>
      <c r="O3244" s="5" t="str">
        <f ca="1">IF(P3244&lt;&gt;"EXPEDIÇÃO","Expedido",IF(NETWORKDAYS(C3244,TODAY())&gt;=5,"Risco Alto",IF(NETWORKDAYS(C3244,TODAY())&gt;=3,IF(NETWORKDAYS(C3244,TODAY())&lt;5,"Risco Médio",""),IF(NETWORKDAYS(C3244,TODAY())&lt;=2,"Risco Baixo",""))))</f>
        <v>Expedido</v>
      </c>
      <c r="P3244" s="5" t="s">
        <v>25</v>
      </c>
      <c r="S3244" s="7">
        <f>IF(ISBLANK(M3244),"Aguardando Previsão/Data",NETWORKDAYS(L3244,M3244)-1)</f>
        <v>-5</v>
      </c>
      <c r="T3244" s="5" t="s">
        <v>942</v>
      </c>
    </row>
    <row r="3245" spans="1:20" x14ac:dyDescent="0.35">
      <c r="A3245" s="5">
        <v>8100282274</v>
      </c>
      <c r="B3245" s="5">
        <v>12430</v>
      </c>
      <c r="C3245" s="6">
        <v>45680</v>
      </c>
      <c r="D3245" s="5" t="s">
        <v>158</v>
      </c>
      <c r="E3245" s="5" t="s">
        <v>159</v>
      </c>
      <c r="F3245" s="5" t="s">
        <v>147</v>
      </c>
      <c r="G3245" s="5" t="s">
        <v>148</v>
      </c>
      <c r="H3245" s="5" t="s">
        <v>108</v>
      </c>
      <c r="I3245" s="5" t="s">
        <v>82</v>
      </c>
      <c r="J3245" s="5" t="s">
        <v>296</v>
      </c>
      <c r="K3245" s="5" t="s">
        <v>80</v>
      </c>
      <c r="L3245" s="6">
        <v>45688</v>
      </c>
      <c r="M3245" s="6">
        <v>45684</v>
      </c>
      <c r="N3245" s="6" t="s">
        <v>811</v>
      </c>
      <c r="O3245" s="5" t="str">
        <f ca="1">IF(P3245&lt;&gt;"EXPEDIÇÃO","Expedido",IF(NETWORKDAYS(C3245,TODAY())&gt;=5,"Risco Alto",IF(NETWORKDAYS(C3245,TODAY())&gt;=3,IF(NETWORKDAYS(C3245,TODAY())&lt;5,"Risco Médio",""),IF(NETWORKDAYS(C3245,TODAY())&lt;=2,"Risco Baixo",""))))</f>
        <v>Expedido</v>
      </c>
      <c r="P3245" s="5" t="s">
        <v>25</v>
      </c>
      <c r="S3245" s="7">
        <f>IF(ISBLANK(M3245),"Aguardando Previsão/Data",NETWORKDAYS(L3245,M3245)-1)</f>
        <v>-6</v>
      </c>
      <c r="T3245" s="5" t="s">
        <v>942</v>
      </c>
    </row>
    <row r="3246" spans="1:20" x14ac:dyDescent="0.35">
      <c r="A3246" s="5">
        <v>8100281446</v>
      </c>
      <c r="B3246" s="5">
        <v>10966</v>
      </c>
      <c r="C3246" s="6">
        <v>45680</v>
      </c>
      <c r="D3246" s="5" t="s">
        <v>239</v>
      </c>
      <c r="E3246" s="5" t="s">
        <v>240</v>
      </c>
      <c r="F3246" s="5" t="s">
        <v>147</v>
      </c>
      <c r="G3246" s="5" t="s">
        <v>148</v>
      </c>
      <c r="H3246" s="5" t="s">
        <v>548</v>
      </c>
      <c r="I3246" s="5" t="s">
        <v>82</v>
      </c>
      <c r="J3246" s="5" t="s">
        <v>505</v>
      </c>
      <c r="K3246" s="5" t="s">
        <v>110</v>
      </c>
      <c r="L3246" s="6">
        <v>45684</v>
      </c>
      <c r="M3246" s="6">
        <v>45684</v>
      </c>
      <c r="N3246" s="6" t="s">
        <v>811</v>
      </c>
      <c r="O3246" s="5" t="str">
        <f ca="1">IF(P3246&lt;&gt;"EXPEDIÇÃO","Expedido",IF(NETWORKDAYS(C3246,TODAY())&gt;=5,"Risco Alto",IF(NETWORKDAYS(C3246,TODAY())&gt;=3,IF(NETWORKDAYS(C3246,TODAY())&lt;5,"Risco Médio",""),IF(NETWORKDAYS(C3246,TODAY())&lt;=2,"Risco Baixo",""))))</f>
        <v>Expedido</v>
      </c>
      <c r="P3246" s="5" t="s">
        <v>25</v>
      </c>
      <c r="Q3246" s="5" t="s">
        <v>926</v>
      </c>
      <c r="S3246" s="7">
        <f>IF(ISBLANK(M3246),"Aguardando Previsão/Data",NETWORKDAYS(L3246,M3246)-1)</f>
        <v>0</v>
      </c>
      <c r="T3246" s="5" t="s">
        <v>942</v>
      </c>
    </row>
    <row r="3247" spans="1:20" x14ac:dyDescent="0.35">
      <c r="A3247" s="5">
        <v>8100281682</v>
      </c>
      <c r="B3247" s="5">
        <v>10971</v>
      </c>
      <c r="C3247" s="6">
        <v>45680</v>
      </c>
      <c r="D3247" s="5" t="s">
        <v>239</v>
      </c>
      <c r="E3247" s="5" t="s">
        <v>240</v>
      </c>
      <c r="F3247" s="5" t="s">
        <v>147</v>
      </c>
      <c r="G3247" s="5" t="s">
        <v>148</v>
      </c>
      <c r="H3247" s="5" t="s">
        <v>548</v>
      </c>
      <c r="I3247" s="5" t="s">
        <v>509</v>
      </c>
      <c r="J3247" s="5" t="s">
        <v>282</v>
      </c>
      <c r="K3247" s="5" t="s">
        <v>110</v>
      </c>
      <c r="L3247" s="6">
        <v>45684</v>
      </c>
      <c r="M3247" s="6">
        <v>45685</v>
      </c>
      <c r="N3247" s="6" t="s">
        <v>811</v>
      </c>
      <c r="O3247" s="5" t="str">
        <f ca="1">IF(P3247&lt;&gt;"EXPEDIÇÃO","Expedido",IF(NETWORKDAYS(C3247,TODAY())&gt;=5,"Risco Alto",IF(NETWORKDAYS(C3247,TODAY())&gt;=3,IF(NETWORKDAYS(C3247,TODAY())&lt;5,"Risco Médio",""),IF(NETWORKDAYS(C3247,TODAY())&lt;=2,"Risco Baixo",""))))</f>
        <v>Expedido</v>
      </c>
      <c r="P3247" s="5" t="s">
        <v>25</v>
      </c>
      <c r="Q3247" s="5" t="s">
        <v>926</v>
      </c>
      <c r="S3247" s="7">
        <f>IF(ISBLANK(M3247),"Aguardando Previsão/Data",NETWORKDAYS(L3247,M3247)-1)</f>
        <v>1</v>
      </c>
      <c r="T3247" s="5" t="s">
        <v>942</v>
      </c>
    </row>
    <row r="3248" spans="1:20" x14ac:dyDescent="0.35">
      <c r="A3248" s="5">
        <v>8100281687</v>
      </c>
      <c r="B3248" s="5">
        <v>10969</v>
      </c>
      <c r="C3248" s="6">
        <v>45680</v>
      </c>
      <c r="D3248" s="5" t="s">
        <v>239</v>
      </c>
      <c r="E3248" s="5" t="s">
        <v>240</v>
      </c>
      <c r="F3248" s="5" t="s">
        <v>147</v>
      </c>
      <c r="G3248" s="5" t="s">
        <v>148</v>
      </c>
      <c r="H3248" s="5" t="s">
        <v>548</v>
      </c>
      <c r="I3248" s="5" t="s">
        <v>82</v>
      </c>
      <c r="J3248" s="5" t="s">
        <v>149</v>
      </c>
      <c r="K3248" s="5" t="s">
        <v>110</v>
      </c>
      <c r="L3248" s="6">
        <v>45684</v>
      </c>
      <c r="M3248" s="6">
        <v>45686</v>
      </c>
      <c r="N3248" s="6" t="s">
        <v>811</v>
      </c>
      <c r="O3248" s="5" t="str">
        <f ca="1">IF(P3248&lt;&gt;"EXPEDIÇÃO","Expedido",IF(NETWORKDAYS(C3248,TODAY())&gt;=5,"Risco Alto",IF(NETWORKDAYS(C3248,TODAY())&gt;=3,IF(NETWORKDAYS(C3248,TODAY())&lt;5,"Risco Médio",""),IF(NETWORKDAYS(C3248,TODAY())&lt;=2,"Risco Baixo",""))))</f>
        <v>Expedido</v>
      </c>
      <c r="P3248" s="5" t="s">
        <v>25</v>
      </c>
      <c r="Q3248" s="5" t="s">
        <v>926</v>
      </c>
      <c r="S3248" s="7">
        <f>IF(ISBLANK(M3248),"Aguardando Previsão/Data",NETWORKDAYS(L3248,M3248)-1)</f>
        <v>2</v>
      </c>
      <c r="T3248" s="5" t="s">
        <v>942</v>
      </c>
    </row>
    <row r="3249" spans="1:20" x14ac:dyDescent="0.35">
      <c r="A3249" s="5">
        <v>8100281688</v>
      </c>
      <c r="B3249" s="5">
        <v>10970</v>
      </c>
      <c r="C3249" s="6">
        <v>45680</v>
      </c>
      <c r="D3249" s="5" t="s">
        <v>239</v>
      </c>
      <c r="E3249" s="5" t="s">
        <v>240</v>
      </c>
      <c r="F3249" s="5" t="s">
        <v>147</v>
      </c>
      <c r="G3249" s="5" t="s">
        <v>148</v>
      </c>
      <c r="H3249" s="5" t="s">
        <v>548</v>
      </c>
      <c r="I3249" s="5" t="s">
        <v>82</v>
      </c>
      <c r="J3249" s="5" t="s">
        <v>149</v>
      </c>
      <c r="K3249" s="5" t="s">
        <v>110</v>
      </c>
      <c r="L3249" s="6">
        <v>45684</v>
      </c>
      <c r="M3249" s="6">
        <v>45686</v>
      </c>
      <c r="N3249" s="6" t="s">
        <v>811</v>
      </c>
      <c r="O3249" s="5" t="str">
        <f ca="1">IF(P3249&lt;&gt;"EXPEDIÇÃO","Expedido",IF(NETWORKDAYS(C3249,TODAY())&gt;=5,"Risco Alto",IF(NETWORKDAYS(C3249,TODAY())&gt;=3,IF(NETWORKDAYS(C3249,TODAY())&lt;5,"Risco Médio",""),IF(NETWORKDAYS(C3249,TODAY())&lt;=2,"Risco Baixo",""))))</f>
        <v>Expedido</v>
      </c>
      <c r="P3249" s="5" t="s">
        <v>25</v>
      </c>
      <c r="Q3249" s="5" t="s">
        <v>926</v>
      </c>
      <c r="S3249" s="7">
        <f>IF(ISBLANK(M3249),"Aguardando Previsão/Data",NETWORKDAYS(L3249,M3249)-1)</f>
        <v>2</v>
      </c>
      <c r="T3249" s="5" t="s">
        <v>942</v>
      </c>
    </row>
    <row r="3250" spans="1:20" x14ac:dyDescent="0.35">
      <c r="A3250" s="5">
        <v>8100281863</v>
      </c>
      <c r="B3250" s="5">
        <v>10967</v>
      </c>
      <c r="C3250" s="6">
        <v>45680</v>
      </c>
      <c r="D3250" s="5" t="s">
        <v>239</v>
      </c>
      <c r="E3250" s="5" t="s">
        <v>240</v>
      </c>
      <c r="F3250" s="5" t="s">
        <v>147</v>
      </c>
      <c r="G3250" s="5" t="s">
        <v>148</v>
      </c>
      <c r="H3250" s="5" t="s">
        <v>548</v>
      </c>
      <c r="I3250" s="5" t="s">
        <v>82</v>
      </c>
      <c r="J3250" s="5" t="s">
        <v>505</v>
      </c>
      <c r="K3250" s="5" t="s">
        <v>110</v>
      </c>
      <c r="L3250" s="6">
        <v>45684</v>
      </c>
      <c r="M3250" s="6">
        <v>45684</v>
      </c>
      <c r="N3250" s="6" t="s">
        <v>811</v>
      </c>
      <c r="O3250" s="5" t="str">
        <f ca="1">IF(P3250&lt;&gt;"EXPEDIÇÃO","Expedido",IF(NETWORKDAYS(C3250,TODAY())&gt;=5,"Risco Alto",IF(NETWORKDAYS(C3250,TODAY())&gt;=3,IF(NETWORKDAYS(C3250,TODAY())&lt;5,"Risco Médio",""),IF(NETWORKDAYS(C3250,TODAY())&lt;=2,"Risco Baixo",""))))</f>
        <v>Expedido</v>
      </c>
      <c r="P3250" s="5" t="s">
        <v>25</v>
      </c>
      <c r="Q3250" s="5" t="s">
        <v>926</v>
      </c>
      <c r="S3250" s="7">
        <f>IF(ISBLANK(M3250),"Aguardando Previsão/Data",NETWORKDAYS(L3250,M3250)-1)</f>
        <v>0</v>
      </c>
      <c r="T3250" s="5" t="s">
        <v>942</v>
      </c>
    </row>
    <row r="3251" spans="1:20" x14ac:dyDescent="0.35">
      <c r="A3251" s="5">
        <v>8100281894</v>
      </c>
      <c r="B3251" s="5">
        <v>10968</v>
      </c>
      <c r="C3251" s="6">
        <v>45680</v>
      </c>
      <c r="D3251" s="5" t="s">
        <v>239</v>
      </c>
      <c r="E3251" s="5" t="s">
        <v>240</v>
      </c>
      <c r="F3251" s="5" t="s">
        <v>147</v>
      </c>
      <c r="G3251" s="5" t="s">
        <v>148</v>
      </c>
      <c r="H3251" s="5" t="s">
        <v>548</v>
      </c>
      <c r="I3251" s="5" t="s">
        <v>82</v>
      </c>
      <c r="J3251" s="5" t="s">
        <v>505</v>
      </c>
      <c r="K3251" s="5" t="s">
        <v>110</v>
      </c>
      <c r="L3251" s="6">
        <v>45684</v>
      </c>
      <c r="M3251" s="6">
        <v>45684</v>
      </c>
      <c r="N3251" s="6" t="s">
        <v>811</v>
      </c>
      <c r="O3251" s="5" t="str">
        <f ca="1">IF(P3251&lt;&gt;"EXPEDIÇÃO","Expedido",IF(NETWORKDAYS(C3251,TODAY())&gt;=5,"Risco Alto",IF(NETWORKDAYS(C3251,TODAY())&gt;=3,IF(NETWORKDAYS(C3251,TODAY())&lt;5,"Risco Médio",""),IF(NETWORKDAYS(C3251,TODAY())&lt;=2,"Risco Baixo",""))))</f>
        <v>Expedido</v>
      </c>
      <c r="P3251" s="5" t="s">
        <v>25</v>
      </c>
      <c r="Q3251" s="5" t="s">
        <v>926</v>
      </c>
      <c r="S3251" s="7">
        <f>IF(ISBLANK(M3251),"Aguardando Previsão/Data",NETWORKDAYS(L3251,M3251)-1)</f>
        <v>0</v>
      </c>
      <c r="T3251" s="5" t="s">
        <v>942</v>
      </c>
    </row>
    <row r="3252" spans="1:20" x14ac:dyDescent="0.35">
      <c r="A3252" s="5">
        <v>8100282108</v>
      </c>
      <c r="B3252" s="5">
        <v>10972</v>
      </c>
      <c r="C3252" s="6">
        <v>45680</v>
      </c>
      <c r="D3252" s="5" t="s">
        <v>239</v>
      </c>
      <c r="E3252" s="5" t="s">
        <v>240</v>
      </c>
      <c r="F3252" s="5" t="s">
        <v>147</v>
      </c>
      <c r="G3252" s="5" t="s">
        <v>148</v>
      </c>
      <c r="H3252" s="5" t="s">
        <v>548</v>
      </c>
      <c r="I3252" s="5" t="s">
        <v>82</v>
      </c>
      <c r="J3252" s="5" t="s">
        <v>150</v>
      </c>
      <c r="K3252" s="5" t="s">
        <v>110</v>
      </c>
      <c r="L3252" s="6">
        <v>45684</v>
      </c>
      <c r="M3252" s="6">
        <v>45686</v>
      </c>
      <c r="N3252" s="6" t="s">
        <v>811</v>
      </c>
      <c r="O3252" s="5" t="str">
        <f ca="1">IF(P3252&lt;&gt;"EXPEDIÇÃO","Expedido",IF(NETWORKDAYS(C3252,TODAY())&gt;=5,"Risco Alto",IF(NETWORKDAYS(C3252,TODAY())&gt;=3,IF(NETWORKDAYS(C3252,TODAY())&lt;5,"Risco Médio",""),IF(NETWORKDAYS(C3252,TODAY())&lt;=2,"Risco Baixo",""))))</f>
        <v>Expedido</v>
      </c>
      <c r="P3252" s="5" t="s">
        <v>25</v>
      </c>
      <c r="Q3252" s="5" t="s">
        <v>926</v>
      </c>
      <c r="S3252" s="7">
        <f>IF(ISBLANK(M3252),"Aguardando Previsão/Data",NETWORKDAYS(L3252,M3252)-1)</f>
        <v>2</v>
      </c>
      <c r="T3252" s="5" t="s">
        <v>942</v>
      </c>
    </row>
    <row r="3253" spans="1:20" x14ac:dyDescent="0.35">
      <c r="A3253" s="5">
        <v>8100282333</v>
      </c>
      <c r="B3253" s="5">
        <v>17600</v>
      </c>
      <c r="C3253" s="6">
        <v>45681</v>
      </c>
      <c r="D3253" s="5" t="s">
        <v>51</v>
      </c>
      <c r="E3253" s="5" t="s">
        <v>52</v>
      </c>
      <c r="F3253" s="5" t="s">
        <v>329</v>
      </c>
      <c r="G3253" s="5" t="s">
        <v>330</v>
      </c>
      <c r="H3253" s="5" t="s">
        <v>21</v>
      </c>
      <c r="I3253" s="5" t="s">
        <v>350</v>
      </c>
      <c r="J3253" s="5" t="s">
        <v>65</v>
      </c>
      <c r="K3253" s="5" t="s">
        <v>57</v>
      </c>
      <c r="L3253" s="6">
        <v>45686</v>
      </c>
      <c r="M3253" s="6">
        <v>45684</v>
      </c>
      <c r="N3253" s="5" t="s">
        <v>811</v>
      </c>
      <c r="O3253" s="5" t="str">
        <f ca="1">IF(P3253&lt;&gt;"EXPEDIÇÃO","Expedido",IF(NETWORKDAYS(C3253,TODAY())&gt;=5,"Risco Alto",IF(NETWORKDAYS(C3253,TODAY())&gt;=3,IF(NETWORKDAYS(C3253,TODAY())&lt;5,"Risco Médio",""),IF(NETWORKDAYS(C3253,TODAY())&lt;=2,"Risco Baixo",""))))</f>
        <v>Expedido</v>
      </c>
      <c r="P3253" s="5" t="s">
        <v>25</v>
      </c>
      <c r="S3253" s="7">
        <f>IF(ISBLANK(M3253),"Aguardando Previsão/Data",NETWORKDAYS(L3253,M3253)-1)</f>
        <v>-4</v>
      </c>
      <c r="T3253" s="5" t="s">
        <v>942</v>
      </c>
    </row>
    <row r="3254" spans="1:20" x14ac:dyDescent="0.35">
      <c r="A3254" s="5">
        <v>8100282647</v>
      </c>
      <c r="B3254" s="5">
        <v>17597</v>
      </c>
      <c r="C3254" s="6">
        <v>45681</v>
      </c>
      <c r="D3254" s="5" t="s">
        <v>51</v>
      </c>
      <c r="E3254" s="5" t="s">
        <v>52</v>
      </c>
      <c r="F3254" s="5" t="s">
        <v>58</v>
      </c>
      <c r="G3254" s="5" t="s">
        <v>59</v>
      </c>
      <c r="H3254" s="5" t="s">
        <v>21</v>
      </c>
      <c r="I3254" s="5" t="s">
        <v>376</v>
      </c>
      <c r="J3254" s="5" t="s">
        <v>377</v>
      </c>
      <c r="K3254" s="5" t="s">
        <v>57</v>
      </c>
      <c r="L3254" s="6">
        <v>45688</v>
      </c>
      <c r="M3254" s="6">
        <v>45687</v>
      </c>
      <c r="N3254" s="5" t="s">
        <v>811</v>
      </c>
      <c r="O3254" s="5" t="str">
        <f ca="1">IF(P3254&lt;&gt;"EXPEDIÇÃO","Expedido",IF(NETWORKDAYS(C3254,TODAY())&gt;=5,"Risco Alto",IF(NETWORKDAYS(C3254,TODAY())&gt;=3,IF(NETWORKDAYS(C3254,TODAY())&lt;5,"Risco Médio",""),IF(NETWORKDAYS(C3254,TODAY())&lt;=2,"Risco Baixo",""))))</f>
        <v>Expedido</v>
      </c>
      <c r="P3254" s="5" t="s">
        <v>617</v>
      </c>
      <c r="S3254" s="7">
        <f>IF(ISBLANK(M3254),"Aguardando Previsão/Data",NETWORKDAYS(L3254,M3254)-1)</f>
        <v>-3</v>
      </c>
    </row>
    <row r="3255" spans="1:20" x14ac:dyDescent="0.35">
      <c r="A3255" s="5">
        <v>8100282648</v>
      </c>
      <c r="B3255" s="5">
        <v>17598</v>
      </c>
      <c r="C3255" s="6">
        <v>45681</v>
      </c>
      <c r="D3255" s="5" t="s">
        <v>51</v>
      </c>
      <c r="E3255" s="5" t="s">
        <v>52</v>
      </c>
      <c r="F3255" s="5" t="s">
        <v>58</v>
      </c>
      <c r="G3255" s="5" t="s">
        <v>59</v>
      </c>
      <c r="H3255" s="5" t="s">
        <v>21</v>
      </c>
      <c r="I3255" s="5" t="s">
        <v>376</v>
      </c>
      <c r="J3255" s="5" t="s">
        <v>377</v>
      </c>
      <c r="K3255" s="5" t="s">
        <v>57</v>
      </c>
      <c r="L3255" s="6">
        <v>45688</v>
      </c>
      <c r="M3255" s="6">
        <v>45687</v>
      </c>
      <c r="N3255" s="5" t="s">
        <v>811</v>
      </c>
      <c r="O3255" s="5" t="str">
        <f ca="1">IF(P3255&lt;&gt;"EXPEDIÇÃO","Expedido",IF(NETWORKDAYS(C3255,TODAY())&gt;=5,"Risco Alto",IF(NETWORKDAYS(C3255,TODAY())&gt;=3,IF(NETWORKDAYS(C3255,TODAY())&lt;5,"Risco Médio",""),IF(NETWORKDAYS(C3255,TODAY())&lt;=2,"Risco Baixo",""))))</f>
        <v>Expedido</v>
      </c>
      <c r="P3255" s="5" t="s">
        <v>617</v>
      </c>
      <c r="S3255" s="7">
        <f>IF(ISBLANK(M3255),"Aguardando Previsão/Data",NETWORKDAYS(L3255,M3255)-1)</f>
        <v>-3</v>
      </c>
    </row>
    <row r="3256" spans="1:20" x14ac:dyDescent="0.35">
      <c r="A3256" s="5">
        <v>8100282649</v>
      </c>
      <c r="B3256" s="5">
        <v>17596</v>
      </c>
      <c r="C3256" s="6">
        <v>45681</v>
      </c>
      <c r="D3256" s="5" t="s">
        <v>51</v>
      </c>
      <c r="E3256" s="5" t="s">
        <v>52</v>
      </c>
      <c r="F3256" s="5" t="s">
        <v>329</v>
      </c>
      <c r="G3256" s="5" t="s">
        <v>330</v>
      </c>
      <c r="H3256" s="5" t="s">
        <v>21</v>
      </c>
      <c r="I3256" s="5" t="s">
        <v>331</v>
      </c>
      <c r="J3256" s="5" t="s">
        <v>332</v>
      </c>
      <c r="K3256" s="5" t="s">
        <v>57</v>
      </c>
      <c r="L3256" s="6">
        <v>45688</v>
      </c>
      <c r="M3256" s="6">
        <v>45687</v>
      </c>
      <c r="N3256" s="5" t="s">
        <v>811</v>
      </c>
      <c r="O3256" s="5" t="str">
        <f ca="1">IF(P3256&lt;&gt;"EXPEDIÇÃO","Expedido",IF(NETWORKDAYS(C3256,TODAY())&gt;=5,"Risco Alto",IF(NETWORKDAYS(C3256,TODAY())&gt;=3,IF(NETWORKDAYS(C3256,TODAY())&lt;5,"Risco Médio",""),IF(NETWORKDAYS(C3256,TODAY())&lt;=2,"Risco Baixo",""))))</f>
        <v>Expedido</v>
      </c>
      <c r="P3256" s="5" t="s">
        <v>617</v>
      </c>
      <c r="S3256" s="7">
        <f>IF(ISBLANK(M3256),"Aguardando Previsão/Data",NETWORKDAYS(L3256,M3256)-1)</f>
        <v>-3</v>
      </c>
    </row>
    <row r="3257" spans="1:20" x14ac:dyDescent="0.35">
      <c r="A3257" s="5">
        <v>8100282650</v>
      </c>
      <c r="B3257" s="5">
        <v>17594</v>
      </c>
      <c r="C3257" s="6">
        <v>45681</v>
      </c>
      <c r="D3257" s="5" t="s">
        <v>51</v>
      </c>
      <c r="E3257" s="5" t="s">
        <v>52</v>
      </c>
      <c r="F3257" s="5" t="s">
        <v>329</v>
      </c>
      <c r="G3257" s="5" t="s">
        <v>330</v>
      </c>
      <c r="H3257" s="5" t="s">
        <v>21</v>
      </c>
      <c r="I3257" s="5" t="s">
        <v>331</v>
      </c>
      <c r="J3257" s="5" t="s">
        <v>529</v>
      </c>
      <c r="K3257" s="5" t="s">
        <v>57</v>
      </c>
      <c r="L3257" s="6">
        <v>45688</v>
      </c>
      <c r="M3257" s="6">
        <v>45684</v>
      </c>
      <c r="N3257" s="5" t="s">
        <v>811</v>
      </c>
      <c r="O3257" s="5" t="str">
        <f ca="1">IF(P3257&lt;&gt;"EXPEDIÇÃO","Expedido",IF(NETWORKDAYS(C3257,TODAY())&gt;=5,"Risco Alto",IF(NETWORKDAYS(C3257,TODAY())&gt;=3,IF(NETWORKDAYS(C3257,TODAY())&lt;5,"Risco Médio",""),IF(NETWORKDAYS(C3257,TODAY())&lt;=2,"Risco Baixo",""))))</f>
        <v>Expedido</v>
      </c>
      <c r="P3257" s="5" t="s">
        <v>25</v>
      </c>
      <c r="S3257" s="7">
        <f>IF(ISBLANK(M3257),"Aguardando Previsão/Data",NETWORKDAYS(L3257,M3257)-1)</f>
        <v>-6</v>
      </c>
      <c r="T3257" s="5" t="s">
        <v>942</v>
      </c>
    </row>
    <row r="3258" spans="1:20" x14ac:dyDescent="0.35">
      <c r="A3258" s="5">
        <v>8100282651</v>
      </c>
      <c r="B3258" s="5">
        <v>17599</v>
      </c>
      <c r="C3258" s="6">
        <v>45681</v>
      </c>
      <c r="D3258" s="5" t="s">
        <v>51</v>
      </c>
      <c r="E3258" s="5" t="s">
        <v>52</v>
      </c>
      <c r="F3258" s="5" t="s">
        <v>329</v>
      </c>
      <c r="G3258" s="5" t="s">
        <v>330</v>
      </c>
      <c r="H3258" s="5" t="s">
        <v>21</v>
      </c>
      <c r="I3258" s="5" t="s">
        <v>772</v>
      </c>
      <c r="J3258" s="5" t="s">
        <v>378</v>
      </c>
      <c r="K3258" s="5" t="s">
        <v>57</v>
      </c>
      <c r="L3258" s="6">
        <v>45688</v>
      </c>
      <c r="M3258" s="6">
        <v>45687</v>
      </c>
      <c r="N3258" s="5" t="s">
        <v>811</v>
      </c>
      <c r="O3258" s="5" t="str">
        <f ca="1">IF(P3258&lt;&gt;"EXPEDIÇÃO","Expedido",IF(NETWORKDAYS(C3258,TODAY())&gt;=5,"Risco Alto",IF(NETWORKDAYS(C3258,TODAY())&gt;=3,IF(NETWORKDAYS(C3258,TODAY())&lt;5,"Risco Médio",""),IF(NETWORKDAYS(C3258,TODAY())&lt;=2,"Risco Baixo",""))))</f>
        <v>Expedido</v>
      </c>
      <c r="P3258" s="5" t="s">
        <v>617</v>
      </c>
      <c r="S3258" s="7">
        <f>IF(ISBLANK(M3258),"Aguardando Previsão/Data",NETWORKDAYS(L3258,M3258)-1)</f>
        <v>-3</v>
      </c>
    </row>
    <row r="3259" spans="1:20" x14ac:dyDescent="0.35">
      <c r="A3259" s="5">
        <v>8100282652</v>
      </c>
      <c r="B3259" s="5">
        <v>17593</v>
      </c>
      <c r="C3259" s="6">
        <v>45681</v>
      </c>
      <c r="D3259" s="5" t="s">
        <v>51</v>
      </c>
      <c r="E3259" s="5" t="s">
        <v>52</v>
      </c>
      <c r="F3259" s="5" t="s">
        <v>406</v>
      </c>
      <c r="G3259" s="5" t="s">
        <v>407</v>
      </c>
      <c r="H3259" s="5" t="s">
        <v>21</v>
      </c>
      <c r="I3259" s="5" t="s">
        <v>182</v>
      </c>
      <c r="J3259" s="5" t="s">
        <v>531</v>
      </c>
      <c r="K3259" s="5" t="s">
        <v>80</v>
      </c>
      <c r="L3259" s="6">
        <v>45688</v>
      </c>
      <c r="M3259" s="6">
        <v>45685</v>
      </c>
      <c r="N3259" s="5" t="s">
        <v>811</v>
      </c>
      <c r="O3259" s="5" t="str">
        <f ca="1">IF(P3259&lt;&gt;"EXPEDIÇÃO","Expedido",IF(NETWORKDAYS(C3259,TODAY())&gt;=5,"Risco Alto",IF(NETWORKDAYS(C3259,TODAY())&gt;=3,IF(NETWORKDAYS(C3259,TODAY())&lt;5,"Risco Médio",""),IF(NETWORKDAYS(C3259,TODAY())&lt;=2,"Risco Baixo",""))))</f>
        <v>Expedido</v>
      </c>
      <c r="P3259" s="5" t="s">
        <v>25</v>
      </c>
      <c r="S3259" s="7">
        <f>IF(ISBLANK(M3259),"Aguardando Previsão/Data",NETWORKDAYS(L3259,M3259)-1)</f>
        <v>-5</v>
      </c>
      <c r="T3259" s="5" t="s">
        <v>942</v>
      </c>
    </row>
    <row r="3260" spans="1:20" x14ac:dyDescent="0.35">
      <c r="A3260" s="5">
        <v>8100282653</v>
      </c>
      <c r="B3260" s="5">
        <v>17595</v>
      </c>
      <c r="C3260" s="6">
        <v>45681</v>
      </c>
      <c r="D3260" s="5" t="s">
        <v>51</v>
      </c>
      <c r="E3260" s="5" t="s">
        <v>52</v>
      </c>
      <c r="F3260" s="5" t="s">
        <v>329</v>
      </c>
      <c r="G3260" s="5" t="s">
        <v>330</v>
      </c>
      <c r="H3260" s="5" t="s">
        <v>21</v>
      </c>
      <c r="I3260" s="5" t="s">
        <v>22</v>
      </c>
      <c r="J3260" s="5" t="s">
        <v>65</v>
      </c>
      <c r="K3260" s="5" t="s">
        <v>57</v>
      </c>
      <c r="L3260" s="6">
        <v>45686</v>
      </c>
      <c r="M3260" s="6">
        <v>45682</v>
      </c>
      <c r="N3260" s="5" t="s">
        <v>811</v>
      </c>
      <c r="O3260" s="5" t="str">
        <f ca="1">IF(P3260&lt;&gt;"EXPEDIÇÃO","Expedido",IF(NETWORKDAYS(C3260,TODAY())&gt;=5,"Risco Alto",IF(NETWORKDAYS(C3260,TODAY())&gt;=3,IF(NETWORKDAYS(C3260,TODAY())&lt;5,"Risco Médio",""),IF(NETWORKDAYS(C3260,TODAY())&lt;=2,"Risco Baixo",""))))</f>
        <v>Expedido</v>
      </c>
      <c r="P3260" s="5" t="s">
        <v>25</v>
      </c>
      <c r="Q3260" s="5" t="s">
        <v>900</v>
      </c>
      <c r="S3260" s="7">
        <f>IF(ISBLANK(M3260),"Aguardando Previsão/Data",NETWORKDAYS(L3260,M3260)-1)</f>
        <v>-4</v>
      </c>
      <c r="T3260" s="5" t="s">
        <v>942</v>
      </c>
    </row>
    <row r="3261" spans="1:20" x14ac:dyDescent="0.35">
      <c r="A3261" s="5">
        <v>8100282834</v>
      </c>
      <c r="B3261" s="5">
        <v>17607</v>
      </c>
      <c r="C3261" s="6">
        <v>45681</v>
      </c>
      <c r="D3261" s="5" t="s">
        <v>51</v>
      </c>
      <c r="E3261" s="5" t="s">
        <v>52</v>
      </c>
      <c r="F3261" s="5" t="s">
        <v>66</v>
      </c>
      <c r="G3261" s="5" t="s">
        <v>67</v>
      </c>
      <c r="H3261" s="5" t="s">
        <v>21</v>
      </c>
      <c r="I3261" s="5" t="s">
        <v>517</v>
      </c>
      <c r="J3261" s="5" t="s">
        <v>270</v>
      </c>
      <c r="K3261" s="5" t="s">
        <v>57</v>
      </c>
      <c r="L3261" s="6">
        <v>45691</v>
      </c>
      <c r="M3261" s="6">
        <v>45688</v>
      </c>
      <c r="N3261" s="5" t="s">
        <v>811</v>
      </c>
      <c r="O3261" s="5" t="str">
        <f ca="1">IF(P3261&lt;&gt;"EXPEDIÇÃO","Expedido",IF(NETWORKDAYS(C3261,TODAY())&gt;=5,"Risco Alto",IF(NETWORKDAYS(C3261,TODAY())&gt;=3,IF(NETWORKDAYS(C3261,TODAY())&lt;5,"Risco Médio",""),IF(NETWORKDAYS(C3261,TODAY())&lt;=2,"Risco Baixo",""))))</f>
        <v>Expedido</v>
      </c>
      <c r="P3261" s="5" t="s">
        <v>617</v>
      </c>
      <c r="S3261" s="7">
        <f>IF(ISBLANK(M3261),"Aguardando Previsão/Data",NETWORKDAYS(L3261,M3261)-1)</f>
        <v>-3</v>
      </c>
    </row>
    <row r="3262" spans="1:20" x14ac:dyDescent="0.35">
      <c r="A3262" s="5">
        <v>8100282835</v>
      </c>
      <c r="B3262" s="5">
        <v>17603</v>
      </c>
      <c r="C3262" s="6">
        <v>45681</v>
      </c>
      <c r="D3262" s="5" t="s">
        <v>51</v>
      </c>
      <c r="E3262" s="5" t="s">
        <v>52</v>
      </c>
      <c r="F3262" s="5" t="s">
        <v>66</v>
      </c>
      <c r="G3262" s="5" t="s">
        <v>67</v>
      </c>
      <c r="H3262" s="5" t="s">
        <v>21</v>
      </c>
      <c r="I3262" s="5" t="s">
        <v>73</v>
      </c>
      <c r="J3262" s="5" t="s">
        <v>68</v>
      </c>
      <c r="K3262" s="5" t="s">
        <v>57</v>
      </c>
      <c r="L3262" s="6">
        <v>45688</v>
      </c>
      <c r="M3262" s="6">
        <v>45687</v>
      </c>
      <c r="N3262" s="5" t="s">
        <v>811</v>
      </c>
      <c r="O3262" s="5" t="str">
        <f ca="1">IF(P3262&lt;&gt;"EXPEDIÇÃO","Expedido",IF(NETWORKDAYS(C3262,TODAY())&gt;=5,"Risco Alto",IF(NETWORKDAYS(C3262,TODAY())&gt;=3,IF(NETWORKDAYS(C3262,TODAY())&lt;5,"Risco Médio",""),IF(NETWORKDAYS(C3262,TODAY())&lt;=2,"Risco Baixo",""))))</f>
        <v>Expedido</v>
      </c>
      <c r="P3262" s="5" t="s">
        <v>617</v>
      </c>
      <c r="S3262" s="7">
        <f>IF(ISBLANK(M3262),"Aguardando Previsão/Data",NETWORKDAYS(L3262,M3262)-1)</f>
        <v>-3</v>
      </c>
    </row>
    <row r="3263" spans="1:20" x14ac:dyDescent="0.35">
      <c r="A3263" s="5">
        <v>8100282836</v>
      </c>
      <c r="B3263" s="5">
        <v>17610</v>
      </c>
      <c r="C3263" s="6">
        <v>45681</v>
      </c>
      <c r="D3263" s="5" t="s">
        <v>51</v>
      </c>
      <c r="E3263" s="5" t="s">
        <v>52</v>
      </c>
      <c r="F3263" s="5" t="s">
        <v>66</v>
      </c>
      <c r="G3263" s="5" t="s">
        <v>67</v>
      </c>
      <c r="H3263" s="5" t="s">
        <v>21</v>
      </c>
      <c r="I3263" s="5" t="s">
        <v>669</v>
      </c>
      <c r="J3263" s="5" t="s">
        <v>705</v>
      </c>
      <c r="K3263" s="5" t="s">
        <v>57</v>
      </c>
      <c r="L3263" s="6">
        <v>45688</v>
      </c>
      <c r="M3263" s="6">
        <v>45687</v>
      </c>
      <c r="N3263" s="5" t="s">
        <v>811</v>
      </c>
      <c r="O3263" s="5" t="str">
        <f ca="1">IF(P3263&lt;&gt;"EXPEDIÇÃO","Expedido",IF(NETWORKDAYS(C3263,TODAY())&gt;=5,"Risco Alto",IF(NETWORKDAYS(C3263,TODAY())&gt;=3,IF(NETWORKDAYS(C3263,TODAY())&lt;5,"Risco Médio",""),IF(NETWORKDAYS(C3263,TODAY())&lt;=2,"Risco Baixo",""))))</f>
        <v>Expedido</v>
      </c>
      <c r="P3263" s="5" t="s">
        <v>617</v>
      </c>
      <c r="Q3263" s="5" t="s">
        <v>897</v>
      </c>
      <c r="S3263" s="7">
        <f>IF(ISBLANK(M3263),"Aguardando Previsão/Data",NETWORKDAYS(L3263,M3263)-1)</f>
        <v>-3</v>
      </c>
    </row>
    <row r="3264" spans="1:20" x14ac:dyDescent="0.35">
      <c r="A3264" s="5">
        <v>8100282837</v>
      </c>
      <c r="B3264" s="5">
        <v>17609</v>
      </c>
      <c r="C3264" s="6">
        <v>45681</v>
      </c>
      <c r="D3264" s="5" t="s">
        <v>51</v>
      </c>
      <c r="E3264" s="5" t="s">
        <v>52</v>
      </c>
      <c r="F3264" s="5" t="s">
        <v>66</v>
      </c>
      <c r="G3264" s="5" t="s">
        <v>67</v>
      </c>
      <c r="H3264" s="5" t="s">
        <v>21</v>
      </c>
      <c r="I3264" s="5" t="s">
        <v>60</v>
      </c>
      <c r="J3264" s="5" t="s">
        <v>61</v>
      </c>
      <c r="K3264" s="5" t="s">
        <v>57</v>
      </c>
      <c r="L3264" s="6">
        <v>45691</v>
      </c>
      <c r="M3264" s="6">
        <v>45688</v>
      </c>
      <c r="N3264" s="5" t="s">
        <v>811</v>
      </c>
      <c r="O3264" s="5" t="str">
        <f ca="1">IF(P3264&lt;&gt;"EXPEDIÇÃO","Expedido",IF(NETWORKDAYS(C3264,TODAY())&gt;=5,"Risco Alto",IF(NETWORKDAYS(C3264,TODAY())&gt;=3,IF(NETWORKDAYS(C3264,TODAY())&lt;5,"Risco Médio",""),IF(NETWORKDAYS(C3264,TODAY())&lt;=2,"Risco Baixo",""))))</f>
        <v>Expedido</v>
      </c>
      <c r="P3264" s="5" t="s">
        <v>617</v>
      </c>
      <c r="S3264" s="7">
        <f>IF(ISBLANK(M3264),"Aguardando Previsão/Data",NETWORKDAYS(L3264,M3264)-1)</f>
        <v>-3</v>
      </c>
    </row>
    <row r="3265" spans="1:20" x14ac:dyDescent="0.35">
      <c r="A3265" s="5">
        <v>8100282863</v>
      </c>
      <c r="B3265" s="5">
        <v>17608</v>
      </c>
      <c r="C3265" s="6">
        <v>45681</v>
      </c>
      <c r="D3265" s="5" t="s">
        <v>51</v>
      </c>
      <c r="E3265" s="5" t="s">
        <v>52</v>
      </c>
      <c r="F3265" s="5" t="s">
        <v>53</v>
      </c>
      <c r="G3265" s="5" t="s">
        <v>54</v>
      </c>
      <c r="H3265" s="5" t="s">
        <v>21</v>
      </c>
      <c r="I3265" s="5" t="s">
        <v>748</v>
      </c>
      <c r="J3265" s="5" t="s">
        <v>620</v>
      </c>
      <c r="K3265" s="5" t="s">
        <v>57</v>
      </c>
      <c r="L3265" s="6">
        <v>45691</v>
      </c>
      <c r="M3265" s="6">
        <v>45686</v>
      </c>
      <c r="N3265" s="5" t="s">
        <v>811</v>
      </c>
      <c r="O3265" s="5" t="str">
        <f ca="1">IF(P3265&lt;&gt;"EXPEDIÇÃO","Expedido",IF(NETWORKDAYS(C3265,TODAY())&gt;=5,"Risco Alto",IF(NETWORKDAYS(C3265,TODAY())&gt;=3,IF(NETWORKDAYS(C3265,TODAY())&lt;5,"Risco Médio",""),IF(NETWORKDAYS(C3265,TODAY())&lt;=2,"Risco Baixo",""))))</f>
        <v>Expedido</v>
      </c>
      <c r="P3265" s="5" t="s">
        <v>25</v>
      </c>
      <c r="S3265" s="7">
        <f>IF(ISBLANK(M3265),"Aguardando Previsão/Data",NETWORKDAYS(L3265,M3265)-1)</f>
        <v>-5</v>
      </c>
      <c r="T3265" s="5" t="s">
        <v>942</v>
      </c>
    </row>
    <row r="3266" spans="1:20" x14ac:dyDescent="0.35">
      <c r="A3266" s="5">
        <v>8100282864</v>
      </c>
      <c r="B3266" s="5">
        <v>17602</v>
      </c>
      <c r="C3266" s="6">
        <v>45681</v>
      </c>
      <c r="D3266" s="5" t="s">
        <v>51</v>
      </c>
      <c r="E3266" s="5" t="s">
        <v>52</v>
      </c>
      <c r="F3266" s="5" t="s">
        <v>66</v>
      </c>
      <c r="G3266" s="5" t="s">
        <v>67</v>
      </c>
      <c r="H3266" s="5" t="s">
        <v>21</v>
      </c>
      <c r="I3266" s="5" t="s">
        <v>1174</v>
      </c>
      <c r="J3266" s="5" t="s">
        <v>1055</v>
      </c>
      <c r="K3266" s="5" t="s">
        <v>57</v>
      </c>
      <c r="L3266" s="6">
        <v>45691</v>
      </c>
      <c r="M3266" s="6">
        <v>45688</v>
      </c>
      <c r="N3266" s="5" t="s">
        <v>811</v>
      </c>
      <c r="O3266" s="5" t="str">
        <f ca="1">IF(P3266&lt;&gt;"EXPEDIÇÃO","Expedido",IF(NETWORKDAYS(C3266,TODAY())&gt;=5,"Risco Alto",IF(NETWORKDAYS(C3266,TODAY())&gt;=3,IF(NETWORKDAYS(C3266,TODAY())&lt;5,"Risco Médio",""),IF(NETWORKDAYS(C3266,TODAY())&lt;=2,"Risco Baixo",""))))</f>
        <v>Expedido</v>
      </c>
      <c r="P3266" s="5" t="s">
        <v>617</v>
      </c>
      <c r="S3266" s="7">
        <f>IF(ISBLANK(M3266),"Aguardando Previsão/Data",NETWORKDAYS(L3266,M3266)-1)</f>
        <v>-3</v>
      </c>
    </row>
    <row r="3267" spans="1:20" x14ac:dyDescent="0.35">
      <c r="A3267" s="5">
        <v>8100282865</v>
      </c>
      <c r="B3267" s="5">
        <v>17606</v>
      </c>
      <c r="C3267" s="6">
        <v>45681</v>
      </c>
      <c r="D3267" s="5" t="s">
        <v>51</v>
      </c>
      <c r="E3267" s="5" t="s">
        <v>52</v>
      </c>
      <c r="F3267" s="5" t="s">
        <v>66</v>
      </c>
      <c r="G3267" s="5" t="s">
        <v>67</v>
      </c>
      <c r="H3267" s="5" t="s">
        <v>21</v>
      </c>
      <c r="I3267" s="5" t="s">
        <v>1337</v>
      </c>
      <c r="J3267" s="5" t="s">
        <v>68</v>
      </c>
      <c r="K3267" s="5" t="s">
        <v>57</v>
      </c>
      <c r="L3267" s="6">
        <v>45688</v>
      </c>
      <c r="M3267" s="6">
        <v>45687</v>
      </c>
      <c r="N3267" s="5" t="s">
        <v>811</v>
      </c>
      <c r="O3267" s="5" t="str">
        <f ca="1">IF(P3267&lt;&gt;"EXPEDIÇÃO","Expedido",IF(NETWORKDAYS(C3267,TODAY())&gt;=5,"Risco Alto",IF(NETWORKDAYS(C3267,TODAY())&gt;=3,IF(NETWORKDAYS(C3267,TODAY())&lt;5,"Risco Médio",""),IF(NETWORKDAYS(C3267,TODAY())&lt;=2,"Risco Baixo",""))))</f>
        <v>Expedido</v>
      </c>
      <c r="P3267" s="5" t="s">
        <v>617</v>
      </c>
      <c r="S3267" s="7">
        <f>IF(ISBLANK(M3267),"Aguardando Previsão/Data",NETWORKDAYS(L3267,M3267)-1)</f>
        <v>-3</v>
      </c>
    </row>
    <row r="3268" spans="1:20" x14ac:dyDescent="0.35">
      <c r="A3268" s="5">
        <v>8100282866</v>
      </c>
      <c r="B3268" s="5">
        <v>17601</v>
      </c>
      <c r="C3268" s="6">
        <v>45681</v>
      </c>
      <c r="D3268" s="5" t="s">
        <v>51</v>
      </c>
      <c r="E3268" s="5" t="s">
        <v>52</v>
      </c>
      <c r="F3268" s="5" t="s">
        <v>58</v>
      </c>
      <c r="G3268" s="5" t="s">
        <v>59</v>
      </c>
      <c r="H3268" s="5" t="s">
        <v>21</v>
      </c>
      <c r="I3268" s="5" t="s">
        <v>22</v>
      </c>
      <c r="J3268" s="5" t="s">
        <v>65</v>
      </c>
      <c r="K3268" s="5" t="s">
        <v>57</v>
      </c>
      <c r="L3268" s="6">
        <v>45686</v>
      </c>
      <c r="M3268" s="6">
        <v>45682</v>
      </c>
      <c r="N3268" s="5" t="s">
        <v>811</v>
      </c>
      <c r="O3268" s="5" t="str">
        <f ca="1">IF(P3268&lt;&gt;"EXPEDIÇÃO","Expedido",IF(NETWORKDAYS(C3268,TODAY())&gt;=5,"Risco Alto",IF(NETWORKDAYS(C3268,TODAY())&gt;=3,IF(NETWORKDAYS(C3268,TODAY())&lt;5,"Risco Médio",""),IF(NETWORKDAYS(C3268,TODAY())&lt;=2,"Risco Baixo",""))))</f>
        <v>Expedido</v>
      </c>
      <c r="P3268" s="5" t="s">
        <v>25</v>
      </c>
      <c r="Q3268" s="5" t="s">
        <v>900</v>
      </c>
      <c r="S3268" s="7">
        <f>IF(ISBLANK(M3268),"Aguardando Previsão/Data",NETWORKDAYS(L3268,M3268)-1)</f>
        <v>-4</v>
      </c>
      <c r="T3268" s="5" t="s">
        <v>942</v>
      </c>
    </row>
    <row r="3269" spans="1:20" x14ac:dyDescent="0.35">
      <c r="A3269" s="5">
        <v>8100282867</v>
      </c>
      <c r="B3269" s="5">
        <v>17605</v>
      </c>
      <c r="C3269" s="6">
        <v>45681</v>
      </c>
      <c r="D3269" s="5" t="s">
        <v>51</v>
      </c>
      <c r="E3269" s="5" t="s">
        <v>52</v>
      </c>
      <c r="F3269" s="5" t="s">
        <v>58</v>
      </c>
      <c r="G3269" s="5" t="s">
        <v>59</v>
      </c>
      <c r="H3269" s="5" t="s">
        <v>21</v>
      </c>
      <c r="I3269" s="5" t="s">
        <v>88</v>
      </c>
      <c r="J3269" s="5" t="s">
        <v>72</v>
      </c>
      <c r="K3269" s="5" t="s">
        <v>57</v>
      </c>
      <c r="L3269" s="6">
        <v>45687</v>
      </c>
      <c r="M3269" s="6">
        <v>45687</v>
      </c>
      <c r="N3269" s="5" t="s">
        <v>811</v>
      </c>
      <c r="O3269" s="5" t="str">
        <f ca="1">IF(P3269&lt;&gt;"EXPEDIÇÃO","Expedido",IF(NETWORKDAYS(C3269,TODAY())&gt;=5,"Risco Alto",IF(NETWORKDAYS(C3269,TODAY())&gt;=3,IF(NETWORKDAYS(C3269,TODAY())&lt;5,"Risco Médio",""),IF(NETWORKDAYS(C3269,TODAY())&lt;=2,"Risco Baixo",""))))</f>
        <v>Expedido</v>
      </c>
      <c r="P3269" s="5" t="s">
        <v>25</v>
      </c>
      <c r="S3269" s="7">
        <f>IF(ISBLANK(M3269),"Aguardando Previsão/Data",NETWORKDAYS(L3269,M3269)-1)</f>
        <v>0</v>
      </c>
      <c r="T3269" s="5" t="s">
        <v>942</v>
      </c>
    </row>
    <row r="3270" spans="1:20" x14ac:dyDescent="0.35">
      <c r="A3270" s="5">
        <v>8100282868</v>
      </c>
      <c r="B3270" s="5">
        <v>17604</v>
      </c>
      <c r="C3270" s="6">
        <v>45681</v>
      </c>
      <c r="D3270" s="5" t="s">
        <v>51</v>
      </c>
      <c r="E3270" s="5" t="s">
        <v>52</v>
      </c>
      <c r="F3270" s="5" t="s">
        <v>66</v>
      </c>
      <c r="G3270" s="5" t="s">
        <v>67</v>
      </c>
      <c r="H3270" s="5" t="s">
        <v>21</v>
      </c>
      <c r="I3270" s="5" t="s">
        <v>1550</v>
      </c>
      <c r="J3270" s="5" t="s">
        <v>68</v>
      </c>
      <c r="K3270" s="5" t="s">
        <v>57</v>
      </c>
      <c r="L3270" s="6">
        <v>45688</v>
      </c>
      <c r="M3270" s="6">
        <v>45687</v>
      </c>
      <c r="N3270" s="5" t="s">
        <v>811</v>
      </c>
      <c r="O3270" s="5" t="str">
        <f ca="1">IF(P3270&lt;&gt;"EXPEDIÇÃO","Expedido",IF(NETWORKDAYS(C3270,TODAY())&gt;=5,"Risco Alto",IF(NETWORKDAYS(C3270,TODAY())&gt;=3,IF(NETWORKDAYS(C3270,TODAY())&lt;5,"Risco Médio",""),IF(NETWORKDAYS(C3270,TODAY())&lt;=2,"Risco Baixo",""))))</f>
        <v>Expedido</v>
      </c>
      <c r="P3270" s="5" t="s">
        <v>617</v>
      </c>
      <c r="S3270" s="7">
        <f>IF(ISBLANK(M3270),"Aguardando Previsão/Data",NETWORKDAYS(L3270,M3270)-1)</f>
        <v>-3</v>
      </c>
    </row>
    <row r="3271" spans="1:20" x14ac:dyDescent="0.35">
      <c r="A3271" s="5">
        <v>8100283044</v>
      </c>
      <c r="B3271" s="5">
        <v>17612</v>
      </c>
      <c r="C3271" s="6">
        <v>45681</v>
      </c>
      <c r="D3271" s="5" t="s">
        <v>51</v>
      </c>
      <c r="E3271" s="5" t="s">
        <v>52</v>
      </c>
      <c r="F3271" s="5" t="s">
        <v>58</v>
      </c>
      <c r="G3271" s="5" t="s">
        <v>59</v>
      </c>
      <c r="H3271" s="5" t="s">
        <v>21</v>
      </c>
      <c r="I3271" s="5" t="s">
        <v>376</v>
      </c>
      <c r="J3271" s="5" t="s">
        <v>377</v>
      </c>
      <c r="K3271" s="5" t="s">
        <v>57</v>
      </c>
      <c r="L3271" s="6">
        <v>45688</v>
      </c>
      <c r="M3271" s="6">
        <v>45686</v>
      </c>
      <c r="N3271" s="5" t="s">
        <v>811</v>
      </c>
      <c r="O3271" s="5" t="str">
        <f ca="1">IF(P3271&lt;&gt;"EXPEDIÇÃO","Expedido",IF(NETWORKDAYS(C3271,TODAY())&gt;=5,"Risco Alto",IF(NETWORKDAYS(C3271,TODAY())&gt;=3,IF(NETWORKDAYS(C3271,TODAY())&lt;5,"Risco Médio",""),IF(NETWORKDAYS(C3271,TODAY())&lt;=2,"Risco Baixo",""))))</f>
        <v>Expedido</v>
      </c>
      <c r="P3271" s="5" t="s">
        <v>25</v>
      </c>
      <c r="S3271" s="7">
        <f>IF(ISBLANK(M3271),"Aguardando Previsão/Data",NETWORKDAYS(L3271,M3271)-1)</f>
        <v>-4</v>
      </c>
      <c r="T3271" s="5" t="s">
        <v>942</v>
      </c>
    </row>
    <row r="3272" spans="1:20" x14ac:dyDescent="0.35">
      <c r="A3272" s="5">
        <v>8100283045</v>
      </c>
      <c r="B3272" s="5">
        <v>17613</v>
      </c>
      <c r="C3272" s="6">
        <v>45681</v>
      </c>
      <c r="D3272" s="5" t="s">
        <v>51</v>
      </c>
      <c r="E3272" s="5" t="s">
        <v>52</v>
      </c>
      <c r="F3272" s="5" t="s">
        <v>58</v>
      </c>
      <c r="G3272" s="5" t="s">
        <v>59</v>
      </c>
      <c r="H3272" s="5" t="s">
        <v>21</v>
      </c>
      <c r="I3272" s="5" t="s">
        <v>376</v>
      </c>
      <c r="J3272" s="5" t="s">
        <v>377</v>
      </c>
      <c r="K3272" s="5" t="s">
        <v>57</v>
      </c>
      <c r="L3272" s="6">
        <v>45688</v>
      </c>
      <c r="M3272" s="6">
        <v>45686</v>
      </c>
      <c r="N3272" s="5" t="s">
        <v>811</v>
      </c>
      <c r="O3272" s="5" t="str">
        <f ca="1">IF(P3272&lt;&gt;"EXPEDIÇÃO","Expedido",IF(NETWORKDAYS(C3272,TODAY())&gt;=5,"Risco Alto",IF(NETWORKDAYS(C3272,TODAY())&gt;=3,IF(NETWORKDAYS(C3272,TODAY())&lt;5,"Risco Médio",""),IF(NETWORKDAYS(C3272,TODAY())&lt;=2,"Risco Baixo",""))))</f>
        <v>Expedido</v>
      </c>
      <c r="P3272" s="5" t="s">
        <v>25</v>
      </c>
      <c r="S3272" s="7">
        <f>IF(ISBLANK(M3272),"Aguardando Previsão/Data",NETWORKDAYS(L3272,M3272)-1)</f>
        <v>-4</v>
      </c>
      <c r="T3272" s="5" t="s">
        <v>942</v>
      </c>
    </row>
    <row r="3273" spans="1:20" x14ac:dyDescent="0.35">
      <c r="A3273" s="5">
        <v>8100283046</v>
      </c>
      <c r="B3273" s="5">
        <v>17614</v>
      </c>
      <c r="C3273" s="6">
        <v>45681</v>
      </c>
      <c r="D3273" s="5" t="s">
        <v>51</v>
      </c>
      <c r="E3273" s="5" t="s">
        <v>52</v>
      </c>
      <c r="F3273" s="5" t="s">
        <v>58</v>
      </c>
      <c r="G3273" s="5" t="s">
        <v>59</v>
      </c>
      <c r="H3273" s="5" t="s">
        <v>21</v>
      </c>
      <c r="I3273" s="5" t="s">
        <v>376</v>
      </c>
      <c r="J3273" s="5" t="s">
        <v>377</v>
      </c>
      <c r="K3273" s="5" t="s">
        <v>57</v>
      </c>
      <c r="L3273" s="6">
        <v>45688</v>
      </c>
      <c r="M3273" s="6">
        <v>45686</v>
      </c>
      <c r="N3273" s="5" t="s">
        <v>811</v>
      </c>
      <c r="O3273" s="5" t="str">
        <f ca="1">IF(P3273&lt;&gt;"EXPEDIÇÃO","Expedido",IF(NETWORKDAYS(C3273,TODAY())&gt;=5,"Risco Alto",IF(NETWORKDAYS(C3273,TODAY())&gt;=3,IF(NETWORKDAYS(C3273,TODAY())&lt;5,"Risco Médio",""),IF(NETWORKDAYS(C3273,TODAY())&lt;=2,"Risco Baixo",""))))</f>
        <v>Expedido</v>
      </c>
      <c r="P3273" s="5" t="s">
        <v>25</v>
      </c>
      <c r="S3273" s="7">
        <f>IF(ISBLANK(M3273),"Aguardando Previsão/Data",NETWORKDAYS(L3273,M3273)-1)</f>
        <v>-4</v>
      </c>
      <c r="T3273" s="5" t="s">
        <v>942</v>
      </c>
    </row>
    <row r="3274" spans="1:20" x14ac:dyDescent="0.35">
      <c r="A3274" s="5">
        <v>8100283047</v>
      </c>
      <c r="B3274" s="5">
        <v>17615</v>
      </c>
      <c r="C3274" s="6">
        <v>45681</v>
      </c>
      <c r="D3274" s="5" t="s">
        <v>51</v>
      </c>
      <c r="E3274" s="5" t="s">
        <v>52</v>
      </c>
      <c r="F3274" s="5" t="s">
        <v>66</v>
      </c>
      <c r="G3274" s="5" t="s">
        <v>67</v>
      </c>
      <c r="H3274" s="5" t="s">
        <v>21</v>
      </c>
      <c r="I3274" s="5" t="s">
        <v>269</v>
      </c>
      <c r="J3274" s="5" t="s">
        <v>270</v>
      </c>
      <c r="K3274" s="5" t="s">
        <v>57</v>
      </c>
      <c r="L3274" s="6">
        <v>45691</v>
      </c>
      <c r="M3274" s="6">
        <v>45688</v>
      </c>
      <c r="N3274" s="5" t="s">
        <v>811</v>
      </c>
      <c r="O3274" s="5" t="str">
        <f ca="1">IF(P3274&lt;&gt;"EXPEDIÇÃO","Expedido",IF(NETWORKDAYS(C3274,TODAY())&gt;=5,"Risco Alto",IF(NETWORKDAYS(C3274,TODAY())&gt;=3,IF(NETWORKDAYS(C3274,TODAY())&lt;5,"Risco Médio",""),IF(NETWORKDAYS(C3274,TODAY())&lt;=2,"Risco Baixo",""))))</f>
        <v>Expedido</v>
      </c>
      <c r="P3274" s="5" t="s">
        <v>617</v>
      </c>
      <c r="S3274" s="7">
        <f>IF(ISBLANK(M3274),"Aguardando Previsão/Data",NETWORKDAYS(L3274,M3274)-1)</f>
        <v>-3</v>
      </c>
    </row>
    <row r="3275" spans="1:20" x14ac:dyDescent="0.35">
      <c r="A3275" s="5">
        <v>8100283050</v>
      </c>
      <c r="B3275" s="5">
        <v>17616</v>
      </c>
      <c r="C3275" s="6">
        <v>45681</v>
      </c>
      <c r="D3275" s="5" t="s">
        <v>51</v>
      </c>
      <c r="E3275" s="5" t="s">
        <v>52</v>
      </c>
      <c r="F3275" s="5" t="s">
        <v>58</v>
      </c>
      <c r="G3275" s="5" t="s">
        <v>59</v>
      </c>
      <c r="H3275" s="5" t="s">
        <v>21</v>
      </c>
      <c r="I3275" s="5" t="s">
        <v>376</v>
      </c>
      <c r="J3275" s="5" t="s">
        <v>377</v>
      </c>
      <c r="K3275" s="5" t="s">
        <v>57</v>
      </c>
      <c r="L3275" s="6">
        <v>45688</v>
      </c>
      <c r="M3275" s="6">
        <v>45686</v>
      </c>
      <c r="N3275" s="5" t="s">
        <v>811</v>
      </c>
      <c r="O3275" s="5" t="str">
        <f ca="1">IF(P3275&lt;&gt;"EXPEDIÇÃO","Expedido",IF(NETWORKDAYS(C3275,TODAY())&gt;=5,"Risco Alto",IF(NETWORKDAYS(C3275,TODAY())&gt;=3,IF(NETWORKDAYS(C3275,TODAY())&lt;5,"Risco Médio",""),IF(NETWORKDAYS(C3275,TODAY())&lt;=2,"Risco Baixo",""))))</f>
        <v>Expedido</v>
      </c>
      <c r="P3275" s="5" t="s">
        <v>25</v>
      </c>
      <c r="S3275" s="7">
        <f>IF(ISBLANK(M3275),"Aguardando Previsão/Data",NETWORKDAYS(L3275,M3275)-1)</f>
        <v>-4</v>
      </c>
      <c r="T3275" s="5" t="s">
        <v>942</v>
      </c>
    </row>
    <row r="3276" spans="1:20" x14ac:dyDescent="0.35">
      <c r="A3276" s="5">
        <v>8100283051</v>
      </c>
      <c r="B3276" s="5">
        <v>17617</v>
      </c>
      <c r="C3276" s="6">
        <v>45681</v>
      </c>
      <c r="D3276" s="5" t="s">
        <v>51</v>
      </c>
      <c r="E3276" s="5" t="s">
        <v>52</v>
      </c>
      <c r="F3276" s="5" t="s">
        <v>58</v>
      </c>
      <c r="G3276" s="5" t="s">
        <v>59</v>
      </c>
      <c r="H3276" s="5" t="s">
        <v>21</v>
      </c>
      <c r="I3276" s="5" t="s">
        <v>376</v>
      </c>
      <c r="J3276" s="5" t="s">
        <v>377</v>
      </c>
      <c r="K3276" s="5" t="s">
        <v>57</v>
      </c>
      <c r="L3276" s="6">
        <v>45688</v>
      </c>
      <c r="M3276" s="6">
        <v>45686</v>
      </c>
      <c r="N3276" s="5" t="s">
        <v>811</v>
      </c>
      <c r="O3276" s="5" t="str">
        <f ca="1">IF(P3276&lt;&gt;"EXPEDIÇÃO","Expedido",IF(NETWORKDAYS(C3276,TODAY())&gt;=5,"Risco Alto",IF(NETWORKDAYS(C3276,TODAY())&gt;=3,IF(NETWORKDAYS(C3276,TODAY())&lt;5,"Risco Médio",""),IF(NETWORKDAYS(C3276,TODAY())&lt;=2,"Risco Baixo",""))))</f>
        <v>Expedido</v>
      </c>
      <c r="P3276" s="5" t="s">
        <v>25</v>
      </c>
      <c r="S3276" s="7">
        <f>IF(ISBLANK(M3276),"Aguardando Previsão/Data",NETWORKDAYS(L3276,M3276)-1)</f>
        <v>-4</v>
      </c>
      <c r="T3276" s="5" t="s">
        <v>942</v>
      </c>
    </row>
    <row r="3277" spans="1:20" x14ac:dyDescent="0.35">
      <c r="A3277" s="5">
        <v>8100283052</v>
      </c>
      <c r="B3277" s="5">
        <v>17618</v>
      </c>
      <c r="C3277" s="6">
        <v>45681</v>
      </c>
      <c r="D3277" s="5" t="s">
        <v>51</v>
      </c>
      <c r="E3277" s="5" t="s">
        <v>52</v>
      </c>
      <c r="F3277" s="5" t="s">
        <v>58</v>
      </c>
      <c r="G3277" s="5" t="s">
        <v>59</v>
      </c>
      <c r="H3277" s="5" t="s">
        <v>21</v>
      </c>
      <c r="I3277" s="5" t="s">
        <v>376</v>
      </c>
      <c r="J3277" s="5" t="s">
        <v>377</v>
      </c>
      <c r="K3277" s="5" t="s">
        <v>57</v>
      </c>
      <c r="L3277" s="6">
        <v>45688</v>
      </c>
      <c r="M3277" s="6">
        <v>45686</v>
      </c>
      <c r="N3277" s="5" t="s">
        <v>811</v>
      </c>
      <c r="O3277" s="5" t="str">
        <f ca="1">IF(P3277&lt;&gt;"EXPEDIÇÃO","Expedido",IF(NETWORKDAYS(C3277,TODAY())&gt;=5,"Risco Alto",IF(NETWORKDAYS(C3277,TODAY())&gt;=3,IF(NETWORKDAYS(C3277,TODAY())&lt;5,"Risco Médio",""),IF(NETWORKDAYS(C3277,TODAY())&lt;=2,"Risco Baixo",""))))</f>
        <v>Expedido</v>
      </c>
      <c r="P3277" s="5" t="s">
        <v>25</v>
      </c>
      <c r="S3277" s="7">
        <f>IF(ISBLANK(M3277),"Aguardando Previsão/Data",NETWORKDAYS(L3277,M3277)-1)</f>
        <v>-4</v>
      </c>
      <c r="T3277" s="5" t="s">
        <v>942</v>
      </c>
    </row>
    <row r="3278" spans="1:20" x14ac:dyDescent="0.35">
      <c r="A3278" s="5">
        <v>8100283105</v>
      </c>
      <c r="B3278" s="5">
        <v>17620</v>
      </c>
      <c r="C3278" s="6">
        <v>45681</v>
      </c>
      <c r="D3278" s="5" t="s">
        <v>51</v>
      </c>
      <c r="E3278" s="5" t="s">
        <v>52</v>
      </c>
      <c r="F3278" s="5" t="s">
        <v>58</v>
      </c>
      <c r="G3278" s="5" t="s">
        <v>59</v>
      </c>
      <c r="H3278" s="5" t="s">
        <v>21</v>
      </c>
      <c r="I3278" s="5" t="s">
        <v>60</v>
      </c>
      <c r="J3278" s="5" t="s">
        <v>61</v>
      </c>
      <c r="K3278" s="5" t="s">
        <v>57</v>
      </c>
      <c r="L3278" s="6">
        <v>45691</v>
      </c>
      <c r="M3278" s="6">
        <v>45688</v>
      </c>
      <c r="N3278" s="5" t="s">
        <v>811</v>
      </c>
      <c r="O3278" s="5" t="str">
        <f ca="1">IF(P3278&lt;&gt;"EXPEDIÇÃO","Expedido",IF(NETWORKDAYS(C3278,TODAY())&gt;=5,"Risco Alto",IF(NETWORKDAYS(C3278,TODAY())&gt;=3,IF(NETWORKDAYS(C3278,TODAY())&lt;5,"Risco Médio",""),IF(NETWORKDAYS(C3278,TODAY())&lt;=2,"Risco Baixo",""))))</f>
        <v>Expedido</v>
      </c>
      <c r="P3278" s="5" t="s">
        <v>617</v>
      </c>
      <c r="S3278" s="7">
        <f>IF(ISBLANK(M3278),"Aguardando Previsão/Data",NETWORKDAYS(L3278,M3278)-1)</f>
        <v>-3</v>
      </c>
    </row>
    <row r="3279" spans="1:20" x14ac:dyDescent="0.35">
      <c r="A3279" s="5">
        <v>8100283106</v>
      </c>
      <c r="B3279" s="5">
        <v>17624</v>
      </c>
      <c r="C3279" s="6">
        <v>45681</v>
      </c>
      <c r="D3279" s="5" t="s">
        <v>51</v>
      </c>
      <c r="E3279" s="5" t="s">
        <v>52</v>
      </c>
      <c r="F3279" s="5" t="s">
        <v>58</v>
      </c>
      <c r="G3279" s="5" t="s">
        <v>59</v>
      </c>
      <c r="H3279" s="5" t="s">
        <v>21</v>
      </c>
      <c r="I3279" s="5" t="s">
        <v>555</v>
      </c>
      <c r="J3279" s="5" t="s">
        <v>556</v>
      </c>
      <c r="K3279" s="5" t="s">
        <v>57</v>
      </c>
      <c r="L3279" s="6">
        <v>45691</v>
      </c>
      <c r="M3279" s="6">
        <v>45687</v>
      </c>
      <c r="N3279" s="5" t="s">
        <v>811</v>
      </c>
      <c r="O3279" s="5" t="str">
        <f ca="1">IF(P3279&lt;&gt;"EXPEDIÇÃO","Expedido",IF(NETWORKDAYS(C3279,TODAY())&gt;=5,"Risco Alto",IF(NETWORKDAYS(C3279,TODAY())&gt;=3,IF(NETWORKDAYS(C3279,TODAY())&lt;5,"Risco Médio",""),IF(NETWORKDAYS(C3279,TODAY())&lt;=2,"Risco Baixo",""))))</f>
        <v>Expedido</v>
      </c>
      <c r="P3279" s="5" t="s">
        <v>25</v>
      </c>
      <c r="S3279" s="7">
        <f>IF(ISBLANK(M3279),"Aguardando Previsão/Data",NETWORKDAYS(L3279,M3279)-1)</f>
        <v>-4</v>
      </c>
      <c r="T3279" s="5" t="s">
        <v>942</v>
      </c>
    </row>
    <row r="3280" spans="1:20" x14ac:dyDescent="0.35">
      <c r="A3280" s="5">
        <v>8100283107</v>
      </c>
      <c r="B3280" s="5">
        <v>17628</v>
      </c>
      <c r="C3280" s="6">
        <v>45681</v>
      </c>
      <c r="D3280" s="5" t="s">
        <v>51</v>
      </c>
      <c r="E3280" s="5" t="s">
        <v>52</v>
      </c>
      <c r="F3280" s="5" t="s">
        <v>58</v>
      </c>
      <c r="G3280" s="5" t="s">
        <v>59</v>
      </c>
      <c r="H3280" s="5" t="s">
        <v>21</v>
      </c>
      <c r="I3280" s="5" t="s">
        <v>748</v>
      </c>
      <c r="J3280" s="5" t="s">
        <v>620</v>
      </c>
      <c r="K3280" s="5" t="s">
        <v>57</v>
      </c>
      <c r="L3280" s="6">
        <v>45691</v>
      </c>
      <c r="M3280" s="6">
        <v>45686</v>
      </c>
      <c r="N3280" s="5" t="s">
        <v>811</v>
      </c>
      <c r="O3280" s="5" t="str">
        <f ca="1">IF(P3280&lt;&gt;"EXPEDIÇÃO","Expedido",IF(NETWORKDAYS(C3280,TODAY())&gt;=5,"Risco Alto",IF(NETWORKDAYS(C3280,TODAY())&gt;=3,IF(NETWORKDAYS(C3280,TODAY())&lt;5,"Risco Médio",""),IF(NETWORKDAYS(C3280,TODAY())&lt;=2,"Risco Baixo",""))))</f>
        <v>Expedido</v>
      </c>
      <c r="P3280" s="5" t="s">
        <v>25</v>
      </c>
      <c r="S3280" s="7">
        <f>IF(ISBLANK(M3280),"Aguardando Previsão/Data",NETWORKDAYS(L3280,M3280)-1)</f>
        <v>-5</v>
      </c>
      <c r="T3280" s="5" t="s">
        <v>942</v>
      </c>
    </row>
    <row r="3281" spans="1:20" x14ac:dyDescent="0.35">
      <c r="A3281" s="5">
        <v>8100283108</v>
      </c>
      <c r="B3281" s="5">
        <v>17622</v>
      </c>
      <c r="C3281" s="6">
        <v>45681</v>
      </c>
      <c r="D3281" s="5" t="s">
        <v>51</v>
      </c>
      <c r="E3281" s="5" t="s">
        <v>52</v>
      </c>
      <c r="F3281" s="5" t="s">
        <v>58</v>
      </c>
      <c r="G3281" s="5" t="s">
        <v>59</v>
      </c>
      <c r="H3281" s="5" t="s">
        <v>21</v>
      </c>
      <c r="I3281" s="5" t="s">
        <v>410</v>
      </c>
      <c r="J3281" s="5" t="s">
        <v>611</v>
      </c>
      <c r="K3281" s="5" t="s">
        <v>57</v>
      </c>
      <c r="L3281" s="6">
        <v>45687</v>
      </c>
      <c r="M3281" s="6">
        <v>45687</v>
      </c>
      <c r="N3281" s="5" t="s">
        <v>811</v>
      </c>
      <c r="O3281" s="5" t="str">
        <f ca="1">IF(P3281&lt;&gt;"EXPEDIÇÃO","Expedido",IF(NETWORKDAYS(C3281,TODAY())&gt;=5,"Risco Alto",IF(NETWORKDAYS(C3281,TODAY())&gt;=3,IF(NETWORKDAYS(C3281,TODAY())&lt;5,"Risco Médio",""),IF(NETWORKDAYS(C3281,TODAY())&lt;=2,"Risco Baixo",""))))</f>
        <v>Expedido</v>
      </c>
      <c r="P3281" s="5" t="s">
        <v>617</v>
      </c>
      <c r="Q3281" s="5" t="s">
        <v>897</v>
      </c>
      <c r="S3281" s="7">
        <f>IF(ISBLANK(M3281),"Aguardando Previsão/Data",NETWORKDAYS(L3281,M3281)-1)</f>
        <v>0</v>
      </c>
    </row>
    <row r="3282" spans="1:20" x14ac:dyDescent="0.35">
      <c r="A3282" s="5">
        <v>8100283109</v>
      </c>
      <c r="B3282" s="5">
        <v>17627</v>
      </c>
      <c r="C3282" s="6">
        <v>45681</v>
      </c>
      <c r="D3282" s="5" t="s">
        <v>51</v>
      </c>
      <c r="E3282" s="5" t="s">
        <v>52</v>
      </c>
      <c r="F3282" s="5" t="s">
        <v>58</v>
      </c>
      <c r="G3282" s="5" t="s">
        <v>59</v>
      </c>
      <c r="H3282" s="5" t="s">
        <v>21</v>
      </c>
      <c r="I3282" s="5" t="s">
        <v>497</v>
      </c>
      <c r="J3282" s="5" t="s">
        <v>498</v>
      </c>
      <c r="K3282" s="5" t="s">
        <v>57</v>
      </c>
      <c r="L3282" s="6">
        <v>45691</v>
      </c>
      <c r="M3282" s="6">
        <v>45684</v>
      </c>
      <c r="N3282" s="5" t="s">
        <v>811</v>
      </c>
      <c r="O3282" s="5" t="str">
        <f ca="1">IF(P3282&lt;&gt;"EXPEDIÇÃO","Expedido",IF(NETWORKDAYS(C3282,TODAY())&gt;=5,"Risco Alto",IF(NETWORKDAYS(C3282,TODAY())&gt;=3,IF(NETWORKDAYS(C3282,TODAY())&lt;5,"Risco Médio",""),IF(NETWORKDAYS(C3282,TODAY())&lt;=2,"Risco Baixo",""))))</f>
        <v>Expedido</v>
      </c>
      <c r="P3282" s="5" t="s">
        <v>25</v>
      </c>
      <c r="S3282" s="7">
        <f>IF(ISBLANK(M3282),"Aguardando Previsão/Data",NETWORKDAYS(L3282,M3282)-1)</f>
        <v>-7</v>
      </c>
      <c r="T3282" s="5" t="s">
        <v>942</v>
      </c>
    </row>
    <row r="3283" spans="1:20" x14ac:dyDescent="0.35">
      <c r="A3283" s="5">
        <v>8100283110</v>
      </c>
      <c r="B3283" s="5">
        <v>17619</v>
      </c>
      <c r="C3283" s="6">
        <v>45681</v>
      </c>
      <c r="D3283" s="5" t="s">
        <v>51</v>
      </c>
      <c r="E3283" s="5" t="s">
        <v>52</v>
      </c>
      <c r="F3283" s="5" t="s">
        <v>66</v>
      </c>
      <c r="G3283" s="5" t="s">
        <v>67</v>
      </c>
      <c r="H3283" s="5" t="s">
        <v>21</v>
      </c>
      <c r="I3283" s="5" t="s">
        <v>73</v>
      </c>
      <c r="J3283" s="5" t="s">
        <v>68</v>
      </c>
      <c r="K3283" s="5" t="s">
        <v>57</v>
      </c>
      <c r="L3283" s="6">
        <v>45688</v>
      </c>
      <c r="M3283" s="6">
        <v>45687</v>
      </c>
      <c r="N3283" s="5" t="s">
        <v>811</v>
      </c>
      <c r="O3283" s="5" t="str">
        <f ca="1">IF(P3283&lt;&gt;"EXPEDIÇÃO","Expedido",IF(NETWORKDAYS(C3283,TODAY())&gt;=5,"Risco Alto",IF(NETWORKDAYS(C3283,TODAY())&gt;=3,IF(NETWORKDAYS(C3283,TODAY())&lt;5,"Risco Médio",""),IF(NETWORKDAYS(C3283,TODAY())&lt;=2,"Risco Baixo",""))))</f>
        <v>Expedido</v>
      </c>
      <c r="P3283" s="5" t="s">
        <v>617</v>
      </c>
      <c r="S3283" s="7">
        <f>IF(ISBLANK(M3283),"Aguardando Previsão/Data",NETWORKDAYS(L3283,M3283)-1)</f>
        <v>-3</v>
      </c>
    </row>
    <row r="3284" spans="1:20" x14ac:dyDescent="0.35">
      <c r="A3284" s="5">
        <v>8100283111</v>
      </c>
      <c r="B3284" s="5">
        <v>17621</v>
      </c>
      <c r="C3284" s="6">
        <v>45681</v>
      </c>
      <c r="D3284" s="5" t="s">
        <v>51</v>
      </c>
      <c r="E3284" s="5" t="s">
        <v>52</v>
      </c>
      <c r="F3284" s="5" t="s">
        <v>66</v>
      </c>
      <c r="G3284" s="5" t="s">
        <v>67</v>
      </c>
      <c r="H3284" s="5" t="s">
        <v>21</v>
      </c>
      <c r="I3284" s="5" t="s">
        <v>1337</v>
      </c>
      <c r="J3284" s="5" t="s">
        <v>68</v>
      </c>
      <c r="K3284" s="5" t="s">
        <v>57</v>
      </c>
      <c r="L3284" s="6">
        <v>45688</v>
      </c>
      <c r="M3284" s="6">
        <v>45687</v>
      </c>
      <c r="N3284" s="5" t="s">
        <v>811</v>
      </c>
      <c r="O3284" s="5" t="str">
        <f ca="1">IF(P3284&lt;&gt;"EXPEDIÇÃO","Expedido",IF(NETWORKDAYS(C3284,TODAY())&gt;=5,"Risco Alto",IF(NETWORKDAYS(C3284,TODAY())&gt;=3,IF(NETWORKDAYS(C3284,TODAY())&lt;5,"Risco Médio",""),IF(NETWORKDAYS(C3284,TODAY())&lt;=2,"Risco Baixo",""))))</f>
        <v>Expedido</v>
      </c>
      <c r="P3284" s="5" t="s">
        <v>617</v>
      </c>
      <c r="S3284" s="7">
        <f>IF(ISBLANK(M3284),"Aguardando Previsão/Data",NETWORKDAYS(L3284,M3284)-1)</f>
        <v>-3</v>
      </c>
    </row>
    <row r="3285" spans="1:20" x14ac:dyDescent="0.35">
      <c r="A3285" s="5">
        <v>8100283112</v>
      </c>
      <c r="B3285" s="5">
        <v>17629</v>
      </c>
      <c r="C3285" s="6">
        <v>45681</v>
      </c>
      <c r="D3285" s="5" t="s">
        <v>51</v>
      </c>
      <c r="E3285" s="5" t="s">
        <v>52</v>
      </c>
      <c r="F3285" s="5" t="s">
        <v>58</v>
      </c>
      <c r="G3285" s="5" t="s">
        <v>59</v>
      </c>
      <c r="H3285" s="5" t="s">
        <v>21</v>
      </c>
      <c r="I3285" s="5" t="s">
        <v>22</v>
      </c>
      <c r="J3285" s="5" t="s">
        <v>65</v>
      </c>
      <c r="K3285" s="5" t="s">
        <v>57</v>
      </c>
      <c r="L3285" s="6">
        <v>45686</v>
      </c>
      <c r="M3285" s="6">
        <v>45682</v>
      </c>
      <c r="N3285" s="5" t="s">
        <v>811</v>
      </c>
      <c r="O3285" s="5" t="str">
        <f ca="1">IF(P3285&lt;&gt;"EXPEDIÇÃO","Expedido",IF(NETWORKDAYS(C3285,TODAY())&gt;=5,"Risco Alto",IF(NETWORKDAYS(C3285,TODAY())&gt;=3,IF(NETWORKDAYS(C3285,TODAY())&lt;5,"Risco Médio",""),IF(NETWORKDAYS(C3285,TODAY())&lt;=2,"Risco Baixo",""))))</f>
        <v>Expedido</v>
      </c>
      <c r="P3285" s="5" t="s">
        <v>25</v>
      </c>
      <c r="Q3285" s="5" t="s">
        <v>900</v>
      </c>
      <c r="S3285" s="7">
        <f>IF(ISBLANK(M3285),"Aguardando Previsão/Data",NETWORKDAYS(L3285,M3285)-1)</f>
        <v>-4</v>
      </c>
      <c r="T3285" s="5" t="s">
        <v>942</v>
      </c>
    </row>
    <row r="3286" spans="1:20" x14ac:dyDescent="0.35">
      <c r="A3286" s="5">
        <v>8100283113</v>
      </c>
      <c r="B3286" s="5">
        <v>17626</v>
      </c>
      <c r="C3286" s="6">
        <v>45681</v>
      </c>
      <c r="D3286" s="5" t="s">
        <v>51</v>
      </c>
      <c r="E3286" s="5" t="s">
        <v>52</v>
      </c>
      <c r="F3286" s="5" t="s">
        <v>66</v>
      </c>
      <c r="G3286" s="5" t="s">
        <v>67</v>
      </c>
      <c r="H3286" s="5" t="s">
        <v>21</v>
      </c>
      <c r="I3286" s="5" t="s">
        <v>976</v>
      </c>
      <c r="J3286" s="5" t="s">
        <v>271</v>
      </c>
      <c r="K3286" s="5" t="s">
        <v>57</v>
      </c>
      <c r="L3286" s="6">
        <v>45687</v>
      </c>
      <c r="M3286" s="6">
        <v>45685</v>
      </c>
      <c r="N3286" s="5" t="s">
        <v>811</v>
      </c>
      <c r="O3286" s="5" t="str">
        <f ca="1">IF(P3286&lt;&gt;"EXPEDIÇÃO","Expedido",IF(NETWORKDAYS(C3286,TODAY())&gt;=5,"Risco Alto",IF(NETWORKDAYS(C3286,TODAY())&gt;=3,IF(NETWORKDAYS(C3286,TODAY())&lt;5,"Risco Médio",""),IF(NETWORKDAYS(C3286,TODAY())&lt;=2,"Risco Baixo",""))))</f>
        <v>Expedido</v>
      </c>
      <c r="P3286" s="5" t="s">
        <v>25</v>
      </c>
      <c r="Q3286" s="5" t="s">
        <v>897</v>
      </c>
      <c r="S3286" s="7">
        <f>IF(ISBLANK(M3286),"Aguardando Previsão/Data",NETWORKDAYS(L3286,M3286)-1)</f>
        <v>-4</v>
      </c>
      <c r="T3286" s="5" t="s">
        <v>942</v>
      </c>
    </row>
    <row r="3287" spans="1:20" x14ac:dyDescent="0.35">
      <c r="A3287" s="5">
        <v>8100283114</v>
      </c>
      <c r="B3287" s="5">
        <v>17625</v>
      </c>
      <c r="C3287" s="6">
        <v>45681</v>
      </c>
      <c r="D3287" s="5" t="s">
        <v>51</v>
      </c>
      <c r="E3287" s="5" t="s">
        <v>52</v>
      </c>
      <c r="F3287" s="5" t="s">
        <v>66</v>
      </c>
      <c r="G3287" s="5" t="s">
        <v>67</v>
      </c>
      <c r="H3287" s="5" t="s">
        <v>21</v>
      </c>
      <c r="I3287" s="5" t="s">
        <v>669</v>
      </c>
      <c r="J3287" s="5" t="s">
        <v>705</v>
      </c>
      <c r="K3287" s="5" t="s">
        <v>57</v>
      </c>
      <c r="L3287" s="6">
        <v>45688</v>
      </c>
      <c r="M3287" s="6">
        <v>45687</v>
      </c>
      <c r="N3287" s="5" t="s">
        <v>811</v>
      </c>
      <c r="O3287" s="5" t="str">
        <f ca="1">IF(P3287&lt;&gt;"EXPEDIÇÃO","Expedido",IF(NETWORKDAYS(C3287,TODAY())&gt;=5,"Risco Alto",IF(NETWORKDAYS(C3287,TODAY())&gt;=3,IF(NETWORKDAYS(C3287,TODAY())&lt;5,"Risco Médio",""),IF(NETWORKDAYS(C3287,TODAY())&lt;=2,"Risco Baixo",""))))</f>
        <v>Expedido</v>
      </c>
      <c r="P3287" s="5" t="s">
        <v>617</v>
      </c>
      <c r="Q3287" s="5" t="s">
        <v>897</v>
      </c>
      <c r="S3287" s="7">
        <f>IF(ISBLANK(M3287),"Aguardando Previsão/Data",NETWORKDAYS(L3287,M3287)-1)</f>
        <v>-3</v>
      </c>
    </row>
    <row r="3288" spans="1:20" x14ac:dyDescent="0.35">
      <c r="A3288" s="5">
        <v>8100283115</v>
      </c>
      <c r="B3288" s="5">
        <v>17623</v>
      </c>
      <c r="C3288" s="6">
        <v>45681</v>
      </c>
      <c r="D3288" s="5" t="s">
        <v>51</v>
      </c>
      <c r="E3288" s="5" t="s">
        <v>52</v>
      </c>
      <c r="F3288" s="5" t="s">
        <v>58</v>
      </c>
      <c r="G3288" s="5" t="s">
        <v>59</v>
      </c>
      <c r="H3288" s="5" t="s">
        <v>21</v>
      </c>
      <c r="I3288" s="5" t="s">
        <v>88</v>
      </c>
      <c r="J3288" s="5" t="s">
        <v>72</v>
      </c>
      <c r="K3288" s="5" t="s">
        <v>57</v>
      </c>
      <c r="L3288" s="6">
        <v>45687</v>
      </c>
      <c r="M3288" s="6">
        <v>45687</v>
      </c>
      <c r="N3288" s="5" t="s">
        <v>811</v>
      </c>
      <c r="O3288" s="5" t="str">
        <f ca="1">IF(P3288&lt;&gt;"EXPEDIÇÃO","Expedido",IF(NETWORKDAYS(C3288,TODAY())&gt;=5,"Risco Alto",IF(NETWORKDAYS(C3288,TODAY())&gt;=3,IF(NETWORKDAYS(C3288,TODAY())&lt;5,"Risco Médio",""),IF(NETWORKDAYS(C3288,TODAY())&lt;=2,"Risco Baixo",""))))</f>
        <v>Expedido</v>
      </c>
      <c r="P3288" s="5" t="s">
        <v>25</v>
      </c>
      <c r="S3288" s="7">
        <f>IF(ISBLANK(M3288),"Aguardando Previsão/Data",NETWORKDAYS(L3288,M3288)-1)</f>
        <v>0</v>
      </c>
      <c r="T3288" s="5" t="s">
        <v>942</v>
      </c>
    </row>
    <row r="3289" spans="1:20" x14ac:dyDescent="0.35">
      <c r="A3289" s="5">
        <v>8100283153</v>
      </c>
      <c r="B3289" s="5">
        <v>17630</v>
      </c>
      <c r="C3289" s="6">
        <v>45681</v>
      </c>
      <c r="D3289" s="5" t="s">
        <v>51</v>
      </c>
      <c r="E3289" s="5" t="s">
        <v>52</v>
      </c>
      <c r="F3289" s="5" t="s">
        <v>147</v>
      </c>
      <c r="G3289" s="5" t="s">
        <v>148</v>
      </c>
      <c r="H3289" s="5" t="s">
        <v>21</v>
      </c>
      <c r="I3289" s="5" t="s">
        <v>128</v>
      </c>
      <c r="J3289" s="5" t="s">
        <v>531</v>
      </c>
      <c r="K3289" s="5" t="s">
        <v>80</v>
      </c>
      <c r="L3289" s="6">
        <v>45688</v>
      </c>
      <c r="M3289" s="6">
        <v>45687</v>
      </c>
      <c r="N3289" s="5" t="s">
        <v>811</v>
      </c>
      <c r="O3289" s="5" t="str">
        <f ca="1">IF(P3289&lt;&gt;"EXPEDIÇÃO","Expedido",IF(NETWORKDAYS(C3289,TODAY())&gt;=5,"Risco Alto",IF(NETWORKDAYS(C3289,TODAY())&gt;=3,IF(NETWORKDAYS(C3289,TODAY())&lt;5,"Risco Médio",""),IF(NETWORKDAYS(C3289,TODAY())&lt;=2,"Risco Baixo",""))))</f>
        <v>Expedido</v>
      </c>
      <c r="P3289" s="5" t="s">
        <v>617</v>
      </c>
      <c r="Q3289" s="5" t="s">
        <v>897</v>
      </c>
      <c r="S3289" s="7">
        <f>IF(ISBLANK(M3289),"Aguardando Previsão/Data",NETWORKDAYS(L3289,M3289)-1)</f>
        <v>-3</v>
      </c>
    </row>
    <row r="3290" spans="1:20" x14ac:dyDescent="0.35">
      <c r="A3290" s="5">
        <v>8100282361</v>
      </c>
      <c r="B3290" s="5">
        <v>19661</v>
      </c>
      <c r="C3290" s="6">
        <v>45681</v>
      </c>
      <c r="D3290" s="5" t="s">
        <v>106</v>
      </c>
      <c r="E3290" s="5" t="s">
        <v>107</v>
      </c>
      <c r="F3290" s="5" t="s">
        <v>147</v>
      </c>
      <c r="G3290" s="5" t="s">
        <v>148</v>
      </c>
      <c r="H3290" s="5" t="s">
        <v>21</v>
      </c>
      <c r="I3290" s="5" t="s">
        <v>263</v>
      </c>
      <c r="J3290" s="5" t="s">
        <v>264</v>
      </c>
      <c r="K3290" s="5" t="s">
        <v>24</v>
      </c>
      <c r="L3290" s="6">
        <v>45698</v>
      </c>
      <c r="M3290" s="6">
        <v>45698</v>
      </c>
      <c r="N3290" s="5" t="s">
        <v>811</v>
      </c>
      <c r="O3290" s="5" t="str">
        <f ca="1">IF(P3290&lt;&gt;"EXPEDIÇÃO","Expedido",IF(NETWORKDAYS(C3290,TODAY())&gt;=5,"Risco Alto",IF(NETWORKDAYS(C3290,TODAY())&gt;=3,IF(NETWORKDAYS(C3290,TODAY())&lt;5,"Risco Médio",""),IF(NETWORKDAYS(C3290,TODAY())&lt;=2,"Risco Baixo",""))))</f>
        <v>Expedido</v>
      </c>
      <c r="P3290" s="5" t="s">
        <v>617</v>
      </c>
      <c r="Q3290" s="5" t="s">
        <v>926</v>
      </c>
      <c r="R3290" s="5">
        <v>3104635</v>
      </c>
      <c r="S3290" s="7">
        <f>IF(ISBLANK(M3290),"Aguardando Previsão/Data",NETWORKDAYS(L3290,M3290)-1)</f>
        <v>0</v>
      </c>
    </row>
    <row r="3291" spans="1:20" x14ac:dyDescent="0.35">
      <c r="A3291" s="5">
        <v>8100282874</v>
      </c>
      <c r="B3291" s="5">
        <v>19690</v>
      </c>
      <c r="C3291" s="6">
        <v>45681</v>
      </c>
      <c r="D3291" s="5" t="s">
        <v>106</v>
      </c>
      <c r="E3291" s="5" t="s">
        <v>107</v>
      </c>
      <c r="F3291" s="5" t="s">
        <v>69</v>
      </c>
      <c r="G3291" s="5" t="s">
        <v>70</v>
      </c>
      <c r="H3291" s="5" t="s">
        <v>21</v>
      </c>
      <c r="I3291" s="5" t="s">
        <v>1551</v>
      </c>
      <c r="J3291" s="5" t="s">
        <v>65</v>
      </c>
      <c r="K3291" s="5" t="s">
        <v>57</v>
      </c>
      <c r="L3291" s="6">
        <v>45688</v>
      </c>
      <c r="M3291" s="6">
        <v>45688</v>
      </c>
      <c r="N3291" s="5" t="s">
        <v>811</v>
      </c>
      <c r="O3291" s="5" t="str">
        <f ca="1">IF(P3291&lt;&gt;"EXPEDIÇÃO","Expedido",IF(NETWORKDAYS(C3291,TODAY())&gt;=5,"Risco Alto",IF(NETWORKDAYS(C3291,TODAY())&gt;=3,IF(NETWORKDAYS(C3291,TODAY())&lt;5,"Risco Médio",""),IF(NETWORKDAYS(C3291,TODAY())&lt;=2,"Risco Baixo",""))))</f>
        <v>Risco Alto</v>
      </c>
      <c r="P3291" s="5" t="s">
        <v>726</v>
      </c>
      <c r="Q3291" s="5" t="s">
        <v>1576</v>
      </c>
      <c r="S3291" s="7">
        <f>IF(ISBLANK(M3291),"Aguardando Previsão/Data",NETWORKDAYS(L3291,M3291)-1)</f>
        <v>0</v>
      </c>
    </row>
    <row r="3292" spans="1:20" x14ac:dyDescent="0.35">
      <c r="A3292" s="5">
        <v>8100282059</v>
      </c>
      <c r="B3292" s="5">
        <v>21617</v>
      </c>
      <c r="C3292" s="6">
        <v>45681</v>
      </c>
      <c r="D3292" s="5" t="s">
        <v>17</v>
      </c>
      <c r="E3292" s="5" t="s">
        <v>18</v>
      </c>
      <c r="F3292" s="5" t="s">
        <v>27</v>
      </c>
      <c r="G3292" s="5" t="s">
        <v>28</v>
      </c>
      <c r="H3292" s="5" t="s">
        <v>21</v>
      </c>
      <c r="I3292" s="5" t="s">
        <v>1457</v>
      </c>
      <c r="J3292" s="5" t="s">
        <v>42</v>
      </c>
      <c r="K3292" s="5" t="s">
        <v>24</v>
      </c>
      <c r="L3292" s="6">
        <v>45691</v>
      </c>
      <c r="M3292" s="6">
        <v>45688</v>
      </c>
      <c r="N3292" s="5" t="s">
        <v>811</v>
      </c>
      <c r="O3292" s="5" t="str">
        <f ca="1">IF(P3292&lt;&gt;"EXPEDIÇÃO","Expedido",IF(NETWORKDAYS(C3292,TODAY())&gt;=5,"Risco Alto",IF(NETWORKDAYS(C3292,TODAY())&gt;=3,IF(NETWORKDAYS(C3292,TODAY())&lt;5,"Risco Médio",""),IF(NETWORKDAYS(C3292,TODAY())&lt;=2,"Risco Baixo",""))))</f>
        <v>Expedido</v>
      </c>
      <c r="P3292" s="5" t="s">
        <v>617</v>
      </c>
      <c r="S3292" s="7">
        <f>IF(ISBLANK(M3292),"Aguardando Previsão/Data",NETWORKDAYS(L3292,M3292)-1)</f>
        <v>-3</v>
      </c>
    </row>
    <row r="3293" spans="1:20" x14ac:dyDescent="0.35">
      <c r="A3293" s="5">
        <v>8100282331</v>
      </c>
      <c r="B3293" s="5">
        <v>21664</v>
      </c>
      <c r="C3293" s="6">
        <v>45681</v>
      </c>
      <c r="D3293" s="5" t="s">
        <v>17</v>
      </c>
      <c r="E3293" s="5" t="s">
        <v>18</v>
      </c>
      <c r="F3293" s="5" t="s">
        <v>44</v>
      </c>
      <c r="G3293" s="5" t="s">
        <v>45</v>
      </c>
      <c r="H3293" s="5" t="s">
        <v>21</v>
      </c>
      <c r="I3293" s="5" t="s">
        <v>1085</v>
      </c>
      <c r="J3293" s="5" t="s">
        <v>48</v>
      </c>
      <c r="K3293" s="5" t="s">
        <v>24</v>
      </c>
      <c r="L3293" s="6">
        <v>45691</v>
      </c>
      <c r="M3293" s="6">
        <v>45688</v>
      </c>
      <c r="N3293" s="5" t="s">
        <v>811</v>
      </c>
      <c r="O3293" s="5" t="str">
        <f ca="1">IF(P3293&lt;&gt;"EXPEDIÇÃO","Expedido",IF(NETWORKDAYS(C3293,TODAY())&gt;=5,"Risco Alto",IF(NETWORKDAYS(C3293,TODAY())&gt;=3,IF(NETWORKDAYS(C3293,TODAY())&lt;5,"Risco Médio",""),IF(NETWORKDAYS(C3293,TODAY())&lt;=2,"Risco Baixo",""))))</f>
        <v>Expedido</v>
      </c>
      <c r="P3293" s="5" t="s">
        <v>617</v>
      </c>
      <c r="S3293" s="7">
        <f>IF(ISBLANK(M3293),"Aguardando Previsão/Data",NETWORKDAYS(L3293,M3293)-1)</f>
        <v>-3</v>
      </c>
    </row>
    <row r="3294" spans="1:20" x14ac:dyDescent="0.35">
      <c r="A3294" s="5">
        <v>8100282332</v>
      </c>
      <c r="B3294" s="5">
        <v>21615</v>
      </c>
      <c r="C3294" s="6">
        <v>45681</v>
      </c>
      <c r="D3294" s="5" t="s">
        <v>17</v>
      </c>
      <c r="E3294" s="5" t="s">
        <v>18</v>
      </c>
      <c r="F3294" s="5" t="s">
        <v>32</v>
      </c>
      <c r="G3294" s="5" t="s">
        <v>33</v>
      </c>
      <c r="H3294" s="5" t="s">
        <v>21</v>
      </c>
      <c r="I3294" s="5" t="s">
        <v>1327</v>
      </c>
      <c r="J3294" s="5" t="s">
        <v>38</v>
      </c>
      <c r="K3294" s="5" t="s">
        <v>24</v>
      </c>
      <c r="L3294" s="6">
        <v>45691</v>
      </c>
      <c r="M3294" s="6">
        <v>45686</v>
      </c>
      <c r="N3294" s="5" t="s">
        <v>811</v>
      </c>
      <c r="O3294" s="5" t="str">
        <f ca="1">IF(P3294&lt;&gt;"EXPEDIÇÃO","Expedido",IF(NETWORKDAYS(C3294,TODAY())&gt;=5,"Risco Alto",IF(NETWORKDAYS(C3294,TODAY())&gt;=3,IF(NETWORKDAYS(C3294,TODAY())&lt;5,"Risco Médio",""),IF(NETWORKDAYS(C3294,TODAY())&lt;=2,"Risco Baixo",""))))</f>
        <v>Expedido</v>
      </c>
      <c r="P3294" s="5" t="s">
        <v>25</v>
      </c>
      <c r="S3294" s="7">
        <f>IF(ISBLANK(M3294),"Aguardando Previsão/Data",NETWORKDAYS(L3294,M3294)-1)</f>
        <v>-5</v>
      </c>
      <c r="T3294" s="5" t="s">
        <v>942</v>
      </c>
    </row>
    <row r="3295" spans="1:20" x14ac:dyDescent="0.35">
      <c r="A3295" s="5">
        <v>8100282364</v>
      </c>
      <c r="B3295" s="5">
        <v>21616</v>
      </c>
      <c r="C3295" s="6">
        <v>45681</v>
      </c>
      <c r="D3295" s="5" t="s">
        <v>17</v>
      </c>
      <c r="E3295" s="5" t="s">
        <v>18</v>
      </c>
      <c r="F3295" s="5" t="s">
        <v>44</v>
      </c>
      <c r="G3295" s="5" t="s">
        <v>45</v>
      </c>
      <c r="H3295" s="5" t="s">
        <v>21</v>
      </c>
      <c r="I3295" s="5" t="s">
        <v>1530</v>
      </c>
      <c r="J3295" s="5" t="s">
        <v>1060</v>
      </c>
      <c r="K3295" s="5" t="s">
        <v>24</v>
      </c>
      <c r="L3295" s="6">
        <v>45694</v>
      </c>
      <c r="M3295" s="6">
        <v>45693</v>
      </c>
      <c r="N3295" s="5" t="s">
        <v>811</v>
      </c>
      <c r="O3295" s="5" t="str">
        <f ca="1">IF(P3295&lt;&gt;"EXPEDIÇÃO","Expedido",IF(NETWORKDAYS(C3295,TODAY())&gt;=5,"Risco Alto",IF(NETWORKDAYS(C3295,TODAY())&gt;=3,IF(NETWORKDAYS(C3295,TODAY())&lt;5,"Risco Médio",""),IF(NETWORKDAYS(C3295,TODAY())&lt;=2,"Risco Baixo",""))))</f>
        <v>Expedido</v>
      </c>
      <c r="P3295" s="5" t="s">
        <v>617</v>
      </c>
      <c r="S3295" s="7">
        <f>IF(ISBLANK(M3295),"Aguardando Previsão/Data",NETWORKDAYS(L3295,M3295)-1)</f>
        <v>-3</v>
      </c>
    </row>
    <row r="3296" spans="1:20" x14ac:dyDescent="0.35">
      <c r="A3296" s="5">
        <v>8100282378</v>
      </c>
      <c r="B3296" s="5">
        <v>21626</v>
      </c>
      <c r="C3296" s="6">
        <v>45681</v>
      </c>
      <c r="D3296" s="5" t="s">
        <v>17</v>
      </c>
      <c r="E3296" s="5" t="s">
        <v>18</v>
      </c>
      <c r="F3296" s="5" t="s">
        <v>84</v>
      </c>
      <c r="G3296" s="5" t="s">
        <v>85</v>
      </c>
      <c r="H3296" s="5" t="s">
        <v>21</v>
      </c>
      <c r="I3296" s="5" t="s">
        <v>432</v>
      </c>
      <c r="J3296" s="5" t="s">
        <v>259</v>
      </c>
      <c r="K3296" s="5" t="s">
        <v>24</v>
      </c>
      <c r="L3296" s="6">
        <v>45691</v>
      </c>
      <c r="M3296" s="6">
        <v>45688</v>
      </c>
      <c r="N3296" s="5" t="s">
        <v>811</v>
      </c>
      <c r="O3296" s="5" t="str">
        <f ca="1">IF(P3296&lt;&gt;"EXPEDIÇÃO","Expedido",IF(NETWORKDAYS(C3296,TODAY())&gt;=5,"Risco Alto",IF(NETWORKDAYS(C3296,TODAY())&gt;=3,IF(NETWORKDAYS(C3296,TODAY())&lt;5,"Risco Médio",""),IF(NETWORKDAYS(C3296,TODAY())&lt;=2,"Risco Baixo",""))))</f>
        <v>Expedido</v>
      </c>
      <c r="P3296" s="5" t="s">
        <v>617</v>
      </c>
      <c r="S3296" s="7">
        <f>IF(ISBLANK(M3296),"Aguardando Previsão/Data",NETWORKDAYS(L3296,M3296)-1)</f>
        <v>-3</v>
      </c>
    </row>
    <row r="3297" spans="1:20" x14ac:dyDescent="0.35">
      <c r="A3297" s="5">
        <v>8100282379</v>
      </c>
      <c r="B3297" s="5">
        <v>21658</v>
      </c>
      <c r="C3297" s="6">
        <v>45681</v>
      </c>
      <c r="D3297" s="5" t="s">
        <v>17</v>
      </c>
      <c r="E3297" s="5" t="s">
        <v>18</v>
      </c>
      <c r="F3297" s="5" t="s">
        <v>84</v>
      </c>
      <c r="G3297" s="5" t="s">
        <v>85</v>
      </c>
      <c r="H3297" s="5" t="s">
        <v>21</v>
      </c>
      <c r="I3297" s="5" t="s">
        <v>881</v>
      </c>
      <c r="J3297" s="5" t="s">
        <v>713</v>
      </c>
      <c r="K3297" s="5" t="s">
        <v>24</v>
      </c>
      <c r="L3297" s="6">
        <v>45688</v>
      </c>
      <c r="M3297" s="6">
        <v>45687</v>
      </c>
      <c r="N3297" s="5" t="s">
        <v>811</v>
      </c>
      <c r="O3297" s="5" t="str">
        <f ca="1">IF(P3297&lt;&gt;"EXPEDIÇÃO","Expedido",IF(NETWORKDAYS(C3297,TODAY())&gt;=5,"Risco Alto",IF(NETWORKDAYS(C3297,TODAY())&gt;=3,IF(NETWORKDAYS(C3297,TODAY())&lt;5,"Risco Médio",""),IF(NETWORKDAYS(C3297,TODAY())&lt;=2,"Risco Baixo",""))))</f>
        <v>Expedido</v>
      </c>
      <c r="P3297" s="5" t="s">
        <v>617</v>
      </c>
      <c r="Q3297" s="5" t="s">
        <v>897</v>
      </c>
      <c r="S3297" s="7">
        <f>IF(ISBLANK(M3297),"Aguardando Previsão/Data",NETWORKDAYS(L3297,M3297)-1)</f>
        <v>-3</v>
      </c>
    </row>
    <row r="3298" spans="1:20" x14ac:dyDescent="0.35">
      <c r="A3298" s="5">
        <v>8100282637</v>
      </c>
      <c r="B3298" s="5">
        <v>21624</v>
      </c>
      <c r="C3298" s="6">
        <v>45681</v>
      </c>
      <c r="D3298" s="5" t="s">
        <v>17</v>
      </c>
      <c r="E3298" s="5" t="s">
        <v>18</v>
      </c>
      <c r="F3298" s="5" t="s">
        <v>44</v>
      </c>
      <c r="G3298" s="5" t="s">
        <v>45</v>
      </c>
      <c r="H3298" s="5" t="s">
        <v>21</v>
      </c>
      <c r="I3298" s="5" t="s">
        <v>255</v>
      </c>
      <c r="J3298" s="5" t="s">
        <v>256</v>
      </c>
      <c r="K3298" s="5" t="s">
        <v>24</v>
      </c>
      <c r="L3298" s="6">
        <v>45688</v>
      </c>
      <c r="M3298" s="6">
        <v>45688</v>
      </c>
      <c r="N3298" s="5" t="s">
        <v>811</v>
      </c>
      <c r="O3298" s="5" t="str">
        <f ca="1">IF(P3298&lt;&gt;"EXPEDIÇÃO","Expedido",IF(NETWORKDAYS(C3298,TODAY())&gt;=5,"Risco Alto",IF(NETWORKDAYS(C3298,TODAY())&gt;=3,IF(NETWORKDAYS(C3298,TODAY())&lt;5,"Risco Médio",""),IF(NETWORKDAYS(C3298,TODAY())&lt;=2,"Risco Baixo",""))))</f>
        <v>Expedido</v>
      </c>
      <c r="P3298" s="5" t="s">
        <v>617</v>
      </c>
      <c r="S3298" s="7">
        <f>IF(ISBLANK(M3298),"Aguardando Previsão/Data",NETWORKDAYS(L3298,M3298)-1)</f>
        <v>0</v>
      </c>
    </row>
    <row r="3299" spans="1:20" x14ac:dyDescent="0.35">
      <c r="A3299" s="5">
        <v>8100282638</v>
      </c>
      <c r="B3299" s="5">
        <v>21622</v>
      </c>
      <c r="C3299" s="6">
        <v>45681</v>
      </c>
      <c r="D3299" s="5" t="s">
        <v>17</v>
      </c>
      <c r="E3299" s="5" t="s">
        <v>18</v>
      </c>
      <c r="F3299" s="5" t="s">
        <v>44</v>
      </c>
      <c r="G3299" s="5" t="s">
        <v>45</v>
      </c>
      <c r="H3299" s="5" t="s">
        <v>21</v>
      </c>
      <c r="I3299" s="5" t="s">
        <v>371</v>
      </c>
      <c r="J3299" s="5" t="s">
        <v>372</v>
      </c>
      <c r="K3299" s="5" t="s">
        <v>24</v>
      </c>
      <c r="L3299" s="6">
        <v>45691</v>
      </c>
      <c r="M3299" s="6">
        <v>45688</v>
      </c>
      <c r="N3299" s="5" t="s">
        <v>811</v>
      </c>
      <c r="O3299" s="5" t="str">
        <f ca="1">IF(P3299&lt;&gt;"EXPEDIÇÃO","Expedido",IF(NETWORKDAYS(C3299,TODAY())&gt;=5,"Risco Alto",IF(NETWORKDAYS(C3299,TODAY())&gt;=3,IF(NETWORKDAYS(C3299,TODAY())&lt;5,"Risco Médio",""),IF(NETWORKDAYS(C3299,TODAY())&lt;=2,"Risco Baixo",""))))</f>
        <v>Expedido</v>
      </c>
      <c r="P3299" s="5" t="s">
        <v>617</v>
      </c>
      <c r="S3299" s="7">
        <f>IF(ISBLANK(M3299),"Aguardando Previsão/Data",NETWORKDAYS(L3299,M3299)-1)</f>
        <v>-3</v>
      </c>
    </row>
    <row r="3300" spans="1:20" x14ac:dyDescent="0.35">
      <c r="A3300" s="5">
        <v>8100282639</v>
      </c>
      <c r="B3300" s="5">
        <v>21629</v>
      </c>
      <c r="C3300" s="6">
        <v>45681</v>
      </c>
      <c r="D3300" s="5" t="s">
        <v>17</v>
      </c>
      <c r="E3300" s="5" t="s">
        <v>18</v>
      </c>
      <c r="F3300" s="5" t="s">
        <v>44</v>
      </c>
      <c r="G3300" s="5" t="s">
        <v>45</v>
      </c>
      <c r="H3300" s="5" t="s">
        <v>21</v>
      </c>
      <c r="I3300" s="5" t="s">
        <v>597</v>
      </c>
      <c r="J3300" s="5" t="s">
        <v>45</v>
      </c>
      <c r="K3300" s="5" t="s">
        <v>24</v>
      </c>
      <c r="L3300" s="6">
        <v>45688</v>
      </c>
      <c r="M3300" s="6">
        <v>45687</v>
      </c>
      <c r="N3300" s="5" t="s">
        <v>811</v>
      </c>
      <c r="O3300" s="5" t="str">
        <f ca="1">IF(P3300&lt;&gt;"EXPEDIÇÃO","Expedido",IF(NETWORKDAYS(C3300,TODAY())&gt;=5,"Risco Alto",IF(NETWORKDAYS(C3300,TODAY())&gt;=3,IF(NETWORKDAYS(C3300,TODAY())&lt;5,"Risco Médio",""),IF(NETWORKDAYS(C3300,TODAY())&lt;=2,"Risco Baixo",""))))</f>
        <v>Expedido</v>
      </c>
      <c r="P3300" s="5" t="s">
        <v>617</v>
      </c>
      <c r="Q3300" s="5" t="s">
        <v>897</v>
      </c>
      <c r="S3300" s="7">
        <f>IF(ISBLANK(M3300),"Aguardando Previsão/Data",NETWORKDAYS(L3300,M3300)-1)</f>
        <v>-3</v>
      </c>
    </row>
    <row r="3301" spans="1:20" x14ac:dyDescent="0.35">
      <c r="A3301" s="5">
        <v>8100282640</v>
      </c>
      <c r="B3301" s="5">
        <v>21627</v>
      </c>
      <c r="C3301" s="6">
        <v>45681</v>
      </c>
      <c r="D3301" s="5" t="s">
        <v>17</v>
      </c>
      <c r="E3301" s="5" t="s">
        <v>18</v>
      </c>
      <c r="F3301" s="5" t="s">
        <v>27</v>
      </c>
      <c r="G3301" s="5" t="s">
        <v>28</v>
      </c>
      <c r="H3301" s="5" t="s">
        <v>21</v>
      </c>
      <c r="I3301" s="5" t="s">
        <v>328</v>
      </c>
      <c r="J3301" s="5" t="s">
        <v>28</v>
      </c>
      <c r="K3301" s="5" t="s">
        <v>24</v>
      </c>
      <c r="L3301" s="6">
        <v>45688</v>
      </c>
      <c r="M3301" s="6">
        <v>45687</v>
      </c>
      <c r="N3301" s="5" t="s">
        <v>811</v>
      </c>
      <c r="O3301" s="5" t="str">
        <f ca="1">IF(P3301&lt;&gt;"EXPEDIÇÃO","Expedido",IF(NETWORKDAYS(C3301,TODAY())&gt;=5,"Risco Alto",IF(NETWORKDAYS(C3301,TODAY())&gt;=3,IF(NETWORKDAYS(C3301,TODAY())&lt;5,"Risco Médio",""),IF(NETWORKDAYS(C3301,TODAY())&lt;=2,"Risco Baixo",""))))</f>
        <v>Expedido</v>
      </c>
      <c r="P3301" s="5" t="s">
        <v>617</v>
      </c>
      <c r="S3301" s="7">
        <f>IF(ISBLANK(M3301),"Aguardando Previsão/Data",NETWORKDAYS(L3301,M3301)-1)</f>
        <v>-3</v>
      </c>
    </row>
    <row r="3302" spans="1:20" x14ac:dyDescent="0.35">
      <c r="A3302" s="5">
        <v>8100282641</v>
      </c>
      <c r="B3302" s="5">
        <v>21628</v>
      </c>
      <c r="C3302" s="6">
        <v>45681</v>
      </c>
      <c r="D3302" s="5" t="s">
        <v>17</v>
      </c>
      <c r="E3302" s="5" t="s">
        <v>18</v>
      </c>
      <c r="F3302" s="5" t="s">
        <v>39</v>
      </c>
      <c r="G3302" s="5" t="s">
        <v>40</v>
      </c>
      <c r="H3302" s="5" t="s">
        <v>21</v>
      </c>
      <c r="I3302" s="5" t="s">
        <v>1540</v>
      </c>
      <c r="J3302" s="5" t="s">
        <v>466</v>
      </c>
      <c r="K3302" s="5" t="s">
        <v>24</v>
      </c>
      <c r="L3302" s="6">
        <v>45693</v>
      </c>
      <c r="M3302" s="6">
        <v>45692</v>
      </c>
      <c r="N3302" s="5" t="s">
        <v>811</v>
      </c>
      <c r="O3302" s="5" t="str">
        <f ca="1">IF(P3302&lt;&gt;"EXPEDIÇÃO","Expedido",IF(NETWORKDAYS(C3302,TODAY())&gt;=5,"Risco Alto",IF(NETWORKDAYS(C3302,TODAY())&gt;=3,IF(NETWORKDAYS(C3302,TODAY())&lt;5,"Risco Médio",""),IF(NETWORKDAYS(C3302,TODAY())&lt;=2,"Risco Baixo",""))))</f>
        <v>Risco Alto</v>
      </c>
      <c r="P3302" s="5" t="s">
        <v>726</v>
      </c>
      <c r="S3302" s="7">
        <f>IF(ISBLANK(M3302),"Aguardando Previsão/Data",NETWORKDAYS(L3302,M3302)-1)</f>
        <v>-3</v>
      </c>
    </row>
    <row r="3303" spans="1:20" x14ac:dyDescent="0.35">
      <c r="A3303" s="5">
        <v>8100282642</v>
      </c>
      <c r="B3303" s="5">
        <v>21625</v>
      </c>
      <c r="C3303" s="6">
        <v>45681</v>
      </c>
      <c r="D3303" s="5" t="s">
        <v>17</v>
      </c>
      <c r="E3303" s="5" t="s">
        <v>18</v>
      </c>
      <c r="F3303" s="5" t="s">
        <v>27</v>
      </c>
      <c r="G3303" s="5" t="s">
        <v>28</v>
      </c>
      <c r="H3303" s="5" t="s">
        <v>21</v>
      </c>
      <c r="I3303" s="5" t="s">
        <v>1541</v>
      </c>
      <c r="J3303" s="5" t="s">
        <v>42</v>
      </c>
      <c r="K3303" s="5" t="s">
        <v>24</v>
      </c>
      <c r="L3303" s="6">
        <v>45691</v>
      </c>
      <c r="M3303" s="6">
        <v>45686</v>
      </c>
      <c r="N3303" s="5" t="s">
        <v>811</v>
      </c>
      <c r="O3303" s="5" t="str">
        <f ca="1">IF(P3303&lt;&gt;"EXPEDIÇÃO","Expedido",IF(NETWORKDAYS(C3303,TODAY())&gt;=5,"Risco Alto",IF(NETWORKDAYS(C3303,TODAY())&gt;=3,IF(NETWORKDAYS(C3303,TODAY())&lt;5,"Risco Médio",""),IF(NETWORKDAYS(C3303,TODAY())&lt;=2,"Risco Baixo",""))))</f>
        <v>Expedido</v>
      </c>
      <c r="P3303" s="5" t="s">
        <v>25</v>
      </c>
      <c r="S3303" s="7">
        <f>IF(ISBLANK(M3303),"Aguardando Previsão/Data",NETWORKDAYS(L3303,M3303)-1)</f>
        <v>-5</v>
      </c>
      <c r="T3303" s="5" t="s">
        <v>942</v>
      </c>
    </row>
    <row r="3304" spans="1:20" x14ac:dyDescent="0.35">
      <c r="A3304" s="5">
        <v>8100282643</v>
      </c>
      <c r="B3304" s="5">
        <v>21623</v>
      </c>
      <c r="C3304" s="6">
        <v>45681</v>
      </c>
      <c r="D3304" s="5" t="s">
        <v>17</v>
      </c>
      <c r="E3304" s="5" t="s">
        <v>18</v>
      </c>
      <c r="F3304" s="5" t="s">
        <v>39</v>
      </c>
      <c r="G3304" s="5" t="s">
        <v>40</v>
      </c>
      <c r="H3304" s="5" t="s">
        <v>21</v>
      </c>
      <c r="I3304" s="5" t="s">
        <v>1542</v>
      </c>
      <c r="J3304" s="5" t="s">
        <v>466</v>
      </c>
      <c r="K3304" s="5" t="s">
        <v>24</v>
      </c>
      <c r="L3304" s="6">
        <v>45693</v>
      </c>
      <c r="M3304" s="6">
        <v>45692</v>
      </c>
      <c r="N3304" s="5" t="s">
        <v>811</v>
      </c>
      <c r="O3304" s="5" t="str">
        <f ca="1">IF(P3304&lt;&gt;"EXPEDIÇÃO","Expedido",IF(NETWORKDAYS(C3304,TODAY())&gt;=5,"Risco Alto",IF(NETWORKDAYS(C3304,TODAY())&gt;=3,IF(NETWORKDAYS(C3304,TODAY())&lt;5,"Risco Médio",""),IF(NETWORKDAYS(C3304,TODAY())&lt;=2,"Risco Baixo",""))))</f>
        <v>Expedido</v>
      </c>
      <c r="P3304" s="5" t="s">
        <v>617</v>
      </c>
      <c r="S3304" s="7">
        <f>IF(ISBLANK(M3304),"Aguardando Previsão/Data",NETWORKDAYS(L3304,M3304)-1)</f>
        <v>-3</v>
      </c>
    </row>
    <row r="3305" spans="1:20" x14ac:dyDescent="0.35">
      <c r="A3305" s="5">
        <v>8100282644</v>
      </c>
      <c r="B3305" s="5">
        <v>21621</v>
      </c>
      <c r="C3305" s="6">
        <v>45681</v>
      </c>
      <c r="D3305" s="5" t="s">
        <v>17</v>
      </c>
      <c r="E3305" s="5" t="s">
        <v>18</v>
      </c>
      <c r="F3305" s="5" t="s">
        <v>19</v>
      </c>
      <c r="G3305" s="5" t="s">
        <v>20</v>
      </c>
      <c r="H3305" s="5" t="s">
        <v>21</v>
      </c>
      <c r="I3305" s="5" t="s">
        <v>966</v>
      </c>
      <c r="J3305" s="5" t="s">
        <v>42</v>
      </c>
      <c r="K3305" s="5" t="s">
        <v>24</v>
      </c>
      <c r="L3305" s="6">
        <v>45691</v>
      </c>
      <c r="M3305" s="6">
        <v>45688</v>
      </c>
      <c r="N3305" s="5" t="s">
        <v>811</v>
      </c>
      <c r="O3305" s="5" t="str">
        <f ca="1">IF(P3305&lt;&gt;"EXPEDIÇÃO","Expedido",IF(NETWORKDAYS(C3305,TODAY())&gt;=5,"Risco Alto",IF(NETWORKDAYS(C3305,TODAY())&gt;=3,IF(NETWORKDAYS(C3305,TODAY())&lt;5,"Risco Médio",""),IF(NETWORKDAYS(C3305,TODAY())&lt;=2,"Risco Baixo",""))))</f>
        <v>Expedido</v>
      </c>
      <c r="P3305" s="5" t="s">
        <v>617</v>
      </c>
      <c r="S3305" s="7">
        <f>IF(ISBLANK(M3305),"Aguardando Previsão/Data",NETWORKDAYS(L3305,M3305)-1)</f>
        <v>-3</v>
      </c>
    </row>
    <row r="3306" spans="1:20" x14ac:dyDescent="0.35">
      <c r="A3306" s="5">
        <v>8100282823</v>
      </c>
      <c r="B3306" s="5">
        <v>21654</v>
      </c>
      <c r="C3306" s="6">
        <v>45681</v>
      </c>
      <c r="D3306" s="5" t="s">
        <v>17</v>
      </c>
      <c r="E3306" s="5" t="s">
        <v>18</v>
      </c>
      <c r="F3306" s="5" t="s">
        <v>19</v>
      </c>
      <c r="G3306" s="5" t="s">
        <v>20</v>
      </c>
      <c r="H3306" s="5" t="s">
        <v>21</v>
      </c>
      <c r="I3306" s="5" t="s">
        <v>37</v>
      </c>
      <c r="J3306" s="5" t="s">
        <v>41</v>
      </c>
      <c r="K3306" s="5" t="s">
        <v>24</v>
      </c>
      <c r="L3306" s="6">
        <v>45693</v>
      </c>
      <c r="M3306" s="6">
        <v>45692</v>
      </c>
      <c r="N3306" s="5" t="s">
        <v>811</v>
      </c>
      <c r="O3306" s="5" t="str">
        <f ca="1">IF(P3306&lt;&gt;"EXPEDIÇÃO","Expedido",IF(NETWORKDAYS(C3306,TODAY())&gt;=5,"Risco Alto",IF(NETWORKDAYS(C3306,TODAY())&gt;=3,IF(NETWORKDAYS(C3306,TODAY())&lt;5,"Risco Médio",""),IF(NETWORKDAYS(C3306,TODAY())&lt;=2,"Risco Baixo",""))))</f>
        <v>Expedido</v>
      </c>
      <c r="P3306" s="5" t="s">
        <v>617</v>
      </c>
      <c r="S3306" s="7">
        <f>IF(ISBLANK(M3306),"Aguardando Previsão/Data",NETWORKDAYS(L3306,M3306)-1)</f>
        <v>-3</v>
      </c>
    </row>
    <row r="3307" spans="1:20" x14ac:dyDescent="0.35">
      <c r="A3307" s="5">
        <v>8100282838</v>
      </c>
      <c r="B3307" s="5">
        <v>21659</v>
      </c>
      <c r="C3307" s="6">
        <v>45681</v>
      </c>
      <c r="D3307" s="5" t="s">
        <v>17</v>
      </c>
      <c r="E3307" s="5" t="s">
        <v>18</v>
      </c>
      <c r="F3307" s="5" t="s">
        <v>19</v>
      </c>
      <c r="G3307" s="5" t="s">
        <v>20</v>
      </c>
      <c r="H3307" s="5" t="s">
        <v>21</v>
      </c>
      <c r="I3307" s="5" t="s">
        <v>416</v>
      </c>
      <c r="J3307" s="5" t="s">
        <v>47</v>
      </c>
      <c r="K3307" s="5" t="s">
        <v>24</v>
      </c>
      <c r="L3307" s="6">
        <v>45688</v>
      </c>
      <c r="M3307" s="6">
        <v>45687</v>
      </c>
      <c r="N3307" s="5" t="s">
        <v>811</v>
      </c>
      <c r="O3307" s="5" t="str">
        <f ca="1">IF(P3307&lt;&gt;"EXPEDIÇÃO","Expedido",IF(NETWORKDAYS(C3307,TODAY())&gt;=5,"Risco Alto",IF(NETWORKDAYS(C3307,TODAY())&gt;=3,IF(NETWORKDAYS(C3307,TODAY())&lt;5,"Risco Médio",""),IF(NETWORKDAYS(C3307,TODAY())&lt;=2,"Risco Baixo",""))))</f>
        <v>Expedido</v>
      </c>
      <c r="P3307" s="5" t="s">
        <v>617</v>
      </c>
      <c r="S3307" s="7">
        <f>IF(ISBLANK(M3307),"Aguardando Previsão/Data",NETWORKDAYS(L3307,M3307)-1)</f>
        <v>-3</v>
      </c>
    </row>
    <row r="3308" spans="1:20" x14ac:dyDescent="0.35">
      <c r="A3308" s="5">
        <v>8100282839</v>
      </c>
      <c r="B3308" s="5">
        <v>21657</v>
      </c>
      <c r="C3308" s="6">
        <v>45681</v>
      </c>
      <c r="D3308" s="5" t="s">
        <v>17</v>
      </c>
      <c r="E3308" s="5" t="s">
        <v>18</v>
      </c>
      <c r="F3308" s="5" t="s">
        <v>44</v>
      </c>
      <c r="G3308" s="5" t="s">
        <v>45</v>
      </c>
      <c r="H3308" s="5" t="s">
        <v>21</v>
      </c>
      <c r="I3308" s="5" t="s">
        <v>841</v>
      </c>
      <c r="J3308" s="5" t="s">
        <v>256</v>
      </c>
      <c r="K3308" s="5" t="s">
        <v>24</v>
      </c>
      <c r="L3308" s="6">
        <v>45688</v>
      </c>
      <c r="M3308" s="6">
        <v>45688</v>
      </c>
      <c r="N3308" s="5" t="s">
        <v>811</v>
      </c>
      <c r="O3308" s="5" t="str">
        <f ca="1">IF(P3308&lt;&gt;"EXPEDIÇÃO","Expedido",IF(NETWORKDAYS(C3308,TODAY())&gt;=5,"Risco Alto",IF(NETWORKDAYS(C3308,TODAY())&gt;=3,IF(NETWORKDAYS(C3308,TODAY())&lt;5,"Risco Médio",""),IF(NETWORKDAYS(C3308,TODAY())&lt;=2,"Risco Baixo",""))))</f>
        <v>Expedido</v>
      </c>
      <c r="P3308" s="5" t="s">
        <v>617</v>
      </c>
      <c r="S3308" s="7">
        <f>IF(ISBLANK(M3308),"Aguardando Previsão/Data",NETWORKDAYS(L3308,M3308)-1)</f>
        <v>0</v>
      </c>
    </row>
    <row r="3309" spans="1:20" x14ac:dyDescent="0.35">
      <c r="A3309" s="5">
        <v>8100282840</v>
      </c>
      <c r="B3309" s="5">
        <v>21639</v>
      </c>
      <c r="C3309" s="6">
        <v>45681</v>
      </c>
      <c r="D3309" s="5" t="s">
        <v>17</v>
      </c>
      <c r="E3309" s="5" t="s">
        <v>18</v>
      </c>
      <c r="F3309" s="5" t="s">
        <v>32</v>
      </c>
      <c r="G3309" s="5" t="s">
        <v>33</v>
      </c>
      <c r="H3309" s="5" t="s">
        <v>21</v>
      </c>
      <c r="I3309" s="5" t="s">
        <v>618</v>
      </c>
      <c r="J3309" s="5" t="s">
        <v>45</v>
      </c>
      <c r="K3309" s="5" t="s">
        <v>24</v>
      </c>
      <c r="L3309" s="6">
        <v>45688</v>
      </c>
      <c r="M3309" s="6">
        <v>45688</v>
      </c>
      <c r="N3309" s="5" t="s">
        <v>811</v>
      </c>
      <c r="O3309" s="5" t="str">
        <f ca="1">IF(P3309&lt;&gt;"EXPEDIÇÃO","Expedido",IF(NETWORKDAYS(C3309,TODAY())&gt;=5,"Risco Alto",IF(NETWORKDAYS(C3309,TODAY())&gt;=3,IF(NETWORKDAYS(C3309,TODAY())&lt;5,"Risco Médio",""),IF(NETWORKDAYS(C3309,TODAY())&lt;=2,"Risco Baixo",""))))</f>
        <v>Expedido</v>
      </c>
      <c r="P3309" s="5" t="s">
        <v>617</v>
      </c>
      <c r="S3309" s="7">
        <f>IF(ISBLANK(M3309),"Aguardando Previsão/Data",NETWORKDAYS(L3309,M3309)-1)</f>
        <v>0</v>
      </c>
    </row>
    <row r="3310" spans="1:20" x14ac:dyDescent="0.35">
      <c r="A3310" s="5">
        <v>8100282841</v>
      </c>
      <c r="B3310" s="5">
        <v>21640</v>
      </c>
      <c r="C3310" s="6">
        <v>45681</v>
      </c>
      <c r="D3310" s="5" t="s">
        <v>17</v>
      </c>
      <c r="E3310" s="5" t="s">
        <v>18</v>
      </c>
      <c r="F3310" s="5" t="s">
        <v>44</v>
      </c>
      <c r="G3310" s="5" t="s">
        <v>45</v>
      </c>
      <c r="H3310" s="5" t="s">
        <v>21</v>
      </c>
      <c r="I3310" s="5" t="s">
        <v>618</v>
      </c>
      <c r="J3310" s="5" t="s">
        <v>45</v>
      </c>
      <c r="K3310" s="5" t="s">
        <v>24</v>
      </c>
      <c r="L3310" s="6">
        <v>45688</v>
      </c>
      <c r="M3310" s="6">
        <v>45688</v>
      </c>
      <c r="N3310" s="5" t="s">
        <v>811</v>
      </c>
      <c r="O3310" s="5" t="str">
        <f ca="1">IF(P3310&lt;&gt;"EXPEDIÇÃO","Expedido",IF(NETWORKDAYS(C3310,TODAY())&gt;=5,"Risco Alto",IF(NETWORKDAYS(C3310,TODAY())&gt;=3,IF(NETWORKDAYS(C3310,TODAY())&lt;5,"Risco Médio",""),IF(NETWORKDAYS(C3310,TODAY())&lt;=2,"Risco Baixo",""))))</f>
        <v>Expedido</v>
      </c>
      <c r="P3310" s="5" t="s">
        <v>617</v>
      </c>
      <c r="S3310" s="7">
        <f>IF(ISBLANK(M3310),"Aguardando Previsão/Data",NETWORKDAYS(L3310,M3310)-1)</f>
        <v>0</v>
      </c>
    </row>
    <row r="3311" spans="1:20" x14ac:dyDescent="0.35">
      <c r="A3311" s="5">
        <v>8100282842</v>
      </c>
      <c r="B3311" s="5">
        <v>21641</v>
      </c>
      <c r="C3311" s="6">
        <v>45681</v>
      </c>
      <c r="D3311" s="5" t="s">
        <v>17</v>
      </c>
      <c r="E3311" s="5" t="s">
        <v>18</v>
      </c>
      <c r="F3311" s="5" t="s">
        <v>44</v>
      </c>
      <c r="G3311" s="5" t="s">
        <v>45</v>
      </c>
      <c r="H3311" s="5" t="s">
        <v>21</v>
      </c>
      <c r="I3311" s="5" t="s">
        <v>618</v>
      </c>
      <c r="J3311" s="5" t="s">
        <v>45</v>
      </c>
      <c r="K3311" s="5" t="s">
        <v>24</v>
      </c>
      <c r="L3311" s="6">
        <v>45688</v>
      </c>
      <c r="M3311" s="6">
        <v>45688</v>
      </c>
      <c r="N3311" s="5" t="s">
        <v>811</v>
      </c>
      <c r="O3311" s="5" t="str">
        <f ca="1">IF(P3311&lt;&gt;"EXPEDIÇÃO","Expedido",IF(NETWORKDAYS(C3311,TODAY())&gt;=5,"Risco Alto",IF(NETWORKDAYS(C3311,TODAY())&gt;=3,IF(NETWORKDAYS(C3311,TODAY())&lt;5,"Risco Médio",""),IF(NETWORKDAYS(C3311,TODAY())&lt;=2,"Risco Baixo",""))))</f>
        <v>Expedido</v>
      </c>
      <c r="P3311" s="5" t="s">
        <v>617</v>
      </c>
      <c r="S3311" s="7">
        <f>IF(ISBLANK(M3311),"Aguardando Previsão/Data",NETWORKDAYS(L3311,M3311)-1)</f>
        <v>0</v>
      </c>
    </row>
    <row r="3312" spans="1:20" x14ac:dyDescent="0.35">
      <c r="A3312" s="5">
        <v>8100282843</v>
      </c>
      <c r="B3312" s="5">
        <v>21642</v>
      </c>
      <c r="C3312" s="6">
        <v>45681</v>
      </c>
      <c r="D3312" s="5" t="s">
        <v>17</v>
      </c>
      <c r="E3312" s="5" t="s">
        <v>18</v>
      </c>
      <c r="F3312" s="5" t="s">
        <v>32</v>
      </c>
      <c r="G3312" s="5" t="s">
        <v>33</v>
      </c>
      <c r="H3312" s="5" t="s">
        <v>21</v>
      </c>
      <c r="I3312" s="5" t="s">
        <v>618</v>
      </c>
      <c r="J3312" s="5" t="s">
        <v>45</v>
      </c>
      <c r="K3312" s="5" t="s">
        <v>24</v>
      </c>
      <c r="L3312" s="6">
        <v>45688</v>
      </c>
      <c r="M3312" s="6">
        <v>45688</v>
      </c>
      <c r="N3312" s="5" t="s">
        <v>811</v>
      </c>
      <c r="O3312" s="5" t="str">
        <f ca="1">IF(P3312&lt;&gt;"EXPEDIÇÃO","Expedido",IF(NETWORKDAYS(C3312,TODAY())&gt;=5,"Risco Alto",IF(NETWORKDAYS(C3312,TODAY())&gt;=3,IF(NETWORKDAYS(C3312,TODAY())&lt;5,"Risco Médio",""),IF(NETWORKDAYS(C3312,TODAY())&lt;=2,"Risco Baixo",""))))</f>
        <v>Expedido</v>
      </c>
      <c r="P3312" s="5" t="s">
        <v>617</v>
      </c>
      <c r="S3312" s="7">
        <f>IF(ISBLANK(M3312),"Aguardando Previsão/Data",NETWORKDAYS(L3312,M3312)-1)</f>
        <v>0</v>
      </c>
    </row>
    <row r="3313" spans="1:20" x14ac:dyDescent="0.35">
      <c r="A3313" s="5">
        <v>8100282844</v>
      </c>
      <c r="B3313" s="5">
        <v>21643</v>
      </c>
      <c r="C3313" s="6">
        <v>45681</v>
      </c>
      <c r="D3313" s="5" t="s">
        <v>17</v>
      </c>
      <c r="E3313" s="5" t="s">
        <v>18</v>
      </c>
      <c r="F3313" s="5" t="s">
        <v>44</v>
      </c>
      <c r="G3313" s="5" t="s">
        <v>45</v>
      </c>
      <c r="H3313" s="5" t="s">
        <v>21</v>
      </c>
      <c r="I3313" s="5" t="s">
        <v>618</v>
      </c>
      <c r="J3313" s="5" t="s">
        <v>45</v>
      </c>
      <c r="K3313" s="5" t="s">
        <v>24</v>
      </c>
      <c r="L3313" s="6">
        <v>45688</v>
      </c>
      <c r="M3313" s="6">
        <v>45688</v>
      </c>
      <c r="N3313" s="5" t="s">
        <v>811</v>
      </c>
      <c r="O3313" s="5" t="str">
        <f ca="1">IF(P3313&lt;&gt;"EXPEDIÇÃO","Expedido",IF(NETWORKDAYS(C3313,TODAY())&gt;=5,"Risco Alto",IF(NETWORKDAYS(C3313,TODAY())&gt;=3,IF(NETWORKDAYS(C3313,TODAY())&lt;5,"Risco Médio",""),IF(NETWORKDAYS(C3313,TODAY())&lt;=2,"Risco Baixo",""))))</f>
        <v>Expedido</v>
      </c>
      <c r="P3313" s="5" t="s">
        <v>617</v>
      </c>
      <c r="S3313" s="7">
        <f>IF(ISBLANK(M3313),"Aguardando Previsão/Data",NETWORKDAYS(L3313,M3313)-1)</f>
        <v>0</v>
      </c>
    </row>
    <row r="3314" spans="1:20" x14ac:dyDescent="0.35">
      <c r="A3314" s="5">
        <v>8100282845</v>
      </c>
      <c r="B3314" s="5">
        <v>21644</v>
      </c>
      <c r="C3314" s="6">
        <v>45681</v>
      </c>
      <c r="D3314" s="5" t="s">
        <v>17</v>
      </c>
      <c r="E3314" s="5" t="s">
        <v>18</v>
      </c>
      <c r="F3314" s="5" t="s">
        <v>44</v>
      </c>
      <c r="G3314" s="5" t="s">
        <v>45</v>
      </c>
      <c r="H3314" s="5" t="s">
        <v>21</v>
      </c>
      <c r="I3314" s="5" t="s">
        <v>618</v>
      </c>
      <c r="J3314" s="5" t="s">
        <v>45</v>
      </c>
      <c r="K3314" s="5" t="s">
        <v>24</v>
      </c>
      <c r="L3314" s="6">
        <v>45688</v>
      </c>
      <c r="M3314" s="6">
        <v>45688</v>
      </c>
      <c r="N3314" s="5" t="s">
        <v>811</v>
      </c>
      <c r="O3314" s="5" t="str">
        <f ca="1">IF(P3314&lt;&gt;"EXPEDIÇÃO","Expedido",IF(NETWORKDAYS(C3314,TODAY())&gt;=5,"Risco Alto",IF(NETWORKDAYS(C3314,TODAY())&gt;=3,IF(NETWORKDAYS(C3314,TODAY())&lt;5,"Risco Médio",""),IF(NETWORKDAYS(C3314,TODAY())&lt;=2,"Risco Baixo",""))))</f>
        <v>Expedido</v>
      </c>
      <c r="P3314" s="5" t="s">
        <v>617</v>
      </c>
      <c r="S3314" s="7">
        <f>IF(ISBLANK(M3314),"Aguardando Previsão/Data",NETWORKDAYS(L3314,M3314)-1)</f>
        <v>0</v>
      </c>
    </row>
    <row r="3315" spans="1:20" x14ac:dyDescent="0.35">
      <c r="A3315" s="5">
        <v>8100282846</v>
      </c>
      <c r="B3315" s="5">
        <v>21645</v>
      </c>
      <c r="C3315" s="6">
        <v>45681</v>
      </c>
      <c r="D3315" s="5" t="s">
        <v>17</v>
      </c>
      <c r="E3315" s="5" t="s">
        <v>18</v>
      </c>
      <c r="F3315" s="5" t="s">
        <v>44</v>
      </c>
      <c r="G3315" s="5" t="s">
        <v>45</v>
      </c>
      <c r="H3315" s="5" t="s">
        <v>21</v>
      </c>
      <c r="I3315" s="5" t="s">
        <v>618</v>
      </c>
      <c r="J3315" s="5" t="s">
        <v>45</v>
      </c>
      <c r="K3315" s="5" t="s">
        <v>24</v>
      </c>
      <c r="L3315" s="6">
        <v>45688</v>
      </c>
      <c r="M3315" s="6">
        <v>45688</v>
      </c>
      <c r="N3315" s="5" t="s">
        <v>811</v>
      </c>
      <c r="O3315" s="5" t="str">
        <f ca="1">IF(P3315&lt;&gt;"EXPEDIÇÃO","Expedido",IF(NETWORKDAYS(C3315,TODAY())&gt;=5,"Risco Alto",IF(NETWORKDAYS(C3315,TODAY())&gt;=3,IF(NETWORKDAYS(C3315,TODAY())&lt;5,"Risco Médio",""),IF(NETWORKDAYS(C3315,TODAY())&lt;=2,"Risco Baixo",""))))</f>
        <v>Expedido</v>
      </c>
      <c r="P3315" s="5" t="s">
        <v>617</v>
      </c>
      <c r="S3315" s="7">
        <f>IF(ISBLANK(M3315),"Aguardando Previsão/Data",NETWORKDAYS(L3315,M3315)-1)</f>
        <v>0</v>
      </c>
    </row>
    <row r="3316" spans="1:20" x14ac:dyDescent="0.35">
      <c r="A3316" s="5">
        <v>8100282847</v>
      </c>
      <c r="B3316" s="5">
        <v>21646</v>
      </c>
      <c r="C3316" s="6">
        <v>45681</v>
      </c>
      <c r="D3316" s="5" t="s">
        <v>17</v>
      </c>
      <c r="E3316" s="5" t="s">
        <v>18</v>
      </c>
      <c r="F3316" s="5" t="s">
        <v>44</v>
      </c>
      <c r="G3316" s="5" t="s">
        <v>45</v>
      </c>
      <c r="H3316" s="5" t="s">
        <v>21</v>
      </c>
      <c r="I3316" s="5" t="s">
        <v>618</v>
      </c>
      <c r="J3316" s="5" t="s">
        <v>45</v>
      </c>
      <c r="K3316" s="5" t="s">
        <v>24</v>
      </c>
      <c r="L3316" s="6">
        <v>45688</v>
      </c>
      <c r="M3316" s="6">
        <v>45688</v>
      </c>
      <c r="N3316" s="5" t="s">
        <v>811</v>
      </c>
      <c r="O3316" s="5" t="str">
        <f ca="1">IF(P3316&lt;&gt;"EXPEDIÇÃO","Expedido",IF(NETWORKDAYS(C3316,TODAY())&gt;=5,"Risco Alto",IF(NETWORKDAYS(C3316,TODAY())&gt;=3,IF(NETWORKDAYS(C3316,TODAY())&lt;5,"Risco Médio",""),IF(NETWORKDAYS(C3316,TODAY())&lt;=2,"Risco Baixo",""))))</f>
        <v>Expedido</v>
      </c>
      <c r="P3316" s="5" t="s">
        <v>617</v>
      </c>
      <c r="S3316" s="7">
        <f>IF(ISBLANK(M3316),"Aguardando Previsão/Data",NETWORKDAYS(L3316,M3316)-1)</f>
        <v>0</v>
      </c>
    </row>
    <row r="3317" spans="1:20" x14ac:dyDescent="0.35">
      <c r="A3317" s="5">
        <v>8100282848</v>
      </c>
      <c r="B3317" s="5">
        <v>21647</v>
      </c>
      <c r="C3317" s="6">
        <v>45681</v>
      </c>
      <c r="D3317" s="5" t="s">
        <v>17</v>
      </c>
      <c r="E3317" s="5" t="s">
        <v>18</v>
      </c>
      <c r="F3317" s="5" t="s">
        <v>44</v>
      </c>
      <c r="G3317" s="5" t="s">
        <v>45</v>
      </c>
      <c r="H3317" s="5" t="s">
        <v>21</v>
      </c>
      <c r="I3317" s="5" t="s">
        <v>618</v>
      </c>
      <c r="J3317" s="5" t="s">
        <v>45</v>
      </c>
      <c r="K3317" s="5" t="s">
        <v>24</v>
      </c>
      <c r="L3317" s="6">
        <v>45688</v>
      </c>
      <c r="M3317" s="6">
        <v>45688</v>
      </c>
      <c r="N3317" s="5" t="s">
        <v>811</v>
      </c>
      <c r="O3317" s="5" t="str">
        <f ca="1">IF(P3317&lt;&gt;"EXPEDIÇÃO","Expedido",IF(NETWORKDAYS(C3317,TODAY())&gt;=5,"Risco Alto",IF(NETWORKDAYS(C3317,TODAY())&gt;=3,IF(NETWORKDAYS(C3317,TODAY())&lt;5,"Risco Médio",""),IF(NETWORKDAYS(C3317,TODAY())&lt;=2,"Risco Baixo",""))))</f>
        <v>Expedido</v>
      </c>
      <c r="P3317" s="5" t="s">
        <v>617</v>
      </c>
      <c r="S3317" s="7">
        <f>IF(ISBLANK(M3317),"Aguardando Previsão/Data",NETWORKDAYS(L3317,M3317)-1)</f>
        <v>0</v>
      </c>
    </row>
    <row r="3318" spans="1:20" x14ac:dyDescent="0.35">
      <c r="A3318" s="5">
        <v>8100282849</v>
      </c>
      <c r="B3318" s="5">
        <v>21636</v>
      </c>
      <c r="C3318" s="6">
        <v>45681</v>
      </c>
      <c r="D3318" s="5" t="s">
        <v>17</v>
      </c>
      <c r="E3318" s="5" t="s">
        <v>18</v>
      </c>
      <c r="F3318" s="5" t="s">
        <v>84</v>
      </c>
      <c r="G3318" s="5" t="s">
        <v>85</v>
      </c>
      <c r="H3318" s="5" t="s">
        <v>21</v>
      </c>
      <c r="I3318" s="5" t="s">
        <v>1547</v>
      </c>
      <c r="J3318" s="5" t="s">
        <v>47</v>
      </c>
      <c r="K3318" s="5" t="s">
        <v>24</v>
      </c>
      <c r="L3318" s="6">
        <v>45688</v>
      </c>
      <c r="M3318" s="6">
        <v>45687</v>
      </c>
      <c r="N3318" s="5" t="s">
        <v>811</v>
      </c>
      <c r="O3318" s="5" t="str">
        <f ca="1">IF(P3318&lt;&gt;"EXPEDIÇÃO","Expedido",IF(NETWORKDAYS(C3318,TODAY())&gt;=5,"Risco Alto",IF(NETWORKDAYS(C3318,TODAY())&gt;=3,IF(NETWORKDAYS(C3318,TODAY())&lt;5,"Risco Médio",""),IF(NETWORKDAYS(C3318,TODAY())&lt;=2,"Risco Baixo",""))))</f>
        <v>Expedido</v>
      </c>
      <c r="P3318" s="5" t="s">
        <v>617</v>
      </c>
      <c r="S3318" s="7">
        <f>IF(ISBLANK(M3318),"Aguardando Previsão/Data",NETWORKDAYS(L3318,M3318)-1)</f>
        <v>-3</v>
      </c>
    </row>
    <row r="3319" spans="1:20" x14ac:dyDescent="0.35">
      <c r="A3319" s="5">
        <v>8100282850</v>
      </c>
      <c r="B3319" s="5">
        <v>21637</v>
      </c>
      <c r="C3319" s="6">
        <v>45681</v>
      </c>
      <c r="D3319" s="5" t="s">
        <v>17</v>
      </c>
      <c r="E3319" s="5" t="s">
        <v>18</v>
      </c>
      <c r="F3319" s="5" t="s">
        <v>84</v>
      </c>
      <c r="G3319" s="5" t="s">
        <v>85</v>
      </c>
      <c r="H3319" s="5" t="s">
        <v>21</v>
      </c>
      <c r="I3319" s="5" t="s">
        <v>1547</v>
      </c>
      <c r="J3319" s="5" t="s">
        <v>47</v>
      </c>
      <c r="K3319" s="5" t="s">
        <v>24</v>
      </c>
      <c r="L3319" s="6">
        <v>45688</v>
      </c>
      <c r="M3319" s="6">
        <v>45685</v>
      </c>
      <c r="N3319" s="5" t="s">
        <v>811</v>
      </c>
      <c r="O3319" s="5" t="str">
        <f ca="1">IF(P3319&lt;&gt;"EXPEDIÇÃO","Expedido",IF(NETWORKDAYS(C3319,TODAY())&gt;=5,"Risco Alto",IF(NETWORKDAYS(C3319,TODAY())&gt;=3,IF(NETWORKDAYS(C3319,TODAY())&lt;5,"Risco Médio",""),IF(NETWORKDAYS(C3319,TODAY())&lt;=2,"Risco Baixo",""))))</f>
        <v>Expedido</v>
      </c>
      <c r="P3319" s="5" t="s">
        <v>25</v>
      </c>
      <c r="S3319" s="7">
        <f>IF(ISBLANK(M3319),"Aguardando Previsão/Data",NETWORKDAYS(L3319,M3319)-1)</f>
        <v>-5</v>
      </c>
      <c r="T3319" s="5" t="s">
        <v>942</v>
      </c>
    </row>
    <row r="3320" spans="1:20" x14ac:dyDescent="0.35">
      <c r="A3320" s="5">
        <v>8100282851</v>
      </c>
      <c r="B3320" s="5">
        <v>21638</v>
      </c>
      <c r="C3320" s="6">
        <v>45681</v>
      </c>
      <c r="D3320" s="5" t="s">
        <v>17</v>
      </c>
      <c r="E3320" s="5" t="s">
        <v>18</v>
      </c>
      <c r="F3320" s="5" t="s">
        <v>84</v>
      </c>
      <c r="G3320" s="5" t="s">
        <v>85</v>
      </c>
      <c r="H3320" s="5" t="s">
        <v>21</v>
      </c>
      <c r="I3320" s="5" t="s">
        <v>1547</v>
      </c>
      <c r="J3320" s="5" t="s">
        <v>47</v>
      </c>
      <c r="K3320" s="5" t="s">
        <v>24</v>
      </c>
      <c r="L3320" s="6">
        <v>45688</v>
      </c>
      <c r="M3320" s="6">
        <v>45685</v>
      </c>
      <c r="N3320" s="5" t="s">
        <v>811</v>
      </c>
      <c r="O3320" s="5" t="str">
        <f ca="1">IF(P3320&lt;&gt;"EXPEDIÇÃO","Expedido",IF(NETWORKDAYS(C3320,TODAY())&gt;=5,"Risco Alto",IF(NETWORKDAYS(C3320,TODAY())&gt;=3,IF(NETWORKDAYS(C3320,TODAY())&lt;5,"Risco Médio",""),IF(NETWORKDAYS(C3320,TODAY())&lt;=2,"Risco Baixo",""))))</f>
        <v>Expedido</v>
      </c>
      <c r="P3320" s="5" t="s">
        <v>25</v>
      </c>
      <c r="S3320" s="7">
        <f>IF(ISBLANK(M3320),"Aguardando Previsão/Data",NETWORKDAYS(L3320,M3320)-1)</f>
        <v>-5</v>
      </c>
      <c r="T3320" s="5" t="s">
        <v>942</v>
      </c>
    </row>
    <row r="3321" spans="1:20" x14ac:dyDescent="0.35">
      <c r="A3321" s="5">
        <v>8100282852</v>
      </c>
      <c r="B3321" s="5">
        <v>21650</v>
      </c>
      <c r="C3321" s="6">
        <v>45681</v>
      </c>
      <c r="D3321" s="5" t="s">
        <v>17</v>
      </c>
      <c r="E3321" s="5" t="s">
        <v>18</v>
      </c>
      <c r="F3321" s="5" t="s">
        <v>84</v>
      </c>
      <c r="G3321" s="5" t="s">
        <v>85</v>
      </c>
      <c r="H3321" s="5" t="s">
        <v>21</v>
      </c>
      <c r="I3321" s="5" t="s">
        <v>1548</v>
      </c>
      <c r="J3321" s="5" t="s">
        <v>256</v>
      </c>
      <c r="K3321" s="5" t="s">
        <v>24</v>
      </c>
      <c r="L3321" s="6">
        <v>45688</v>
      </c>
      <c r="M3321" s="6">
        <v>45687</v>
      </c>
      <c r="N3321" s="5" t="s">
        <v>811</v>
      </c>
      <c r="O3321" s="5" t="str">
        <f ca="1">IF(P3321&lt;&gt;"EXPEDIÇÃO","Expedido",IF(NETWORKDAYS(C3321,TODAY())&gt;=5,"Risco Alto",IF(NETWORKDAYS(C3321,TODAY())&gt;=3,IF(NETWORKDAYS(C3321,TODAY())&lt;5,"Risco Médio",""),IF(NETWORKDAYS(C3321,TODAY())&lt;=2,"Risco Baixo",""))))</f>
        <v>Expedido</v>
      </c>
      <c r="P3321" s="5" t="s">
        <v>25</v>
      </c>
      <c r="S3321" s="7">
        <f>IF(ISBLANK(M3321),"Aguardando Previsão/Data",NETWORKDAYS(L3321,M3321)-1)</f>
        <v>-3</v>
      </c>
      <c r="T3321" s="5" t="s">
        <v>942</v>
      </c>
    </row>
    <row r="3322" spans="1:20" x14ac:dyDescent="0.35">
      <c r="A3322" s="5">
        <v>8100282854</v>
      </c>
      <c r="B3322" s="5">
        <v>21648</v>
      </c>
      <c r="C3322" s="6">
        <v>45681</v>
      </c>
      <c r="D3322" s="5" t="s">
        <v>17</v>
      </c>
      <c r="E3322" s="5" t="s">
        <v>18</v>
      </c>
      <c r="F3322" s="5" t="s">
        <v>44</v>
      </c>
      <c r="G3322" s="5" t="s">
        <v>45</v>
      </c>
      <c r="H3322" s="5" t="s">
        <v>21</v>
      </c>
      <c r="I3322" s="5" t="s">
        <v>524</v>
      </c>
      <c r="J3322" s="5" t="s">
        <v>47</v>
      </c>
      <c r="K3322" s="5" t="s">
        <v>24</v>
      </c>
      <c r="L3322" s="6">
        <v>45688</v>
      </c>
      <c r="M3322" s="6">
        <v>45687</v>
      </c>
      <c r="N3322" s="5" t="s">
        <v>811</v>
      </c>
      <c r="O3322" s="5" t="str">
        <f ca="1">IF(P3322&lt;&gt;"EXPEDIÇÃO","Expedido",IF(NETWORKDAYS(C3322,TODAY())&gt;=5,"Risco Alto",IF(NETWORKDAYS(C3322,TODAY())&gt;=3,IF(NETWORKDAYS(C3322,TODAY())&lt;5,"Risco Médio",""),IF(NETWORKDAYS(C3322,TODAY())&lt;=2,"Risco Baixo",""))))</f>
        <v>Expedido</v>
      </c>
      <c r="P3322" s="5" t="s">
        <v>617</v>
      </c>
      <c r="S3322" s="7">
        <f>IF(ISBLANK(M3322),"Aguardando Previsão/Data",NETWORKDAYS(L3322,M3322)-1)</f>
        <v>-3</v>
      </c>
    </row>
    <row r="3323" spans="1:20" x14ac:dyDescent="0.35">
      <c r="A3323" s="5">
        <v>8100282855</v>
      </c>
      <c r="B3323" s="5">
        <v>21649</v>
      </c>
      <c r="C3323" s="6">
        <v>45681</v>
      </c>
      <c r="D3323" s="5" t="s">
        <v>17</v>
      </c>
      <c r="E3323" s="5" t="s">
        <v>18</v>
      </c>
      <c r="F3323" s="5" t="s">
        <v>27</v>
      </c>
      <c r="G3323" s="5" t="s">
        <v>28</v>
      </c>
      <c r="H3323" s="5" t="s">
        <v>21</v>
      </c>
      <c r="I3323" s="5" t="s">
        <v>1026</v>
      </c>
      <c r="J3323" s="5" t="s">
        <v>364</v>
      </c>
      <c r="K3323" s="5" t="s">
        <v>24</v>
      </c>
      <c r="L3323" s="6">
        <v>45688</v>
      </c>
      <c r="M3323" s="6">
        <v>45684</v>
      </c>
      <c r="N3323" s="5" t="s">
        <v>811</v>
      </c>
      <c r="O3323" s="5" t="str">
        <f ca="1">IF(P3323&lt;&gt;"EXPEDIÇÃO","Expedido",IF(NETWORKDAYS(C3323,TODAY())&gt;=5,"Risco Alto",IF(NETWORKDAYS(C3323,TODAY())&gt;=3,IF(NETWORKDAYS(C3323,TODAY())&lt;5,"Risco Médio",""),IF(NETWORKDAYS(C3323,TODAY())&lt;=2,"Risco Baixo",""))))</f>
        <v>Expedido</v>
      </c>
      <c r="P3323" s="5" t="s">
        <v>25</v>
      </c>
      <c r="S3323" s="7">
        <f>IF(ISBLANK(M3323),"Aguardando Previsão/Data",NETWORKDAYS(L3323,M3323)-1)</f>
        <v>-6</v>
      </c>
      <c r="T3323" s="5" t="s">
        <v>942</v>
      </c>
    </row>
    <row r="3324" spans="1:20" x14ac:dyDescent="0.35">
      <c r="A3324" s="5">
        <v>8100282856</v>
      </c>
      <c r="B3324" s="5">
        <v>21653</v>
      </c>
      <c r="C3324" s="6">
        <v>45681</v>
      </c>
      <c r="D3324" s="5" t="s">
        <v>17</v>
      </c>
      <c r="E3324" s="5" t="s">
        <v>18</v>
      </c>
      <c r="F3324" s="5" t="s">
        <v>39</v>
      </c>
      <c r="G3324" s="5" t="s">
        <v>40</v>
      </c>
      <c r="H3324" s="5" t="s">
        <v>21</v>
      </c>
      <c r="I3324" s="5" t="s">
        <v>1499</v>
      </c>
      <c r="J3324" s="5" t="s">
        <v>608</v>
      </c>
      <c r="K3324" s="5" t="s">
        <v>24</v>
      </c>
      <c r="L3324" s="6">
        <v>45695</v>
      </c>
      <c r="M3324" s="6">
        <v>45694</v>
      </c>
      <c r="N3324" s="5" t="s">
        <v>811</v>
      </c>
      <c r="O3324" s="5" t="str">
        <f ca="1">IF(P3324&lt;&gt;"EXPEDIÇÃO","Expedido",IF(NETWORKDAYS(C3324,TODAY())&gt;=5,"Risco Alto",IF(NETWORKDAYS(C3324,TODAY())&gt;=3,IF(NETWORKDAYS(C3324,TODAY())&lt;5,"Risco Médio",""),IF(NETWORKDAYS(C3324,TODAY())&lt;=2,"Risco Baixo",""))))</f>
        <v>Expedido</v>
      </c>
      <c r="P3324" s="5" t="s">
        <v>617</v>
      </c>
      <c r="S3324" s="7">
        <f>IF(ISBLANK(M3324),"Aguardando Previsão/Data",NETWORKDAYS(L3324,M3324)-1)</f>
        <v>-3</v>
      </c>
    </row>
    <row r="3325" spans="1:20" x14ac:dyDescent="0.35">
      <c r="A3325" s="5">
        <v>8100282857</v>
      </c>
      <c r="B3325" s="5">
        <v>21635</v>
      </c>
      <c r="C3325" s="6">
        <v>45681</v>
      </c>
      <c r="D3325" s="5" t="s">
        <v>17</v>
      </c>
      <c r="E3325" s="5" t="s">
        <v>18</v>
      </c>
      <c r="F3325" s="5" t="s">
        <v>44</v>
      </c>
      <c r="G3325" s="5" t="s">
        <v>45</v>
      </c>
      <c r="H3325" s="5" t="s">
        <v>21</v>
      </c>
      <c r="I3325" s="5" t="s">
        <v>786</v>
      </c>
      <c r="J3325" s="5" t="s">
        <v>606</v>
      </c>
      <c r="K3325" s="5" t="s">
        <v>24</v>
      </c>
      <c r="L3325" s="6">
        <v>45693</v>
      </c>
      <c r="M3325" s="6">
        <v>45692</v>
      </c>
      <c r="N3325" s="5" t="s">
        <v>811</v>
      </c>
      <c r="O3325" s="5" t="str">
        <f ca="1">IF(P3325&lt;&gt;"EXPEDIÇÃO","Expedido",IF(NETWORKDAYS(C3325,TODAY())&gt;=5,"Risco Alto",IF(NETWORKDAYS(C3325,TODAY())&gt;=3,IF(NETWORKDAYS(C3325,TODAY())&lt;5,"Risco Médio",""),IF(NETWORKDAYS(C3325,TODAY())&lt;=2,"Risco Baixo",""))))</f>
        <v>Expedido</v>
      </c>
      <c r="P3325" s="5" t="s">
        <v>617</v>
      </c>
      <c r="S3325" s="7">
        <f>IF(ISBLANK(M3325),"Aguardando Previsão/Data",NETWORKDAYS(L3325,M3325)-1)</f>
        <v>-3</v>
      </c>
    </row>
    <row r="3326" spans="1:20" x14ac:dyDescent="0.35">
      <c r="A3326" s="5">
        <v>8100282858</v>
      </c>
      <c r="B3326" s="5">
        <v>21655</v>
      </c>
      <c r="C3326" s="6">
        <v>45681</v>
      </c>
      <c r="D3326" s="5" t="s">
        <v>17</v>
      </c>
      <c r="E3326" s="5" t="s">
        <v>18</v>
      </c>
      <c r="F3326" s="5" t="s">
        <v>27</v>
      </c>
      <c r="G3326" s="5" t="s">
        <v>28</v>
      </c>
      <c r="H3326" s="5" t="s">
        <v>21</v>
      </c>
      <c r="I3326" s="5" t="s">
        <v>1501</v>
      </c>
      <c r="J3326" s="5" t="s">
        <v>364</v>
      </c>
      <c r="K3326" s="5" t="s">
        <v>24</v>
      </c>
      <c r="L3326" s="6">
        <v>45688</v>
      </c>
      <c r="M3326" s="6">
        <v>45685</v>
      </c>
      <c r="N3326" s="5" t="s">
        <v>811</v>
      </c>
      <c r="O3326" s="5" t="str">
        <f ca="1">IF(P3326&lt;&gt;"EXPEDIÇÃO","Expedido",IF(NETWORKDAYS(C3326,TODAY())&gt;=5,"Risco Alto",IF(NETWORKDAYS(C3326,TODAY())&gt;=3,IF(NETWORKDAYS(C3326,TODAY())&lt;5,"Risco Médio",""),IF(NETWORKDAYS(C3326,TODAY())&lt;=2,"Risco Baixo",""))))</f>
        <v>Expedido</v>
      </c>
      <c r="P3326" s="5" t="s">
        <v>25</v>
      </c>
      <c r="S3326" s="7">
        <f>IF(ISBLANK(M3326),"Aguardando Previsão/Data",NETWORKDAYS(L3326,M3326)-1)</f>
        <v>-5</v>
      </c>
      <c r="T3326" s="5" t="s">
        <v>942</v>
      </c>
    </row>
    <row r="3327" spans="1:20" x14ac:dyDescent="0.35">
      <c r="A3327" s="5">
        <v>8100282859</v>
      </c>
      <c r="B3327" s="5">
        <v>21652</v>
      </c>
      <c r="C3327" s="6">
        <v>45681</v>
      </c>
      <c r="D3327" s="5" t="s">
        <v>17</v>
      </c>
      <c r="E3327" s="5" t="s">
        <v>18</v>
      </c>
      <c r="F3327" s="5" t="s">
        <v>39</v>
      </c>
      <c r="G3327" s="5" t="s">
        <v>40</v>
      </c>
      <c r="H3327" s="5" t="s">
        <v>21</v>
      </c>
      <c r="I3327" s="5" t="s">
        <v>1549</v>
      </c>
      <c r="J3327" s="5" t="s">
        <v>737</v>
      </c>
      <c r="K3327" s="5" t="s">
        <v>24</v>
      </c>
      <c r="L3327" s="6">
        <v>45695</v>
      </c>
      <c r="M3327" s="6">
        <v>45694</v>
      </c>
      <c r="N3327" s="5" t="s">
        <v>811</v>
      </c>
      <c r="O3327" s="5" t="str">
        <f ca="1">IF(P3327&lt;&gt;"EXPEDIÇÃO","Expedido",IF(NETWORKDAYS(C3327,TODAY())&gt;=5,"Risco Alto",IF(NETWORKDAYS(C3327,TODAY())&gt;=3,IF(NETWORKDAYS(C3327,TODAY())&lt;5,"Risco Médio",""),IF(NETWORKDAYS(C3327,TODAY())&lt;=2,"Risco Baixo",""))))</f>
        <v>Expedido</v>
      </c>
      <c r="P3327" s="5" t="s">
        <v>617</v>
      </c>
      <c r="S3327" s="7">
        <f>IF(ISBLANK(M3327),"Aguardando Previsão/Data",NETWORKDAYS(L3327,M3327)-1)</f>
        <v>-3</v>
      </c>
    </row>
    <row r="3328" spans="1:20" x14ac:dyDescent="0.35">
      <c r="A3328" s="5">
        <v>8100282860</v>
      </c>
      <c r="B3328" s="5">
        <v>21633</v>
      </c>
      <c r="C3328" s="6">
        <v>45681</v>
      </c>
      <c r="D3328" s="5" t="s">
        <v>17</v>
      </c>
      <c r="E3328" s="5" t="s">
        <v>18</v>
      </c>
      <c r="F3328" s="5" t="s">
        <v>69</v>
      </c>
      <c r="G3328" s="5" t="s">
        <v>70</v>
      </c>
      <c r="H3328" s="5" t="s">
        <v>21</v>
      </c>
      <c r="I3328" s="5" t="s">
        <v>263</v>
      </c>
      <c r="J3328" s="5" t="s">
        <v>264</v>
      </c>
      <c r="K3328" s="5" t="s">
        <v>24</v>
      </c>
      <c r="L3328" s="6">
        <v>45688</v>
      </c>
      <c r="M3328" s="6">
        <v>45686</v>
      </c>
      <c r="N3328" s="5" t="s">
        <v>811</v>
      </c>
      <c r="O3328" s="5" t="str">
        <f ca="1">IF(P3328&lt;&gt;"EXPEDIÇÃO","Expedido",IF(NETWORKDAYS(C3328,TODAY())&gt;=5,"Risco Alto",IF(NETWORKDAYS(C3328,TODAY())&gt;=3,IF(NETWORKDAYS(C3328,TODAY())&lt;5,"Risco Médio",""),IF(NETWORKDAYS(C3328,TODAY())&lt;=2,"Risco Baixo",""))))</f>
        <v>Expedido</v>
      </c>
      <c r="P3328" s="5" t="s">
        <v>25</v>
      </c>
      <c r="Q3328" s="5" t="s">
        <v>897</v>
      </c>
      <c r="S3328" s="7">
        <f>IF(ISBLANK(M3328),"Aguardando Previsão/Data",NETWORKDAYS(L3328,M3328)-1)</f>
        <v>-4</v>
      </c>
      <c r="T3328" s="5" t="s">
        <v>942</v>
      </c>
    </row>
    <row r="3329" spans="1:20" x14ac:dyDescent="0.35">
      <c r="A3329" s="5">
        <v>8100282861</v>
      </c>
      <c r="B3329" s="5">
        <v>21656</v>
      </c>
      <c r="C3329" s="6">
        <v>45681</v>
      </c>
      <c r="D3329" s="5" t="s">
        <v>17</v>
      </c>
      <c r="E3329" s="5" t="s">
        <v>18</v>
      </c>
      <c r="F3329" s="5" t="s">
        <v>27</v>
      </c>
      <c r="G3329" s="5" t="s">
        <v>28</v>
      </c>
      <c r="H3329" s="5" t="s">
        <v>21</v>
      </c>
      <c r="I3329" s="5" t="s">
        <v>1503</v>
      </c>
      <c r="J3329" s="5" t="s">
        <v>1504</v>
      </c>
      <c r="K3329" s="5" t="s">
        <v>24</v>
      </c>
      <c r="L3329" s="6">
        <v>45688</v>
      </c>
      <c r="M3329" s="6">
        <v>45684</v>
      </c>
      <c r="N3329" s="5" t="s">
        <v>811</v>
      </c>
      <c r="O3329" s="5" t="str">
        <f ca="1">IF(P3329&lt;&gt;"EXPEDIÇÃO","Expedido",IF(NETWORKDAYS(C3329,TODAY())&gt;=5,"Risco Alto",IF(NETWORKDAYS(C3329,TODAY())&gt;=3,IF(NETWORKDAYS(C3329,TODAY())&lt;5,"Risco Médio",""),IF(NETWORKDAYS(C3329,TODAY())&lt;=2,"Risco Baixo",""))))</f>
        <v>Expedido</v>
      </c>
      <c r="P3329" s="5" t="s">
        <v>25</v>
      </c>
      <c r="S3329" s="7">
        <f>IF(ISBLANK(M3329),"Aguardando Previsão/Data",NETWORKDAYS(L3329,M3329)-1)</f>
        <v>-6</v>
      </c>
      <c r="T3329" s="5" t="s">
        <v>942</v>
      </c>
    </row>
    <row r="3330" spans="1:20" x14ac:dyDescent="0.35">
      <c r="A3330" s="5">
        <v>8100282877</v>
      </c>
      <c r="B3330" s="5">
        <v>21651</v>
      </c>
      <c r="C3330" s="6">
        <v>45681</v>
      </c>
      <c r="D3330" s="5" t="s">
        <v>17</v>
      </c>
      <c r="E3330" s="5" t="s">
        <v>18</v>
      </c>
      <c r="F3330" s="5" t="s">
        <v>84</v>
      </c>
      <c r="G3330" s="5" t="s">
        <v>85</v>
      </c>
      <c r="H3330" s="5" t="s">
        <v>21</v>
      </c>
      <c r="I3330" s="5" t="s">
        <v>1547</v>
      </c>
      <c r="J3330" s="5" t="s">
        <v>47</v>
      </c>
      <c r="K3330" s="5" t="s">
        <v>24</v>
      </c>
      <c r="L3330" s="6">
        <v>45688</v>
      </c>
      <c r="M3330" s="6">
        <v>45685</v>
      </c>
      <c r="N3330" s="5" t="s">
        <v>811</v>
      </c>
      <c r="O3330" s="5" t="str">
        <f ca="1">IF(P3330&lt;&gt;"EXPEDIÇÃO","Expedido",IF(NETWORKDAYS(C3330,TODAY())&gt;=5,"Risco Alto",IF(NETWORKDAYS(C3330,TODAY())&gt;=3,IF(NETWORKDAYS(C3330,TODAY())&lt;5,"Risco Médio",""),IF(NETWORKDAYS(C3330,TODAY())&lt;=2,"Risco Baixo",""))))</f>
        <v>Expedido</v>
      </c>
      <c r="P3330" s="5" t="s">
        <v>25</v>
      </c>
      <c r="S3330" s="7">
        <f>IF(ISBLANK(M3330),"Aguardando Previsão/Data",NETWORKDAYS(L3330,M3330)-1)</f>
        <v>-5</v>
      </c>
      <c r="T3330" s="5" t="s">
        <v>942</v>
      </c>
    </row>
    <row r="3331" spans="1:20" x14ac:dyDescent="0.35">
      <c r="A3331" s="5">
        <v>8100282919</v>
      </c>
      <c r="B3331" s="5">
        <v>21634</v>
      </c>
      <c r="C3331" s="6">
        <v>45681</v>
      </c>
      <c r="D3331" s="5" t="s">
        <v>17</v>
      </c>
      <c r="E3331" s="5" t="s">
        <v>18</v>
      </c>
      <c r="F3331" s="5" t="s">
        <v>147</v>
      </c>
      <c r="G3331" s="5" t="s">
        <v>148</v>
      </c>
      <c r="H3331" s="5" t="s">
        <v>21</v>
      </c>
      <c r="I3331" s="5" t="s">
        <v>263</v>
      </c>
      <c r="J3331" s="5" t="s">
        <v>264</v>
      </c>
      <c r="K3331" s="5" t="s">
        <v>24</v>
      </c>
      <c r="L3331" s="6">
        <v>45688</v>
      </c>
      <c r="M3331" s="6">
        <v>45686</v>
      </c>
      <c r="N3331" s="5" t="s">
        <v>811</v>
      </c>
      <c r="O3331" s="5" t="str">
        <f ca="1">IF(P3331&lt;&gt;"EXPEDIÇÃO","Expedido",IF(NETWORKDAYS(C3331,TODAY())&gt;=5,"Risco Alto",IF(NETWORKDAYS(C3331,TODAY())&gt;=3,IF(NETWORKDAYS(C3331,TODAY())&lt;5,"Risco Médio",""),IF(NETWORKDAYS(C3331,TODAY())&lt;=2,"Risco Baixo",""))))</f>
        <v>Expedido</v>
      </c>
      <c r="P3331" s="5" t="s">
        <v>25</v>
      </c>
      <c r="Q3331" s="5" t="s">
        <v>897</v>
      </c>
      <c r="S3331" s="7">
        <f>IF(ISBLANK(M3331),"Aguardando Previsão/Data",NETWORKDAYS(L3331,M3331)-1)</f>
        <v>-4</v>
      </c>
      <c r="T3331" s="5" t="s">
        <v>942</v>
      </c>
    </row>
    <row r="3332" spans="1:20" x14ac:dyDescent="0.35">
      <c r="A3332" s="5">
        <v>8100283040</v>
      </c>
      <c r="B3332" s="5">
        <v>21666</v>
      </c>
      <c r="C3332" s="6">
        <v>45681</v>
      </c>
      <c r="D3332" s="5" t="s">
        <v>17</v>
      </c>
      <c r="E3332" s="5" t="s">
        <v>18</v>
      </c>
      <c r="F3332" s="5" t="s">
        <v>44</v>
      </c>
      <c r="G3332" s="5" t="s">
        <v>45</v>
      </c>
      <c r="H3332" s="5" t="s">
        <v>21</v>
      </c>
      <c r="I3332" s="5" t="s">
        <v>1553</v>
      </c>
      <c r="J3332" s="5" t="s">
        <v>47</v>
      </c>
      <c r="K3332" s="5" t="s">
        <v>24</v>
      </c>
      <c r="L3332" s="6">
        <v>45688</v>
      </c>
      <c r="M3332" s="6">
        <v>45687</v>
      </c>
      <c r="N3332" s="5" t="s">
        <v>811</v>
      </c>
      <c r="O3332" s="5" t="str">
        <f ca="1">IF(P3332&lt;&gt;"EXPEDIÇÃO","Expedido",IF(NETWORKDAYS(C3332,TODAY())&gt;=5,"Risco Alto",IF(NETWORKDAYS(C3332,TODAY())&gt;=3,IF(NETWORKDAYS(C3332,TODAY())&lt;5,"Risco Médio",""),IF(NETWORKDAYS(C3332,TODAY())&lt;=2,"Risco Baixo",""))))</f>
        <v>Expedido</v>
      </c>
      <c r="P3332" s="5" t="s">
        <v>617</v>
      </c>
      <c r="S3332" s="7">
        <f>IF(ISBLANK(M3332),"Aguardando Previsão/Data",NETWORKDAYS(L3332,M3332)-1)</f>
        <v>-3</v>
      </c>
    </row>
    <row r="3333" spans="1:20" x14ac:dyDescent="0.35">
      <c r="A3333" s="5">
        <v>8100283041</v>
      </c>
      <c r="B3333" s="5">
        <v>21660</v>
      </c>
      <c r="C3333" s="6">
        <v>45681</v>
      </c>
      <c r="D3333" s="5" t="s">
        <v>17</v>
      </c>
      <c r="E3333" s="5" t="s">
        <v>18</v>
      </c>
      <c r="F3333" s="5" t="s">
        <v>44</v>
      </c>
      <c r="G3333" s="5" t="s">
        <v>45</v>
      </c>
      <c r="H3333" s="5" t="s">
        <v>21</v>
      </c>
      <c r="I3333" s="5" t="s">
        <v>643</v>
      </c>
      <c r="J3333" s="5" t="s">
        <v>48</v>
      </c>
      <c r="K3333" s="5" t="s">
        <v>24</v>
      </c>
      <c r="L3333" s="6">
        <v>45691</v>
      </c>
      <c r="M3333" s="6">
        <v>45688</v>
      </c>
      <c r="N3333" s="5" t="s">
        <v>811</v>
      </c>
      <c r="O3333" s="5" t="str">
        <f ca="1">IF(P3333&lt;&gt;"EXPEDIÇÃO","Expedido",IF(NETWORKDAYS(C3333,TODAY())&gt;=5,"Risco Alto",IF(NETWORKDAYS(C3333,TODAY())&gt;=3,IF(NETWORKDAYS(C3333,TODAY())&lt;5,"Risco Médio",""),IF(NETWORKDAYS(C3333,TODAY())&lt;=2,"Risco Baixo",""))))</f>
        <v>Expedido</v>
      </c>
      <c r="P3333" s="5" t="s">
        <v>617</v>
      </c>
      <c r="S3333" s="7">
        <f>IF(ISBLANK(M3333),"Aguardando Previsão/Data",NETWORKDAYS(L3333,M3333)-1)</f>
        <v>-3</v>
      </c>
    </row>
    <row r="3334" spans="1:20" x14ac:dyDescent="0.35">
      <c r="A3334" s="5">
        <v>8100283042</v>
      </c>
      <c r="B3334" s="5">
        <v>21665</v>
      </c>
      <c r="C3334" s="6">
        <v>45681</v>
      </c>
      <c r="D3334" s="5" t="s">
        <v>17</v>
      </c>
      <c r="E3334" s="5" t="s">
        <v>18</v>
      </c>
      <c r="F3334" s="5" t="s">
        <v>147</v>
      </c>
      <c r="G3334" s="5" t="s">
        <v>148</v>
      </c>
      <c r="H3334" s="5" t="s">
        <v>21</v>
      </c>
      <c r="I3334" s="5" t="s">
        <v>128</v>
      </c>
      <c r="J3334" s="5" t="s">
        <v>291</v>
      </c>
      <c r="K3334" s="5" t="s">
        <v>198</v>
      </c>
      <c r="L3334" s="6">
        <v>45687</v>
      </c>
      <c r="M3334" s="6">
        <v>45700</v>
      </c>
      <c r="N3334" s="5" t="s">
        <v>812</v>
      </c>
      <c r="O3334" s="5" t="str">
        <f ca="1">IF(P3334&lt;&gt;"EXPEDIÇÃO","Expedido",IF(NETWORKDAYS(C3334,TODAY())&gt;=5,"Risco Alto",IF(NETWORKDAYS(C3334,TODAY())&gt;=3,IF(NETWORKDAYS(C3334,TODAY())&lt;5,"Risco Médio",""),IF(NETWORKDAYS(C3334,TODAY())&lt;=2,"Risco Baixo",""))))</f>
        <v>Expedido</v>
      </c>
      <c r="P3334" s="5" t="s">
        <v>617</v>
      </c>
      <c r="S3334" s="7">
        <f>IF(ISBLANK(M3334),"Aguardando Previsão/Data",NETWORKDAYS(L3334,M3334)-1)</f>
        <v>9</v>
      </c>
    </row>
    <row r="3335" spans="1:20" x14ac:dyDescent="0.35">
      <c r="A3335" s="5">
        <v>8100283043</v>
      </c>
      <c r="B3335" s="5">
        <v>21661</v>
      </c>
      <c r="C3335" s="6">
        <v>45681</v>
      </c>
      <c r="D3335" s="5" t="s">
        <v>17</v>
      </c>
      <c r="E3335" s="5" t="s">
        <v>18</v>
      </c>
      <c r="F3335" s="5" t="s">
        <v>44</v>
      </c>
      <c r="G3335" s="5" t="s">
        <v>45</v>
      </c>
      <c r="H3335" s="5" t="s">
        <v>21</v>
      </c>
      <c r="I3335" s="5" t="s">
        <v>643</v>
      </c>
      <c r="J3335" s="5" t="s">
        <v>48</v>
      </c>
      <c r="K3335" s="5" t="s">
        <v>24</v>
      </c>
      <c r="L3335" s="6">
        <v>45691</v>
      </c>
      <c r="M3335" s="6">
        <v>45688</v>
      </c>
      <c r="N3335" s="5" t="s">
        <v>811</v>
      </c>
      <c r="O3335" s="5" t="str">
        <f ca="1">IF(P3335&lt;&gt;"EXPEDIÇÃO","Expedido",IF(NETWORKDAYS(C3335,TODAY())&gt;=5,"Risco Alto",IF(NETWORKDAYS(C3335,TODAY())&gt;=3,IF(NETWORKDAYS(C3335,TODAY())&lt;5,"Risco Médio",""),IF(NETWORKDAYS(C3335,TODAY())&lt;=2,"Risco Baixo",""))))</f>
        <v>Expedido</v>
      </c>
      <c r="P3335" s="5" t="s">
        <v>617</v>
      </c>
      <c r="S3335" s="7">
        <f>IF(ISBLANK(M3335),"Aguardando Previsão/Data",NETWORKDAYS(L3335,M3335)-1)</f>
        <v>-3</v>
      </c>
    </row>
    <row r="3336" spans="1:20" x14ac:dyDescent="0.35">
      <c r="A3336" s="5">
        <v>8100283138</v>
      </c>
      <c r="B3336" s="5">
        <v>21671</v>
      </c>
      <c r="C3336" s="6">
        <v>45681</v>
      </c>
      <c r="D3336" s="5" t="s">
        <v>17</v>
      </c>
      <c r="E3336" s="5" t="s">
        <v>18</v>
      </c>
      <c r="F3336" s="5" t="s">
        <v>32</v>
      </c>
      <c r="G3336" s="5" t="s">
        <v>33</v>
      </c>
      <c r="H3336" s="5" t="s">
        <v>21</v>
      </c>
      <c r="I3336" s="5" t="s">
        <v>431</v>
      </c>
      <c r="J3336" s="5" t="s">
        <v>417</v>
      </c>
      <c r="K3336" s="5" t="s">
        <v>36</v>
      </c>
      <c r="L3336" s="6">
        <v>45692</v>
      </c>
      <c r="M3336" s="6">
        <v>45686</v>
      </c>
      <c r="N3336" s="5" t="s">
        <v>811</v>
      </c>
      <c r="O3336" s="5" t="str">
        <f ca="1">IF(P3336&lt;&gt;"EXPEDIÇÃO","Expedido",IF(NETWORKDAYS(C3336,TODAY())&gt;=5,"Risco Alto",IF(NETWORKDAYS(C3336,TODAY())&gt;=3,IF(NETWORKDAYS(C3336,TODAY())&lt;5,"Risco Médio",""),IF(NETWORKDAYS(C3336,TODAY())&lt;=2,"Risco Baixo",""))))</f>
        <v>Expedido</v>
      </c>
      <c r="P3336" s="5" t="s">
        <v>25</v>
      </c>
      <c r="S3336" s="7">
        <f>IF(ISBLANK(M3336),"Aguardando Previsão/Data",NETWORKDAYS(L3336,M3336)-1)</f>
        <v>-6</v>
      </c>
      <c r="T3336" s="5" t="s">
        <v>942</v>
      </c>
    </row>
    <row r="3337" spans="1:20" x14ac:dyDescent="0.35">
      <c r="A3337" s="5">
        <v>8100283139</v>
      </c>
      <c r="B3337" s="5">
        <v>21672</v>
      </c>
      <c r="C3337" s="6">
        <v>45681</v>
      </c>
      <c r="D3337" s="5" t="s">
        <v>17</v>
      </c>
      <c r="E3337" s="5" t="s">
        <v>18</v>
      </c>
      <c r="F3337" s="5" t="s">
        <v>32</v>
      </c>
      <c r="G3337" s="5" t="s">
        <v>33</v>
      </c>
      <c r="H3337" s="5" t="s">
        <v>21</v>
      </c>
      <c r="I3337" s="5" t="s">
        <v>431</v>
      </c>
      <c r="J3337" s="5" t="s">
        <v>417</v>
      </c>
      <c r="K3337" s="5" t="s">
        <v>36</v>
      </c>
      <c r="L3337" s="6">
        <v>45692</v>
      </c>
      <c r="M3337" s="6">
        <v>45686</v>
      </c>
      <c r="N3337" s="5" t="s">
        <v>811</v>
      </c>
      <c r="O3337" s="5" t="str">
        <f ca="1">IF(P3337&lt;&gt;"EXPEDIÇÃO","Expedido",IF(NETWORKDAYS(C3337,TODAY())&gt;=5,"Risco Alto",IF(NETWORKDAYS(C3337,TODAY())&gt;=3,IF(NETWORKDAYS(C3337,TODAY())&lt;5,"Risco Médio",""),IF(NETWORKDAYS(C3337,TODAY())&lt;=2,"Risco Baixo",""))))</f>
        <v>Expedido</v>
      </c>
      <c r="P3337" s="5" t="s">
        <v>25</v>
      </c>
      <c r="S3337" s="7">
        <f>IF(ISBLANK(M3337),"Aguardando Previsão/Data",NETWORKDAYS(L3337,M3337)-1)</f>
        <v>-6</v>
      </c>
      <c r="T3337" s="5" t="s">
        <v>942</v>
      </c>
    </row>
    <row r="3338" spans="1:20" x14ac:dyDescent="0.35">
      <c r="A3338" s="5">
        <v>8100281238</v>
      </c>
      <c r="B3338" s="5">
        <v>13482</v>
      </c>
      <c r="C3338" s="6">
        <v>45681</v>
      </c>
      <c r="D3338" s="5" t="s">
        <v>91</v>
      </c>
      <c r="E3338" s="5" t="s">
        <v>92</v>
      </c>
      <c r="F3338" s="5" t="s">
        <v>103</v>
      </c>
      <c r="G3338" s="5" t="s">
        <v>104</v>
      </c>
      <c r="H3338" s="5" t="s">
        <v>21</v>
      </c>
      <c r="I3338" s="5" t="s">
        <v>933</v>
      </c>
      <c r="J3338" s="5" t="s">
        <v>575</v>
      </c>
      <c r="K3338" s="5" t="s">
        <v>423</v>
      </c>
      <c r="L3338" s="6">
        <v>45692</v>
      </c>
      <c r="M3338" s="6">
        <v>45695</v>
      </c>
      <c r="N3338" s="5" t="s">
        <v>812</v>
      </c>
      <c r="O3338" s="5" t="str">
        <f ca="1">IF(P3338&lt;&gt;"EXPEDIÇÃO","Expedido",IF(NETWORKDAYS(C3338,TODAY())&gt;=5,"Risco Alto",IF(NETWORKDAYS(C3338,TODAY())&gt;=3,IF(NETWORKDAYS(C3338,TODAY())&lt;5,"Risco Médio",""),IF(NETWORKDAYS(C3338,TODAY())&lt;=2,"Risco Baixo",""))))</f>
        <v>Risco Alto</v>
      </c>
      <c r="P3338" s="5" t="s">
        <v>726</v>
      </c>
      <c r="S3338" s="7">
        <f>IF(ISBLANK(M3338),"Aguardando Previsão/Data",NETWORKDAYS(L3338,M3338)-1)</f>
        <v>3</v>
      </c>
    </row>
    <row r="3339" spans="1:20" x14ac:dyDescent="0.35">
      <c r="A3339" s="5">
        <v>8100281243</v>
      </c>
      <c r="B3339" s="5">
        <v>13487</v>
      </c>
      <c r="C3339" s="6">
        <v>45681</v>
      </c>
      <c r="D3339" s="5" t="s">
        <v>91</v>
      </c>
      <c r="E3339" s="5" t="s">
        <v>92</v>
      </c>
      <c r="F3339" s="5" t="s">
        <v>103</v>
      </c>
      <c r="G3339" s="5" t="s">
        <v>104</v>
      </c>
      <c r="H3339" s="5" t="s">
        <v>21</v>
      </c>
      <c r="I3339" s="5" t="s">
        <v>1478</v>
      </c>
      <c r="J3339" s="5" t="s">
        <v>575</v>
      </c>
      <c r="K3339" s="5" t="s">
        <v>423</v>
      </c>
      <c r="L3339" s="6">
        <v>45692</v>
      </c>
      <c r="M3339" s="6">
        <v>45691</v>
      </c>
      <c r="N3339" s="5" t="s">
        <v>811</v>
      </c>
      <c r="O3339" s="5" t="str">
        <f ca="1">IF(P3339&lt;&gt;"EXPEDIÇÃO","Expedido",IF(NETWORKDAYS(C3339,TODAY())&gt;=5,"Risco Alto",IF(NETWORKDAYS(C3339,TODAY())&gt;=3,IF(NETWORKDAYS(C3339,TODAY())&lt;5,"Risco Médio",""),IF(NETWORKDAYS(C3339,TODAY())&lt;=2,"Risco Baixo",""))))</f>
        <v>Expedido</v>
      </c>
      <c r="P3339" s="5" t="s">
        <v>617</v>
      </c>
      <c r="S3339" s="7">
        <f>IF(ISBLANK(M3339),"Aguardando Previsão/Data",NETWORKDAYS(L3339,M3339)-1)</f>
        <v>-3</v>
      </c>
    </row>
    <row r="3340" spans="1:20" x14ac:dyDescent="0.35">
      <c r="A3340" s="5">
        <v>8100281611</v>
      </c>
      <c r="B3340" s="5">
        <v>13485</v>
      </c>
      <c r="C3340" s="6">
        <v>45681</v>
      </c>
      <c r="D3340" s="5" t="s">
        <v>91</v>
      </c>
      <c r="E3340" s="5" t="s">
        <v>92</v>
      </c>
      <c r="F3340" s="5" t="s">
        <v>103</v>
      </c>
      <c r="G3340" s="5" t="s">
        <v>104</v>
      </c>
      <c r="H3340" s="5" t="s">
        <v>21</v>
      </c>
      <c r="I3340" s="5" t="s">
        <v>1526</v>
      </c>
      <c r="J3340" s="5" t="s">
        <v>1527</v>
      </c>
      <c r="K3340" s="5" t="s">
        <v>101</v>
      </c>
      <c r="L3340" s="6">
        <v>45692</v>
      </c>
      <c r="M3340" s="6">
        <v>45691</v>
      </c>
      <c r="N3340" s="5" t="s">
        <v>811</v>
      </c>
      <c r="O3340" s="5" t="str">
        <f ca="1">IF(P3340&lt;&gt;"EXPEDIÇÃO","Expedido",IF(NETWORKDAYS(C3340,TODAY())&gt;=5,"Risco Alto",IF(NETWORKDAYS(C3340,TODAY())&gt;=3,IF(NETWORKDAYS(C3340,TODAY())&lt;5,"Risco Médio",""),IF(NETWORKDAYS(C3340,TODAY())&lt;=2,"Risco Baixo",""))))</f>
        <v>Risco Alto</v>
      </c>
      <c r="P3340" s="5" t="s">
        <v>726</v>
      </c>
      <c r="S3340" s="7">
        <f>IF(ISBLANK(M3340),"Aguardando Previsão/Data",NETWORKDAYS(L3340,M3340)-1)</f>
        <v>-3</v>
      </c>
    </row>
    <row r="3341" spans="1:20" x14ac:dyDescent="0.35">
      <c r="A3341" s="5">
        <v>8100281645</v>
      </c>
      <c r="B3341" s="5">
        <v>13488</v>
      </c>
      <c r="C3341" s="6">
        <v>45681</v>
      </c>
      <c r="D3341" s="5" t="s">
        <v>91</v>
      </c>
      <c r="E3341" s="5" t="s">
        <v>92</v>
      </c>
      <c r="F3341" s="5" t="s">
        <v>96</v>
      </c>
      <c r="G3341" s="5" t="s">
        <v>97</v>
      </c>
      <c r="H3341" s="5" t="s">
        <v>21</v>
      </c>
      <c r="I3341" s="5" t="s">
        <v>771</v>
      </c>
      <c r="J3341" s="5" t="s">
        <v>469</v>
      </c>
      <c r="K3341" s="5" t="s">
        <v>95</v>
      </c>
      <c r="L3341" s="6">
        <v>45688</v>
      </c>
      <c r="M3341" s="6">
        <v>45685</v>
      </c>
      <c r="N3341" s="5" t="s">
        <v>811</v>
      </c>
      <c r="O3341" s="5" t="str">
        <f ca="1">IF(P3341&lt;&gt;"EXPEDIÇÃO","Expedido",IF(NETWORKDAYS(C3341,TODAY())&gt;=5,"Risco Alto",IF(NETWORKDAYS(C3341,TODAY())&gt;=3,IF(NETWORKDAYS(C3341,TODAY())&lt;5,"Risco Médio",""),IF(NETWORKDAYS(C3341,TODAY())&lt;=2,"Risco Baixo",""))))</f>
        <v>Expedido</v>
      </c>
      <c r="P3341" s="5" t="s">
        <v>25</v>
      </c>
      <c r="S3341" s="7">
        <f>IF(ISBLANK(M3341),"Aguardando Previsão/Data",NETWORKDAYS(L3341,M3341)-1)</f>
        <v>-5</v>
      </c>
      <c r="T3341" s="5" t="s">
        <v>942</v>
      </c>
    </row>
    <row r="3342" spans="1:20" x14ac:dyDescent="0.35">
      <c r="A3342" s="5">
        <v>8100281646</v>
      </c>
      <c r="B3342" s="5">
        <v>13489</v>
      </c>
      <c r="C3342" s="6">
        <v>45681</v>
      </c>
      <c r="D3342" s="5" t="s">
        <v>91</v>
      </c>
      <c r="E3342" s="5" t="s">
        <v>92</v>
      </c>
      <c r="F3342" s="5" t="s">
        <v>96</v>
      </c>
      <c r="G3342" s="5" t="s">
        <v>97</v>
      </c>
      <c r="H3342" s="5" t="s">
        <v>21</v>
      </c>
      <c r="I3342" s="5" t="s">
        <v>771</v>
      </c>
      <c r="J3342" s="5" t="s">
        <v>469</v>
      </c>
      <c r="K3342" s="5" t="s">
        <v>95</v>
      </c>
      <c r="L3342" s="6">
        <v>45688</v>
      </c>
      <c r="M3342" s="6">
        <v>45685</v>
      </c>
      <c r="N3342" s="5" t="s">
        <v>811</v>
      </c>
      <c r="O3342" s="5" t="str">
        <f ca="1">IF(P3342&lt;&gt;"EXPEDIÇÃO","Expedido",IF(NETWORKDAYS(C3342,TODAY())&gt;=5,"Risco Alto",IF(NETWORKDAYS(C3342,TODAY())&gt;=3,IF(NETWORKDAYS(C3342,TODAY())&lt;5,"Risco Médio",""),IF(NETWORKDAYS(C3342,TODAY())&lt;=2,"Risco Baixo",""))))</f>
        <v>Expedido</v>
      </c>
      <c r="P3342" s="5" t="s">
        <v>25</v>
      </c>
      <c r="S3342" s="7">
        <f>IF(ISBLANK(M3342),"Aguardando Previsão/Data",NETWORKDAYS(L3342,M3342)-1)</f>
        <v>-5</v>
      </c>
      <c r="T3342" s="5" t="s">
        <v>942</v>
      </c>
    </row>
    <row r="3343" spans="1:20" x14ac:dyDescent="0.35">
      <c r="A3343" s="5">
        <v>8100281649</v>
      </c>
      <c r="B3343" s="5">
        <v>13486</v>
      </c>
      <c r="C3343" s="6">
        <v>45681</v>
      </c>
      <c r="D3343" s="5" t="s">
        <v>91</v>
      </c>
      <c r="E3343" s="5" t="s">
        <v>92</v>
      </c>
      <c r="F3343" s="5" t="s">
        <v>96</v>
      </c>
      <c r="G3343" s="5" t="s">
        <v>97</v>
      </c>
      <c r="H3343" s="5" t="s">
        <v>21</v>
      </c>
      <c r="I3343" s="5" t="s">
        <v>750</v>
      </c>
      <c r="J3343" s="5" t="s">
        <v>426</v>
      </c>
      <c r="K3343" s="5" t="s">
        <v>95</v>
      </c>
      <c r="L3343" s="6">
        <v>45688</v>
      </c>
      <c r="M3343" s="6">
        <v>45684</v>
      </c>
      <c r="N3343" s="5" t="s">
        <v>811</v>
      </c>
      <c r="O3343" s="5" t="str">
        <f ca="1">IF(P3343&lt;&gt;"EXPEDIÇÃO","Expedido",IF(NETWORKDAYS(C3343,TODAY())&gt;=5,"Risco Alto",IF(NETWORKDAYS(C3343,TODAY())&gt;=3,IF(NETWORKDAYS(C3343,TODAY())&lt;5,"Risco Médio",""),IF(NETWORKDAYS(C3343,TODAY())&lt;=2,"Risco Baixo",""))))</f>
        <v>Expedido</v>
      </c>
      <c r="P3343" s="5" t="s">
        <v>25</v>
      </c>
      <c r="S3343" s="7">
        <f>IF(ISBLANK(M3343),"Aguardando Previsão/Data",NETWORKDAYS(L3343,M3343)-1)</f>
        <v>-6</v>
      </c>
      <c r="T3343" s="5" t="s">
        <v>942</v>
      </c>
    </row>
    <row r="3344" spans="1:20" x14ac:dyDescent="0.35">
      <c r="A3344" s="5">
        <v>8100281702</v>
      </c>
      <c r="B3344" s="5">
        <v>13484</v>
      </c>
      <c r="C3344" s="6">
        <v>45681</v>
      </c>
      <c r="D3344" s="5" t="s">
        <v>91</v>
      </c>
      <c r="E3344" s="5" t="s">
        <v>92</v>
      </c>
      <c r="F3344" s="5" t="s">
        <v>19</v>
      </c>
      <c r="G3344" s="5" t="s">
        <v>20</v>
      </c>
      <c r="H3344" s="5" t="s">
        <v>21</v>
      </c>
      <c r="I3344" s="5" t="s">
        <v>577</v>
      </c>
      <c r="J3344" s="5" t="s">
        <v>578</v>
      </c>
      <c r="K3344" s="5" t="s">
        <v>274</v>
      </c>
      <c r="L3344" s="6">
        <v>45692</v>
      </c>
      <c r="M3344" s="6">
        <v>45691</v>
      </c>
      <c r="N3344" s="5" t="s">
        <v>811</v>
      </c>
      <c r="O3344" s="5" t="str">
        <f ca="1">IF(P3344&lt;&gt;"EXPEDIÇÃO","Expedido",IF(NETWORKDAYS(C3344,TODAY())&gt;=5,"Risco Alto",IF(NETWORKDAYS(C3344,TODAY())&gt;=3,IF(NETWORKDAYS(C3344,TODAY())&lt;5,"Risco Médio",""),IF(NETWORKDAYS(C3344,TODAY())&lt;=2,"Risco Baixo",""))))</f>
        <v>Expedido</v>
      </c>
      <c r="P3344" s="5" t="s">
        <v>617</v>
      </c>
      <c r="S3344" s="7">
        <f>IF(ISBLANK(M3344),"Aguardando Previsão/Data",NETWORKDAYS(L3344,M3344)-1)</f>
        <v>-3</v>
      </c>
    </row>
    <row r="3345" spans="1:20" x14ac:dyDescent="0.35">
      <c r="A3345" s="5">
        <v>8100281703</v>
      </c>
      <c r="B3345" s="5">
        <v>13483</v>
      </c>
      <c r="C3345" s="6">
        <v>45681</v>
      </c>
      <c r="D3345" s="5" t="s">
        <v>91</v>
      </c>
      <c r="E3345" s="5" t="s">
        <v>92</v>
      </c>
      <c r="F3345" s="5" t="s">
        <v>19</v>
      </c>
      <c r="G3345" s="5" t="s">
        <v>20</v>
      </c>
      <c r="H3345" s="5" t="s">
        <v>21</v>
      </c>
      <c r="I3345" s="5" t="s">
        <v>1171</v>
      </c>
      <c r="J3345" s="5" t="s">
        <v>273</v>
      </c>
      <c r="K3345" s="5" t="s">
        <v>274</v>
      </c>
      <c r="L3345" s="6">
        <v>45692</v>
      </c>
      <c r="M3345" s="6">
        <v>45691</v>
      </c>
      <c r="N3345" s="5" t="s">
        <v>811</v>
      </c>
      <c r="O3345" s="5" t="str">
        <f ca="1">IF(P3345&lt;&gt;"EXPEDIÇÃO","Expedido",IF(NETWORKDAYS(C3345,TODAY())&gt;=5,"Risco Alto",IF(NETWORKDAYS(C3345,TODAY())&gt;=3,IF(NETWORKDAYS(C3345,TODAY())&lt;5,"Risco Médio",""),IF(NETWORKDAYS(C3345,TODAY())&lt;=2,"Risco Baixo",""))))</f>
        <v>Expedido</v>
      </c>
      <c r="P3345" s="5" t="s">
        <v>617</v>
      </c>
      <c r="S3345" s="7">
        <f>IF(ISBLANK(M3345),"Aguardando Previsão/Data",NETWORKDAYS(L3345,M3345)-1)</f>
        <v>-3</v>
      </c>
    </row>
    <row r="3346" spans="1:20" x14ac:dyDescent="0.35">
      <c r="A3346" s="5">
        <v>8100282235</v>
      </c>
      <c r="B3346" s="5">
        <v>13467</v>
      </c>
      <c r="C3346" s="6">
        <v>45681</v>
      </c>
      <c r="D3346" s="5" t="s">
        <v>91</v>
      </c>
      <c r="E3346" s="5" t="s">
        <v>92</v>
      </c>
      <c r="F3346" s="5" t="s">
        <v>58</v>
      </c>
      <c r="G3346" s="5" t="s">
        <v>59</v>
      </c>
      <c r="H3346" s="5" t="s">
        <v>21</v>
      </c>
      <c r="I3346" s="5" t="s">
        <v>917</v>
      </c>
      <c r="J3346" s="5" t="s">
        <v>471</v>
      </c>
      <c r="K3346" s="5" t="s">
        <v>95</v>
      </c>
      <c r="L3346" s="6">
        <v>45694</v>
      </c>
      <c r="M3346" s="6">
        <v>45686</v>
      </c>
      <c r="N3346" s="5" t="s">
        <v>811</v>
      </c>
      <c r="O3346" s="5" t="str">
        <f ca="1">IF(P3346&lt;&gt;"EXPEDIÇÃO","Expedido",IF(NETWORKDAYS(C3346,TODAY())&gt;=5,"Risco Alto",IF(NETWORKDAYS(C3346,TODAY())&gt;=3,IF(NETWORKDAYS(C3346,TODAY())&lt;5,"Risco Médio",""),IF(NETWORKDAYS(C3346,TODAY())&lt;=2,"Risco Baixo",""))))</f>
        <v>Expedido</v>
      </c>
      <c r="P3346" s="5" t="s">
        <v>25</v>
      </c>
      <c r="S3346" s="7">
        <f>IF(ISBLANK(M3346),"Aguardando Previsão/Data",NETWORKDAYS(L3346,M3346)-1)</f>
        <v>-8</v>
      </c>
      <c r="T3346" s="5" t="s">
        <v>942</v>
      </c>
    </row>
    <row r="3347" spans="1:20" x14ac:dyDescent="0.35">
      <c r="A3347" s="5">
        <v>8100282326</v>
      </c>
      <c r="B3347" s="5">
        <v>13469</v>
      </c>
      <c r="C3347" s="6">
        <v>45681</v>
      </c>
      <c r="D3347" s="5" t="s">
        <v>91</v>
      </c>
      <c r="E3347" s="5" t="s">
        <v>92</v>
      </c>
      <c r="F3347" s="5" t="s">
        <v>58</v>
      </c>
      <c r="G3347" s="5" t="s">
        <v>59</v>
      </c>
      <c r="H3347" s="5" t="s">
        <v>21</v>
      </c>
      <c r="I3347" s="5" t="s">
        <v>917</v>
      </c>
      <c r="J3347" s="5" t="s">
        <v>471</v>
      </c>
      <c r="K3347" s="5" t="s">
        <v>95</v>
      </c>
      <c r="L3347" s="6">
        <v>45694</v>
      </c>
      <c r="M3347" s="6">
        <v>45686</v>
      </c>
      <c r="N3347" s="5" t="s">
        <v>811</v>
      </c>
      <c r="O3347" s="5" t="str">
        <f ca="1">IF(P3347&lt;&gt;"EXPEDIÇÃO","Expedido",IF(NETWORKDAYS(C3347,TODAY())&gt;=5,"Risco Alto",IF(NETWORKDAYS(C3347,TODAY())&gt;=3,IF(NETWORKDAYS(C3347,TODAY())&lt;5,"Risco Médio",""),IF(NETWORKDAYS(C3347,TODAY())&lt;=2,"Risco Baixo",""))))</f>
        <v>Expedido</v>
      </c>
      <c r="P3347" s="5" t="s">
        <v>25</v>
      </c>
      <c r="S3347" s="7">
        <f>IF(ISBLANK(M3347),"Aguardando Previsão/Data",NETWORKDAYS(L3347,M3347)-1)</f>
        <v>-8</v>
      </c>
      <c r="T3347" s="5" t="s">
        <v>942</v>
      </c>
    </row>
    <row r="3348" spans="1:20" x14ac:dyDescent="0.35">
      <c r="A3348" s="5">
        <v>8100282327</v>
      </c>
      <c r="B3348" s="5">
        <v>13468</v>
      </c>
      <c r="C3348" s="6">
        <v>45681</v>
      </c>
      <c r="D3348" s="5" t="s">
        <v>91</v>
      </c>
      <c r="E3348" s="5" t="s">
        <v>92</v>
      </c>
      <c r="F3348" s="5" t="s">
        <v>58</v>
      </c>
      <c r="G3348" s="5" t="s">
        <v>59</v>
      </c>
      <c r="H3348" s="5" t="s">
        <v>21</v>
      </c>
      <c r="I3348" s="5" t="s">
        <v>917</v>
      </c>
      <c r="J3348" s="5" t="s">
        <v>471</v>
      </c>
      <c r="K3348" s="5" t="s">
        <v>95</v>
      </c>
      <c r="L3348" s="6">
        <v>45694</v>
      </c>
      <c r="M3348" s="6">
        <v>45686</v>
      </c>
      <c r="N3348" s="5" t="s">
        <v>811</v>
      </c>
      <c r="O3348" s="5" t="str">
        <f ca="1">IF(P3348&lt;&gt;"EXPEDIÇÃO","Expedido",IF(NETWORKDAYS(C3348,TODAY())&gt;=5,"Risco Alto",IF(NETWORKDAYS(C3348,TODAY())&gt;=3,IF(NETWORKDAYS(C3348,TODAY())&lt;5,"Risco Médio",""),IF(NETWORKDAYS(C3348,TODAY())&lt;=2,"Risco Baixo",""))))</f>
        <v>Expedido</v>
      </c>
      <c r="P3348" s="5" t="s">
        <v>25</v>
      </c>
      <c r="S3348" s="7">
        <f>IF(ISBLANK(M3348),"Aguardando Previsão/Data",NETWORKDAYS(L3348,M3348)-1)</f>
        <v>-8</v>
      </c>
      <c r="T3348" s="5" t="s">
        <v>942</v>
      </c>
    </row>
    <row r="3349" spans="1:20" x14ac:dyDescent="0.35">
      <c r="A3349" s="5">
        <v>8100282488</v>
      </c>
      <c r="B3349" s="5">
        <v>13459</v>
      </c>
      <c r="C3349" s="6">
        <v>45681</v>
      </c>
      <c r="D3349" s="5" t="s">
        <v>91</v>
      </c>
      <c r="E3349" s="5" t="s">
        <v>92</v>
      </c>
      <c r="F3349" s="5" t="s">
        <v>103</v>
      </c>
      <c r="G3349" s="5" t="s">
        <v>104</v>
      </c>
      <c r="H3349" s="5" t="s">
        <v>21</v>
      </c>
      <c r="I3349" s="5" t="s">
        <v>805</v>
      </c>
      <c r="J3349" s="5" t="s">
        <v>575</v>
      </c>
      <c r="K3349" s="5" t="s">
        <v>423</v>
      </c>
      <c r="L3349" s="6">
        <v>45692</v>
      </c>
      <c r="M3349" s="6">
        <v>45684</v>
      </c>
      <c r="N3349" s="5" t="s">
        <v>811</v>
      </c>
      <c r="O3349" s="5" t="str">
        <f ca="1">IF(P3349&lt;&gt;"EXPEDIÇÃO","Expedido",IF(NETWORKDAYS(C3349,TODAY())&gt;=5,"Risco Alto",IF(NETWORKDAYS(C3349,TODAY())&gt;=3,IF(NETWORKDAYS(C3349,TODAY())&lt;5,"Risco Médio",""),IF(NETWORKDAYS(C3349,TODAY())&lt;=2,"Risco Baixo",""))))</f>
        <v>Expedido</v>
      </c>
      <c r="P3349" s="5" t="s">
        <v>25</v>
      </c>
      <c r="S3349" s="7">
        <f>IF(ISBLANK(M3349),"Aguardando Previsão/Data",NETWORKDAYS(L3349,M3349)-1)</f>
        <v>-8</v>
      </c>
      <c r="T3349" s="5" t="s">
        <v>942</v>
      </c>
    </row>
    <row r="3350" spans="1:20" x14ac:dyDescent="0.35">
      <c r="A3350" s="5">
        <v>8100282489</v>
      </c>
      <c r="B3350" s="5">
        <v>13460</v>
      </c>
      <c r="C3350" s="6">
        <v>45681</v>
      </c>
      <c r="D3350" s="5" t="s">
        <v>91</v>
      </c>
      <c r="E3350" s="5" t="s">
        <v>92</v>
      </c>
      <c r="F3350" s="5" t="s">
        <v>96</v>
      </c>
      <c r="G3350" s="5" t="s">
        <v>97</v>
      </c>
      <c r="H3350" s="5" t="s">
        <v>21</v>
      </c>
      <c r="I3350" s="5" t="s">
        <v>1532</v>
      </c>
      <c r="J3350" s="5" t="s">
        <v>1513</v>
      </c>
      <c r="K3350" s="5" t="s">
        <v>101</v>
      </c>
      <c r="L3350" s="6">
        <v>45691</v>
      </c>
      <c r="M3350" s="6">
        <v>45684</v>
      </c>
      <c r="N3350" s="5" t="s">
        <v>811</v>
      </c>
      <c r="O3350" s="5" t="str">
        <f ca="1">IF(P3350&lt;&gt;"EXPEDIÇÃO","Expedido",IF(NETWORKDAYS(C3350,TODAY())&gt;=5,"Risco Alto",IF(NETWORKDAYS(C3350,TODAY())&gt;=3,IF(NETWORKDAYS(C3350,TODAY())&lt;5,"Risco Médio",""),IF(NETWORKDAYS(C3350,TODAY())&lt;=2,"Risco Baixo",""))))</f>
        <v>Expedido</v>
      </c>
      <c r="P3350" s="5" t="s">
        <v>25</v>
      </c>
      <c r="S3350" s="7">
        <f>IF(ISBLANK(M3350),"Aguardando Previsão/Data",NETWORKDAYS(L3350,M3350)-1)</f>
        <v>-7</v>
      </c>
      <c r="T3350" s="5" t="s">
        <v>942</v>
      </c>
    </row>
    <row r="3351" spans="1:20" x14ac:dyDescent="0.35">
      <c r="A3351" s="5">
        <v>8100282490</v>
      </c>
      <c r="B3351" s="5">
        <v>13477</v>
      </c>
      <c r="C3351" s="6">
        <v>45681</v>
      </c>
      <c r="D3351" s="5" t="s">
        <v>91</v>
      </c>
      <c r="E3351" s="5" t="s">
        <v>92</v>
      </c>
      <c r="F3351" s="5" t="s">
        <v>103</v>
      </c>
      <c r="G3351" s="5" t="s">
        <v>104</v>
      </c>
      <c r="H3351" s="5" t="s">
        <v>21</v>
      </c>
      <c r="I3351" s="5" t="s">
        <v>1533</v>
      </c>
      <c r="J3351" s="5" t="s">
        <v>1534</v>
      </c>
      <c r="K3351" s="5" t="s">
        <v>423</v>
      </c>
      <c r="L3351" s="6">
        <v>45694</v>
      </c>
      <c r="M3351" s="6">
        <v>45693</v>
      </c>
      <c r="N3351" s="5" t="s">
        <v>811</v>
      </c>
      <c r="O3351" s="5" t="str">
        <f ca="1">IF(P3351&lt;&gt;"EXPEDIÇÃO","Expedido",IF(NETWORKDAYS(C3351,TODAY())&gt;=5,"Risco Alto",IF(NETWORKDAYS(C3351,TODAY())&gt;=3,IF(NETWORKDAYS(C3351,TODAY())&lt;5,"Risco Médio",""),IF(NETWORKDAYS(C3351,TODAY())&lt;=2,"Risco Baixo",""))))</f>
        <v>Risco Alto</v>
      </c>
      <c r="P3351" s="5" t="s">
        <v>726</v>
      </c>
      <c r="S3351" s="7">
        <f>IF(ISBLANK(M3351),"Aguardando Previsão/Data",NETWORKDAYS(L3351,M3351)-1)</f>
        <v>-3</v>
      </c>
    </row>
    <row r="3352" spans="1:20" x14ac:dyDescent="0.35">
      <c r="A3352" s="5">
        <v>8100282491</v>
      </c>
      <c r="B3352" s="5">
        <v>13458</v>
      </c>
      <c r="C3352" s="6">
        <v>45681</v>
      </c>
      <c r="D3352" s="5" t="s">
        <v>91</v>
      </c>
      <c r="E3352" s="5" t="s">
        <v>92</v>
      </c>
      <c r="F3352" s="5" t="s">
        <v>103</v>
      </c>
      <c r="G3352" s="5" t="s">
        <v>104</v>
      </c>
      <c r="H3352" s="5" t="s">
        <v>21</v>
      </c>
      <c r="I3352" s="5" t="s">
        <v>964</v>
      </c>
      <c r="J3352" s="5" t="s">
        <v>575</v>
      </c>
      <c r="K3352" s="5" t="s">
        <v>423</v>
      </c>
      <c r="L3352" s="6">
        <v>45692</v>
      </c>
      <c r="M3352" s="6">
        <v>45684</v>
      </c>
      <c r="N3352" s="5" t="s">
        <v>811</v>
      </c>
      <c r="O3352" s="5" t="str">
        <f ca="1">IF(P3352&lt;&gt;"EXPEDIÇÃO","Expedido",IF(NETWORKDAYS(C3352,TODAY())&gt;=5,"Risco Alto",IF(NETWORKDAYS(C3352,TODAY())&gt;=3,IF(NETWORKDAYS(C3352,TODAY())&lt;5,"Risco Médio",""),IF(NETWORKDAYS(C3352,TODAY())&lt;=2,"Risco Baixo",""))))</f>
        <v>Expedido</v>
      </c>
      <c r="P3352" s="5" t="s">
        <v>25</v>
      </c>
      <c r="S3352" s="7">
        <f>IF(ISBLANK(M3352),"Aguardando Previsão/Data",NETWORKDAYS(L3352,M3352)-1)</f>
        <v>-8</v>
      </c>
      <c r="T3352" s="5" t="s">
        <v>942</v>
      </c>
    </row>
    <row r="3353" spans="1:20" x14ac:dyDescent="0.35">
      <c r="A3353" s="5">
        <v>8100282492</v>
      </c>
      <c r="B3353" s="5">
        <v>13465</v>
      </c>
      <c r="C3353" s="6">
        <v>45681</v>
      </c>
      <c r="D3353" s="5" t="s">
        <v>91</v>
      </c>
      <c r="E3353" s="5" t="s">
        <v>92</v>
      </c>
      <c r="F3353" s="5" t="s">
        <v>96</v>
      </c>
      <c r="G3353" s="5" t="s">
        <v>97</v>
      </c>
      <c r="H3353" s="5" t="s">
        <v>21</v>
      </c>
      <c r="I3353" s="5" t="s">
        <v>745</v>
      </c>
      <c r="J3353" s="5" t="s">
        <v>746</v>
      </c>
      <c r="K3353" s="5" t="s">
        <v>101</v>
      </c>
      <c r="L3353" s="6">
        <v>45693</v>
      </c>
      <c r="M3353" s="6">
        <v>45684</v>
      </c>
      <c r="N3353" s="5" t="s">
        <v>811</v>
      </c>
      <c r="O3353" s="5" t="str">
        <f ca="1">IF(P3353&lt;&gt;"EXPEDIÇÃO","Expedido",IF(NETWORKDAYS(C3353,TODAY())&gt;=5,"Risco Alto",IF(NETWORKDAYS(C3353,TODAY())&gt;=3,IF(NETWORKDAYS(C3353,TODAY())&lt;5,"Risco Médio",""),IF(NETWORKDAYS(C3353,TODAY())&lt;=2,"Risco Baixo",""))))</f>
        <v>Expedido</v>
      </c>
      <c r="P3353" s="5" t="s">
        <v>25</v>
      </c>
      <c r="S3353" s="7">
        <f>IF(ISBLANK(M3353),"Aguardando Previsão/Data",NETWORKDAYS(L3353,M3353)-1)</f>
        <v>-9</v>
      </c>
      <c r="T3353" s="5" t="s">
        <v>942</v>
      </c>
    </row>
    <row r="3354" spans="1:20" x14ac:dyDescent="0.35">
      <c r="A3354" s="5">
        <v>8100282494</v>
      </c>
      <c r="B3354" s="5">
        <v>13471</v>
      </c>
      <c r="C3354" s="6">
        <v>45681</v>
      </c>
      <c r="D3354" s="5" t="s">
        <v>91</v>
      </c>
      <c r="E3354" s="5" t="s">
        <v>92</v>
      </c>
      <c r="F3354" s="5" t="s">
        <v>96</v>
      </c>
      <c r="G3354" s="5" t="s">
        <v>97</v>
      </c>
      <c r="H3354" s="5" t="s">
        <v>21</v>
      </c>
      <c r="I3354" s="5" t="s">
        <v>98</v>
      </c>
      <c r="J3354" s="5" t="s">
        <v>99</v>
      </c>
      <c r="K3354" s="5" t="s">
        <v>95</v>
      </c>
      <c r="L3354" s="6">
        <v>45687</v>
      </c>
      <c r="M3354" s="6">
        <v>45684</v>
      </c>
      <c r="N3354" s="5" t="s">
        <v>811</v>
      </c>
      <c r="O3354" s="5" t="str">
        <f ca="1">IF(P3354&lt;&gt;"EXPEDIÇÃO","Expedido",IF(NETWORKDAYS(C3354,TODAY())&gt;=5,"Risco Alto",IF(NETWORKDAYS(C3354,TODAY())&gt;=3,IF(NETWORKDAYS(C3354,TODAY())&lt;5,"Risco Médio",""),IF(NETWORKDAYS(C3354,TODAY())&lt;=2,"Risco Baixo",""))))</f>
        <v>Expedido</v>
      </c>
      <c r="P3354" s="5" t="s">
        <v>25</v>
      </c>
      <c r="S3354" s="7">
        <f>IF(ISBLANK(M3354),"Aguardando Previsão/Data",NETWORKDAYS(L3354,M3354)-1)</f>
        <v>-5</v>
      </c>
      <c r="T3354" s="5" t="s">
        <v>942</v>
      </c>
    </row>
    <row r="3355" spans="1:20" x14ac:dyDescent="0.35">
      <c r="A3355" s="5">
        <v>8100282496</v>
      </c>
      <c r="B3355" s="5">
        <v>13472</v>
      </c>
      <c r="C3355" s="6">
        <v>45681</v>
      </c>
      <c r="D3355" s="5" t="s">
        <v>91</v>
      </c>
      <c r="E3355" s="5" t="s">
        <v>92</v>
      </c>
      <c r="F3355" s="5" t="s">
        <v>96</v>
      </c>
      <c r="G3355" s="5" t="s">
        <v>97</v>
      </c>
      <c r="H3355" s="5" t="s">
        <v>21</v>
      </c>
      <c r="I3355" s="5" t="s">
        <v>98</v>
      </c>
      <c r="J3355" s="5" t="s">
        <v>99</v>
      </c>
      <c r="K3355" s="5" t="s">
        <v>95</v>
      </c>
      <c r="L3355" s="6">
        <v>45687</v>
      </c>
      <c r="M3355" s="6">
        <v>45684</v>
      </c>
      <c r="N3355" s="5" t="s">
        <v>811</v>
      </c>
      <c r="O3355" s="5" t="str">
        <f ca="1">IF(P3355&lt;&gt;"EXPEDIÇÃO","Expedido",IF(NETWORKDAYS(C3355,TODAY())&gt;=5,"Risco Alto",IF(NETWORKDAYS(C3355,TODAY())&gt;=3,IF(NETWORKDAYS(C3355,TODAY())&lt;5,"Risco Médio",""),IF(NETWORKDAYS(C3355,TODAY())&lt;=2,"Risco Baixo",""))))</f>
        <v>Expedido</v>
      </c>
      <c r="P3355" s="5" t="s">
        <v>25</v>
      </c>
      <c r="S3355" s="7">
        <f>IF(ISBLANK(M3355),"Aguardando Previsão/Data",NETWORKDAYS(L3355,M3355)-1)</f>
        <v>-5</v>
      </c>
      <c r="T3355" s="5" t="s">
        <v>942</v>
      </c>
    </row>
    <row r="3356" spans="1:20" x14ac:dyDescent="0.35">
      <c r="A3356" s="5">
        <v>8100282497</v>
      </c>
      <c r="B3356" s="5">
        <v>13473</v>
      </c>
      <c r="C3356" s="6">
        <v>45681</v>
      </c>
      <c r="D3356" s="5" t="s">
        <v>91</v>
      </c>
      <c r="E3356" s="5" t="s">
        <v>92</v>
      </c>
      <c r="F3356" s="5" t="s">
        <v>96</v>
      </c>
      <c r="G3356" s="5" t="s">
        <v>97</v>
      </c>
      <c r="H3356" s="5" t="s">
        <v>21</v>
      </c>
      <c r="I3356" s="5" t="s">
        <v>98</v>
      </c>
      <c r="J3356" s="5" t="s">
        <v>99</v>
      </c>
      <c r="K3356" s="5" t="s">
        <v>95</v>
      </c>
      <c r="L3356" s="6">
        <v>45687</v>
      </c>
      <c r="M3356" s="6">
        <v>45684</v>
      </c>
      <c r="N3356" s="5" t="s">
        <v>811</v>
      </c>
      <c r="O3356" s="5" t="str">
        <f ca="1">IF(P3356&lt;&gt;"EXPEDIÇÃO","Expedido",IF(NETWORKDAYS(C3356,TODAY())&gt;=5,"Risco Alto",IF(NETWORKDAYS(C3356,TODAY())&gt;=3,IF(NETWORKDAYS(C3356,TODAY())&lt;5,"Risco Médio",""),IF(NETWORKDAYS(C3356,TODAY())&lt;=2,"Risco Baixo",""))))</f>
        <v>Expedido</v>
      </c>
      <c r="P3356" s="5" t="s">
        <v>25</v>
      </c>
      <c r="S3356" s="7">
        <f>IF(ISBLANK(M3356),"Aguardando Previsão/Data",NETWORKDAYS(L3356,M3356)-1)</f>
        <v>-5</v>
      </c>
      <c r="T3356" s="5" t="s">
        <v>942</v>
      </c>
    </row>
    <row r="3357" spans="1:20" x14ac:dyDescent="0.35">
      <c r="A3357" s="5">
        <v>8100282498</v>
      </c>
      <c r="B3357" s="5">
        <v>13463</v>
      </c>
      <c r="C3357" s="6">
        <v>45681</v>
      </c>
      <c r="D3357" s="5" t="s">
        <v>91</v>
      </c>
      <c r="E3357" s="5" t="s">
        <v>92</v>
      </c>
      <c r="F3357" s="5" t="s">
        <v>96</v>
      </c>
      <c r="G3357" s="5" t="s">
        <v>97</v>
      </c>
      <c r="H3357" s="5" t="s">
        <v>21</v>
      </c>
      <c r="I3357" s="5" t="s">
        <v>750</v>
      </c>
      <c r="J3357" s="5" t="s">
        <v>636</v>
      </c>
      <c r="K3357" s="5" t="s">
        <v>95</v>
      </c>
      <c r="L3357" s="6">
        <v>45688</v>
      </c>
      <c r="M3357" s="6">
        <v>45684</v>
      </c>
      <c r="N3357" s="5" t="s">
        <v>811</v>
      </c>
      <c r="O3357" s="5" t="str">
        <f ca="1">IF(P3357&lt;&gt;"EXPEDIÇÃO","Expedido",IF(NETWORKDAYS(C3357,TODAY())&gt;=5,"Risco Alto",IF(NETWORKDAYS(C3357,TODAY())&gt;=3,IF(NETWORKDAYS(C3357,TODAY())&lt;5,"Risco Médio",""),IF(NETWORKDAYS(C3357,TODAY())&lt;=2,"Risco Baixo",""))))</f>
        <v>Expedido</v>
      </c>
      <c r="P3357" s="5" t="s">
        <v>25</v>
      </c>
      <c r="S3357" s="7">
        <f>IF(ISBLANK(M3357),"Aguardando Previsão/Data",NETWORKDAYS(L3357,M3357)-1)</f>
        <v>-6</v>
      </c>
      <c r="T3357" s="5" t="s">
        <v>942</v>
      </c>
    </row>
    <row r="3358" spans="1:20" x14ac:dyDescent="0.35">
      <c r="A3358" s="5">
        <v>8100282499</v>
      </c>
      <c r="B3358" s="5">
        <v>13461</v>
      </c>
      <c r="C3358" s="6">
        <v>45681</v>
      </c>
      <c r="D3358" s="5" t="s">
        <v>91</v>
      </c>
      <c r="E3358" s="5" t="s">
        <v>92</v>
      </c>
      <c r="F3358" s="5" t="s">
        <v>96</v>
      </c>
      <c r="G3358" s="5" t="s">
        <v>97</v>
      </c>
      <c r="H3358" s="5" t="s">
        <v>21</v>
      </c>
      <c r="I3358" s="5" t="s">
        <v>750</v>
      </c>
      <c r="J3358" s="5" t="s">
        <v>426</v>
      </c>
      <c r="K3358" s="5" t="s">
        <v>95</v>
      </c>
      <c r="L3358" s="6">
        <v>45688</v>
      </c>
      <c r="M3358" s="6">
        <v>45684</v>
      </c>
      <c r="N3358" s="5" t="s">
        <v>811</v>
      </c>
      <c r="O3358" s="5" t="str">
        <f ca="1">IF(P3358&lt;&gt;"EXPEDIÇÃO","Expedido",IF(NETWORKDAYS(C3358,TODAY())&gt;=5,"Risco Alto",IF(NETWORKDAYS(C3358,TODAY())&gt;=3,IF(NETWORKDAYS(C3358,TODAY())&lt;5,"Risco Médio",""),IF(NETWORKDAYS(C3358,TODAY())&lt;=2,"Risco Baixo",""))))</f>
        <v>Expedido</v>
      </c>
      <c r="P3358" s="5" t="s">
        <v>25</v>
      </c>
      <c r="S3358" s="7">
        <f>IF(ISBLANK(M3358),"Aguardando Previsão/Data",NETWORKDAYS(L3358,M3358)-1)</f>
        <v>-6</v>
      </c>
      <c r="T3358" s="5" t="s">
        <v>942</v>
      </c>
    </row>
    <row r="3359" spans="1:20" x14ac:dyDescent="0.35">
      <c r="A3359" s="5">
        <v>8100282500</v>
      </c>
      <c r="B3359" s="5">
        <v>13466</v>
      </c>
      <c r="C3359" s="6">
        <v>45681</v>
      </c>
      <c r="D3359" s="5" t="s">
        <v>91</v>
      </c>
      <c r="E3359" s="5" t="s">
        <v>92</v>
      </c>
      <c r="F3359" s="5" t="s">
        <v>96</v>
      </c>
      <c r="G3359" s="5" t="s">
        <v>97</v>
      </c>
      <c r="H3359" s="5" t="s">
        <v>21</v>
      </c>
      <c r="I3359" s="5" t="s">
        <v>745</v>
      </c>
      <c r="J3359" s="5" t="s">
        <v>746</v>
      </c>
      <c r="K3359" s="5" t="s">
        <v>101</v>
      </c>
      <c r="L3359" s="6">
        <v>45693</v>
      </c>
      <c r="M3359" s="6">
        <v>45684</v>
      </c>
      <c r="N3359" s="5" t="s">
        <v>811</v>
      </c>
      <c r="O3359" s="5" t="str">
        <f ca="1">IF(P3359&lt;&gt;"EXPEDIÇÃO","Expedido",IF(NETWORKDAYS(C3359,TODAY())&gt;=5,"Risco Alto",IF(NETWORKDAYS(C3359,TODAY())&gt;=3,IF(NETWORKDAYS(C3359,TODAY())&lt;5,"Risco Médio",""),IF(NETWORKDAYS(C3359,TODAY())&lt;=2,"Risco Baixo",""))))</f>
        <v>Expedido</v>
      </c>
      <c r="P3359" s="5" t="s">
        <v>25</v>
      </c>
      <c r="S3359" s="7">
        <f>IF(ISBLANK(M3359),"Aguardando Previsão/Data",NETWORKDAYS(L3359,M3359)-1)</f>
        <v>-9</v>
      </c>
      <c r="T3359" s="5" t="s">
        <v>942</v>
      </c>
    </row>
    <row r="3360" spans="1:20" x14ac:dyDescent="0.35">
      <c r="A3360" s="5">
        <v>8100282501</v>
      </c>
      <c r="B3360" s="5">
        <v>13462</v>
      </c>
      <c r="C3360" s="6">
        <v>45681</v>
      </c>
      <c r="D3360" s="5" t="s">
        <v>91</v>
      </c>
      <c r="E3360" s="5" t="s">
        <v>92</v>
      </c>
      <c r="F3360" s="5" t="s">
        <v>103</v>
      </c>
      <c r="G3360" s="5" t="s">
        <v>104</v>
      </c>
      <c r="H3360" s="5" t="s">
        <v>21</v>
      </c>
      <c r="I3360" s="5" t="s">
        <v>911</v>
      </c>
      <c r="J3360" s="5" t="s">
        <v>831</v>
      </c>
      <c r="K3360" s="5" t="s">
        <v>423</v>
      </c>
      <c r="L3360" s="6">
        <v>45693</v>
      </c>
      <c r="M3360" s="6">
        <v>45692</v>
      </c>
      <c r="N3360" s="5" t="s">
        <v>811</v>
      </c>
      <c r="O3360" s="5" t="str">
        <f ca="1">IF(P3360&lt;&gt;"EXPEDIÇÃO","Expedido",IF(NETWORKDAYS(C3360,TODAY())&gt;=5,"Risco Alto",IF(NETWORKDAYS(C3360,TODAY())&gt;=3,IF(NETWORKDAYS(C3360,TODAY())&lt;5,"Risco Médio",""),IF(NETWORKDAYS(C3360,TODAY())&lt;=2,"Risco Baixo",""))))</f>
        <v>Expedido</v>
      </c>
      <c r="P3360" s="5" t="s">
        <v>617</v>
      </c>
      <c r="S3360" s="7">
        <f>IF(ISBLANK(M3360),"Aguardando Previsão/Data",NETWORKDAYS(L3360,M3360)-1)</f>
        <v>-3</v>
      </c>
    </row>
    <row r="3361" spans="1:20" x14ac:dyDescent="0.35">
      <c r="A3361" s="5">
        <v>8100282502</v>
      </c>
      <c r="B3361" s="5">
        <v>13474</v>
      </c>
      <c r="C3361" s="6">
        <v>45681</v>
      </c>
      <c r="D3361" s="5" t="s">
        <v>91</v>
      </c>
      <c r="E3361" s="5" t="s">
        <v>92</v>
      </c>
      <c r="F3361" s="5" t="s">
        <v>96</v>
      </c>
      <c r="G3361" s="5" t="s">
        <v>97</v>
      </c>
      <c r="H3361" s="5" t="s">
        <v>21</v>
      </c>
      <c r="I3361" s="5" t="s">
        <v>98</v>
      </c>
      <c r="J3361" s="5" t="s">
        <v>99</v>
      </c>
      <c r="K3361" s="5" t="s">
        <v>95</v>
      </c>
      <c r="L3361" s="6">
        <v>45687</v>
      </c>
      <c r="M3361" s="6">
        <v>45684</v>
      </c>
      <c r="N3361" s="5" t="s">
        <v>811</v>
      </c>
      <c r="O3361" s="5" t="str">
        <f ca="1">IF(P3361&lt;&gt;"EXPEDIÇÃO","Expedido",IF(NETWORKDAYS(C3361,TODAY())&gt;=5,"Risco Alto",IF(NETWORKDAYS(C3361,TODAY())&gt;=3,IF(NETWORKDAYS(C3361,TODAY())&lt;5,"Risco Médio",""),IF(NETWORKDAYS(C3361,TODAY())&lt;=2,"Risco Baixo",""))))</f>
        <v>Expedido</v>
      </c>
      <c r="P3361" s="5" t="s">
        <v>25</v>
      </c>
      <c r="S3361" s="7">
        <f>IF(ISBLANK(M3361),"Aguardando Previsão/Data",NETWORKDAYS(L3361,M3361)-1)</f>
        <v>-5</v>
      </c>
      <c r="T3361" s="5" t="s">
        <v>942</v>
      </c>
    </row>
    <row r="3362" spans="1:20" x14ac:dyDescent="0.35">
      <c r="A3362" s="5">
        <v>8100282749</v>
      </c>
      <c r="B3362" s="5">
        <v>13476</v>
      </c>
      <c r="C3362" s="6">
        <v>45681</v>
      </c>
      <c r="D3362" s="5" t="s">
        <v>91</v>
      </c>
      <c r="E3362" s="5" t="s">
        <v>92</v>
      </c>
      <c r="F3362" s="5" t="s">
        <v>69</v>
      </c>
      <c r="G3362" s="5" t="s">
        <v>70</v>
      </c>
      <c r="H3362" s="5" t="s">
        <v>21</v>
      </c>
      <c r="I3362" s="5" t="s">
        <v>1293</v>
      </c>
      <c r="J3362" s="5" t="s">
        <v>1294</v>
      </c>
      <c r="K3362" s="5" t="s">
        <v>274</v>
      </c>
      <c r="L3362" s="6">
        <v>45694</v>
      </c>
      <c r="M3362" s="6">
        <v>45686</v>
      </c>
      <c r="N3362" s="5" t="s">
        <v>811</v>
      </c>
      <c r="O3362" s="5" t="str">
        <f ca="1">IF(P3362&lt;&gt;"EXPEDIÇÃO","Expedido",IF(NETWORKDAYS(C3362,TODAY())&gt;=5,"Risco Alto",IF(NETWORKDAYS(C3362,TODAY())&gt;=3,IF(NETWORKDAYS(C3362,TODAY())&lt;5,"Risco Médio",""),IF(NETWORKDAYS(C3362,TODAY())&lt;=2,"Risco Baixo",""))))</f>
        <v>Expedido</v>
      </c>
      <c r="P3362" s="5" t="s">
        <v>25</v>
      </c>
      <c r="S3362" s="7">
        <f>IF(ISBLANK(M3362),"Aguardando Previsão/Data",NETWORKDAYS(L3362,M3362)-1)</f>
        <v>-8</v>
      </c>
      <c r="T3362" s="5" t="s">
        <v>942</v>
      </c>
    </row>
    <row r="3363" spans="1:20" x14ac:dyDescent="0.35">
      <c r="A3363" s="5">
        <v>8100282752</v>
      </c>
      <c r="B3363" s="5">
        <v>13470</v>
      </c>
      <c r="C3363" s="6">
        <v>45681</v>
      </c>
      <c r="D3363" s="5" t="s">
        <v>91</v>
      </c>
      <c r="E3363" s="5" t="s">
        <v>92</v>
      </c>
      <c r="F3363" s="5" t="s">
        <v>96</v>
      </c>
      <c r="G3363" s="5" t="s">
        <v>97</v>
      </c>
      <c r="H3363" s="5" t="s">
        <v>21</v>
      </c>
      <c r="I3363" s="5" t="s">
        <v>682</v>
      </c>
      <c r="J3363" s="5" t="s">
        <v>424</v>
      </c>
      <c r="K3363" s="5" t="s">
        <v>95</v>
      </c>
      <c r="L3363" s="6">
        <v>45688</v>
      </c>
      <c r="M3363" s="6">
        <v>45681</v>
      </c>
      <c r="N3363" s="5" t="s">
        <v>811</v>
      </c>
      <c r="O3363" s="5" t="str">
        <f ca="1">IF(P3363&lt;&gt;"EXPEDIÇÃO","Expedido",IF(NETWORKDAYS(C3363,TODAY())&gt;=5,"Risco Alto",IF(NETWORKDAYS(C3363,TODAY())&gt;=3,IF(NETWORKDAYS(C3363,TODAY())&lt;5,"Risco Médio",""),IF(NETWORKDAYS(C3363,TODAY())&lt;=2,"Risco Baixo",""))))</f>
        <v>Expedido</v>
      </c>
      <c r="P3363" s="5" t="s">
        <v>25</v>
      </c>
      <c r="Q3363" s="5" t="s">
        <v>824</v>
      </c>
      <c r="S3363" s="7">
        <f>IF(ISBLANK(M3363),"Aguardando Previsão/Data",NETWORKDAYS(L3363,M3363)-1)</f>
        <v>-7</v>
      </c>
      <c r="T3363" s="5" t="s">
        <v>942</v>
      </c>
    </row>
    <row r="3364" spans="1:20" x14ac:dyDescent="0.35">
      <c r="A3364" s="5">
        <v>8100282801</v>
      </c>
      <c r="B3364" s="5">
        <v>13464</v>
      </c>
      <c r="C3364" s="6">
        <v>45681</v>
      </c>
      <c r="D3364" s="5" t="s">
        <v>91</v>
      </c>
      <c r="E3364" s="5" t="s">
        <v>92</v>
      </c>
      <c r="F3364" s="5" t="s">
        <v>58</v>
      </c>
      <c r="G3364" s="5" t="s">
        <v>59</v>
      </c>
      <c r="H3364" s="5" t="s">
        <v>21</v>
      </c>
      <c r="I3364" s="5" t="s">
        <v>997</v>
      </c>
      <c r="J3364" s="5" t="s">
        <v>471</v>
      </c>
      <c r="K3364" s="5" t="s">
        <v>95</v>
      </c>
      <c r="L3364" s="6">
        <v>45694</v>
      </c>
      <c r="M3364" s="6">
        <v>45686</v>
      </c>
      <c r="N3364" s="5" t="s">
        <v>811</v>
      </c>
      <c r="O3364" s="5" t="str">
        <f ca="1">IF(P3364&lt;&gt;"EXPEDIÇÃO","Expedido",IF(NETWORKDAYS(C3364,TODAY())&gt;=5,"Risco Alto",IF(NETWORKDAYS(C3364,TODAY())&gt;=3,IF(NETWORKDAYS(C3364,TODAY())&lt;5,"Risco Médio",""),IF(NETWORKDAYS(C3364,TODAY())&lt;=2,"Risco Baixo",""))))</f>
        <v>Expedido</v>
      </c>
      <c r="P3364" s="5" t="s">
        <v>25</v>
      </c>
      <c r="S3364" s="7">
        <f>IF(ISBLANK(M3364),"Aguardando Previsão/Data",NETWORKDAYS(L3364,M3364)-1)</f>
        <v>-8</v>
      </c>
      <c r="T3364" s="5" t="s">
        <v>942</v>
      </c>
    </row>
    <row r="3365" spans="1:20" x14ac:dyDescent="0.35">
      <c r="A3365" s="5">
        <v>8100282802</v>
      </c>
      <c r="B3365" s="5">
        <v>13479</v>
      </c>
      <c r="C3365" s="6">
        <v>45681</v>
      </c>
      <c r="D3365" s="5" t="s">
        <v>91</v>
      </c>
      <c r="E3365" s="5" t="s">
        <v>92</v>
      </c>
      <c r="F3365" s="5" t="s">
        <v>58</v>
      </c>
      <c r="G3365" s="5" t="s">
        <v>59</v>
      </c>
      <c r="H3365" s="5" t="s">
        <v>21</v>
      </c>
      <c r="I3365" s="5" t="s">
        <v>917</v>
      </c>
      <c r="J3365" s="5" t="s">
        <v>471</v>
      </c>
      <c r="K3365" s="5" t="s">
        <v>95</v>
      </c>
      <c r="L3365" s="6">
        <v>45694</v>
      </c>
      <c r="M3365" s="6">
        <v>45686</v>
      </c>
      <c r="N3365" s="5" t="s">
        <v>811</v>
      </c>
      <c r="O3365" s="5" t="str">
        <f ca="1">IF(P3365&lt;&gt;"EXPEDIÇÃO","Expedido",IF(NETWORKDAYS(C3365,TODAY())&gt;=5,"Risco Alto",IF(NETWORKDAYS(C3365,TODAY())&gt;=3,IF(NETWORKDAYS(C3365,TODAY())&lt;5,"Risco Médio",""),IF(NETWORKDAYS(C3365,TODAY())&lt;=2,"Risco Baixo",""))))</f>
        <v>Expedido</v>
      </c>
      <c r="P3365" s="5" t="s">
        <v>25</v>
      </c>
      <c r="S3365" s="7">
        <f>IF(ISBLANK(M3365),"Aguardando Previsão/Data",NETWORKDAYS(L3365,M3365)-1)</f>
        <v>-8</v>
      </c>
      <c r="T3365" s="5" t="s">
        <v>942</v>
      </c>
    </row>
    <row r="3366" spans="1:20" x14ac:dyDescent="0.35">
      <c r="A3366" s="5">
        <v>8100282803</v>
      </c>
      <c r="B3366" s="5">
        <v>13457</v>
      </c>
      <c r="C3366" s="6">
        <v>45681</v>
      </c>
      <c r="D3366" s="5" t="s">
        <v>91</v>
      </c>
      <c r="E3366" s="5" t="s">
        <v>92</v>
      </c>
      <c r="F3366" s="5" t="s">
        <v>69</v>
      </c>
      <c r="G3366" s="5" t="s">
        <v>70</v>
      </c>
      <c r="H3366" s="5" t="s">
        <v>21</v>
      </c>
      <c r="I3366" s="5" t="s">
        <v>1293</v>
      </c>
      <c r="J3366" s="5" t="s">
        <v>1294</v>
      </c>
      <c r="K3366" s="5" t="s">
        <v>274</v>
      </c>
      <c r="L3366" s="6">
        <v>45694</v>
      </c>
      <c r="M3366" s="6">
        <v>45686</v>
      </c>
      <c r="N3366" s="5" t="s">
        <v>811</v>
      </c>
      <c r="O3366" s="5" t="str">
        <f ca="1">IF(P3366&lt;&gt;"EXPEDIÇÃO","Expedido",IF(NETWORKDAYS(C3366,TODAY())&gt;=5,"Risco Alto",IF(NETWORKDAYS(C3366,TODAY())&gt;=3,IF(NETWORKDAYS(C3366,TODAY())&lt;5,"Risco Médio",""),IF(NETWORKDAYS(C3366,TODAY())&lt;=2,"Risco Baixo",""))))</f>
        <v>Expedido</v>
      </c>
      <c r="P3366" s="5" t="s">
        <v>25</v>
      </c>
      <c r="S3366" s="7">
        <f>IF(ISBLANK(M3366),"Aguardando Previsão/Data",NETWORKDAYS(L3366,M3366)-1)</f>
        <v>-8</v>
      </c>
      <c r="T3366" s="5" t="s">
        <v>942</v>
      </c>
    </row>
    <row r="3367" spans="1:20" x14ac:dyDescent="0.35">
      <c r="A3367" s="5">
        <v>8100283048</v>
      </c>
      <c r="B3367" s="5">
        <v>13478</v>
      </c>
      <c r="C3367" s="6">
        <v>45681</v>
      </c>
      <c r="D3367" s="5" t="s">
        <v>91</v>
      </c>
      <c r="E3367" s="5" t="s">
        <v>92</v>
      </c>
      <c r="F3367" s="5" t="s">
        <v>58</v>
      </c>
      <c r="G3367" s="5" t="s">
        <v>59</v>
      </c>
      <c r="H3367" s="5" t="s">
        <v>21</v>
      </c>
      <c r="I3367" s="5" t="s">
        <v>1293</v>
      </c>
      <c r="J3367" s="5" t="s">
        <v>1357</v>
      </c>
      <c r="K3367" s="5" t="s">
        <v>95</v>
      </c>
      <c r="L3367" s="6">
        <v>45694</v>
      </c>
      <c r="M3367" s="6">
        <v>45687</v>
      </c>
      <c r="N3367" s="5" t="s">
        <v>811</v>
      </c>
      <c r="O3367" s="5" t="str">
        <f ca="1">IF(P3367&lt;&gt;"EXPEDIÇÃO","Expedido",IF(NETWORKDAYS(C3367,TODAY())&gt;=5,"Risco Alto",IF(NETWORKDAYS(C3367,TODAY())&gt;=3,IF(NETWORKDAYS(C3367,TODAY())&lt;5,"Risco Médio",""),IF(NETWORKDAYS(C3367,TODAY())&lt;=2,"Risco Baixo",""))))</f>
        <v>Expedido</v>
      </c>
      <c r="P3367" s="5" t="s">
        <v>25</v>
      </c>
      <c r="S3367" s="7">
        <f>IF(ISBLANK(M3367),"Aguardando Previsão/Data",NETWORKDAYS(L3367,M3367)-1)</f>
        <v>-7</v>
      </c>
      <c r="T3367" s="5" t="s">
        <v>942</v>
      </c>
    </row>
    <row r="3368" spans="1:20" x14ac:dyDescent="0.35">
      <c r="A3368" s="5">
        <v>8100283049</v>
      </c>
      <c r="B3368" s="5">
        <v>13475</v>
      </c>
      <c r="C3368" s="6">
        <v>45681</v>
      </c>
      <c r="D3368" s="5" t="s">
        <v>91</v>
      </c>
      <c r="E3368" s="5" t="s">
        <v>92</v>
      </c>
      <c r="F3368" s="5" t="s">
        <v>103</v>
      </c>
      <c r="G3368" s="5" t="s">
        <v>104</v>
      </c>
      <c r="H3368" s="5" t="s">
        <v>21</v>
      </c>
      <c r="I3368" s="5" t="s">
        <v>1554</v>
      </c>
      <c r="J3368" s="5" t="s">
        <v>872</v>
      </c>
      <c r="K3368" s="5" t="s">
        <v>274</v>
      </c>
      <c r="L3368" s="6">
        <v>45695</v>
      </c>
      <c r="M3368" s="6">
        <v>45694</v>
      </c>
      <c r="N3368" s="5" t="s">
        <v>811</v>
      </c>
      <c r="O3368" s="5" t="str">
        <f ca="1">IF(P3368&lt;&gt;"EXPEDIÇÃO","Expedido",IF(NETWORKDAYS(C3368,TODAY())&gt;=5,"Risco Alto",IF(NETWORKDAYS(C3368,TODAY())&gt;=3,IF(NETWORKDAYS(C3368,TODAY())&lt;5,"Risco Médio",""),IF(NETWORKDAYS(C3368,TODAY())&lt;=2,"Risco Baixo",""))))</f>
        <v>Expedido</v>
      </c>
      <c r="P3368" s="5" t="s">
        <v>617</v>
      </c>
      <c r="S3368" s="7">
        <f>IF(ISBLANK(M3368),"Aguardando Previsão/Data",NETWORKDAYS(L3368,M3368)-1)</f>
        <v>-3</v>
      </c>
    </row>
    <row r="3369" spans="1:20" x14ac:dyDescent="0.35">
      <c r="A3369" s="5">
        <v>8100283099</v>
      </c>
      <c r="B3369" s="5">
        <v>13480</v>
      </c>
      <c r="C3369" s="6">
        <v>45681</v>
      </c>
      <c r="D3369" s="5" t="s">
        <v>91</v>
      </c>
      <c r="E3369" s="5" t="s">
        <v>92</v>
      </c>
      <c r="F3369" s="5" t="s">
        <v>103</v>
      </c>
      <c r="G3369" s="5" t="s">
        <v>104</v>
      </c>
      <c r="H3369" s="5" t="s">
        <v>21</v>
      </c>
      <c r="I3369" s="5" t="s">
        <v>1554</v>
      </c>
      <c r="J3369" s="5" t="s">
        <v>872</v>
      </c>
      <c r="K3369" s="5" t="s">
        <v>274</v>
      </c>
      <c r="L3369" s="6">
        <v>45695</v>
      </c>
      <c r="M3369" s="6">
        <v>45694</v>
      </c>
      <c r="N3369" s="5" t="s">
        <v>811</v>
      </c>
      <c r="O3369" s="5" t="str">
        <f ca="1">IF(P3369&lt;&gt;"EXPEDIÇÃO","Expedido",IF(NETWORKDAYS(C3369,TODAY())&gt;=5,"Risco Alto",IF(NETWORKDAYS(C3369,TODAY())&gt;=3,IF(NETWORKDAYS(C3369,TODAY())&lt;5,"Risco Médio",""),IF(NETWORKDAYS(C3369,TODAY())&lt;=2,"Risco Baixo",""))))</f>
        <v>Risco Alto</v>
      </c>
      <c r="P3369" s="5" t="s">
        <v>726</v>
      </c>
      <c r="S3369" s="7">
        <f>IF(ISBLANK(M3369),"Aguardando Previsão/Data",NETWORKDAYS(L3369,M3369)-1)</f>
        <v>-3</v>
      </c>
    </row>
    <row r="3370" spans="1:20" x14ac:dyDescent="0.35">
      <c r="A3370" s="5">
        <v>8100283100</v>
      </c>
      <c r="B3370" s="5">
        <v>13481</v>
      </c>
      <c r="C3370" s="6">
        <v>45681</v>
      </c>
      <c r="D3370" s="5" t="s">
        <v>91</v>
      </c>
      <c r="E3370" s="5" t="s">
        <v>92</v>
      </c>
      <c r="F3370" s="5" t="s">
        <v>58</v>
      </c>
      <c r="G3370" s="5" t="s">
        <v>59</v>
      </c>
      <c r="H3370" s="5" t="s">
        <v>21</v>
      </c>
      <c r="I3370" s="5" t="s">
        <v>997</v>
      </c>
      <c r="J3370" s="5" t="s">
        <v>471</v>
      </c>
      <c r="K3370" s="5" t="s">
        <v>95</v>
      </c>
      <c r="L3370" s="6">
        <v>45694</v>
      </c>
      <c r="M3370" s="6">
        <v>45693</v>
      </c>
      <c r="N3370" s="5" t="s">
        <v>811</v>
      </c>
      <c r="O3370" s="5" t="str">
        <f ca="1">IF(P3370&lt;&gt;"EXPEDIÇÃO","Expedido",IF(NETWORKDAYS(C3370,TODAY())&gt;=5,"Risco Alto",IF(NETWORKDAYS(C3370,TODAY())&gt;=3,IF(NETWORKDAYS(C3370,TODAY())&lt;5,"Risco Médio",""),IF(NETWORKDAYS(C3370,TODAY())&lt;=2,"Risco Baixo",""))))</f>
        <v>Expedido</v>
      </c>
      <c r="P3370" s="5" t="s">
        <v>617</v>
      </c>
      <c r="S3370" s="7">
        <f>IF(ISBLANK(M3370),"Aguardando Previsão/Data",NETWORKDAYS(L3370,M3370)-1)</f>
        <v>-3</v>
      </c>
    </row>
    <row r="3371" spans="1:20" x14ac:dyDescent="0.35">
      <c r="A3371" s="5">
        <v>8100282033</v>
      </c>
      <c r="B3371" s="5">
        <v>21618</v>
      </c>
      <c r="C3371" s="6">
        <v>45681</v>
      </c>
      <c r="D3371" s="5" t="s">
        <v>836</v>
      </c>
      <c r="E3371" s="5" t="s">
        <v>837</v>
      </c>
      <c r="F3371" s="5" t="s">
        <v>147</v>
      </c>
      <c r="G3371" s="5" t="s">
        <v>148</v>
      </c>
      <c r="H3371" s="5" t="s">
        <v>21</v>
      </c>
      <c r="I3371" s="5" t="s">
        <v>82</v>
      </c>
      <c r="J3371" s="5" t="s">
        <v>186</v>
      </c>
      <c r="K3371" s="5" t="s">
        <v>170</v>
      </c>
      <c r="L3371" s="6">
        <v>45687</v>
      </c>
      <c r="M3371" s="6">
        <v>45708</v>
      </c>
      <c r="N3371" s="5" t="s">
        <v>812</v>
      </c>
      <c r="O3371" s="5" t="str">
        <f ca="1">IF(P3371&lt;&gt;"EXPEDIÇÃO","Expedido",IF(NETWORKDAYS(C3371,TODAY())&gt;=5,"Risco Alto",IF(NETWORKDAYS(C3371,TODAY())&gt;=3,IF(NETWORKDAYS(C3371,TODAY())&lt;5,"Risco Médio",""),IF(NETWORKDAYS(C3371,TODAY())&lt;=2,"Risco Baixo",""))))</f>
        <v>Expedido</v>
      </c>
      <c r="P3371" s="5" t="s">
        <v>617</v>
      </c>
      <c r="S3371" s="7">
        <f>IF(ISBLANK(M3371),"Aguardando Previsão/Data",NETWORKDAYS(L3371,M3371)-1)</f>
        <v>15</v>
      </c>
    </row>
    <row r="3372" spans="1:20" x14ac:dyDescent="0.35">
      <c r="A3372" s="5">
        <v>8100282034</v>
      </c>
      <c r="B3372" s="5">
        <v>21619</v>
      </c>
      <c r="C3372" s="6">
        <v>45681</v>
      </c>
      <c r="D3372" s="5" t="s">
        <v>836</v>
      </c>
      <c r="E3372" s="5" t="s">
        <v>837</v>
      </c>
      <c r="F3372" s="5" t="s">
        <v>147</v>
      </c>
      <c r="G3372" s="5" t="s">
        <v>148</v>
      </c>
      <c r="H3372" s="5" t="s">
        <v>21</v>
      </c>
      <c r="I3372" s="5" t="s">
        <v>480</v>
      </c>
      <c r="J3372" s="5" t="s">
        <v>169</v>
      </c>
      <c r="K3372" s="5" t="s">
        <v>170</v>
      </c>
      <c r="L3372" s="6">
        <v>45687</v>
      </c>
      <c r="M3372" s="6">
        <v>45708</v>
      </c>
      <c r="N3372" s="5" t="s">
        <v>812</v>
      </c>
      <c r="O3372" s="5" t="str">
        <f ca="1">IF(P3372&lt;&gt;"EXPEDIÇÃO","Expedido",IF(NETWORKDAYS(C3372,TODAY())&gt;=5,"Risco Alto",IF(NETWORKDAYS(C3372,TODAY())&gt;=3,IF(NETWORKDAYS(C3372,TODAY())&lt;5,"Risco Médio",""),IF(NETWORKDAYS(C3372,TODAY())&lt;=2,"Risco Baixo",""))))</f>
        <v>Expedido</v>
      </c>
      <c r="P3372" s="5" t="s">
        <v>617</v>
      </c>
      <c r="S3372" s="7">
        <f>IF(ISBLANK(M3372),"Aguardando Previsão/Data",NETWORKDAYS(L3372,M3372)-1)</f>
        <v>15</v>
      </c>
    </row>
    <row r="3373" spans="1:20" x14ac:dyDescent="0.35">
      <c r="A3373" s="5">
        <v>8100282037</v>
      </c>
      <c r="B3373" s="5">
        <v>21620</v>
      </c>
      <c r="C3373" s="6">
        <v>45681</v>
      </c>
      <c r="D3373" s="5" t="s">
        <v>836</v>
      </c>
      <c r="E3373" s="5" t="s">
        <v>837</v>
      </c>
      <c r="F3373" s="5" t="s">
        <v>147</v>
      </c>
      <c r="G3373" s="5" t="s">
        <v>148</v>
      </c>
      <c r="H3373" s="5" t="s">
        <v>21</v>
      </c>
      <c r="I3373" s="5" t="s">
        <v>480</v>
      </c>
      <c r="J3373" s="5" t="s">
        <v>169</v>
      </c>
      <c r="K3373" s="5" t="s">
        <v>170</v>
      </c>
      <c r="L3373" s="6">
        <v>45687</v>
      </c>
      <c r="M3373" s="6">
        <v>45708</v>
      </c>
      <c r="N3373" s="5" t="s">
        <v>812</v>
      </c>
      <c r="O3373" s="5" t="str">
        <f ca="1">IF(P3373&lt;&gt;"EXPEDIÇÃO","Expedido",IF(NETWORKDAYS(C3373,TODAY())&gt;=5,"Risco Alto",IF(NETWORKDAYS(C3373,TODAY())&gt;=3,IF(NETWORKDAYS(C3373,TODAY())&lt;5,"Risco Médio",""),IF(NETWORKDAYS(C3373,TODAY())&lt;=2,"Risco Baixo",""))))</f>
        <v>Expedido</v>
      </c>
      <c r="P3373" s="5" t="s">
        <v>617</v>
      </c>
      <c r="S3373" s="7">
        <f>IF(ISBLANK(M3373),"Aguardando Previsão/Data",NETWORKDAYS(L3373,M3373)-1)</f>
        <v>15</v>
      </c>
    </row>
    <row r="3374" spans="1:20" x14ac:dyDescent="0.35">
      <c r="A3374" s="5">
        <v>8100282366</v>
      </c>
      <c r="B3374" s="5">
        <v>21630</v>
      </c>
      <c r="C3374" s="6">
        <v>45681</v>
      </c>
      <c r="D3374" s="5" t="s">
        <v>836</v>
      </c>
      <c r="E3374" s="5" t="s">
        <v>837</v>
      </c>
      <c r="F3374" s="5" t="s">
        <v>39</v>
      </c>
      <c r="G3374" s="5" t="s">
        <v>40</v>
      </c>
      <c r="H3374" s="5" t="s">
        <v>21</v>
      </c>
      <c r="I3374" s="5" t="s">
        <v>1531</v>
      </c>
      <c r="J3374" s="5" t="s">
        <v>600</v>
      </c>
      <c r="K3374" s="5" t="s">
        <v>24</v>
      </c>
      <c r="L3374" s="6">
        <v>45691</v>
      </c>
      <c r="M3374" s="6">
        <v>45684</v>
      </c>
      <c r="N3374" s="5" t="s">
        <v>811</v>
      </c>
      <c r="O3374" s="5" t="str">
        <f ca="1">IF(P3374&lt;&gt;"EXPEDIÇÃO","Expedido",IF(NETWORKDAYS(C3374,TODAY())&gt;=5,"Risco Alto",IF(NETWORKDAYS(C3374,TODAY())&gt;=3,IF(NETWORKDAYS(C3374,TODAY())&lt;5,"Risco Médio",""),IF(NETWORKDAYS(C3374,TODAY())&lt;=2,"Risco Baixo",""))))</f>
        <v>Expedido</v>
      </c>
      <c r="P3374" s="5" t="s">
        <v>25</v>
      </c>
      <c r="S3374" s="7">
        <f>IF(ISBLANK(M3374),"Aguardando Previsão/Data",NETWORKDAYS(L3374,M3374)-1)</f>
        <v>-7</v>
      </c>
      <c r="T3374" s="5" t="s">
        <v>942</v>
      </c>
    </row>
    <row r="3375" spans="1:20" x14ac:dyDescent="0.35">
      <c r="A3375" s="5">
        <v>8100282775</v>
      </c>
      <c r="B3375" s="5">
        <v>21678</v>
      </c>
      <c r="C3375" s="6">
        <v>45681</v>
      </c>
      <c r="D3375" s="5" t="s">
        <v>836</v>
      </c>
      <c r="E3375" s="5" t="s">
        <v>837</v>
      </c>
      <c r="F3375" s="5" t="s">
        <v>39</v>
      </c>
      <c r="G3375" s="5" t="s">
        <v>40</v>
      </c>
      <c r="H3375" s="5" t="s">
        <v>21</v>
      </c>
      <c r="I3375" s="5" t="s">
        <v>605</v>
      </c>
      <c r="J3375" s="5" t="s">
        <v>41</v>
      </c>
      <c r="K3375" s="5" t="s">
        <v>24</v>
      </c>
      <c r="L3375" s="6">
        <v>45687</v>
      </c>
      <c r="M3375" s="6">
        <v>45688</v>
      </c>
      <c r="N3375" s="5" t="s">
        <v>812</v>
      </c>
      <c r="O3375" s="5" t="str">
        <f ca="1">IF(P3375&lt;&gt;"EXPEDIÇÃO","Expedido",IF(NETWORKDAYS(C3375,TODAY())&gt;=5,"Risco Alto",IF(NETWORKDAYS(C3375,TODAY())&gt;=3,IF(NETWORKDAYS(C3375,TODAY())&lt;5,"Risco Médio",""),IF(NETWORKDAYS(C3375,TODAY())&lt;=2,"Risco Baixo",""))))</f>
        <v>Risco Alto</v>
      </c>
      <c r="P3375" s="5" t="s">
        <v>726</v>
      </c>
      <c r="S3375" s="7">
        <f>IF(ISBLANK(M3375),"Aguardando Previsão/Data",NETWORKDAYS(L3375,M3375)-1)</f>
        <v>1</v>
      </c>
    </row>
    <row r="3376" spans="1:20" x14ac:dyDescent="0.35">
      <c r="A3376" s="5">
        <v>8100282776</v>
      </c>
      <c r="B3376" s="5">
        <v>21674</v>
      </c>
      <c r="C3376" s="6">
        <v>45681</v>
      </c>
      <c r="D3376" s="5" t="s">
        <v>836</v>
      </c>
      <c r="E3376" s="5" t="s">
        <v>837</v>
      </c>
      <c r="F3376" s="5" t="s">
        <v>39</v>
      </c>
      <c r="G3376" s="5" t="s">
        <v>40</v>
      </c>
      <c r="H3376" s="5" t="s">
        <v>21</v>
      </c>
      <c r="I3376" s="5" t="s">
        <v>607</v>
      </c>
      <c r="J3376" s="5" t="s">
        <v>608</v>
      </c>
      <c r="K3376" s="5" t="s">
        <v>24</v>
      </c>
      <c r="L3376" s="6">
        <v>45691</v>
      </c>
      <c r="M3376" s="6">
        <v>45688</v>
      </c>
      <c r="N3376" s="5" t="s">
        <v>811</v>
      </c>
      <c r="O3376" s="5" t="str">
        <f ca="1">IF(P3376&lt;&gt;"EXPEDIÇÃO","Expedido",IF(NETWORKDAYS(C3376,TODAY())&gt;=5,"Risco Alto",IF(NETWORKDAYS(C3376,TODAY())&gt;=3,IF(NETWORKDAYS(C3376,TODAY())&lt;5,"Risco Médio",""),IF(NETWORKDAYS(C3376,TODAY())&lt;=2,"Risco Baixo",""))))</f>
        <v>Risco Alto</v>
      </c>
      <c r="P3376" s="5" t="s">
        <v>726</v>
      </c>
      <c r="S3376" s="7">
        <f>IF(ISBLANK(M3376),"Aguardando Previsão/Data",NETWORKDAYS(L3376,M3376)-1)</f>
        <v>-3</v>
      </c>
    </row>
    <row r="3377" spans="1:20" x14ac:dyDescent="0.35">
      <c r="A3377" s="5">
        <v>8100282777</v>
      </c>
      <c r="B3377" s="5">
        <v>21631</v>
      </c>
      <c r="C3377" s="6">
        <v>45681</v>
      </c>
      <c r="D3377" s="5" t="s">
        <v>836</v>
      </c>
      <c r="E3377" s="5" t="s">
        <v>837</v>
      </c>
      <c r="F3377" s="5" t="s">
        <v>39</v>
      </c>
      <c r="G3377" s="5" t="s">
        <v>40</v>
      </c>
      <c r="H3377" s="5" t="s">
        <v>21</v>
      </c>
      <c r="I3377" s="5" t="s">
        <v>931</v>
      </c>
      <c r="J3377" s="5" t="s">
        <v>657</v>
      </c>
      <c r="K3377" s="5" t="s">
        <v>24</v>
      </c>
      <c r="L3377" s="6">
        <v>45692</v>
      </c>
      <c r="M3377" s="6">
        <v>45691</v>
      </c>
      <c r="N3377" s="5" t="s">
        <v>811</v>
      </c>
      <c r="O3377" s="5" t="str">
        <f ca="1">IF(P3377&lt;&gt;"EXPEDIÇÃO","Expedido",IF(NETWORKDAYS(C3377,TODAY())&gt;=5,"Risco Alto",IF(NETWORKDAYS(C3377,TODAY())&gt;=3,IF(NETWORKDAYS(C3377,TODAY())&lt;5,"Risco Médio",""),IF(NETWORKDAYS(C3377,TODAY())&lt;=2,"Risco Baixo",""))))</f>
        <v>Risco Alto</v>
      </c>
      <c r="P3377" s="5" t="s">
        <v>726</v>
      </c>
      <c r="S3377" s="7">
        <f>IF(ISBLANK(M3377),"Aguardando Previsão/Data",NETWORKDAYS(L3377,M3377)-1)</f>
        <v>-3</v>
      </c>
    </row>
    <row r="3378" spans="1:20" x14ac:dyDescent="0.35">
      <c r="A3378" s="5">
        <v>8100282778</v>
      </c>
      <c r="B3378" s="5">
        <v>21682</v>
      </c>
      <c r="C3378" s="6">
        <v>45681</v>
      </c>
      <c r="D3378" s="5" t="s">
        <v>836</v>
      </c>
      <c r="E3378" s="5" t="s">
        <v>837</v>
      </c>
      <c r="F3378" s="5" t="s">
        <v>39</v>
      </c>
      <c r="G3378" s="5" t="s">
        <v>40</v>
      </c>
      <c r="H3378" s="5" t="s">
        <v>21</v>
      </c>
      <c r="I3378" s="5" t="s">
        <v>1114</v>
      </c>
      <c r="J3378" s="5" t="s">
        <v>260</v>
      </c>
      <c r="K3378" s="5" t="s">
        <v>24</v>
      </c>
      <c r="L3378" s="6">
        <v>45691</v>
      </c>
      <c r="M3378" s="6">
        <v>45688</v>
      </c>
      <c r="N3378" s="5" t="s">
        <v>811</v>
      </c>
      <c r="O3378" s="5" t="str">
        <f ca="1">IF(P3378&lt;&gt;"EXPEDIÇÃO","Expedido",IF(NETWORKDAYS(C3378,TODAY())&gt;=5,"Risco Alto",IF(NETWORKDAYS(C3378,TODAY())&gt;=3,IF(NETWORKDAYS(C3378,TODAY())&lt;5,"Risco Médio",""),IF(NETWORKDAYS(C3378,TODAY())&lt;=2,"Risco Baixo",""))))</f>
        <v>Expedido</v>
      </c>
      <c r="P3378" s="5" t="s">
        <v>617</v>
      </c>
      <c r="S3378" s="7">
        <f>IF(ISBLANK(M3378),"Aguardando Previsão/Data",NETWORKDAYS(L3378,M3378)-1)</f>
        <v>-3</v>
      </c>
    </row>
    <row r="3379" spans="1:20" x14ac:dyDescent="0.35">
      <c r="A3379" s="5">
        <v>8100282779</v>
      </c>
      <c r="B3379" s="5">
        <v>21677</v>
      </c>
      <c r="C3379" s="6">
        <v>45681</v>
      </c>
      <c r="D3379" s="5" t="s">
        <v>836</v>
      </c>
      <c r="E3379" s="5" t="s">
        <v>837</v>
      </c>
      <c r="F3379" s="5" t="s">
        <v>39</v>
      </c>
      <c r="G3379" s="5" t="s">
        <v>40</v>
      </c>
      <c r="H3379" s="5" t="s">
        <v>21</v>
      </c>
      <c r="I3379" s="5" t="s">
        <v>1010</v>
      </c>
      <c r="J3379" s="5" t="s">
        <v>41</v>
      </c>
      <c r="K3379" s="5" t="s">
        <v>24</v>
      </c>
      <c r="L3379" s="6">
        <v>45687</v>
      </c>
      <c r="M3379" s="6">
        <v>45688</v>
      </c>
      <c r="N3379" s="5" t="s">
        <v>812</v>
      </c>
      <c r="O3379" s="5" t="str">
        <f ca="1">IF(P3379&lt;&gt;"EXPEDIÇÃO","Expedido",IF(NETWORKDAYS(C3379,TODAY())&gt;=5,"Risco Alto",IF(NETWORKDAYS(C3379,TODAY())&gt;=3,IF(NETWORKDAYS(C3379,TODAY())&lt;5,"Risco Médio",""),IF(NETWORKDAYS(C3379,TODAY())&lt;=2,"Risco Baixo",""))))</f>
        <v>Risco Alto</v>
      </c>
      <c r="P3379" s="5" t="s">
        <v>726</v>
      </c>
      <c r="S3379" s="7">
        <f>IF(ISBLANK(M3379),"Aguardando Previsão/Data",NETWORKDAYS(L3379,M3379)-1)</f>
        <v>1</v>
      </c>
    </row>
    <row r="3380" spans="1:20" x14ac:dyDescent="0.35">
      <c r="A3380" s="5">
        <v>8100282780</v>
      </c>
      <c r="B3380" s="5">
        <v>21673</v>
      </c>
      <c r="C3380" s="6">
        <v>45681</v>
      </c>
      <c r="D3380" s="5" t="s">
        <v>836</v>
      </c>
      <c r="E3380" s="5" t="s">
        <v>837</v>
      </c>
      <c r="F3380" s="5" t="s">
        <v>39</v>
      </c>
      <c r="G3380" s="5" t="s">
        <v>40</v>
      </c>
      <c r="H3380" s="5" t="s">
        <v>21</v>
      </c>
      <c r="I3380" s="5" t="s">
        <v>1077</v>
      </c>
      <c r="J3380" s="5" t="s">
        <v>657</v>
      </c>
      <c r="K3380" s="5" t="s">
        <v>24</v>
      </c>
      <c r="L3380" s="6">
        <v>45692</v>
      </c>
      <c r="M3380" s="6">
        <v>45691</v>
      </c>
      <c r="N3380" s="5" t="s">
        <v>811</v>
      </c>
      <c r="O3380" s="5" t="str">
        <f ca="1">IF(P3380&lt;&gt;"EXPEDIÇÃO","Expedido",IF(NETWORKDAYS(C3380,TODAY())&gt;=5,"Risco Alto",IF(NETWORKDAYS(C3380,TODAY())&gt;=3,IF(NETWORKDAYS(C3380,TODAY())&lt;5,"Risco Médio",""),IF(NETWORKDAYS(C3380,TODAY())&lt;=2,"Risco Baixo",""))))</f>
        <v>Risco Alto</v>
      </c>
      <c r="P3380" s="5" t="s">
        <v>726</v>
      </c>
      <c r="S3380" s="7">
        <f>IF(ISBLANK(M3380),"Aguardando Previsão/Data",NETWORKDAYS(L3380,M3380)-1)</f>
        <v>-3</v>
      </c>
    </row>
    <row r="3381" spans="1:20" x14ac:dyDescent="0.35">
      <c r="A3381" s="5">
        <v>8100282781</v>
      </c>
      <c r="B3381" s="5">
        <v>21675</v>
      </c>
      <c r="C3381" s="6">
        <v>45681</v>
      </c>
      <c r="D3381" s="5" t="s">
        <v>836</v>
      </c>
      <c r="E3381" s="5" t="s">
        <v>837</v>
      </c>
      <c r="F3381" s="5" t="s">
        <v>39</v>
      </c>
      <c r="G3381" s="5" t="s">
        <v>40</v>
      </c>
      <c r="H3381" s="5" t="s">
        <v>21</v>
      </c>
      <c r="I3381" s="5" t="s">
        <v>1544</v>
      </c>
      <c r="J3381" s="5" t="s">
        <v>41</v>
      </c>
      <c r="K3381" s="5" t="s">
        <v>24</v>
      </c>
      <c r="L3381" s="6">
        <v>45687</v>
      </c>
      <c r="M3381" s="6">
        <v>45688</v>
      </c>
      <c r="N3381" s="5" t="s">
        <v>812</v>
      </c>
      <c r="O3381" s="5" t="str">
        <f ca="1">IF(P3381&lt;&gt;"EXPEDIÇÃO","Expedido",IF(NETWORKDAYS(C3381,TODAY())&gt;=5,"Risco Alto",IF(NETWORKDAYS(C3381,TODAY())&gt;=3,IF(NETWORKDAYS(C3381,TODAY())&lt;5,"Risco Médio",""),IF(NETWORKDAYS(C3381,TODAY())&lt;=2,"Risco Baixo",""))))</f>
        <v>Risco Alto</v>
      </c>
      <c r="P3381" s="5" t="s">
        <v>726</v>
      </c>
      <c r="S3381" s="7">
        <f>IF(ISBLANK(M3381),"Aguardando Previsão/Data",NETWORKDAYS(L3381,M3381)-1)</f>
        <v>1</v>
      </c>
    </row>
    <row r="3382" spans="1:20" x14ac:dyDescent="0.35">
      <c r="A3382" s="5">
        <v>8100282782</v>
      </c>
      <c r="B3382" s="5">
        <v>21679</v>
      </c>
      <c r="C3382" s="6">
        <v>45681</v>
      </c>
      <c r="D3382" s="5" t="s">
        <v>836</v>
      </c>
      <c r="E3382" s="5" t="s">
        <v>837</v>
      </c>
      <c r="F3382" s="5" t="s">
        <v>19</v>
      </c>
      <c r="G3382" s="5" t="s">
        <v>20</v>
      </c>
      <c r="H3382" s="5" t="s">
        <v>21</v>
      </c>
      <c r="I3382" s="5" t="s">
        <v>29</v>
      </c>
      <c r="J3382" s="5" t="s">
        <v>601</v>
      </c>
      <c r="K3382" s="5" t="s">
        <v>24</v>
      </c>
      <c r="L3382" s="6">
        <v>45692</v>
      </c>
      <c r="M3382" s="6">
        <v>45691</v>
      </c>
      <c r="N3382" s="5" t="s">
        <v>811</v>
      </c>
      <c r="O3382" s="5" t="str">
        <f ca="1">IF(P3382&lt;&gt;"EXPEDIÇÃO","Expedido",IF(NETWORKDAYS(C3382,TODAY())&gt;=5,"Risco Alto",IF(NETWORKDAYS(C3382,TODAY())&gt;=3,IF(NETWORKDAYS(C3382,TODAY())&lt;5,"Risco Médio",""),IF(NETWORKDAYS(C3382,TODAY())&lt;=2,"Risco Baixo",""))))</f>
        <v>Risco Alto</v>
      </c>
      <c r="P3382" s="5" t="s">
        <v>726</v>
      </c>
      <c r="S3382" s="7">
        <f>IF(ISBLANK(M3382),"Aguardando Previsão/Data",NETWORKDAYS(L3382,M3382)-1)</f>
        <v>-3</v>
      </c>
    </row>
    <row r="3383" spans="1:20" x14ac:dyDescent="0.35">
      <c r="A3383" s="5">
        <v>8100282792</v>
      </c>
      <c r="B3383" s="5">
        <v>21676</v>
      </c>
      <c r="C3383" s="6">
        <v>45681</v>
      </c>
      <c r="D3383" s="5" t="s">
        <v>836</v>
      </c>
      <c r="E3383" s="5" t="s">
        <v>837</v>
      </c>
      <c r="F3383" s="5" t="s">
        <v>39</v>
      </c>
      <c r="G3383" s="5" t="s">
        <v>40</v>
      </c>
      <c r="H3383" s="5" t="s">
        <v>21</v>
      </c>
      <c r="I3383" s="5" t="s">
        <v>931</v>
      </c>
      <c r="J3383" s="5" t="s">
        <v>657</v>
      </c>
      <c r="K3383" s="5" t="s">
        <v>24</v>
      </c>
      <c r="L3383" s="6">
        <v>45692</v>
      </c>
      <c r="M3383" s="6">
        <v>45691</v>
      </c>
      <c r="N3383" s="5" t="s">
        <v>811</v>
      </c>
      <c r="O3383" s="5" t="str">
        <f ca="1">IF(P3383&lt;&gt;"EXPEDIÇÃO","Expedido",IF(NETWORKDAYS(C3383,TODAY())&gt;=5,"Risco Alto",IF(NETWORKDAYS(C3383,TODAY())&gt;=3,IF(NETWORKDAYS(C3383,TODAY())&lt;5,"Risco Médio",""),IF(NETWORKDAYS(C3383,TODAY())&lt;=2,"Risco Baixo",""))))</f>
        <v>Risco Alto</v>
      </c>
      <c r="P3383" s="5" t="s">
        <v>726</v>
      </c>
      <c r="S3383" s="7">
        <f>IF(ISBLANK(M3383),"Aguardando Previsão/Data",NETWORKDAYS(L3383,M3383)-1)</f>
        <v>-3</v>
      </c>
    </row>
    <row r="3384" spans="1:20" x14ac:dyDescent="0.35">
      <c r="A3384" s="5">
        <v>8100282797</v>
      </c>
      <c r="B3384" s="5">
        <v>21681</v>
      </c>
      <c r="C3384" s="6">
        <v>45681</v>
      </c>
      <c r="D3384" s="5" t="s">
        <v>836</v>
      </c>
      <c r="E3384" s="5" t="s">
        <v>837</v>
      </c>
      <c r="F3384" s="5" t="s">
        <v>39</v>
      </c>
      <c r="G3384" s="5" t="s">
        <v>40</v>
      </c>
      <c r="H3384" s="5" t="s">
        <v>21</v>
      </c>
      <c r="I3384" s="5" t="s">
        <v>1545</v>
      </c>
      <c r="J3384" s="5" t="s">
        <v>1546</v>
      </c>
      <c r="K3384" s="5" t="s">
        <v>24</v>
      </c>
      <c r="L3384" s="6">
        <v>45691</v>
      </c>
      <c r="M3384" s="6">
        <v>45688</v>
      </c>
      <c r="N3384" s="5" t="s">
        <v>811</v>
      </c>
      <c r="O3384" s="5" t="str">
        <f ca="1">IF(P3384&lt;&gt;"EXPEDIÇÃO","Expedido",IF(NETWORKDAYS(C3384,TODAY())&gt;=5,"Risco Alto",IF(NETWORKDAYS(C3384,TODAY())&gt;=3,IF(NETWORKDAYS(C3384,TODAY())&lt;5,"Risco Médio",""),IF(NETWORKDAYS(C3384,TODAY())&lt;=2,"Risco Baixo",""))))</f>
        <v>Risco Alto</v>
      </c>
      <c r="P3384" s="5" t="s">
        <v>726</v>
      </c>
      <c r="S3384" s="7">
        <f>IF(ISBLANK(M3384),"Aguardando Previsão/Data",NETWORKDAYS(L3384,M3384)-1)</f>
        <v>-3</v>
      </c>
    </row>
    <row r="3385" spans="1:20" x14ac:dyDescent="0.35">
      <c r="A3385" s="5">
        <v>8100282798</v>
      </c>
      <c r="B3385" s="5">
        <v>21683</v>
      </c>
      <c r="C3385" s="6">
        <v>45681</v>
      </c>
      <c r="D3385" s="5" t="s">
        <v>836</v>
      </c>
      <c r="E3385" s="5" t="s">
        <v>837</v>
      </c>
      <c r="F3385" s="5" t="s">
        <v>39</v>
      </c>
      <c r="G3385" s="5" t="s">
        <v>40</v>
      </c>
      <c r="H3385" s="5" t="s">
        <v>21</v>
      </c>
      <c r="I3385" s="5" t="s">
        <v>1544</v>
      </c>
      <c r="J3385" s="5" t="s">
        <v>41</v>
      </c>
      <c r="K3385" s="5" t="s">
        <v>24</v>
      </c>
      <c r="L3385" s="6">
        <v>45687</v>
      </c>
      <c r="M3385" s="6">
        <v>45682</v>
      </c>
      <c r="N3385" s="5" t="s">
        <v>811</v>
      </c>
      <c r="O3385" s="5" t="str">
        <f ca="1">IF(P3385&lt;&gt;"EXPEDIÇÃO","Expedido",IF(NETWORKDAYS(C3385,TODAY())&gt;=5,"Risco Alto",IF(NETWORKDAYS(C3385,TODAY())&gt;=3,IF(NETWORKDAYS(C3385,TODAY())&lt;5,"Risco Médio",""),IF(NETWORKDAYS(C3385,TODAY())&lt;=2,"Risco Baixo",""))))</f>
        <v>Expedido</v>
      </c>
      <c r="P3385" s="5" t="s">
        <v>25</v>
      </c>
      <c r="S3385" s="7">
        <f>IF(ISBLANK(M3385),"Aguardando Previsão/Data",NETWORKDAYS(L3385,M3385)-1)</f>
        <v>-5</v>
      </c>
      <c r="T3385" s="5" t="s">
        <v>942</v>
      </c>
    </row>
    <row r="3386" spans="1:20" x14ac:dyDescent="0.35">
      <c r="A3386" s="5">
        <v>8100283119</v>
      </c>
      <c r="B3386" s="5">
        <v>21680</v>
      </c>
      <c r="C3386" s="6">
        <v>45681</v>
      </c>
      <c r="D3386" s="5" t="s">
        <v>836</v>
      </c>
      <c r="E3386" s="5" t="s">
        <v>837</v>
      </c>
      <c r="F3386" s="5" t="s">
        <v>84</v>
      </c>
      <c r="G3386" s="5" t="s">
        <v>85</v>
      </c>
      <c r="H3386" s="5" t="s">
        <v>21</v>
      </c>
      <c r="I3386" s="5" t="s">
        <v>1555</v>
      </c>
      <c r="J3386" s="5" t="s">
        <v>1556</v>
      </c>
      <c r="K3386" s="5" t="s">
        <v>24</v>
      </c>
      <c r="L3386" s="6">
        <v>45692</v>
      </c>
      <c r="M3386" s="6">
        <v>45692</v>
      </c>
      <c r="N3386" s="5" t="s">
        <v>811</v>
      </c>
      <c r="O3386" s="5" t="str">
        <f ca="1">IF(P3386&lt;&gt;"EXPEDIÇÃO","Expedido",IF(NETWORKDAYS(C3386,TODAY())&gt;=5,"Risco Alto",IF(NETWORKDAYS(C3386,TODAY())&gt;=3,IF(NETWORKDAYS(C3386,TODAY())&lt;5,"Risco Médio",""),IF(NETWORKDAYS(C3386,TODAY())&lt;=2,"Risco Baixo",""))))</f>
        <v>Risco Alto</v>
      </c>
      <c r="P3386" s="5" t="s">
        <v>726</v>
      </c>
      <c r="S3386" s="7">
        <f>IF(ISBLANK(M3386),"Aguardando Previsão/Data",NETWORKDAYS(L3386,M3386)-1)</f>
        <v>0</v>
      </c>
    </row>
    <row r="3387" spans="1:20" x14ac:dyDescent="0.35">
      <c r="A3387" s="5">
        <v>8100282163</v>
      </c>
      <c r="B3387" s="5">
        <v>10995</v>
      </c>
      <c r="C3387" s="6">
        <v>45681</v>
      </c>
      <c r="D3387" s="5" t="s">
        <v>239</v>
      </c>
      <c r="E3387" s="5" t="s">
        <v>240</v>
      </c>
      <c r="F3387" s="5" t="s">
        <v>242</v>
      </c>
      <c r="G3387" s="5" t="s">
        <v>243</v>
      </c>
      <c r="H3387" s="5" t="s">
        <v>218</v>
      </c>
      <c r="I3387" s="5" t="s">
        <v>488</v>
      </c>
      <c r="J3387" s="5" t="s">
        <v>489</v>
      </c>
      <c r="K3387" s="5" t="s">
        <v>241</v>
      </c>
      <c r="L3387" s="6">
        <v>45687</v>
      </c>
      <c r="M3387" s="6">
        <v>45686</v>
      </c>
      <c r="N3387" s="5" t="s">
        <v>811</v>
      </c>
      <c r="O3387" s="5" t="str">
        <f ca="1">IF(P3387&lt;&gt;"EXPEDIÇÃO","Expedido",IF(NETWORKDAYS(C3387,TODAY())&gt;=5,"Risco Alto",IF(NETWORKDAYS(C3387,TODAY())&gt;=3,IF(NETWORKDAYS(C3387,TODAY())&lt;5,"Risco Médio",""),IF(NETWORKDAYS(C3387,TODAY())&lt;=2,"Risco Baixo",""))))</f>
        <v>Expedido</v>
      </c>
      <c r="P3387" s="5" t="s">
        <v>25</v>
      </c>
      <c r="Q3387" s="5" t="s">
        <v>793</v>
      </c>
      <c r="S3387" s="7">
        <f>IF(ISBLANK(M3387),"Aguardando Previsão/Data",NETWORKDAYS(L3387,M3387)-1)</f>
        <v>-3</v>
      </c>
      <c r="T3387" s="5" t="s">
        <v>942</v>
      </c>
    </row>
    <row r="3388" spans="1:20" x14ac:dyDescent="0.35">
      <c r="A3388" s="5">
        <v>8100282221</v>
      </c>
      <c r="B3388" s="5">
        <v>10994</v>
      </c>
      <c r="C3388" s="6">
        <v>45681</v>
      </c>
      <c r="D3388" s="5" t="s">
        <v>239</v>
      </c>
      <c r="E3388" s="5" t="s">
        <v>240</v>
      </c>
      <c r="F3388" s="5" t="s">
        <v>242</v>
      </c>
      <c r="G3388" s="5" t="s">
        <v>243</v>
      </c>
      <c r="H3388" s="5" t="s">
        <v>218</v>
      </c>
      <c r="I3388" s="5" t="s">
        <v>427</v>
      </c>
      <c r="J3388" s="5" t="s">
        <v>428</v>
      </c>
      <c r="K3388" s="5" t="s">
        <v>241</v>
      </c>
      <c r="L3388" s="6">
        <v>45688</v>
      </c>
      <c r="M3388" s="6">
        <v>45686</v>
      </c>
      <c r="N3388" s="5" t="s">
        <v>811</v>
      </c>
      <c r="O3388" s="5" t="str">
        <f ca="1">IF(P3388&lt;&gt;"EXPEDIÇÃO","Expedido",IF(NETWORKDAYS(C3388,TODAY())&gt;=5,"Risco Alto",IF(NETWORKDAYS(C3388,TODAY())&gt;=3,IF(NETWORKDAYS(C3388,TODAY())&lt;5,"Risco Médio",""),IF(NETWORKDAYS(C3388,TODAY())&lt;=2,"Risco Baixo",""))))</f>
        <v>Expedido</v>
      </c>
      <c r="P3388" s="5" t="s">
        <v>25</v>
      </c>
      <c r="Q3388" s="5" t="s">
        <v>793</v>
      </c>
      <c r="S3388" s="7">
        <f>IF(ISBLANK(M3388),"Aguardando Previsão/Data",NETWORKDAYS(L3388,M3388)-1)</f>
        <v>-4</v>
      </c>
      <c r="T3388" s="5" t="s">
        <v>942</v>
      </c>
    </row>
    <row r="3389" spans="1:20" x14ac:dyDescent="0.35">
      <c r="A3389" s="5">
        <v>8100282544</v>
      </c>
      <c r="B3389" s="5">
        <v>10983</v>
      </c>
      <c r="C3389" s="6">
        <v>45681</v>
      </c>
      <c r="D3389" s="5" t="s">
        <v>239</v>
      </c>
      <c r="E3389" s="5" t="s">
        <v>240</v>
      </c>
      <c r="F3389" s="5" t="s">
        <v>242</v>
      </c>
      <c r="G3389" s="5" t="s">
        <v>243</v>
      </c>
      <c r="H3389" s="5" t="s">
        <v>218</v>
      </c>
      <c r="I3389" s="5" t="s">
        <v>251</v>
      </c>
      <c r="J3389" s="5" t="s">
        <v>252</v>
      </c>
      <c r="K3389" s="5" t="s">
        <v>241</v>
      </c>
      <c r="L3389" s="6">
        <v>45687</v>
      </c>
      <c r="M3389" s="6">
        <v>45686</v>
      </c>
      <c r="N3389" s="5" t="s">
        <v>811</v>
      </c>
      <c r="O3389" s="5" t="str">
        <f ca="1">IF(P3389&lt;&gt;"EXPEDIÇÃO","Expedido",IF(NETWORKDAYS(C3389,TODAY())&gt;=5,"Risco Alto",IF(NETWORKDAYS(C3389,TODAY())&gt;=3,IF(NETWORKDAYS(C3389,TODAY())&lt;5,"Risco Médio",""),IF(NETWORKDAYS(C3389,TODAY())&lt;=2,"Risco Baixo",""))))</f>
        <v>Expedido</v>
      </c>
      <c r="P3389" s="5" t="s">
        <v>25</v>
      </c>
      <c r="Q3389" s="5" t="s">
        <v>793</v>
      </c>
      <c r="S3389" s="7">
        <f>IF(ISBLANK(M3389),"Aguardando Previsão/Data",NETWORKDAYS(L3389,M3389)-1)</f>
        <v>-3</v>
      </c>
      <c r="T3389" s="5" t="s">
        <v>942</v>
      </c>
    </row>
    <row r="3390" spans="1:20" x14ac:dyDescent="0.35">
      <c r="A3390" s="5">
        <v>8100282610</v>
      </c>
      <c r="B3390" s="5">
        <v>10981</v>
      </c>
      <c r="C3390" s="6">
        <v>45681</v>
      </c>
      <c r="D3390" s="5" t="s">
        <v>239</v>
      </c>
      <c r="E3390" s="5" t="s">
        <v>240</v>
      </c>
      <c r="F3390" s="5" t="s">
        <v>176</v>
      </c>
      <c r="G3390" s="5" t="s">
        <v>177</v>
      </c>
      <c r="H3390" s="5" t="s">
        <v>218</v>
      </c>
      <c r="I3390" s="5" t="s">
        <v>429</v>
      </c>
      <c r="J3390" s="5" t="s">
        <v>430</v>
      </c>
      <c r="K3390" s="5" t="s">
        <v>241</v>
      </c>
      <c r="L3390" s="6">
        <v>45688</v>
      </c>
      <c r="M3390" s="6">
        <v>45687</v>
      </c>
      <c r="N3390" s="5" t="s">
        <v>811</v>
      </c>
      <c r="O3390" s="5" t="str">
        <f ca="1">IF(P3390&lt;&gt;"EXPEDIÇÃO","Expedido",IF(NETWORKDAYS(C3390,TODAY())&gt;=5,"Risco Alto",IF(NETWORKDAYS(C3390,TODAY())&gt;=3,IF(NETWORKDAYS(C3390,TODAY())&lt;5,"Risco Médio",""),IF(NETWORKDAYS(C3390,TODAY())&lt;=2,"Risco Baixo",""))))</f>
        <v>Expedido</v>
      </c>
      <c r="P3390" s="5" t="s">
        <v>25</v>
      </c>
      <c r="Q3390" s="5" t="s">
        <v>793</v>
      </c>
      <c r="S3390" s="7">
        <f>IF(ISBLANK(M3390),"Aguardando Previsão/Data",NETWORKDAYS(L3390,M3390)-1)</f>
        <v>-3</v>
      </c>
      <c r="T3390" s="5" t="s">
        <v>942</v>
      </c>
    </row>
    <row r="3391" spans="1:20" x14ac:dyDescent="0.35">
      <c r="A3391" s="5">
        <v>8100282636</v>
      </c>
      <c r="B3391" s="5">
        <v>10987</v>
      </c>
      <c r="C3391" s="6">
        <v>45681</v>
      </c>
      <c r="D3391" s="5" t="s">
        <v>239</v>
      </c>
      <c r="E3391" s="5" t="s">
        <v>240</v>
      </c>
      <c r="F3391" s="5" t="s">
        <v>160</v>
      </c>
      <c r="G3391" s="5" t="s">
        <v>161</v>
      </c>
      <c r="H3391" s="5" t="s">
        <v>218</v>
      </c>
      <c r="I3391" s="5" t="s">
        <v>162</v>
      </c>
      <c r="J3391" s="5" t="s">
        <v>1050</v>
      </c>
      <c r="K3391" s="5" t="s">
        <v>175</v>
      </c>
      <c r="L3391" s="6">
        <v>45691</v>
      </c>
      <c r="M3391" s="6">
        <v>45685</v>
      </c>
      <c r="N3391" s="5" t="s">
        <v>811</v>
      </c>
      <c r="O3391" s="5" t="str">
        <f ca="1">IF(P3391&lt;&gt;"EXPEDIÇÃO","Expedido",IF(NETWORKDAYS(C3391,TODAY())&gt;=5,"Risco Alto",IF(NETWORKDAYS(C3391,TODAY())&gt;=3,IF(NETWORKDAYS(C3391,TODAY())&lt;5,"Risco Médio",""),IF(NETWORKDAYS(C3391,TODAY())&lt;=2,"Risco Baixo",""))))</f>
        <v>Expedido</v>
      </c>
      <c r="P3391" s="5" t="s">
        <v>25</v>
      </c>
      <c r="Q3391" s="5" t="s">
        <v>926</v>
      </c>
      <c r="S3391" s="7">
        <f>IF(ISBLANK(M3391),"Aguardando Previsão/Data",NETWORKDAYS(L3391,M3391)-1)</f>
        <v>-6</v>
      </c>
      <c r="T3391" s="5" t="s">
        <v>942</v>
      </c>
    </row>
    <row r="3392" spans="1:20" x14ac:dyDescent="0.35">
      <c r="A3392" s="5">
        <v>8100282668</v>
      </c>
      <c r="B3392" s="5">
        <v>10982</v>
      </c>
      <c r="C3392" s="6">
        <v>45681</v>
      </c>
      <c r="D3392" s="5" t="s">
        <v>239</v>
      </c>
      <c r="E3392" s="5" t="s">
        <v>240</v>
      </c>
      <c r="F3392" s="5" t="s">
        <v>242</v>
      </c>
      <c r="G3392" s="5" t="s">
        <v>243</v>
      </c>
      <c r="H3392" s="5" t="s">
        <v>218</v>
      </c>
      <c r="I3392" s="5" t="s">
        <v>354</v>
      </c>
      <c r="J3392" s="5" t="s">
        <v>355</v>
      </c>
      <c r="K3392" s="5" t="s">
        <v>241</v>
      </c>
      <c r="L3392" s="6">
        <v>45687</v>
      </c>
      <c r="M3392" s="6">
        <v>45686</v>
      </c>
      <c r="N3392" s="5" t="s">
        <v>811</v>
      </c>
      <c r="O3392" s="5" t="str">
        <f ca="1">IF(P3392&lt;&gt;"EXPEDIÇÃO","Expedido",IF(NETWORKDAYS(C3392,TODAY())&gt;=5,"Risco Alto",IF(NETWORKDAYS(C3392,TODAY())&gt;=3,IF(NETWORKDAYS(C3392,TODAY())&lt;5,"Risco Médio",""),IF(NETWORKDAYS(C3392,TODAY())&lt;=2,"Risco Baixo",""))))</f>
        <v>Expedido</v>
      </c>
      <c r="P3392" s="5" t="s">
        <v>25</v>
      </c>
      <c r="Q3392" s="5" t="s">
        <v>793</v>
      </c>
      <c r="S3392" s="7">
        <f>IF(ISBLANK(M3392),"Aguardando Previsão/Data",NETWORKDAYS(L3392,M3392)-1)</f>
        <v>-3</v>
      </c>
      <c r="T3392" s="5" t="s">
        <v>942</v>
      </c>
    </row>
    <row r="3393" spans="1:20" x14ac:dyDescent="0.35">
      <c r="A3393" s="5">
        <v>8100282721</v>
      </c>
      <c r="B3393" s="5">
        <v>10984</v>
      </c>
      <c r="C3393" s="6">
        <v>45681</v>
      </c>
      <c r="D3393" s="5" t="s">
        <v>239</v>
      </c>
      <c r="E3393" s="5" t="s">
        <v>240</v>
      </c>
      <c r="F3393" s="5" t="s">
        <v>176</v>
      </c>
      <c r="G3393" s="5" t="s">
        <v>177</v>
      </c>
      <c r="H3393" s="5" t="s">
        <v>218</v>
      </c>
      <c r="I3393" s="5" t="s">
        <v>324</v>
      </c>
      <c r="J3393" s="5" t="s">
        <v>325</v>
      </c>
      <c r="K3393" s="5" t="s">
        <v>241</v>
      </c>
      <c r="L3393" s="6">
        <v>45691</v>
      </c>
      <c r="M3393" s="6">
        <v>45687</v>
      </c>
      <c r="N3393" s="5" t="s">
        <v>811</v>
      </c>
      <c r="O3393" s="5" t="str">
        <f ca="1">IF(P3393&lt;&gt;"EXPEDIÇÃO","Expedido",IF(NETWORKDAYS(C3393,TODAY())&gt;=5,"Risco Alto",IF(NETWORKDAYS(C3393,TODAY())&gt;=3,IF(NETWORKDAYS(C3393,TODAY())&lt;5,"Risco Médio",""),IF(NETWORKDAYS(C3393,TODAY())&lt;=2,"Risco Baixo",""))))</f>
        <v>Expedido</v>
      </c>
      <c r="P3393" s="5" t="s">
        <v>617</v>
      </c>
      <c r="Q3393" s="5" t="s">
        <v>793</v>
      </c>
      <c r="S3393" s="7">
        <f>IF(ISBLANK(M3393),"Aguardando Previsão/Data",NETWORKDAYS(L3393,M3393)-1)</f>
        <v>-4</v>
      </c>
    </row>
    <row r="3394" spans="1:20" x14ac:dyDescent="0.35">
      <c r="A3394" s="5">
        <v>8100282722</v>
      </c>
      <c r="B3394" s="5">
        <v>10985</v>
      </c>
      <c r="C3394" s="6">
        <v>45681</v>
      </c>
      <c r="D3394" s="5" t="s">
        <v>239</v>
      </c>
      <c r="E3394" s="5" t="s">
        <v>240</v>
      </c>
      <c r="F3394" s="5" t="s">
        <v>176</v>
      </c>
      <c r="G3394" s="5" t="s">
        <v>177</v>
      </c>
      <c r="H3394" s="5" t="s">
        <v>218</v>
      </c>
      <c r="I3394" s="5" t="s">
        <v>324</v>
      </c>
      <c r="J3394" s="5" t="s">
        <v>325</v>
      </c>
      <c r="K3394" s="5" t="s">
        <v>241</v>
      </c>
      <c r="L3394" s="6">
        <v>45691</v>
      </c>
      <c r="M3394" s="6">
        <v>45687</v>
      </c>
      <c r="N3394" s="5" t="s">
        <v>811</v>
      </c>
      <c r="O3394" s="5" t="str">
        <f ca="1">IF(P3394&lt;&gt;"EXPEDIÇÃO","Expedido",IF(NETWORKDAYS(C3394,TODAY())&gt;=5,"Risco Alto",IF(NETWORKDAYS(C3394,TODAY())&gt;=3,IF(NETWORKDAYS(C3394,TODAY())&lt;5,"Risco Médio",""),IF(NETWORKDAYS(C3394,TODAY())&lt;=2,"Risco Baixo",""))))</f>
        <v>Expedido</v>
      </c>
      <c r="P3394" s="5" t="s">
        <v>617</v>
      </c>
      <c r="Q3394" s="5" t="s">
        <v>793</v>
      </c>
      <c r="S3394" s="7">
        <f>IF(ISBLANK(M3394),"Aguardando Previsão/Data",NETWORKDAYS(L3394,M3394)-1)</f>
        <v>-4</v>
      </c>
    </row>
    <row r="3395" spans="1:20" x14ac:dyDescent="0.35">
      <c r="A3395" s="5">
        <v>8100282758</v>
      </c>
      <c r="B3395" s="5">
        <v>10986</v>
      </c>
      <c r="C3395" s="6">
        <v>45681</v>
      </c>
      <c r="D3395" s="5" t="s">
        <v>239</v>
      </c>
      <c r="E3395" s="5" t="s">
        <v>240</v>
      </c>
      <c r="F3395" s="5" t="s">
        <v>176</v>
      </c>
      <c r="G3395" s="5" t="s">
        <v>177</v>
      </c>
      <c r="H3395" s="5" t="s">
        <v>218</v>
      </c>
      <c r="I3395" s="5" t="s">
        <v>1341</v>
      </c>
      <c r="J3395" s="5" t="s">
        <v>797</v>
      </c>
      <c r="K3395" s="5" t="s">
        <v>241</v>
      </c>
      <c r="L3395" s="6">
        <v>45688</v>
      </c>
      <c r="M3395" s="6">
        <v>45686</v>
      </c>
      <c r="N3395" s="5" t="s">
        <v>811</v>
      </c>
      <c r="O3395" s="5" t="str">
        <f ca="1">IF(P3395&lt;&gt;"EXPEDIÇÃO","Expedido",IF(NETWORKDAYS(C3395,TODAY())&gt;=5,"Risco Alto",IF(NETWORKDAYS(C3395,TODAY())&gt;=3,IF(NETWORKDAYS(C3395,TODAY())&lt;5,"Risco Médio",""),IF(NETWORKDAYS(C3395,TODAY())&lt;=2,"Risco Baixo",""))))</f>
        <v>Expedido</v>
      </c>
      <c r="P3395" s="5" t="s">
        <v>25</v>
      </c>
      <c r="Q3395" s="5" t="s">
        <v>793</v>
      </c>
      <c r="S3395" s="7">
        <f>IF(ISBLANK(M3395),"Aguardando Previsão/Data",NETWORKDAYS(L3395,M3395)-1)</f>
        <v>-4</v>
      </c>
      <c r="T3395" s="5" t="s">
        <v>942</v>
      </c>
    </row>
    <row r="3396" spans="1:20" x14ac:dyDescent="0.35">
      <c r="A3396" s="5">
        <v>8100282824</v>
      </c>
      <c r="B3396" s="5">
        <v>10989</v>
      </c>
      <c r="C3396" s="6">
        <v>45681</v>
      </c>
      <c r="D3396" s="5" t="s">
        <v>239</v>
      </c>
      <c r="E3396" s="5" t="s">
        <v>240</v>
      </c>
      <c r="F3396" s="5" t="s">
        <v>160</v>
      </c>
      <c r="G3396" s="5" t="s">
        <v>161</v>
      </c>
      <c r="H3396" s="5" t="s">
        <v>218</v>
      </c>
      <c r="I3396" s="5" t="s">
        <v>354</v>
      </c>
      <c r="J3396" s="5" t="s">
        <v>355</v>
      </c>
      <c r="K3396" s="5" t="s">
        <v>241</v>
      </c>
      <c r="L3396" s="6">
        <v>45687</v>
      </c>
      <c r="M3396" s="6">
        <v>45686</v>
      </c>
      <c r="N3396" s="5" t="s">
        <v>811</v>
      </c>
      <c r="O3396" s="5" t="str">
        <f ca="1">IF(P3396&lt;&gt;"EXPEDIÇÃO","Expedido",IF(NETWORKDAYS(C3396,TODAY())&gt;=5,"Risco Alto",IF(NETWORKDAYS(C3396,TODAY())&gt;=3,IF(NETWORKDAYS(C3396,TODAY())&lt;5,"Risco Médio",""),IF(NETWORKDAYS(C3396,TODAY())&lt;=2,"Risco Baixo",""))))</f>
        <v>Expedido</v>
      </c>
      <c r="P3396" s="5" t="s">
        <v>25</v>
      </c>
      <c r="Q3396" s="5" t="s">
        <v>793</v>
      </c>
      <c r="S3396" s="7">
        <f>IF(ISBLANK(M3396),"Aguardando Previsão/Data",NETWORKDAYS(L3396,M3396)-1)</f>
        <v>-3</v>
      </c>
      <c r="T3396" s="5" t="s">
        <v>942</v>
      </c>
    </row>
    <row r="3397" spans="1:20" x14ac:dyDescent="0.35">
      <c r="A3397" s="5">
        <v>8100282825</v>
      </c>
      <c r="B3397" s="5">
        <v>10990</v>
      </c>
      <c r="C3397" s="6">
        <v>45681</v>
      </c>
      <c r="D3397" s="5" t="s">
        <v>239</v>
      </c>
      <c r="E3397" s="5" t="s">
        <v>240</v>
      </c>
      <c r="F3397" s="5" t="s">
        <v>242</v>
      </c>
      <c r="G3397" s="5" t="s">
        <v>243</v>
      </c>
      <c r="H3397" s="5" t="s">
        <v>218</v>
      </c>
      <c r="I3397" s="5" t="s">
        <v>354</v>
      </c>
      <c r="J3397" s="5" t="s">
        <v>355</v>
      </c>
      <c r="K3397" s="5" t="s">
        <v>241</v>
      </c>
      <c r="L3397" s="6">
        <v>45687</v>
      </c>
      <c r="M3397" s="6">
        <v>45686</v>
      </c>
      <c r="N3397" s="5" t="s">
        <v>811</v>
      </c>
      <c r="O3397" s="5" t="str">
        <f ca="1">IF(P3397&lt;&gt;"EXPEDIÇÃO","Expedido",IF(NETWORKDAYS(C3397,TODAY())&gt;=5,"Risco Alto",IF(NETWORKDAYS(C3397,TODAY())&gt;=3,IF(NETWORKDAYS(C3397,TODAY())&lt;5,"Risco Médio",""),IF(NETWORKDAYS(C3397,TODAY())&lt;=2,"Risco Baixo",""))))</f>
        <v>Expedido</v>
      </c>
      <c r="P3397" s="5" t="s">
        <v>25</v>
      </c>
      <c r="Q3397" s="5" t="s">
        <v>793</v>
      </c>
      <c r="S3397" s="7">
        <f>IF(ISBLANK(M3397),"Aguardando Previsão/Data",NETWORKDAYS(L3397,M3397)-1)</f>
        <v>-3</v>
      </c>
      <c r="T3397" s="5" t="s">
        <v>942</v>
      </c>
    </row>
    <row r="3398" spans="1:20" x14ac:dyDescent="0.35">
      <c r="A3398" s="5">
        <v>8100282826</v>
      </c>
      <c r="B3398" s="5">
        <v>10991</v>
      </c>
      <c r="C3398" s="6">
        <v>45681</v>
      </c>
      <c r="D3398" s="5" t="s">
        <v>239</v>
      </c>
      <c r="E3398" s="5" t="s">
        <v>240</v>
      </c>
      <c r="F3398" s="5" t="s">
        <v>242</v>
      </c>
      <c r="G3398" s="5" t="s">
        <v>243</v>
      </c>
      <c r="H3398" s="5" t="s">
        <v>218</v>
      </c>
      <c r="I3398" s="5" t="s">
        <v>354</v>
      </c>
      <c r="J3398" s="5" t="s">
        <v>355</v>
      </c>
      <c r="K3398" s="5" t="s">
        <v>241</v>
      </c>
      <c r="L3398" s="6">
        <v>45687</v>
      </c>
      <c r="M3398" s="6">
        <v>45686</v>
      </c>
      <c r="N3398" s="5" t="s">
        <v>811</v>
      </c>
      <c r="O3398" s="5" t="str">
        <f ca="1">IF(P3398&lt;&gt;"EXPEDIÇÃO","Expedido",IF(NETWORKDAYS(C3398,TODAY())&gt;=5,"Risco Alto",IF(NETWORKDAYS(C3398,TODAY())&gt;=3,IF(NETWORKDAYS(C3398,TODAY())&lt;5,"Risco Médio",""),IF(NETWORKDAYS(C3398,TODAY())&lt;=2,"Risco Baixo",""))))</f>
        <v>Expedido</v>
      </c>
      <c r="P3398" s="5" t="s">
        <v>25</v>
      </c>
      <c r="Q3398" s="5" t="s">
        <v>793</v>
      </c>
      <c r="S3398" s="7">
        <f>IF(ISBLANK(M3398),"Aguardando Previsão/Data",NETWORKDAYS(L3398,M3398)-1)</f>
        <v>-3</v>
      </c>
      <c r="T3398" s="5" t="s">
        <v>942</v>
      </c>
    </row>
    <row r="3399" spans="1:20" x14ac:dyDescent="0.35">
      <c r="A3399" s="5">
        <v>8100282828</v>
      </c>
      <c r="B3399" s="5">
        <v>10992</v>
      </c>
      <c r="C3399" s="6">
        <v>45681</v>
      </c>
      <c r="D3399" s="5" t="s">
        <v>239</v>
      </c>
      <c r="E3399" s="5" t="s">
        <v>240</v>
      </c>
      <c r="F3399" s="5" t="s">
        <v>176</v>
      </c>
      <c r="G3399" s="5" t="s">
        <v>177</v>
      </c>
      <c r="H3399" s="5" t="s">
        <v>218</v>
      </c>
      <c r="I3399" s="5" t="s">
        <v>1166</v>
      </c>
      <c r="J3399" s="5" t="s">
        <v>1129</v>
      </c>
      <c r="K3399" s="5" t="s">
        <v>241</v>
      </c>
      <c r="L3399" s="6">
        <v>45688</v>
      </c>
      <c r="M3399" s="6">
        <v>45686</v>
      </c>
      <c r="N3399" s="5" t="s">
        <v>811</v>
      </c>
      <c r="O3399" s="5" t="str">
        <f ca="1">IF(P3399&lt;&gt;"EXPEDIÇÃO","Expedido",IF(NETWORKDAYS(C3399,TODAY())&gt;=5,"Risco Alto",IF(NETWORKDAYS(C3399,TODAY())&gt;=3,IF(NETWORKDAYS(C3399,TODAY())&lt;5,"Risco Médio",""),IF(NETWORKDAYS(C3399,TODAY())&lt;=2,"Risco Baixo",""))))</f>
        <v>Expedido</v>
      </c>
      <c r="P3399" s="5" t="s">
        <v>25</v>
      </c>
      <c r="Q3399" s="5" t="s">
        <v>793</v>
      </c>
      <c r="S3399" s="7">
        <f>IF(ISBLANK(M3399),"Aguardando Previsão/Data",NETWORKDAYS(L3399,M3399)-1)</f>
        <v>-4</v>
      </c>
      <c r="T3399" s="5" t="s">
        <v>942</v>
      </c>
    </row>
    <row r="3400" spans="1:20" x14ac:dyDescent="0.35">
      <c r="A3400" s="5">
        <v>8100282830</v>
      </c>
      <c r="B3400" s="5">
        <v>10993</v>
      </c>
      <c r="C3400" s="6">
        <v>45681</v>
      </c>
      <c r="D3400" s="5" t="s">
        <v>239</v>
      </c>
      <c r="E3400" s="5" t="s">
        <v>240</v>
      </c>
      <c r="F3400" s="5" t="s">
        <v>176</v>
      </c>
      <c r="G3400" s="5" t="s">
        <v>177</v>
      </c>
      <c r="H3400" s="5" t="s">
        <v>218</v>
      </c>
      <c r="I3400" s="5" t="s">
        <v>1166</v>
      </c>
      <c r="J3400" s="5" t="s">
        <v>1129</v>
      </c>
      <c r="K3400" s="5" t="s">
        <v>241</v>
      </c>
      <c r="L3400" s="6">
        <v>45688</v>
      </c>
      <c r="M3400" s="6">
        <v>45686</v>
      </c>
      <c r="N3400" s="5" t="s">
        <v>811</v>
      </c>
      <c r="O3400" s="5" t="str">
        <f ca="1">IF(P3400&lt;&gt;"EXPEDIÇÃO","Expedido",IF(NETWORKDAYS(C3400,TODAY())&gt;=5,"Risco Alto",IF(NETWORKDAYS(C3400,TODAY())&gt;=3,IF(NETWORKDAYS(C3400,TODAY())&lt;5,"Risco Médio",""),IF(NETWORKDAYS(C3400,TODAY())&lt;=2,"Risco Baixo",""))))</f>
        <v>Expedido</v>
      </c>
      <c r="P3400" s="5" t="s">
        <v>25</v>
      </c>
      <c r="Q3400" s="5" t="s">
        <v>793</v>
      </c>
      <c r="S3400" s="7">
        <f>IF(ISBLANK(M3400),"Aguardando Previsão/Data",NETWORKDAYS(L3400,M3400)-1)</f>
        <v>-4</v>
      </c>
      <c r="T3400" s="5" t="s">
        <v>942</v>
      </c>
    </row>
    <row r="3401" spans="1:20" x14ac:dyDescent="0.35">
      <c r="A3401" s="5">
        <v>8100283056</v>
      </c>
      <c r="B3401" s="5">
        <v>10996</v>
      </c>
      <c r="C3401" s="6">
        <v>45681</v>
      </c>
      <c r="D3401" s="5" t="s">
        <v>239</v>
      </c>
      <c r="E3401" s="5" t="s">
        <v>240</v>
      </c>
      <c r="F3401" s="5" t="s">
        <v>242</v>
      </c>
      <c r="G3401" s="5" t="s">
        <v>243</v>
      </c>
      <c r="H3401" s="5" t="s">
        <v>218</v>
      </c>
      <c r="I3401" s="5" t="s">
        <v>251</v>
      </c>
      <c r="J3401" s="5" t="s">
        <v>252</v>
      </c>
      <c r="K3401" s="5" t="s">
        <v>241</v>
      </c>
      <c r="L3401" s="6">
        <v>45687</v>
      </c>
      <c r="M3401" s="6">
        <v>45686</v>
      </c>
      <c r="N3401" s="5" t="s">
        <v>811</v>
      </c>
      <c r="O3401" s="5" t="str">
        <f ca="1">IF(P3401&lt;&gt;"EXPEDIÇÃO","Expedido",IF(NETWORKDAYS(C3401,TODAY())&gt;=5,"Risco Alto",IF(NETWORKDAYS(C3401,TODAY())&gt;=3,IF(NETWORKDAYS(C3401,TODAY())&lt;5,"Risco Médio",""),IF(NETWORKDAYS(C3401,TODAY())&lt;=2,"Risco Baixo",""))))</f>
        <v>Expedido</v>
      </c>
      <c r="P3401" s="5" t="s">
        <v>25</v>
      </c>
      <c r="Q3401" s="5" t="s">
        <v>793</v>
      </c>
      <c r="S3401" s="7">
        <f>IF(ISBLANK(M3401),"Aguardando Previsão/Data",NETWORKDAYS(L3401,M3401)-1)</f>
        <v>-3</v>
      </c>
      <c r="T3401" s="5" t="s">
        <v>942</v>
      </c>
    </row>
    <row r="3402" spans="1:20" x14ac:dyDescent="0.35">
      <c r="A3402" s="5">
        <v>8100282669</v>
      </c>
      <c r="B3402" s="5">
        <v>19656</v>
      </c>
      <c r="C3402" s="6">
        <v>45681</v>
      </c>
      <c r="D3402" s="5" t="s">
        <v>106</v>
      </c>
      <c r="E3402" s="5" t="s">
        <v>107</v>
      </c>
      <c r="F3402" s="5" t="s">
        <v>58</v>
      </c>
      <c r="G3402" s="5" t="s">
        <v>59</v>
      </c>
      <c r="H3402" s="5" t="s">
        <v>218</v>
      </c>
      <c r="I3402" s="5" t="s">
        <v>219</v>
      </c>
      <c r="J3402" s="5" t="s">
        <v>220</v>
      </c>
      <c r="K3402" s="5" t="s">
        <v>221</v>
      </c>
      <c r="L3402" s="6">
        <v>45698</v>
      </c>
      <c r="N3402" s="6" t="s">
        <v>811</v>
      </c>
      <c r="O3402" s="5" t="str">
        <f ca="1">IF(P3402&lt;&gt;"EXPEDIÇÃO","Expedido",IF(NETWORKDAYS(C3402,TODAY())&gt;=5,"Risco Alto",IF(NETWORKDAYS(C3402,TODAY())&gt;=3,IF(NETWORKDAYS(C3402,TODAY())&lt;5,"Risco Médio",""),IF(NETWORKDAYS(C3402,TODAY())&lt;=2,"Risco Baixo",""))))</f>
        <v>Risco Alto</v>
      </c>
      <c r="P3402" s="5" t="s">
        <v>726</v>
      </c>
      <c r="R3402" s="5" t="s">
        <v>1618</v>
      </c>
      <c r="S3402" s="7" t="str">
        <f>IF(ISBLANK(M3402),"Aguardando Previsão/Data",NETWORKDAYS(L3402,M3402)-1)</f>
        <v>Aguardando Previsão/Data</v>
      </c>
    </row>
    <row r="3403" spans="1:20" x14ac:dyDescent="0.35">
      <c r="A3403" s="5">
        <v>8100282678</v>
      </c>
      <c r="B3403" s="5">
        <v>19657</v>
      </c>
      <c r="C3403" s="6">
        <v>45681</v>
      </c>
      <c r="D3403" s="5" t="s">
        <v>106</v>
      </c>
      <c r="E3403" s="5" t="s">
        <v>107</v>
      </c>
      <c r="F3403" s="5" t="s">
        <v>58</v>
      </c>
      <c r="G3403" s="5" t="s">
        <v>59</v>
      </c>
      <c r="H3403" s="5" t="s">
        <v>218</v>
      </c>
      <c r="I3403" s="5" t="s">
        <v>219</v>
      </c>
      <c r="J3403" s="5" t="s">
        <v>220</v>
      </c>
      <c r="K3403" s="5" t="s">
        <v>221</v>
      </c>
      <c r="L3403" s="6">
        <v>45698</v>
      </c>
      <c r="N3403" s="6" t="s">
        <v>811</v>
      </c>
      <c r="O3403" s="5" t="str">
        <f ca="1">IF(P3403&lt;&gt;"EXPEDIÇÃO","Expedido",IF(NETWORKDAYS(C3403,TODAY())&gt;=5,"Risco Alto",IF(NETWORKDAYS(C3403,TODAY())&gt;=3,IF(NETWORKDAYS(C3403,TODAY())&lt;5,"Risco Médio",""),IF(NETWORKDAYS(C3403,TODAY())&lt;=2,"Risco Baixo",""))))</f>
        <v>Risco Alto</v>
      </c>
      <c r="P3403" s="5" t="s">
        <v>726</v>
      </c>
      <c r="R3403" s="5" t="s">
        <v>1618</v>
      </c>
      <c r="S3403" s="7" t="str">
        <f>IF(ISBLANK(M3403),"Aguardando Previsão/Data",NETWORKDAYS(L3403,M3403)-1)</f>
        <v>Aguardando Previsão/Data</v>
      </c>
    </row>
    <row r="3404" spans="1:20" x14ac:dyDescent="0.35">
      <c r="A3404" s="5">
        <v>8100282681</v>
      </c>
      <c r="B3404" s="5">
        <v>19655</v>
      </c>
      <c r="C3404" s="6">
        <v>45681</v>
      </c>
      <c r="D3404" s="5" t="s">
        <v>106</v>
      </c>
      <c r="E3404" s="5" t="s">
        <v>107</v>
      </c>
      <c r="F3404" s="5" t="s">
        <v>58</v>
      </c>
      <c r="G3404" s="5" t="s">
        <v>59</v>
      </c>
      <c r="H3404" s="5" t="s">
        <v>218</v>
      </c>
      <c r="I3404" s="5" t="s">
        <v>317</v>
      </c>
      <c r="J3404" s="5" t="s">
        <v>1099</v>
      </c>
      <c r="K3404" s="5" t="s">
        <v>233</v>
      </c>
      <c r="L3404" s="6">
        <v>45700</v>
      </c>
      <c r="N3404" s="6" t="s">
        <v>811</v>
      </c>
      <c r="O3404" s="5" t="str">
        <f ca="1">IF(P3404&lt;&gt;"EXPEDIÇÃO","Expedido",IF(NETWORKDAYS(C3404,TODAY())&gt;=5,"Risco Alto",IF(NETWORKDAYS(C3404,TODAY())&gt;=3,IF(NETWORKDAYS(C3404,TODAY())&lt;5,"Risco Médio",""),IF(NETWORKDAYS(C3404,TODAY())&lt;=2,"Risco Baixo",""))))</f>
        <v>Risco Alto</v>
      </c>
      <c r="P3404" s="5" t="s">
        <v>726</v>
      </c>
      <c r="R3404" s="5" t="s">
        <v>1618</v>
      </c>
      <c r="S3404" s="7" t="str">
        <f>IF(ISBLANK(M3404),"Aguardando Previsão/Data",NETWORKDAYS(L3404,M3404)-1)</f>
        <v>Aguardando Previsão/Data</v>
      </c>
    </row>
    <row r="3405" spans="1:20" x14ac:dyDescent="0.35">
      <c r="A3405" s="5">
        <v>8100282707</v>
      </c>
      <c r="B3405" s="5">
        <v>19660</v>
      </c>
      <c r="C3405" s="6">
        <v>45681</v>
      </c>
      <c r="D3405" s="5" t="s">
        <v>106</v>
      </c>
      <c r="E3405" s="5" t="s">
        <v>107</v>
      </c>
      <c r="F3405" s="5" t="s">
        <v>69</v>
      </c>
      <c r="G3405" s="5" t="s">
        <v>70</v>
      </c>
      <c r="H3405" s="5" t="s">
        <v>218</v>
      </c>
      <c r="I3405" s="5" t="s">
        <v>235</v>
      </c>
      <c r="J3405" s="5" t="s">
        <v>236</v>
      </c>
      <c r="K3405" s="5" t="s">
        <v>229</v>
      </c>
      <c r="L3405" s="6">
        <v>45700</v>
      </c>
      <c r="N3405" s="6" t="s">
        <v>811</v>
      </c>
      <c r="O3405" s="5" t="str">
        <f ca="1">IF(P3405&lt;&gt;"EXPEDIÇÃO","Expedido",IF(NETWORKDAYS(C3405,TODAY())&gt;=5,"Risco Alto",IF(NETWORKDAYS(C3405,TODAY())&gt;=3,IF(NETWORKDAYS(C3405,TODAY())&lt;5,"Risco Médio",""),IF(NETWORKDAYS(C3405,TODAY())&lt;=2,"Risco Baixo",""))))</f>
        <v>Risco Alto</v>
      </c>
      <c r="P3405" s="5" t="s">
        <v>726</v>
      </c>
      <c r="R3405" s="5" t="s">
        <v>1618</v>
      </c>
      <c r="S3405" s="7" t="str">
        <f>IF(ISBLANK(M3405),"Aguardando Previsão/Data",NETWORKDAYS(L3405,M3405)-1)</f>
        <v>Aguardando Previsão/Data</v>
      </c>
    </row>
    <row r="3406" spans="1:20" x14ac:dyDescent="0.35">
      <c r="A3406" s="5">
        <v>8100282733</v>
      </c>
      <c r="B3406" s="5">
        <v>19658</v>
      </c>
      <c r="C3406" s="6">
        <v>45681</v>
      </c>
      <c r="D3406" s="5" t="s">
        <v>106</v>
      </c>
      <c r="E3406" s="5" t="s">
        <v>107</v>
      </c>
      <c r="F3406" s="5" t="s">
        <v>58</v>
      </c>
      <c r="G3406" s="5" t="s">
        <v>59</v>
      </c>
      <c r="H3406" s="5" t="s">
        <v>218</v>
      </c>
      <c r="I3406" s="5" t="s">
        <v>237</v>
      </c>
      <c r="J3406" s="5" t="s">
        <v>220</v>
      </c>
      <c r="K3406" s="5" t="s">
        <v>221</v>
      </c>
      <c r="L3406" s="6">
        <v>45698</v>
      </c>
      <c r="N3406" s="6" t="s">
        <v>811</v>
      </c>
      <c r="O3406" s="5" t="str">
        <f ca="1">IF(P3406&lt;&gt;"EXPEDIÇÃO","Expedido",IF(NETWORKDAYS(C3406,TODAY())&gt;=5,"Risco Alto",IF(NETWORKDAYS(C3406,TODAY())&gt;=3,IF(NETWORKDAYS(C3406,TODAY())&lt;5,"Risco Médio",""),IF(NETWORKDAYS(C3406,TODAY())&lt;=2,"Risco Baixo",""))))</f>
        <v>Risco Alto</v>
      </c>
      <c r="P3406" s="5" t="s">
        <v>726</v>
      </c>
      <c r="R3406" s="5" t="s">
        <v>1618</v>
      </c>
      <c r="S3406" s="7" t="str">
        <f>IF(ISBLANK(M3406),"Aguardando Previsão/Data",NETWORKDAYS(L3406,M3406)-1)</f>
        <v>Aguardando Previsão/Data</v>
      </c>
    </row>
    <row r="3407" spans="1:20" x14ac:dyDescent="0.35">
      <c r="A3407" s="5">
        <v>8100282734</v>
      </c>
      <c r="B3407" s="5">
        <v>19659</v>
      </c>
      <c r="C3407" s="6">
        <v>45681</v>
      </c>
      <c r="D3407" s="5" t="s">
        <v>106</v>
      </c>
      <c r="E3407" s="5" t="s">
        <v>107</v>
      </c>
      <c r="F3407" s="5" t="s">
        <v>58</v>
      </c>
      <c r="G3407" s="5" t="s">
        <v>59</v>
      </c>
      <c r="H3407" s="5" t="s">
        <v>218</v>
      </c>
      <c r="I3407" s="5" t="s">
        <v>237</v>
      </c>
      <c r="J3407" s="5" t="s">
        <v>220</v>
      </c>
      <c r="K3407" s="5" t="s">
        <v>221</v>
      </c>
      <c r="L3407" s="6">
        <v>45698</v>
      </c>
      <c r="N3407" s="6" t="s">
        <v>811</v>
      </c>
      <c r="O3407" s="5" t="str">
        <f ca="1">IF(P3407&lt;&gt;"EXPEDIÇÃO","Expedido",IF(NETWORKDAYS(C3407,TODAY())&gt;=5,"Risco Alto",IF(NETWORKDAYS(C3407,TODAY())&gt;=3,IF(NETWORKDAYS(C3407,TODAY())&lt;5,"Risco Médio",""),IF(NETWORKDAYS(C3407,TODAY())&lt;=2,"Risco Baixo",""))))</f>
        <v>Risco Alto</v>
      </c>
      <c r="P3407" s="5" t="s">
        <v>726</v>
      </c>
      <c r="R3407" s="5" t="s">
        <v>1618</v>
      </c>
      <c r="S3407" s="7" t="str">
        <f>IF(ISBLANK(M3407),"Aguardando Previsão/Data",NETWORKDAYS(L3407,M3407)-1)</f>
        <v>Aguardando Previsão/Data</v>
      </c>
    </row>
    <row r="3408" spans="1:20" x14ac:dyDescent="0.35">
      <c r="A3408" s="5">
        <v>8100282827</v>
      </c>
      <c r="B3408" s="5">
        <v>19674</v>
      </c>
      <c r="C3408" s="6">
        <v>45681</v>
      </c>
      <c r="D3408" s="5" t="s">
        <v>106</v>
      </c>
      <c r="E3408" s="5" t="s">
        <v>107</v>
      </c>
      <c r="F3408" s="5" t="s">
        <v>69</v>
      </c>
      <c r="G3408" s="5" t="s">
        <v>70</v>
      </c>
      <c r="H3408" s="5" t="s">
        <v>218</v>
      </c>
      <c r="I3408" s="5" t="s">
        <v>333</v>
      </c>
      <c r="J3408" s="5" t="s">
        <v>234</v>
      </c>
      <c r="K3408" s="5" t="s">
        <v>221</v>
      </c>
      <c r="L3408" s="6">
        <v>45700</v>
      </c>
      <c r="N3408" s="6" t="s">
        <v>811</v>
      </c>
      <c r="O3408" s="5" t="str">
        <f ca="1">IF(P3408&lt;&gt;"EXPEDIÇÃO","Expedido",IF(NETWORKDAYS(C3408,TODAY())&gt;=5,"Risco Alto",IF(NETWORKDAYS(C3408,TODAY())&gt;=3,IF(NETWORKDAYS(C3408,TODAY())&lt;5,"Risco Médio",""),IF(NETWORKDAYS(C3408,TODAY())&lt;=2,"Risco Baixo",""))))</f>
        <v>Risco Alto</v>
      </c>
      <c r="P3408" s="5" t="s">
        <v>726</v>
      </c>
      <c r="R3408" s="5" t="s">
        <v>1618</v>
      </c>
      <c r="S3408" s="7" t="str">
        <f>IF(ISBLANK(M3408),"Aguardando Previsão/Data",NETWORKDAYS(L3408,M3408)-1)</f>
        <v>Aguardando Previsão/Data</v>
      </c>
    </row>
    <row r="3409" spans="1:20" x14ac:dyDescent="0.35">
      <c r="A3409" s="5">
        <v>8100282906</v>
      </c>
      <c r="B3409" s="5">
        <v>19675</v>
      </c>
      <c r="C3409" s="6">
        <v>45681</v>
      </c>
      <c r="D3409" s="5" t="s">
        <v>106</v>
      </c>
      <c r="E3409" s="5" t="s">
        <v>107</v>
      </c>
      <c r="F3409" s="5" t="s">
        <v>69</v>
      </c>
      <c r="G3409" s="5" t="s">
        <v>70</v>
      </c>
      <c r="H3409" s="5" t="s">
        <v>218</v>
      </c>
      <c r="I3409" s="5" t="s">
        <v>333</v>
      </c>
      <c r="J3409" s="5" t="s">
        <v>234</v>
      </c>
      <c r="K3409" s="5" t="s">
        <v>221</v>
      </c>
      <c r="L3409" s="6">
        <v>45700</v>
      </c>
      <c r="N3409" s="6" t="s">
        <v>811</v>
      </c>
      <c r="O3409" s="5" t="str">
        <f ca="1">IF(P3409&lt;&gt;"EXPEDIÇÃO","Expedido",IF(NETWORKDAYS(C3409,TODAY())&gt;=5,"Risco Alto",IF(NETWORKDAYS(C3409,TODAY())&gt;=3,IF(NETWORKDAYS(C3409,TODAY())&lt;5,"Risco Médio",""),IF(NETWORKDAYS(C3409,TODAY())&lt;=2,"Risco Baixo",""))))</f>
        <v>Risco Alto</v>
      </c>
      <c r="P3409" s="5" t="s">
        <v>726</v>
      </c>
      <c r="R3409" s="5" t="s">
        <v>1618</v>
      </c>
      <c r="S3409" s="7" t="str">
        <f>IF(ISBLANK(M3409),"Aguardando Previsão/Data",NETWORKDAYS(L3409,M3409)-1)</f>
        <v>Aguardando Previsão/Data</v>
      </c>
    </row>
    <row r="3410" spans="1:20" x14ac:dyDescent="0.35">
      <c r="A3410" s="5">
        <v>8100282965</v>
      </c>
      <c r="B3410" s="5">
        <v>19678</v>
      </c>
      <c r="C3410" s="6">
        <v>45681</v>
      </c>
      <c r="D3410" s="5" t="s">
        <v>106</v>
      </c>
      <c r="E3410" s="5" t="s">
        <v>107</v>
      </c>
      <c r="F3410" s="5" t="s">
        <v>58</v>
      </c>
      <c r="G3410" s="5" t="s">
        <v>59</v>
      </c>
      <c r="H3410" s="5" t="s">
        <v>218</v>
      </c>
      <c r="I3410" s="5" t="s">
        <v>520</v>
      </c>
      <c r="J3410" s="5" t="s">
        <v>684</v>
      </c>
      <c r="K3410" s="5" t="s">
        <v>238</v>
      </c>
      <c r="L3410" s="6">
        <v>45700</v>
      </c>
      <c r="N3410" s="6" t="s">
        <v>811</v>
      </c>
      <c r="O3410" s="5" t="str">
        <f ca="1">IF(P3410&lt;&gt;"EXPEDIÇÃO","Expedido",IF(NETWORKDAYS(C3410,TODAY())&gt;=5,"Risco Alto",IF(NETWORKDAYS(C3410,TODAY())&gt;=3,IF(NETWORKDAYS(C3410,TODAY())&lt;5,"Risco Médio",""),IF(NETWORKDAYS(C3410,TODAY())&lt;=2,"Risco Baixo",""))))</f>
        <v>Risco Alto</v>
      </c>
      <c r="P3410" s="5" t="s">
        <v>726</v>
      </c>
      <c r="R3410" s="5" t="s">
        <v>1618</v>
      </c>
      <c r="S3410" s="7" t="str">
        <f>IF(ISBLANK(M3410),"Aguardando Previsão/Data",NETWORKDAYS(L3410,M3410)-1)</f>
        <v>Aguardando Previsão/Data</v>
      </c>
    </row>
    <row r="3411" spans="1:20" x14ac:dyDescent="0.35">
      <c r="A3411" s="5">
        <v>8100282966</v>
      </c>
      <c r="B3411" s="5">
        <v>19676</v>
      </c>
      <c r="C3411" s="6">
        <v>45681</v>
      </c>
      <c r="D3411" s="5" t="s">
        <v>106</v>
      </c>
      <c r="E3411" s="5" t="s">
        <v>107</v>
      </c>
      <c r="F3411" s="5" t="s">
        <v>58</v>
      </c>
      <c r="G3411" s="5" t="s">
        <v>59</v>
      </c>
      <c r="H3411" s="5" t="s">
        <v>218</v>
      </c>
      <c r="I3411" s="5" t="s">
        <v>412</v>
      </c>
      <c r="J3411" s="5" t="s">
        <v>413</v>
      </c>
      <c r="K3411" s="5" t="s">
        <v>238</v>
      </c>
      <c r="L3411" s="6">
        <v>45701</v>
      </c>
      <c r="N3411" s="6" t="s">
        <v>811</v>
      </c>
      <c r="O3411" s="5" t="str">
        <f ca="1">IF(P3411&lt;&gt;"EXPEDIÇÃO","Expedido",IF(NETWORKDAYS(C3411,TODAY())&gt;=5,"Risco Alto",IF(NETWORKDAYS(C3411,TODAY())&gt;=3,IF(NETWORKDAYS(C3411,TODAY())&lt;5,"Risco Médio",""),IF(NETWORKDAYS(C3411,TODAY())&lt;=2,"Risco Baixo",""))))</f>
        <v>Risco Alto</v>
      </c>
      <c r="P3411" s="5" t="s">
        <v>726</v>
      </c>
      <c r="R3411" s="5" t="s">
        <v>1618</v>
      </c>
      <c r="S3411" s="7" t="str">
        <f>IF(ISBLANK(M3411),"Aguardando Previsão/Data",NETWORKDAYS(L3411,M3411)-1)</f>
        <v>Aguardando Previsão/Data</v>
      </c>
    </row>
    <row r="3412" spans="1:20" x14ac:dyDescent="0.35">
      <c r="A3412" s="5">
        <v>8100282967</v>
      </c>
      <c r="B3412" s="5">
        <v>19677</v>
      </c>
      <c r="C3412" s="6">
        <v>45681</v>
      </c>
      <c r="D3412" s="5" t="s">
        <v>106</v>
      </c>
      <c r="E3412" s="5" t="s">
        <v>107</v>
      </c>
      <c r="F3412" s="5" t="s">
        <v>58</v>
      </c>
      <c r="G3412" s="5" t="s">
        <v>59</v>
      </c>
      <c r="H3412" s="5" t="s">
        <v>218</v>
      </c>
      <c r="I3412" s="5" t="s">
        <v>412</v>
      </c>
      <c r="J3412" s="5" t="s">
        <v>413</v>
      </c>
      <c r="K3412" s="5" t="s">
        <v>238</v>
      </c>
      <c r="L3412" s="6">
        <v>45701</v>
      </c>
      <c r="N3412" s="6" t="s">
        <v>811</v>
      </c>
      <c r="O3412" s="5" t="str">
        <f ca="1">IF(P3412&lt;&gt;"EXPEDIÇÃO","Expedido",IF(NETWORKDAYS(C3412,TODAY())&gt;=5,"Risco Alto",IF(NETWORKDAYS(C3412,TODAY())&gt;=3,IF(NETWORKDAYS(C3412,TODAY())&lt;5,"Risco Médio",""),IF(NETWORKDAYS(C3412,TODAY())&lt;=2,"Risco Baixo",""))))</f>
        <v>Risco Alto</v>
      </c>
      <c r="P3412" s="5" t="s">
        <v>726</v>
      </c>
      <c r="R3412" s="5" t="s">
        <v>1618</v>
      </c>
      <c r="S3412" s="7" t="str">
        <f>IF(ISBLANK(M3412),"Aguardando Previsão/Data",NETWORKDAYS(L3412,M3412)-1)</f>
        <v>Aguardando Previsão/Data</v>
      </c>
    </row>
    <row r="3413" spans="1:20" x14ac:dyDescent="0.35">
      <c r="A3413" s="5">
        <v>8100281467</v>
      </c>
      <c r="B3413" s="5">
        <v>19629</v>
      </c>
      <c r="C3413" s="6">
        <v>45681</v>
      </c>
      <c r="D3413" s="5" t="s">
        <v>106</v>
      </c>
      <c r="E3413" s="5" t="s">
        <v>107</v>
      </c>
      <c r="F3413" s="5" t="s">
        <v>167</v>
      </c>
      <c r="G3413" s="5" t="s">
        <v>168</v>
      </c>
      <c r="H3413" s="5" t="s">
        <v>108</v>
      </c>
      <c r="I3413" s="5" t="s">
        <v>782</v>
      </c>
      <c r="J3413" s="5" t="s">
        <v>168</v>
      </c>
      <c r="K3413" s="5" t="s">
        <v>170</v>
      </c>
      <c r="L3413" s="6">
        <v>45699</v>
      </c>
      <c r="M3413" s="6">
        <v>45699</v>
      </c>
      <c r="N3413" s="5" t="s">
        <v>811</v>
      </c>
      <c r="O3413" s="5" t="str">
        <f ca="1">IF(P3413&lt;&gt;"EXPEDIÇÃO","Expedido",IF(NETWORKDAYS(C3413,TODAY())&gt;=5,"Risco Alto",IF(NETWORKDAYS(C3413,TODAY())&gt;=3,IF(NETWORKDAYS(C3413,TODAY())&lt;5,"Risco Médio",""),IF(NETWORKDAYS(C3413,TODAY())&lt;=2,"Risco Baixo",""))))</f>
        <v>Risco Alto</v>
      </c>
      <c r="P3413" s="5" t="s">
        <v>726</v>
      </c>
      <c r="Q3413" s="5" t="s">
        <v>897</v>
      </c>
      <c r="R3413" s="5" t="s">
        <v>1491</v>
      </c>
      <c r="S3413" s="7">
        <f>IF(ISBLANK(M3413),"Aguardando Previsão/Data",NETWORKDAYS(L3413,M3413)-1)</f>
        <v>0</v>
      </c>
    </row>
    <row r="3414" spans="1:20" x14ac:dyDescent="0.35">
      <c r="A3414" s="5">
        <v>8100282362</v>
      </c>
      <c r="B3414" s="5">
        <v>19634</v>
      </c>
      <c r="C3414" s="6">
        <v>45681</v>
      </c>
      <c r="D3414" s="5" t="s">
        <v>106</v>
      </c>
      <c r="E3414" s="5" t="s">
        <v>107</v>
      </c>
      <c r="F3414" s="5" t="s">
        <v>53</v>
      </c>
      <c r="G3414" s="5" t="s">
        <v>54</v>
      </c>
      <c r="H3414" s="5" t="s">
        <v>108</v>
      </c>
      <c r="I3414" s="5" t="s">
        <v>138</v>
      </c>
      <c r="J3414" s="5" t="s">
        <v>1529</v>
      </c>
      <c r="K3414" s="5" t="s">
        <v>110</v>
      </c>
      <c r="L3414" s="6">
        <v>45691</v>
      </c>
      <c r="M3414" s="6">
        <v>45684</v>
      </c>
      <c r="N3414" s="5" t="s">
        <v>811</v>
      </c>
      <c r="O3414" s="5" t="str">
        <f ca="1">IF(P3414&lt;&gt;"EXPEDIÇÃO","Expedido",IF(NETWORKDAYS(C3414,TODAY())&gt;=5,"Risco Alto",IF(NETWORKDAYS(C3414,TODAY())&gt;=3,IF(NETWORKDAYS(C3414,TODAY())&lt;5,"Risco Médio",""),IF(NETWORKDAYS(C3414,TODAY())&lt;=2,"Risco Baixo",""))))</f>
        <v>Expedido</v>
      </c>
      <c r="P3414" s="5" t="s">
        <v>25</v>
      </c>
      <c r="S3414" s="7">
        <f>IF(ISBLANK(M3414),"Aguardando Previsão/Data",NETWORKDAYS(L3414,M3414)-1)</f>
        <v>-7</v>
      </c>
      <c r="T3414" s="5" t="s">
        <v>942</v>
      </c>
    </row>
    <row r="3415" spans="1:20" x14ac:dyDescent="0.35">
      <c r="A3415" s="5">
        <v>8100282363</v>
      </c>
      <c r="B3415" s="5">
        <v>19635</v>
      </c>
      <c r="C3415" s="6">
        <v>45681</v>
      </c>
      <c r="D3415" s="5" t="s">
        <v>106</v>
      </c>
      <c r="E3415" s="5" t="s">
        <v>107</v>
      </c>
      <c r="F3415" s="5" t="s">
        <v>53</v>
      </c>
      <c r="G3415" s="5" t="s">
        <v>54</v>
      </c>
      <c r="H3415" s="5" t="s">
        <v>108</v>
      </c>
      <c r="I3415" s="5" t="s">
        <v>138</v>
      </c>
      <c r="J3415" s="5" t="s">
        <v>1529</v>
      </c>
      <c r="K3415" s="5" t="s">
        <v>110</v>
      </c>
      <c r="L3415" s="6">
        <v>45691</v>
      </c>
      <c r="M3415" s="6">
        <v>45684</v>
      </c>
      <c r="N3415" s="5" t="s">
        <v>811</v>
      </c>
      <c r="O3415" s="5" t="str">
        <f ca="1">IF(P3415&lt;&gt;"EXPEDIÇÃO","Expedido",IF(NETWORKDAYS(C3415,TODAY())&gt;=5,"Risco Alto",IF(NETWORKDAYS(C3415,TODAY())&gt;=3,IF(NETWORKDAYS(C3415,TODAY())&lt;5,"Risco Médio",""),IF(NETWORKDAYS(C3415,TODAY())&lt;=2,"Risco Baixo",""))))</f>
        <v>Expedido</v>
      </c>
      <c r="P3415" s="5" t="s">
        <v>25</v>
      </c>
      <c r="S3415" s="7">
        <f>IF(ISBLANK(M3415),"Aguardando Previsão/Data",NETWORKDAYS(L3415,M3415)-1)</f>
        <v>-7</v>
      </c>
      <c r="T3415" s="5" t="s">
        <v>942</v>
      </c>
    </row>
    <row r="3416" spans="1:20" x14ac:dyDescent="0.35">
      <c r="A3416" s="5">
        <v>8100282670</v>
      </c>
      <c r="B3416" s="5">
        <v>19637</v>
      </c>
      <c r="C3416" s="6">
        <v>45681</v>
      </c>
      <c r="D3416" s="5" t="s">
        <v>106</v>
      </c>
      <c r="E3416" s="5" t="s">
        <v>107</v>
      </c>
      <c r="F3416" s="5" t="s">
        <v>111</v>
      </c>
      <c r="G3416" s="5" t="s">
        <v>112</v>
      </c>
      <c r="H3416" s="5" t="s">
        <v>108</v>
      </c>
      <c r="I3416" s="5" t="s">
        <v>115</v>
      </c>
      <c r="J3416" s="5" t="s">
        <v>393</v>
      </c>
      <c r="K3416" s="5" t="s">
        <v>110</v>
      </c>
      <c r="L3416" s="6">
        <v>45691</v>
      </c>
      <c r="M3416" s="6">
        <v>45684</v>
      </c>
      <c r="N3416" s="5" t="s">
        <v>811</v>
      </c>
      <c r="O3416" s="5" t="str">
        <f ca="1">IF(P3416&lt;&gt;"EXPEDIÇÃO","Expedido",IF(NETWORKDAYS(C3416,TODAY())&gt;=5,"Risco Alto",IF(NETWORKDAYS(C3416,TODAY())&gt;=3,IF(NETWORKDAYS(C3416,TODAY())&lt;5,"Risco Médio",""),IF(NETWORKDAYS(C3416,TODAY())&lt;=2,"Risco Baixo",""))))</f>
        <v>Expedido</v>
      </c>
      <c r="P3416" s="5" t="s">
        <v>25</v>
      </c>
      <c r="S3416" s="7">
        <f>IF(ISBLANK(M3416),"Aguardando Previsão/Data",NETWORKDAYS(L3416,M3416)-1)</f>
        <v>-7</v>
      </c>
      <c r="T3416" s="5" t="s">
        <v>942</v>
      </c>
    </row>
    <row r="3417" spans="1:20" x14ac:dyDescent="0.35">
      <c r="A3417" s="5">
        <v>8100282671</v>
      </c>
      <c r="B3417" s="5">
        <v>19611</v>
      </c>
      <c r="C3417" s="6">
        <v>45681</v>
      </c>
      <c r="D3417" s="5" t="s">
        <v>106</v>
      </c>
      <c r="E3417" s="5" t="s">
        <v>107</v>
      </c>
      <c r="F3417" s="5" t="s">
        <v>69</v>
      </c>
      <c r="G3417" s="5" t="s">
        <v>70</v>
      </c>
      <c r="H3417" s="5" t="s">
        <v>108</v>
      </c>
      <c r="I3417" s="5" t="s">
        <v>115</v>
      </c>
      <c r="J3417" s="5" t="s">
        <v>477</v>
      </c>
      <c r="K3417" s="5" t="s">
        <v>110</v>
      </c>
      <c r="L3417" s="6">
        <v>45688</v>
      </c>
      <c r="M3417" s="6">
        <v>45686</v>
      </c>
      <c r="N3417" s="5" t="s">
        <v>811</v>
      </c>
      <c r="O3417" s="5" t="str">
        <f ca="1">IF(P3417&lt;&gt;"EXPEDIÇÃO","Expedido",IF(NETWORKDAYS(C3417,TODAY())&gt;=5,"Risco Alto",IF(NETWORKDAYS(C3417,TODAY())&gt;=3,IF(NETWORKDAYS(C3417,TODAY())&lt;5,"Risco Médio",""),IF(NETWORKDAYS(C3417,TODAY())&lt;=2,"Risco Baixo",""))))</f>
        <v>Expedido</v>
      </c>
      <c r="P3417" s="5" t="s">
        <v>25</v>
      </c>
      <c r="S3417" s="7">
        <f>IF(ISBLANK(M3417),"Aguardando Previsão/Data",NETWORKDAYS(L3417,M3417)-1)</f>
        <v>-4</v>
      </c>
      <c r="T3417" s="5" t="s">
        <v>942</v>
      </c>
    </row>
    <row r="3418" spans="1:20" x14ac:dyDescent="0.35">
      <c r="A3418" s="5">
        <v>8100282672</v>
      </c>
      <c r="B3418" s="5">
        <v>19612</v>
      </c>
      <c r="C3418" s="6">
        <v>45681</v>
      </c>
      <c r="D3418" s="5" t="s">
        <v>106</v>
      </c>
      <c r="E3418" s="5" t="s">
        <v>107</v>
      </c>
      <c r="F3418" s="5" t="s">
        <v>69</v>
      </c>
      <c r="G3418" s="5" t="s">
        <v>70</v>
      </c>
      <c r="H3418" s="5" t="s">
        <v>108</v>
      </c>
      <c r="I3418" s="5" t="s">
        <v>115</v>
      </c>
      <c r="J3418" s="5" t="s">
        <v>345</v>
      </c>
      <c r="K3418" s="5" t="s">
        <v>110</v>
      </c>
      <c r="L3418" s="6">
        <v>45691</v>
      </c>
      <c r="M3418" s="6">
        <v>45686</v>
      </c>
      <c r="N3418" s="5" t="s">
        <v>811</v>
      </c>
      <c r="O3418" s="5" t="str">
        <f ca="1">IF(P3418&lt;&gt;"EXPEDIÇÃO","Expedido",IF(NETWORKDAYS(C3418,TODAY())&gt;=5,"Risco Alto",IF(NETWORKDAYS(C3418,TODAY())&gt;=3,IF(NETWORKDAYS(C3418,TODAY())&lt;5,"Risco Médio",""),IF(NETWORKDAYS(C3418,TODAY())&lt;=2,"Risco Baixo",""))))</f>
        <v>Expedido</v>
      </c>
      <c r="P3418" s="5" t="s">
        <v>25</v>
      </c>
      <c r="S3418" s="7">
        <f>IF(ISBLANK(M3418),"Aguardando Previsão/Data",NETWORKDAYS(L3418,M3418)-1)</f>
        <v>-5</v>
      </c>
      <c r="T3418" s="5" t="s">
        <v>942</v>
      </c>
    </row>
    <row r="3419" spans="1:20" x14ac:dyDescent="0.35">
      <c r="A3419" s="5">
        <v>8100282673</v>
      </c>
      <c r="B3419" s="5">
        <v>19650</v>
      </c>
      <c r="C3419" s="6">
        <v>45681</v>
      </c>
      <c r="D3419" s="5" t="s">
        <v>106</v>
      </c>
      <c r="E3419" s="5" t="s">
        <v>107</v>
      </c>
      <c r="F3419" s="5" t="s">
        <v>69</v>
      </c>
      <c r="G3419" s="5" t="s">
        <v>70</v>
      </c>
      <c r="H3419" s="5" t="s">
        <v>108</v>
      </c>
      <c r="I3419" s="5" t="s">
        <v>284</v>
      </c>
      <c r="J3419" s="5" t="s">
        <v>286</v>
      </c>
      <c r="K3419" s="5" t="s">
        <v>110</v>
      </c>
      <c r="L3419" s="6">
        <v>45688</v>
      </c>
      <c r="M3419" s="6">
        <v>45684</v>
      </c>
      <c r="N3419" s="5" t="s">
        <v>811</v>
      </c>
      <c r="O3419" s="5" t="str">
        <f ca="1">IF(P3419&lt;&gt;"EXPEDIÇÃO","Expedido",IF(NETWORKDAYS(C3419,TODAY())&gt;=5,"Risco Alto",IF(NETWORKDAYS(C3419,TODAY())&gt;=3,IF(NETWORKDAYS(C3419,TODAY())&lt;5,"Risco Médio",""),IF(NETWORKDAYS(C3419,TODAY())&lt;=2,"Risco Baixo",""))))</f>
        <v>Expedido</v>
      </c>
      <c r="P3419" s="5" t="s">
        <v>25</v>
      </c>
      <c r="S3419" s="7">
        <f>IF(ISBLANK(M3419),"Aguardando Previsão/Data",NETWORKDAYS(L3419,M3419)-1)</f>
        <v>-6</v>
      </c>
      <c r="T3419" s="5" t="s">
        <v>942</v>
      </c>
    </row>
    <row r="3420" spans="1:20" x14ac:dyDescent="0.35">
      <c r="A3420" s="5">
        <v>8100282674</v>
      </c>
      <c r="B3420" s="5">
        <v>19632</v>
      </c>
      <c r="C3420" s="6">
        <v>45681</v>
      </c>
      <c r="D3420" s="5" t="s">
        <v>106</v>
      </c>
      <c r="E3420" s="5" t="s">
        <v>107</v>
      </c>
      <c r="F3420" s="5" t="s">
        <v>58</v>
      </c>
      <c r="G3420" s="5" t="s">
        <v>59</v>
      </c>
      <c r="H3420" s="5" t="s">
        <v>108</v>
      </c>
      <c r="I3420" s="5" t="s">
        <v>126</v>
      </c>
      <c r="J3420" s="5" t="s">
        <v>127</v>
      </c>
      <c r="K3420" s="5" t="s">
        <v>110</v>
      </c>
      <c r="L3420" s="6">
        <v>45687</v>
      </c>
      <c r="M3420" s="6">
        <v>45684</v>
      </c>
      <c r="N3420" s="5" t="s">
        <v>811</v>
      </c>
      <c r="O3420" s="5" t="str">
        <f ca="1">IF(P3420&lt;&gt;"EXPEDIÇÃO","Expedido",IF(NETWORKDAYS(C3420,TODAY())&gt;=5,"Risco Alto",IF(NETWORKDAYS(C3420,TODAY())&gt;=3,IF(NETWORKDAYS(C3420,TODAY())&lt;5,"Risco Médio",""),IF(NETWORKDAYS(C3420,TODAY())&lt;=2,"Risco Baixo",""))))</f>
        <v>Expedido</v>
      </c>
      <c r="P3420" s="5" t="s">
        <v>25</v>
      </c>
      <c r="S3420" s="7">
        <f>IF(ISBLANK(M3420),"Aguardando Previsão/Data",NETWORKDAYS(L3420,M3420)-1)</f>
        <v>-5</v>
      </c>
      <c r="T3420" s="5" t="s">
        <v>942</v>
      </c>
    </row>
    <row r="3421" spans="1:20" x14ac:dyDescent="0.35">
      <c r="A3421" s="5">
        <v>8100282675</v>
      </c>
      <c r="B3421" s="5">
        <v>19625</v>
      </c>
      <c r="C3421" s="6">
        <v>45681</v>
      </c>
      <c r="D3421" s="5" t="s">
        <v>106</v>
      </c>
      <c r="E3421" s="5" t="s">
        <v>107</v>
      </c>
      <c r="F3421" s="5" t="s">
        <v>69</v>
      </c>
      <c r="G3421" s="5" t="s">
        <v>70</v>
      </c>
      <c r="H3421" s="5" t="s">
        <v>108</v>
      </c>
      <c r="I3421" s="5" t="s">
        <v>128</v>
      </c>
      <c r="J3421" s="5" t="s">
        <v>297</v>
      </c>
      <c r="K3421" s="5" t="s">
        <v>110</v>
      </c>
      <c r="L3421" s="6">
        <v>45687</v>
      </c>
      <c r="M3421" s="6">
        <v>45692</v>
      </c>
      <c r="N3421" s="5" t="s">
        <v>811</v>
      </c>
      <c r="O3421" s="5" t="str">
        <f ca="1">IF(P3421&lt;&gt;"EXPEDIÇÃO","Expedido",IF(NETWORKDAYS(C3421,TODAY())&gt;=5,"Risco Alto",IF(NETWORKDAYS(C3421,TODAY())&gt;=3,IF(NETWORKDAYS(C3421,TODAY())&lt;5,"Risco Médio",""),IF(NETWORKDAYS(C3421,TODAY())&lt;=2,"Risco Baixo",""))))</f>
        <v>Risco Alto</v>
      </c>
      <c r="P3421" s="5" t="s">
        <v>726</v>
      </c>
      <c r="Q3421" s="5" t="s">
        <v>897</v>
      </c>
      <c r="R3421" s="5" t="s">
        <v>1621</v>
      </c>
      <c r="S3421" s="7">
        <f>IF(ISBLANK(M3421),"Aguardando Previsão/Data",NETWORKDAYS(L3421,M3421)-1)</f>
        <v>3</v>
      </c>
    </row>
    <row r="3422" spans="1:20" x14ac:dyDescent="0.35">
      <c r="A3422" s="5">
        <v>8100282676</v>
      </c>
      <c r="B3422" s="5">
        <v>19633</v>
      </c>
      <c r="C3422" s="6">
        <v>45681</v>
      </c>
      <c r="D3422" s="5" t="s">
        <v>106</v>
      </c>
      <c r="E3422" s="5" t="s">
        <v>107</v>
      </c>
      <c r="F3422" s="5" t="s">
        <v>58</v>
      </c>
      <c r="G3422" s="5" t="s">
        <v>59</v>
      </c>
      <c r="H3422" s="5" t="s">
        <v>108</v>
      </c>
      <c r="I3422" s="5" t="s">
        <v>126</v>
      </c>
      <c r="J3422" s="5" t="s">
        <v>127</v>
      </c>
      <c r="K3422" s="5" t="s">
        <v>110</v>
      </c>
      <c r="L3422" s="6">
        <v>45687</v>
      </c>
      <c r="M3422" s="6">
        <v>45684</v>
      </c>
      <c r="N3422" s="5" t="s">
        <v>811</v>
      </c>
      <c r="O3422" s="5" t="str">
        <f ca="1">IF(P3422&lt;&gt;"EXPEDIÇÃO","Expedido",IF(NETWORKDAYS(C3422,TODAY())&gt;=5,"Risco Alto",IF(NETWORKDAYS(C3422,TODAY())&gt;=3,IF(NETWORKDAYS(C3422,TODAY())&lt;5,"Risco Médio",""),IF(NETWORKDAYS(C3422,TODAY())&lt;=2,"Risco Baixo",""))))</f>
        <v>Expedido</v>
      </c>
      <c r="P3422" s="5" t="s">
        <v>25</v>
      </c>
      <c r="S3422" s="7">
        <f>IF(ISBLANK(M3422),"Aguardando Previsão/Data",NETWORKDAYS(L3422,M3422)-1)</f>
        <v>-5</v>
      </c>
      <c r="T3422" s="5" t="s">
        <v>942</v>
      </c>
    </row>
    <row r="3423" spans="1:20" x14ac:dyDescent="0.35">
      <c r="A3423" s="5">
        <v>8100282677</v>
      </c>
      <c r="B3423" s="5">
        <v>19607</v>
      </c>
      <c r="C3423" s="6">
        <v>45681</v>
      </c>
      <c r="D3423" s="5" t="s">
        <v>106</v>
      </c>
      <c r="E3423" s="5" t="s">
        <v>107</v>
      </c>
      <c r="F3423" s="5" t="s">
        <v>111</v>
      </c>
      <c r="G3423" s="5" t="s">
        <v>112</v>
      </c>
      <c r="H3423" s="5" t="s">
        <v>108</v>
      </c>
      <c r="I3423" s="5" t="s">
        <v>113</v>
      </c>
      <c r="J3423" s="5" t="s">
        <v>392</v>
      </c>
      <c r="K3423" s="5" t="s">
        <v>110</v>
      </c>
      <c r="L3423" s="6">
        <v>45688</v>
      </c>
      <c r="M3423" s="6">
        <v>45685</v>
      </c>
      <c r="N3423" s="5" t="s">
        <v>811</v>
      </c>
      <c r="O3423" s="5" t="str">
        <f ca="1">IF(P3423&lt;&gt;"EXPEDIÇÃO","Expedido",IF(NETWORKDAYS(C3423,TODAY())&gt;=5,"Risco Alto",IF(NETWORKDAYS(C3423,TODAY())&gt;=3,IF(NETWORKDAYS(C3423,TODAY())&lt;5,"Risco Médio",""),IF(NETWORKDAYS(C3423,TODAY())&lt;=2,"Risco Baixo",""))))</f>
        <v>Expedido</v>
      </c>
      <c r="P3423" s="5" t="s">
        <v>25</v>
      </c>
      <c r="S3423" s="7">
        <f>IF(ISBLANK(M3423),"Aguardando Previsão/Data",NETWORKDAYS(L3423,M3423)-1)</f>
        <v>-5</v>
      </c>
      <c r="T3423" s="5" t="s">
        <v>942</v>
      </c>
    </row>
    <row r="3424" spans="1:20" x14ac:dyDescent="0.35">
      <c r="A3424" s="5">
        <v>8100282679</v>
      </c>
      <c r="B3424" s="5">
        <v>19619</v>
      </c>
      <c r="C3424" s="6">
        <v>45681</v>
      </c>
      <c r="D3424" s="5" t="s">
        <v>106</v>
      </c>
      <c r="E3424" s="5" t="s">
        <v>107</v>
      </c>
      <c r="F3424" s="5" t="s">
        <v>147</v>
      </c>
      <c r="G3424" s="5" t="s">
        <v>148</v>
      </c>
      <c r="H3424" s="5" t="s">
        <v>108</v>
      </c>
      <c r="I3424" s="5" t="s">
        <v>128</v>
      </c>
      <c r="J3424" s="5" t="s">
        <v>449</v>
      </c>
      <c r="K3424" s="5" t="s">
        <v>110</v>
      </c>
      <c r="L3424" s="6">
        <v>45691</v>
      </c>
      <c r="M3424" s="6">
        <v>45687</v>
      </c>
      <c r="N3424" s="5" t="s">
        <v>811</v>
      </c>
      <c r="O3424" s="5" t="str">
        <f ca="1">IF(P3424&lt;&gt;"EXPEDIÇÃO","Expedido",IF(NETWORKDAYS(C3424,TODAY())&gt;=5,"Risco Alto",IF(NETWORKDAYS(C3424,TODAY())&gt;=3,IF(NETWORKDAYS(C3424,TODAY())&lt;5,"Risco Médio",""),IF(NETWORKDAYS(C3424,TODAY())&lt;=2,"Risco Baixo",""))))</f>
        <v>Expedido</v>
      </c>
      <c r="P3424" s="5" t="s">
        <v>25</v>
      </c>
      <c r="S3424" s="7">
        <f>IF(ISBLANK(M3424),"Aguardando Previsão/Data",NETWORKDAYS(L3424,M3424)-1)</f>
        <v>-4</v>
      </c>
      <c r="T3424" s="5" t="s">
        <v>942</v>
      </c>
    </row>
    <row r="3425" spans="1:20" x14ac:dyDescent="0.35">
      <c r="A3425" s="5">
        <v>8100282680</v>
      </c>
      <c r="B3425" s="5">
        <v>19662</v>
      </c>
      <c r="C3425" s="6">
        <v>45681</v>
      </c>
      <c r="D3425" s="5" t="s">
        <v>106</v>
      </c>
      <c r="E3425" s="5" t="s">
        <v>107</v>
      </c>
      <c r="F3425" s="5" t="s">
        <v>69</v>
      </c>
      <c r="G3425" s="5" t="s">
        <v>70</v>
      </c>
      <c r="H3425" s="5" t="s">
        <v>108</v>
      </c>
      <c r="I3425" s="5" t="s">
        <v>144</v>
      </c>
      <c r="J3425" s="5" t="s">
        <v>141</v>
      </c>
      <c r="K3425" s="5" t="s">
        <v>110</v>
      </c>
      <c r="L3425" s="6">
        <v>45687</v>
      </c>
      <c r="M3425" s="6">
        <v>45681</v>
      </c>
      <c r="N3425" s="5" t="s">
        <v>811</v>
      </c>
      <c r="O3425" s="5" t="str">
        <f ca="1">IF(P3425&lt;&gt;"EXPEDIÇÃO","Expedido",IF(NETWORKDAYS(C3425,TODAY())&gt;=5,"Risco Alto",IF(NETWORKDAYS(C3425,TODAY())&gt;=3,IF(NETWORKDAYS(C3425,TODAY())&lt;5,"Risco Médio",""),IF(NETWORKDAYS(C3425,TODAY())&lt;=2,"Risco Baixo",""))))</f>
        <v>Expedido</v>
      </c>
      <c r="P3425" s="5" t="s">
        <v>25</v>
      </c>
      <c r="Q3425" s="5" t="s">
        <v>900</v>
      </c>
      <c r="S3425" s="7">
        <f>IF(ISBLANK(M3425),"Aguardando Previsão/Data",NETWORKDAYS(L3425,M3425)-1)</f>
        <v>-6</v>
      </c>
      <c r="T3425" s="5" t="s">
        <v>942</v>
      </c>
    </row>
    <row r="3426" spans="1:20" x14ac:dyDescent="0.35">
      <c r="A3426" s="5">
        <v>8100282683</v>
      </c>
      <c r="B3426" s="5">
        <v>19614</v>
      </c>
      <c r="C3426" s="6">
        <v>45681</v>
      </c>
      <c r="D3426" s="5" t="s">
        <v>106</v>
      </c>
      <c r="E3426" s="5" t="s">
        <v>107</v>
      </c>
      <c r="F3426" s="5" t="s">
        <v>69</v>
      </c>
      <c r="G3426" s="5" t="s">
        <v>70</v>
      </c>
      <c r="H3426" s="5" t="s">
        <v>108</v>
      </c>
      <c r="I3426" s="5" t="s">
        <v>64</v>
      </c>
      <c r="J3426" s="5" t="s">
        <v>537</v>
      </c>
      <c r="K3426" s="5" t="s">
        <v>110</v>
      </c>
      <c r="L3426" s="6">
        <v>45691</v>
      </c>
      <c r="M3426" s="6">
        <v>45686</v>
      </c>
      <c r="N3426" s="5" t="s">
        <v>811</v>
      </c>
      <c r="O3426" s="5" t="str">
        <f ca="1">IF(P3426&lt;&gt;"EXPEDIÇÃO","Expedido",IF(NETWORKDAYS(C3426,TODAY())&gt;=5,"Risco Alto",IF(NETWORKDAYS(C3426,TODAY())&gt;=3,IF(NETWORKDAYS(C3426,TODAY())&lt;5,"Risco Médio",""),IF(NETWORKDAYS(C3426,TODAY())&lt;=2,"Risco Baixo",""))))</f>
        <v>Expedido</v>
      </c>
      <c r="P3426" s="5" t="s">
        <v>25</v>
      </c>
      <c r="S3426" s="7">
        <f>IF(ISBLANK(M3426),"Aguardando Previsão/Data",NETWORKDAYS(L3426,M3426)-1)</f>
        <v>-5</v>
      </c>
      <c r="T3426" s="5" t="s">
        <v>942</v>
      </c>
    </row>
    <row r="3427" spans="1:20" x14ac:dyDescent="0.35">
      <c r="A3427" s="5">
        <v>8100282684</v>
      </c>
      <c r="B3427" s="5">
        <v>19621</v>
      </c>
      <c r="C3427" s="6">
        <v>45681</v>
      </c>
      <c r="D3427" s="5" t="s">
        <v>106</v>
      </c>
      <c r="E3427" s="5" t="s">
        <v>107</v>
      </c>
      <c r="F3427" s="5" t="s">
        <v>111</v>
      </c>
      <c r="G3427" s="5" t="s">
        <v>112</v>
      </c>
      <c r="H3427" s="5" t="s">
        <v>108</v>
      </c>
      <c r="I3427" s="5" t="s">
        <v>115</v>
      </c>
      <c r="J3427" s="5" t="s">
        <v>117</v>
      </c>
      <c r="K3427" s="5" t="s">
        <v>110</v>
      </c>
      <c r="L3427" s="6">
        <v>45688</v>
      </c>
      <c r="M3427" s="6">
        <v>45687</v>
      </c>
      <c r="N3427" s="5" t="s">
        <v>811</v>
      </c>
      <c r="O3427" s="5" t="str">
        <f ca="1">IF(P3427&lt;&gt;"EXPEDIÇÃO","Expedido",IF(NETWORKDAYS(C3427,TODAY())&gt;=5,"Risco Alto",IF(NETWORKDAYS(C3427,TODAY())&gt;=3,IF(NETWORKDAYS(C3427,TODAY())&lt;5,"Risco Médio",""),IF(NETWORKDAYS(C3427,TODAY())&lt;=2,"Risco Baixo",""))))</f>
        <v>Expedido</v>
      </c>
      <c r="P3427" s="5" t="s">
        <v>25</v>
      </c>
      <c r="S3427" s="7">
        <f>IF(ISBLANK(M3427),"Aguardando Previsão/Data",NETWORKDAYS(L3427,M3427)-1)</f>
        <v>-3</v>
      </c>
      <c r="T3427" s="5" t="s">
        <v>942</v>
      </c>
    </row>
    <row r="3428" spans="1:20" x14ac:dyDescent="0.35">
      <c r="A3428" s="5">
        <v>8100282685</v>
      </c>
      <c r="B3428" s="5">
        <v>19608</v>
      </c>
      <c r="C3428" s="6">
        <v>45681</v>
      </c>
      <c r="D3428" s="5" t="s">
        <v>106</v>
      </c>
      <c r="E3428" s="5" t="s">
        <v>107</v>
      </c>
      <c r="F3428" s="5" t="s">
        <v>111</v>
      </c>
      <c r="G3428" s="5" t="s">
        <v>112</v>
      </c>
      <c r="H3428" s="5" t="s">
        <v>108</v>
      </c>
      <c r="I3428" s="5" t="s">
        <v>115</v>
      </c>
      <c r="J3428" s="5" t="s">
        <v>125</v>
      </c>
      <c r="K3428" s="5" t="s">
        <v>110</v>
      </c>
      <c r="L3428" s="6">
        <v>45687</v>
      </c>
      <c r="M3428" s="6">
        <v>45686</v>
      </c>
      <c r="N3428" s="5" t="s">
        <v>811</v>
      </c>
      <c r="O3428" s="5" t="str">
        <f ca="1">IF(P3428&lt;&gt;"EXPEDIÇÃO","Expedido",IF(NETWORKDAYS(C3428,TODAY())&gt;=5,"Risco Alto",IF(NETWORKDAYS(C3428,TODAY())&gt;=3,IF(NETWORKDAYS(C3428,TODAY())&lt;5,"Risco Médio",""),IF(NETWORKDAYS(C3428,TODAY())&lt;=2,"Risco Baixo",""))))</f>
        <v>Expedido</v>
      </c>
      <c r="P3428" s="5" t="s">
        <v>25</v>
      </c>
      <c r="S3428" s="7">
        <f>IF(ISBLANK(M3428),"Aguardando Previsão/Data",NETWORKDAYS(L3428,M3428)-1)</f>
        <v>-3</v>
      </c>
      <c r="T3428" s="5" t="s">
        <v>942</v>
      </c>
    </row>
    <row r="3429" spans="1:20" x14ac:dyDescent="0.35">
      <c r="A3429" s="5">
        <v>8100282686</v>
      </c>
      <c r="B3429" s="5">
        <v>19627</v>
      </c>
      <c r="C3429" s="6">
        <v>45681</v>
      </c>
      <c r="D3429" s="5" t="s">
        <v>106</v>
      </c>
      <c r="E3429" s="5" t="s">
        <v>107</v>
      </c>
      <c r="F3429" s="5" t="s">
        <v>69</v>
      </c>
      <c r="G3429" s="5" t="s">
        <v>70</v>
      </c>
      <c r="H3429" s="5" t="s">
        <v>108</v>
      </c>
      <c r="I3429" s="5" t="s">
        <v>278</v>
      </c>
      <c r="J3429" s="5" t="s">
        <v>279</v>
      </c>
      <c r="K3429" s="5" t="s">
        <v>110</v>
      </c>
      <c r="L3429" s="6">
        <v>45688</v>
      </c>
      <c r="M3429" s="6">
        <v>45695</v>
      </c>
      <c r="N3429" s="5" t="s">
        <v>811</v>
      </c>
      <c r="O3429" s="5" t="str">
        <f ca="1">IF(P3429&lt;&gt;"EXPEDIÇÃO","Expedido",IF(NETWORKDAYS(C3429,TODAY())&gt;=5,"Risco Alto",IF(NETWORKDAYS(C3429,TODAY())&gt;=3,IF(NETWORKDAYS(C3429,TODAY())&lt;5,"Risco Médio",""),IF(NETWORKDAYS(C3429,TODAY())&lt;=2,"Risco Baixo",""))))</f>
        <v>Risco Alto</v>
      </c>
      <c r="P3429" s="5" t="s">
        <v>726</v>
      </c>
      <c r="Q3429" s="5" t="s">
        <v>914</v>
      </c>
      <c r="S3429" s="7">
        <f>IF(ISBLANK(M3429),"Aguardando Previsão/Data",NETWORKDAYS(L3429,M3429)-1)</f>
        <v>5</v>
      </c>
    </row>
    <row r="3430" spans="1:20" x14ac:dyDescent="0.35">
      <c r="A3430" s="5">
        <v>8100282687</v>
      </c>
      <c r="B3430" s="5">
        <v>19623</v>
      </c>
      <c r="C3430" s="6">
        <v>45681</v>
      </c>
      <c r="D3430" s="5" t="s">
        <v>106</v>
      </c>
      <c r="E3430" s="5" t="s">
        <v>107</v>
      </c>
      <c r="F3430" s="5" t="s">
        <v>69</v>
      </c>
      <c r="G3430" s="5" t="s">
        <v>70</v>
      </c>
      <c r="H3430" s="5" t="s">
        <v>108</v>
      </c>
      <c r="I3430" s="5" t="s">
        <v>77</v>
      </c>
      <c r="J3430" s="5" t="s">
        <v>825</v>
      </c>
      <c r="K3430" s="5" t="s">
        <v>110</v>
      </c>
      <c r="L3430" s="6">
        <v>45688</v>
      </c>
      <c r="M3430" s="6">
        <v>45684</v>
      </c>
      <c r="N3430" s="5" t="s">
        <v>811</v>
      </c>
      <c r="O3430" s="5" t="str">
        <f ca="1">IF(P3430&lt;&gt;"EXPEDIÇÃO","Expedido",IF(NETWORKDAYS(C3430,TODAY())&gt;=5,"Risco Alto",IF(NETWORKDAYS(C3430,TODAY())&gt;=3,IF(NETWORKDAYS(C3430,TODAY())&lt;5,"Risco Médio",""),IF(NETWORKDAYS(C3430,TODAY())&lt;=2,"Risco Baixo",""))))</f>
        <v>Expedido</v>
      </c>
      <c r="P3430" s="5" t="s">
        <v>25</v>
      </c>
      <c r="Q3430" s="5" t="s">
        <v>897</v>
      </c>
      <c r="S3430" s="7">
        <f>IF(ISBLANK(M3430),"Aguardando Previsão/Data",NETWORKDAYS(L3430,M3430)-1)</f>
        <v>-6</v>
      </c>
      <c r="T3430" s="5" t="s">
        <v>942</v>
      </c>
    </row>
    <row r="3431" spans="1:20" x14ac:dyDescent="0.35">
      <c r="A3431" s="5">
        <v>8100282688</v>
      </c>
      <c r="B3431" s="5">
        <v>19624</v>
      </c>
      <c r="C3431" s="6">
        <v>45681</v>
      </c>
      <c r="D3431" s="5" t="s">
        <v>106</v>
      </c>
      <c r="E3431" s="5" t="s">
        <v>107</v>
      </c>
      <c r="F3431" s="5" t="s">
        <v>147</v>
      </c>
      <c r="G3431" s="5" t="s">
        <v>148</v>
      </c>
      <c r="H3431" s="5" t="s">
        <v>108</v>
      </c>
      <c r="I3431" s="5" t="s">
        <v>82</v>
      </c>
      <c r="J3431" s="5" t="s">
        <v>1149</v>
      </c>
      <c r="K3431" s="5" t="s">
        <v>110</v>
      </c>
      <c r="L3431" s="6">
        <v>45691</v>
      </c>
      <c r="M3431" s="6">
        <v>45686</v>
      </c>
      <c r="N3431" s="5" t="s">
        <v>811</v>
      </c>
      <c r="O3431" s="5" t="str">
        <f ca="1">IF(P3431&lt;&gt;"EXPEDIÇÃO","Expedido",IF(NETWORKDAYS(C3431,TODAY())&gt;=5,"Risco Alto",IF(NETWORKDAYS(C3431,TODAY())&gt;=3,IF(NETWORKDAYS(C3431,TODAY())&lt;5,"Risco Médio",""),IF(NETWORKDAYS(C3431,TODAY())&lt;=2,"Risco Baixo",""))))</f>
        <v>Expedido</v>
      </c>
      <c r="P3431" s="5" t="s">
        <v>25</v>
      </c>
      <c r="S3431" s="7">
        <f>IF(ISBLANK(M3431),"Aguardando Previsão/Data",NETWORKDAYS(L3431,M3431)-1)</f>
        <v>-5</v>
      </c>
      <c r="T3431" s="5" t="s">
        <v>942</v>
      </c>
    </row>
    <row r="3432" spans="1:20" x14ac:dyDescent="0.35">
      <c r="A3432" s="5">
        <v>8100282689</v>
      </c>
      <c r="B3432" s="5">
        <v>19620</v>
      </c>
      <c r="C3432" s="6">
        <v>45681</v>
      </c>
      <c r="D3432" s="5" t="s">
        <v>106</v>
      </c>
      <c r="E3432" s="5" t="s">
        <v>107</v>
      </c>
      <c r="F3432" s="5" t="s">
        <v>147</v>
      </c>
      <c r="G3432" s="5" t="s">
        <v>148</v>
      </c>
      <c r="H3432" s="5" t="s">
        <v>108</v>
      </c>
      <c r="I3432" s="5" t="s">
        <v>128</v>
      </c>
      <c r="J3432" s="5" t="s">
        <v>507</v>
      </c>
      <c r="K3432" s="5" t="s">
        <v>110</v>
      </c>
      <c r="L3432" s="6">
        <v>45691</v>
      </c>
      <c r="M3432" s="6">
        <v>45688</v>
      </c>
      <c r="N3432" s="5" t="s">
        <v>811</v>
      </c>
      <c r="O3432" s="5" t="str">
        <f ca="1">IF(P3432&lt;&gt;"EXPEDIÇÃO","Expedido",IF(NETWORKDAYS(C3432,TODAY())&gt;=5,"Risco Alto",IF(NETWORKDAYS(C3432,TODAY())&gt;=3,IF(NETWORKDAYS(C3432,TODAY())&lt;5,"Risco Médio",""),IF(NETWORKDAYS(C3432,TODAY())&lt;=2,"Risco Baixo",""))))</f>
        <v>Expedido</v>
      </c>
      <c r="P3432" s="5" t="s">
        <v>617</v>
      </c>
      <c r="S3432" s="7">
        <f>IF(ISBLANK(M3432),"Aguardando Previsão/Data",NETWORKDAYS(L3432,M3432)-1)</f>
        <v>-3</v>
      </c>
    </row>
    <row r="3433" spans="1:20" x14ac:dyDescent="0.35">
      <c r="A3433" s="5">
        <v>8100282690</v>
      </c>
      <c r="B3433" s="5">
        <v>19628</v>
      </c>
      <c r="C3433" s="6">
        <v>45681</v>
      </c>
      <c r="D3433" s="5" t="s">
        <v>106</v>
      </c>
      <c r="E3433" s="5" t="s">
        <v>107</v>
      </c>
      <c r="F3433" s="5" t="s">
        <v>69</v>
      </c>
      <c r="G3433" s="5" t="s">
        <v>70</v>
      </c>
      <c r="H3433" s="5" t="s">
        <v>108</v>
      </c>
      <c r="I3433" s="5" t="s">
        <v>278</v>
      </c>
      <c r="J3433" s="5" t="s">
        <v>279</v>
      </c>
      <c r="K3433" s="5" t="s">
        <v>110</v>
      </c>
      <c r="L3433" s="6">
        <v>45688</v>
      </c>
      <c r="M3433" s="6">
        <v>45695</v>
      </c>
      <c r="N3433" s="5" t="s">
        <v>811</v>
      </c>
      <c r="O3433" s="5" t="str">
        <f ca="1">IF(P3433&lt;&gt;"EXPEDIÇÃO","Expedido",IF(NETWORKDAYS(C3433,TODAY())&gt;=5,"Risco Alto",IF(NETWORKDAYS(C3433,TODAY())&gt;=3,IF(NETWORKDAYS(C3433,TODAY())&lt;5,"Risco Médio",""),IF(NETWORKDAYS(C3433,TODAY())&lt;=2,"Risco Baixo",""))))</f>
        <v>Risco Alto</v>
      </c>
      <c r="P3433" s="5" t="s">
        <v>726</v>
      </c>
      <c r="Q3433" s="5" t="s">
        <v>914</v>
      </c>
      <c r="S3433" s="7">
        <f>IF(ISBLANK(M3433),"Aguardando Previsão/Data",NETWORKDAYS(L3433,M3433)-1)</f>
        <v>5</v>
      </c>
    </row>
    <row r="3434" spans="1:20" x14ac:dyDescent="0.35">
      <c r="A3434" s="5">
        <v>8100282691</v>
      </c>
      <c r="B3434" s="5">
        <v>19613</v>
      </c>
      <c r="C3434" s="6">
        <v>45681</v>
      </c>
      <c r="D3434" s="5" t="s">
        <v>106</v>
      </c>
      <c r="E3434" s="5" t="s">
        <v>107</v>
      </c>
      <c r="F3434" s="5" t="s">
        <v>69</v>
      </c>
      <c r="G3434" s="5" t="s">
        <v>70</v>
      </c>
      <c r="H3434" s="5" t="s">
        <v>108</v>
      </c>
      <c r="I3434" s="5" t="s">
        <v>115</v>
      </c>
      <c r="J3434" s="5" t="s">
        <v>346</v>
      </c>
      <c r="K3434" s="5" t="s">
        <v>110</v>
      </c>
      <c r="L3434" s="6">
        <v>45688</v>
      </c>
      <c r="M3434" s="6">
        <v>45685</v>
      </c>
      <c r="N3434" s="5" t="s">
        <v>811</v>
      </c>
      <c r="O3434" s="5" t="str">
        <f ca="1">IF(P3434&lt;&gt;"EXPEDIÇÃO","Expedido",IF(NETWORKDAYS(C3434,TODAY())&gt;=5,"Risco Alto",IF(NETWORKDAYS(C3434,TODAY())&gt;=3,IF(NETWORKDAYS(C3434,TODAY())&lt;5,"Risco Médio",""),IF(NETWORKDAYS(C3434,TODAY())&lt;=2,"Risco Baixo",""))))</f>
        <v>Expedido</v>
      </c>
      <c r="P3434" s="5" t="s">
        <v>25</v>
      </c>
      <c r="S3434" s="7">
        <f>IF(ISBLANK(M3434),"Aguardando Previsão/Data",NETWORKDAYS(L3434,M3434)-1)</f>
        <v>-5</v>
      </c>
      <c r="T3434" s="5" t="s">
        <v>942</v>
      </c>
    </row>
    <row r="3435" spans="1:20" x14ac:dyDescent="0.35">
      <c r="A3435" s="5">
        <v>8100282692</v>
      </c>
      <c r="B3435" s="5">
        <v>19636</v>
      </c>
      <c r="C3435" s="6">
        <v>45681</v>
      </c>
      <c r="D3435" s="5" t="s">
        <v>106</v>
      </c>
      <c r="E3435" s="5" t="s">
        <v>107</v>
      </c>
      <c r="F3435" s="5" t="s">
        <v>69</v>
      </c>
      <c r="G3435" s="5" t="s">
        <v>70</v>
      </c>
      <c r="H3435" s="5" t="s">
        <v>108</v>
      </c>
      <c r="I3435" s="5" t="s">
        <v>115</v>
      </c>
      <c r="J3435" s="5" t="s">
        <v>116</v>
      </c>
      <c r="K3435" s="5" t="s">
        <v>110</v>
      </c>
      <c r="L3435" s="6">
        <v>45688</v>
      </c>
      <c r="M3435" s="6">
        <v>45685</v>
      </c>
      <c r="N3435" s="5" t="s">
        <v>811</v>
      </c>
      <c r="O3435" s="5" t="str">
        <f ca="1">IF(P3435&lt;&gt;"EXPEDIÇÃO","Expedido",IF(NETWORKDAYS(C3435,TODAY())&gt;=5,"Risco Alto",IF(NETWORKDAYS(C3435,TODAY())&gt;=3,IF(NETWORKDAYS(C3435,TODAY())&lt;5,"Risco Médio",""),IF(NETWORKDAYS(C3435,TODAY())&lt;=2,"Risco Baixo",""))))</f>
        <v>Expedido</v>
      </c>
      <c r="P3435" s="5" t="s">
        <v>25</v>
      </c>
      <c r="S3435" s="7">
        <f>IF(ISBLANK(M3435),"Aguardando Previsão/Data",NETWORKDAYS(L3435,M3435)-1)</f>
        <v>-5</v>
      </c>
      <c r="T3435" s="5" t="s">
        <v>942</v>
      </c>
    </row>
    <row r="3436" spans="1:20" x14ac:dyDescent="0.35">
      <c r="A3436" s="5">
        <v>8100282693</v>
      </c>
      <c r="B3436" s="5">
        <v>19610</v>
      </c>
      <c r="C3436" s="6">
        <v>45681</v>
      </c>
      <c r="D3436" s="5" t="s">
        <v>106</v>
      </c>
      <c r="E3436" s="5" t="s">
        <v>107</v>
      </c>
      <c r="F3436" s="5" t="s">
        <v>69</v>
      </c>
      <c r="G3436" s="5" t="s">
        <v>70</v>
      </c>
      <c r="H3436" s="5" t="s">
        <v>108</v>
      </c>
      <c r="I3436" s="5" t="s">
        <v>115</v>
      </c>
      <c r="J3436" s="5" t="s">
        <v>344</v>
      </c>
      <c r="K3436" s="5" t="s">
        <v>110</v>
      </c>
      <c r="L3436" s="6">
        <v>45688</v>
      </c>
      <c r="M3436" s="6">
        <v>45688</v>
      </c>
      <c r="N3436" s="5" t="s">
        <v>811</v>
      </c>
      <c r="O3436" s="5" t="str">
        <f ca="1">IF(P3436&lt;&gt;"EXPEDIÇÃO","Expedido",IF(NETWORKDAYS(C3436,TODAY())&gt;=5,"Risco Alto",IF(NETWORKDAYS(C3436,TODAY())&gt;=3,IF(NETWORKDAYS(C3436,TODAY())&lt;5,"Risco Médio",""),IF(NETWORKDAYS(C3436,TODAY())&lt;=2,"Risco Baixo",""))))</f>
        <v>Expedido</v>
      </c>
      <c r="P3436" s="5" t="s">
        <v>617</v>
      </c>
      <c r="S3436" s="7">
        <f>IF(ISBLANK(M3436),"Aguardando Previsão/Data",NETWORKDAYS(L3436,M3436)-1)</f>
        <v>0</v>
      </c>
    </row>
    <row r="3437" spans="1:20" x14ac:dyDescent="0.35">
      <c r="A3437" s="5">
        <v>8100282694</v>
      </c>
      <c r="B3437" s="5">
        <v>19609</v>
      </c>
      <c r="C3437" s="6">
        <v>45681</v>
      </c>
      <c r="D3437" s="5" t="s">
        <v>106</v>
      </c>
      <c r="E3437" s="5" t="s">
        <v>107</v>
      </c>
      <c r="F3437" s="5" t="s">
        <v>69</v>
      </c>
      <c r="G3437" s="5" t="s">
        <v>70</v>
      </c>
      <c r="H3437" s="5" t="s">
        <v>108</v>
      </c>
      <c r="I3437" s="5" t="s">
        <v>115</v>
      </c>
      <c r="J3437" s="5" t="s">
        <v>343</v>
      </c>
      <c r="K3437" s="5" t="s">
        <v>110</v>
      </c>
      <c r="L3437" s="6">
        <v>45691</v>
      </c>
      <c r="M3437" s="6">
        <v>45685</v>
      </c>
      <c r="N3437" s="5" t="s">
        <v>811</v>
      </c>
      <c r="O3437" s="5" t="str">
        <f ca="1">IF(P3437&lt;&gt;"EXPEDIÇÃO","Expedido",IF(NETWORKDAYS(C3437,TODAY())&gt;=5,"Risco Alto",IF(NETWORKDAYS(C3437,TODAY())&gt;=3,IF(NETWORKDAYS(C3437,TODAY())&lt;5,"Risco Médio",""),IF(NETWORKDAYS(C3437,TODAY())&lt;=2,"Risco Baixo",""))))</f>
        <v>Expedido</v>
      </c>
      <c r="P3437" s="5" t="s">
        <v>25</v>
      </c>
      <c r="S3437" s="7">
        <f>IF(ISBLANK(M3437),"Aguardando Previsão/Data",NETWORKDAYS(L3437,M3437)-1)</f>
        <v>-6</v>
      </c>
      <c r="T3437" s="5" t="s">
        <v>942</v>
      </c>
    </row>
    <row r="3438" spans="1:20" x14ac:dyDescent="0.35">
      <c r="A3438" s="5">
        <v>8100282695</v>
      </c>
      <c r="B3438" s="5">
        <v>19630</v>
      </c>
      <c r="C3438" s="6">
        <v>45681</v>
      </c>
      <c r="D3438" s="5" t="s">
        <v>106</v>
      </c>
      <c r="E3438" s="5" t="s">
        <v>107</v>
      </c>
      <c r="F3438" s="5" t="s">
        <v>69</v>
      </c>
      <c r="G3438" s="5" t="s">
        <v>70</v>
      </c>
      <c r="H3438" s="5" t="s">
        <v>108</v>
      </c>
      <c r="I3438" s="5" t="s">
        <v>115</v>
      </c>
      <c r="J3438" s="5" t="s">
        <v>143</v>
      </c>
      <c r="K3438" s="5" t="s">
        <v>110</v>
      </c>
      <c r="L3438" s="6">
        <v>45688</v>
      </c>
      <c r="M3438" s="6">
        <v>45686</v>
      </c>
      <c r="N3438" s="5" t="s">
        <v>811</v>
      </c>
      <c r="O3438" s="5" t="str">
        <f ca="1">IF(P3438&lt;&gt;"EXPEDIÇÃO","Expedido",IF(NETWORKDAYS(C3438,TODAY())&gt;=5,"Risco Alto",IF(NETWORKDAYS(C3438,TODAY())&gt;=3,IF(NETWORKDAYS(C3438,TODAY())&lt;5,"Risco Médio",""),IF(NETWORKDAYS(C3438,TODAY())&lt;=2,"Risco Baixo",""))))</f>
        <v>Expedido</v>
      </c>
      <c r="P3438" s="5" t="s">
        <v>25</v>
      </c>
      <c r="Q3438" s="5" t="s">
        <v>897</v>
      </c>
      <c r="S3438" s="7">
        <f>IF(ISBLANK(M3438),"Aguardando Previsão/Data",NETWORKDAYS(L3438,M3438)-1)</f>
        <v>-4</v>
      </c>
      <c r="T3438" s="5" t="s">
        <v>942</v>
      </c>
    </row>
    <row r="3439" spans="1:20" x14ac:dyDescent="0.35">
      <c r="A3439" s="5">
        <v>8100282696</v>
      </c>
      <c r="B3439" s="5">
        <v>19631</v>
      </c>
      <c r="C3439" s="6">
        <v>45681</v>
      </c>
      <c r="D3439" s="5" t="s">
        <v>106</v>
      </c>
      <c r="E3439" s="5" t="s">
        <v>107</v>
      </c>
      <c r="F3439" s="5" t="s">
        <v>69</v>
      </c>
      <c r="G3439" s="5" t="s">
        <v>70</v>
      </c>
      <c r="H3439" s="5" t="s">
        <v>108</v>
      </c>
      <c r="I3439" s="5" t="s">
        <v>115</v>
      </c>
      <c r="J3439" s="5" t="s">
        <v>143</v>
      </c>
      <c r="K3439" s="5" t="s">
        <v>110</v>
      </c>
      <c r="L3439" s="6">
        <v>45688</v>
      </c>
      <c r="M3439" s="6">
        <v>45686</v>
      </c>
      <c r="N3439" s="5" t="s">
        <v>811</v>
      </c>
      <c r="O3439" s="5" t="str">
        <f ca="1">IF(P3439&lt;&gt;"EXPEDIÇÃO","Expedido",IF(NETWORKDAYS(C3439,TODAY())&gt;=5,"Risco Alto",IF(NETWORKDAYS(C3439,TODAY())&gt;=3,IF(NETWORKDAYS(C3439,TODAY())&lt;5,"Risco Médio",""),IF(NETWORKDAYS(C3439,TODAY())&lt;=2,"Risco Baixo",""))))</f>
        <v>Expedido</v>
      </c>
      <c r="P3439" s="5" t="s">
        <v>25</v>
      </c>
      <c r="Q3439" s="5" t="s">
        <v>897</v>
      </c>
      <c r="S3439" s="7">
        <f>IF(ISBLANK(M3439),"Aguardando Previsão/Data",NETWORKDAYS(L3439,M3439)-1)</f>
        <v>-4</v>
      </c>
      <c r="T3439" s="5" t="s">
        <v>942</v>
      </c>
    </row>
    <row r="3440" spans="1:20" x14ac:dyDescent="0.35">
      <c r="A3440" s="5">
        <v>8100282697</v>
      </c>
      <c r="B3440" s="5">
        <v>19622</v>
      </c>
      <c r="C3440" s="6">
        <v>45681</v>
      </c>
      <c r="D3440" s="5" t="s">
        <v>106</v>
      </c>
      <c r="E3440" s="5" t="s">
        <v>107</v>
      </c>
      <c r="F3440" s="5" t="s">
        <v>69</v>
      </c>
      <c r="G3440" s="5" t="s">
        <v>70</v>
      </c>
      <c r="H3440" s="5" t="s">
        <v>108</v>
      </c>
      <c r="I3440" s="5" t="s">
        <v>64</v>
      </c>
      <c r="J3440" s="5" t="s">
        <v>124</v>
      </c>
      <c r="K3440" s="5" t="s">
        <v>110</v>
      </c>
      <c r="L3440" s="6">
        <v>45691</v>
      </c>
      <c r="M3440" s="6">
        <v>45688</v>
      </c>
      <c r="N3440" s="5" t="s">
        <v>811</v>
      </c>
      <c r="O3440" s="5" t="str">
        <f ca="1">IF(P3440&lt;&gt;"EXPEDIÇÃO","Expedido",IF(NETWORKDAYS(C3440,TODAY())&gt;=5,"Risco Alto",IF(NETWORKDAYS(C3440,TODAY())&gt;=3,IF(NETWORKDAYS(C3440,TODAY())&lt;5,"Risco Médio",""),IF(NETWORKDAYS(C3440,TODAY())&lt;=2,"Risco Baixo",""))))</f>
        <v>Expedido</v>
      </c>
      <c r="P3440" s="5" t="s">
        <v>617</v>
      </c>
      <c r="S3440" s="7">
        <f>IF(ISBLANK(M3440),"Aguardando Previsão/Data",NETWORKDAYS(L3440,M3440)-1)</f>
        <v>-3</v>
      </c>
    </row>
    <row r="3441" spans="1:20" x14ac:dyDescent="0.35">
      <c r="A3441" s="5">
        <v>8100282698</v>
      </c>
      <c r="B3441" s="5">
        <v>19663</v>
      </c>
      <c r="C3441" s="6">
        <v>45681</v>
      </c>
      <c r="D3441" s="5" t="s">
        <v>106</v>
      </c>
      <c r="E3441" s="5" t="s">
        <v>107</v>
      </c>
      <c r="F3441" s="5" t="s">
        <v>147</v>
      </c>
      <c r="G3441" s="5" t="s">
        <v>148</v>
      </c>
      <c r="H3441" s="5" t="s">
        <v>108</v>
      </c>
      <c r="I3441" s="5" t="s">
        <v>144</v>
      </c>
      <c r="J3441" s="5" t="s">
        <v>141</v>
      </c>
      <c r="K3441" s="5" t="s">
        <v>110</v>
      </c>
      <c r="L3441" s="6">
        <v>45687</v>
      </c>
      <c r="M3441" s="6">
        <v>45681</v>
      </c>
      <c r="N3441" s="5" t="s">
        <v>811</v>
      </c>
      <c r="O3441" s="5" t="str">
        <f ca="1">IF(P3441&lt;&gt;"EXPEDIÇÃO","Expedido",IF(NETWORKDAYS(C3441,TODAY())&gt;=5,"Risco Alto",IF(NETWORKDAYS(C3441,TODAY())&gt;=3,IF(NETWORKDAYS(C3441,TODAY())&lt;5,"Risco Médio",""),IF(NETWORKDAYS(C3441,TODAY())&lt;=2,"Risco Baixo",""))))</f>
        <v>Expedido</v>
      </c>
      <c r="P3441" s="5" t="s">
        <v>25</v>
      </c>
      <c r="Q3441" s="5" t="s">
        <v>900</v>
      </c>
      <c r="S3441" s="7">
        <f>IF(ISBLANK(M3441),"Aguardando Previsão/Data",NETWORKDAYS(L3441,M3441)-1)</f>
        <v>-6</v>
      </c>
      <c r="T3441" s="5" t="s">
        <v>942</v>
      </c>
    </row>
    <row r="3442" spans="1:20" x14ac:dyDescent="0.35">
      <c r="A3442" s="5">
        <v>8100282699</v>
      </c>
      <c r="B3442" s="5">
        <v>19626</v>
      </c>
      <c r="C3442" s="6">
        <v>45681</v>
      </c>
      <c r="D3442" s="5" t="s">
        <v>106</v>
      </c>
      <c r="E3442" s="5" t="s">
        <v>107</v>
      </c>
      <c r="F3442" s="5" t="s">
        <v>53</v>
      </c>
      <c r="G3442" s="5" t="s">
        <v>54</v>
      </c>
      <c r="H3442" s="5" t="s">
        <v>108</v>
      </c>
      <c r="I3442" s="5" t="s">
        <v>447</v>
      </c>
      <c r="J3442" s="5" t="s">
        <v>448</v>
      </c>
      <c r="K3442" s="5" t="s">
        <v>110</v>
      </c>
      <c r="L3442" s="6">
        <v>45688</v>
      </c>
      <c r="M3442" s="6">
        <v>45687</v>
      </c>
      <c r="N3442" s="5" t="s">
        <v>811</v>
      </c>
      <c r="O3442" s="5" t="str">
        <f ca="1">IF(P3442&lt;&gt;"EXPEDIÇÃO","Expedido",IF(NETWORKDAYS(C3442,TODAY())&gt;=5,"Risco Alto",IF(NETWORKDAYS(C3442,TODAY())&gt;=3,IF(NETWORKDAYS(C3442,TODAY())&lt;5,"Risco Médio",""),IF(NETWORKDAYS(C3442,TODAY())&lt;=2,"Risco Baixo",""))))</f>
        <v>Expedido</v>
      </c>
      <c r="P3442" s="5" t="s">
        <v>617</v>
      </c>
      <c r="S3442" s="7">
        <f>IF(ISBLANK(M3442),"Aguardando Previsão/Data",NETWORKDAYS(L3442,M3442)-1)</f>
        <v>-3</v>
      </c>
    </row>
    <row r="3443" spans="1:20" x14ac:dyDescent="0.35">
      <c r="A3443" s="5">
        <v>8100282700</v>
      </c>
      <c r="B3443" s="5">
        <v>19618</v>
      </c>
      <c r="C3443" s="6">
        <v>45681</v>
      </c>
      <c r="D3443" s="5" t="s">
        <v>106</v>
      </c>
      <c r="E3443" s="5" t="s">
        <v>107</v>
      </c>
      <c r="F3443" s="5" t="s">
        <v>66</v>
      </c>
      <c r="G3443" s="5" t="s">
        <v>67</v>
      </c>
      <c r="H3443" s="5" t="s">
        <v>108</v>
      </c>
      <c r="I3443" s="5" t="s">
        <v>475</v>
      </c>
      <c r="J3443" s="5" t="s">
        <v>476</v>
      </c>
      <c r="K3443" s="5" t="s">
        <v>110</v>
      </c>
      <c r="L3443" s="6">
        <v>45691</v>
      </c>
      <c r="M3443" s="6">
        <v>45685</v>
      </c>
      <c r="N3443" s="5" t="s">
        <v>811</v>
      </c>
      <c r="O3443" s="5" t="str">
        <f ca="1">IF(P3443&lt;&gt;"EXPEDIÇÃO","Expedido",IF(NETWORKDAYS(C3443,TODAY())&gt;=5,"Risco Alto",IF(NETWORKDAYS(C3443,TODAY())&gt;=3,IF(NETWORKDAYS(C3443,TODAY())&lt;5,"Risco Médio",""),IF(NETWORKDAYS(C3443,TODAY())&lt;=2,"Risco Baixo",""))))</f>
        <v>Expedido</v>
      </c>
      <c r="P3443" s="5" t="s">
        <v>25</v>
      </c>
      <c r="S3443" s="7">
        <f>IF(ISBLANK(M3443),"Aguardando Previsão/Data",NETWORKDAYS(L3443,M3443)-1)</f>
        <v>-6</v>
      </c>
      <c r="T3443" s="5" t="s">
        <v>942</v>
      </c>
    </row>
    <row r="3444" spans="1:20" x14ac:dyDescent="0.35">
      <c r="A3444" s="5">
        <v>8100282701</v>
      </c>
      <c r="B3444" s="5">
        <v>19615</v>
      </c>
      <c r="C3444" s="6">
        <v>45681</v>
      </c>
      <c r="D3444" s="5" t="s">
        <v>106</v>
      </c>
      <c r="E3444" s="5" t="s">
        <v>107</v>
      </c>
      <c r="F3444" s="5" t="s">
        <v>69</v>
      </c>
      <c r="G3444" s="5" t="s">
        <v>70</v>
      </c>
      <c r="H3444" s="5" t="s">
        <v>108</v>
      </c>
      <c r="I3444" s="5" t="s">
        <v>64</v>
      </c>
      <c r="J3444" s="5" t="s">
        <v>537</v>
      </c>
      <c r="K3444" s="5" t="s">
        <v>110</v>
      </c>
      <c r="L3444" s="6">
        <v>45691</v>
      </c>
      <c r="M3444" s="6">
        <v>45686</v>
      </c>
      <c r="N3444" s="5" t="s">
        <v>811</v>
      </c>
      <c r="O3444" s="5" t="str">
        <f ca="1">IF(P3444&lt;&gt;"EXPEDIÇÃO","Expedido",IF(NETWORKDAYS(C3444,TODAY())&gt;=5,"Risco Alto",IF(NETWORKDAYS(C3444,TODAY())&gt;=3,IF(NETWORKDAYS(C3444,TODAY())&lt;5,"Risco Médio",""),IF(NETWORKDAYS(C3444,TODAY())&lt;=2,"Risco Baixo",""))))</f>
        <v>Expedido</v>
      </c>
      <c r="P3444" s="5" t="s">
        <v>25</v>
      </c>
      <c r="S3444" s="7">
        <f>IF(ISBLANK(M3444),"Aguardando Previsão/Data",NETWORKDAYS(L3444,M3444)-1)</f>
        <v>-5</v>
      </c>
      <c r="T3444" s="5" t="s">
        <v>942</v>
      </c>
    </row>
    <row r="3445" spans="1:20" x14ac:dyDescent="0.35">
      <c r="A3445" s="5">
        <v>8100282702</v>
      </c>
      <c r="B3445" s="5">
        <v>19616</v>
      </c>
      <c r="C3445" s="6">
        <v>45681</v>
      </c>
      <c r="D3445" s="5" t="s">
        <v>106</v>
      </c>
      <c r="E3445" s="5" t="s">
        <v>107</v>
      </c>
      <c r="F3445" s="5" t="s">
        <v>69</v>
      </c>
      <c r="G3445" s="5" t="s">
        <v>70</v>
      </c>
      <c r="H3445" s="5" t="s">
        <v>108</v>
      </c>
      <c r="I3445" s="5" t="s">
        <v>64</v>
      </c>
      <c r="J3445" s="5" t="s">
        <v>537</v>
      </c>
      <c r="K3445" s="5" t="s">
        <v>110</v>
      </c>
      <c r="L3445" s="6">
        <v>45691</v>
      </c>
      <c r="M3445" s="6">
        <v>45686</v>
      </c>
      <c r="N3445" s="5" t="s">
        <v>811</v>
      </c>
      <c r="O3445" s="5" t="str">
        <f ca="1">IF(P3445&lt;&gt;"EXPEDIÇÃO","Expedido",IF(NETWORKDAYS(C3445,TODAY())&gt;=5,"Risco Alto",IF(NETWORKDAYS(C3445,TODAY())&gt;=3,IF(NETWORKDAYS(C3445,TODAY())&lt;5,"Risco Médio",""),IF(NETWORKDAYS(C3445,TODAY())&lt;=2,"Risco Baixo",""))))</f>
        <v>Expedido</v>
      </c>
      <c r="P3445" s="5" t="s">
        <v>25</v>
      </c>
      <c r="S3445" s="7">
        <f>IF(ISBLANK(M3445),"Aguardando Previsão/Data",NETWORKDAYS(L3445,M3445)-1)</f>
        <v>-5</v>
      </c>
      <c r="T3445" s="5" t="s">
        <v>942</v>
      </c>
    </row>
    <row r="3446" spans="1:20" x14ac:dyDescent="0.35">
      <c r="A3446" s="5">
        <v>8100282703</v>
      </c>
      <c r="B3446" s="5">
        <v>19617</v>
      </c>
      <c r="C3446" s="6">
        <v>45681</v>
      </c>
      <c r="D3446" s="5" t="s">
        <v>106</v>
      </c>
      <c r="E3446" s="5" t="s">
        <v>107</v>
      </c>
      <c r="F3446" s="5" t="s">
        <v>69</v>
      </c>
      <c r="G3446" s="5" t="s">
        <v>70</v>
      </c>
      <c r="H3446" s="5" t="s">
        <v>108</v>
      </c>
      <c r="I3446" s="5" t="s">
        <v>64</v>
      </c>
      <c r="J3446" s="5" t="s">
        <v>537</v>
      </c>
      <c r="K3446" s="5" t="s">
        <v>110</v>
      </c>
      <c r="L3446" s="6">
        <v>45691</v>
      </c>
      <c r="M3446" s="6">
        <v>45686</v>
      </c>
      <c r="N3446" s="5" t="s">
        <v>811</v>
      </c>
      <c r="O3446" s="5" t="str">
        <f ca="1">IF(P3446&lt;&gt;"EXPEDIÇÃO","Expedido",IF(NETWORKDAYS(C3446,TODAY())&gt;=5,"Risco Alto",IF(NETWORKDAYS(C3446,TODAY())&gt;=3,IF(NETWORKDAYS(C3446,TODAY())&lt;5,"Risco Médio",""),IF(NETWORKDAYS(C3446,TODAY())&lt;=2,"Risco Baixo",""))))</f>
        <v>Expedido</v>
      </c>
      <c r="P3446" s="5" t="s">
        <v>25</v>
      </c>
      <c r="S3446" s="7">
        <f>IF(ISBLANK(M3446),"Aguardando Previsão/Data",NETWORKDAYS(L3446,M3446)-1)</f>
        <v>-5</v>
      </c>
      <c r="T3446" s="5" t="s">
        <v>942</v>
      </c>
    </row>
    <row r="3447" spans="1:20" x14ac:dyDescent="0.35">
      <c r="A3447" s="5">
        <v>8100282704</v>
      </c>
      <c r="B3447" s="5">
        <v>19651</v>
      </c>
      <c r="C3447" s="6">
        <v>45681</v>
      </c>
      <c r="D3447" s="5" t="s">
        <v>106</v>
      </c>
      <c r="E3447" s="5" t="s">
        <v>107</v>
      </c>
      <c r="F3447" s="5" t="s">
        <v>69</v>
      </c>
      <c r="G3447" s="5" t="s">
        <v>70</v>
      </c>
      <c r="H3447" s="5" t="s">
        <v>108</v>
      </c>
      <c r="I3447" s="5" t="s">
        <v>284</v>
      </c>
      <c r="J3447" s="5" t="s">
        <v>286</v>
      </c>
      <c r="K3447" s="5" t="s">
        <v>110</v>
      </c>
      <c r="L3447" s="6">
        <v>45688</v>
      </c>
      <c r="M3447" s="6">
        <v>45684</v>
      </c>
      <c r="N3447" s="5" t="s">
        <v>811</v>
      </c>
      <c r="O3447" s="5" t="str">
        <f ca="1">IF(P3447&lt;&gt;"EXPEDIÇÃO","Expedido",IF(NETWORKDAYS(C3447,TODAY())&gt;=5,"Risco Alto",IF(NETWORKDAYS(C3447,TODAY())&gt;=3,IF(NETWORKDAYS(C3447,TODAY())&lt;5,"Risco Médio",""),IF(NETWORKDAYS(C3447,TODAY())&lt;=2,"Risco Baixo",""))))</f>
        <v>Expedido</v>
      </c>
      <c r="P3447" s="5" t="s">
        <v>25</v>
      </c>
      <c r="S3447" s="7">
        <f>IF(ISBLANK(M3447),"Aguardando Previsão/Data",NETWORKDAYS(L3447,M3447)-1)</f>
        <v>-6</v>
      </c>
      <c r="T3447" s="5" t="s">
        <v>942</v>
      </c>
    </row>
    <row r="3448" spans="1:20" x14ac:dyDescent="0.35">
      <c r="A3448" s="5">
        <v>8100282705</v>
      </c>
      <c r="B3448" s="5">
        <v>19652</v>
      </c>
      <c r="C3448" s="6">
        <v>45681</v>
      </c>
      <c r="D3448" s="5" t="s">
        <v>106</v>
      </c>
      <c r="E3448" s="5" t="s">
        <v>107</v>
      </c>
      <c r="F3448" s="5" t="s">
        <v>69</v>
      </c>
      <c r="G3448" s="5" t="s">
        <v>70</v>
      </c>
      <c r="H3448" s="5" t="s">
        <v>108</v>
      </c>
      <c r="I3448" s="5" t="s">
        <v>284</v>
      </c>
      <c r="J3448" s="5" t="s">
        <v>286</v>
      </c>
      <c r="K3448" s="5" t="s">
        <v>110</v>
      </c>
      <c r="L3448" s="6">
        <v>45688</v>
      </c>
      <c r="M3448" s="6">
        <v>45684</v>
      </c>
      <c r="N3448" s="5" t="s">
        <v>811</v>
      </c>
      <c r="O3448" s="5" t="str">
        <f ca="1">IF(P3448&lt;&gt;"EXPEDIÇÃO","Expedido",IF(NETWORKDAYS(C3448,TODAY())&gt;=5,"Risco Alto",IF(NETWORKDAYS(C3448,TODAY())&gt;=3,IF(NETWORKDAYS(C3448,TODAY())&lt;5,"Risco Médio",""),IF(NETWORKDAYS(C3448,TODAY())&lt;=2,"Risco Baixo",""))))</f>
        <v>Expedido</v>
      </c>
      <c r="P3448" s="5" t="s">
        <v>25</v>
      </c>
      <c r="S3448" s="7">
        <f>IF(ISBLANK(M3448),"Aguardando Previsão/Data",NETWORKDAYS(L3448,M3448)-1)</f>
        <v>-6</v>
      </c>
      <c r="T3448" s="5" t="s">
        <v>942</v>
      </c>
    </row>
    <row r="3449" spans="1:20" x14ac:dyDescent="0.35">
      <c r="A3449" s="5">
        <v>8100282706</v>
      </c>
      <c r="B3449" s="5">
        <v>19647</v>
      </c>
      <c r="C3449" s="6">
        <v>45681</v>
      </c>
      <c r="D3449" s="5" t="s">
        <v>106</v>
      </c>
      <c r="E3449" s="5" t="s">
        <v>107</v>
      </c>
      <c r="F3449" s="5" t="s">
        <v>111</v>
      </c>
      <c r="G3449" s="5" t="s">
        <v>112</v>
      </c>
      <c r="H3449" s="5" t="s">
        <v>108</v>
      </c>
      <c r="I3449" s="5" t="s">
        <v>115</v>
      </c>
      <c r="J3449" s="5" t="s">
        <v>116</v>
      </c>
      <c r="K3449" s="5" t="s">
        <v>110</v>
      </c>
      <c r="L3449" s="6">
        <v>45688</v>
      </c>
      <c r="M3449" s="6">
        <v>45686</v>
      </c>
      <c r="N3449" s="5" t="s">
        <v>811</v>
      </c>
      <c r="O3449" s="5" t="str">
        <f ca="1">IF(P3449&lt;&gt;"EXPEDIÇÃO","Expedido",IF(NETWORKDAYS(C3449,TODAY())&gt;=5,"Risco Alto",IF(NETWORKDAYS(C3449,TODAY())&gt;=3,IF(NETWORKDAYS(C3449,TODAY())&lt;5,"Risco Médio",""),IF(NETWORKDAYS(C3449,TODAY())&lt;=2,"Risco Baixo",""))))</f>
        <v>Expedido</v>
      </c>
      <c r="P3449" s="5" t="s">
        <v>25</v>
      </c>
      <c r="S3449" s="7">
        <f>IF(ISBLANK(M3449),"Aguardando Previsão/Data",NETWORKDAYS(L3449,M3449)-1)</f>
        <v>-4</v>
      </c>
      <c r="T3449" s="5" t="s">
        <v>942</v>
      </c>
    </row>
    <row r="3450" spans="1:20" x14ac:dyDescent="0.35">
      <c r="A3450" s="5">
        <v>8100282708</v>
      </c>
      <c r="B3450" s="5">
        <v>19644</v>
      </c>
      <c r="C3450" s="6">
        <v>45681</v>
      </c>
      <c r="D3450" s="5" t="s">
        <v>106</v>
      </c>
      <c r="E3450" s="5" t="s">
        <v>107</v>
      </c>
      <c r="F3450" s="5" t="s">
        <v>53</v>
      </c>
      <c r="G3450" s="5" t="s">
        <v>54</v>
      </c>
      <c r="H3450" s="5" t="s">
        <v>108</v>
      </c>
      <c r="I3450" s="5" t="s">
        <v>341</v>
      </c>
      <c r="J3450" s="5" t="s">
        <v>109</v>
      </c>
      <c r="K3450" s="5" t="s">
        <v>110</v>
      </c>
      <c r="L3450" s="6">
        <v>45688</v>
      </c>
      <c r="M3450" s="6">
        <v>45685</v>
      </c>
      <c r="N3450" s="5" t="s">
        <v>811</v>
      </c>
      <c r="O3450" s="5" t="str">
        <f ca="1">IF(P3450&lt;&gt;"EXPEDIÇÃO","Expedido",IF(NETWORKDAYS(C3450,TODAY())&gt;=5,"Risco Alto",IF(NETWORKDAYS(C3450,TODAY())&gt;=3,IF(NETWORKDAYS(C3450,TODAY())&lt;5,"Risco Médio",""),IF(NETWORKDAYS(C3450,TODAY())&lt;=2,"Risco Baixo",""))))</f>
        <v>Expedido</v>
      </c>
      <c r="P3450" s="5" t="s">
        <v>25</v>
      </c>
      <c r="S3450" s="7">
        <f>IF(ISBLANK(M3450),"Aguardando Previsão/Data",NETWORKDAYS(L3450,M3450)-1)</f>
        <v>-5</v>
      </c>
      <c r="T3450" s="5" t="s">
        <v>942</v>
      </c>
    </row>
    <row r="3451" spans="1:20" x14ac:dyDescent="0.35">
      <c r="A3451" s="5">
        <v>8100282715</v>
      </c>
      <c r="B3451" s="5">
        <v>19646</v>
      </c>
      <c r="C3451" s="6">
        <v>45681</v>
      </c>
      <c r="D3451" s="5" t="s">
        <v>106</v>
      </c>
      <c r="E3451" s="5" t="s">
        <v>107</v>
      </c>
      <c r="F3451" s="5" t="s">
        <v>111</v>
      </c>
      <c r="G3451" s="5" t="s">
        <v>112</v>
      </c>
      <c r="H3451" s="5" t="s">
        <v>108</v>
      </c>
      <c r="I3451" s="5" t="s">
        <v>113</v>
      </c>
      <c r="J3451" s="5" t="s">
        <v>142</v>
      </c>
      <c r="K3451" s="5" t="s">
        <v>110</v>
      </c>
      <c r="L3451" s="6">
        <v>45688</v>
      </c>
      <c r="M3451" s="6">
        <v>45686</v>
      </c>
      <c r="N3451" s="5" t="s">
        <v>811</v>
      </c>
      <c r="O3451" s="5" t="str">
        <f ca="1">IF(P3451&lt;&gt;"EXPEDIÇÃO","Expedido",IF(NETWORKDAYS(C3451,TODAY())&gt;=5,"Risco Alto",IF(NETWORKDAYS(C3451,TODAY())&gt;=3,IF(NETWORKDAYS(C3451,TODAY())&lt;5,"Risco Médio",""),IF(NETWORKDAYS(C3451,TODAY())&lt;=2,"Risco Baixo",""))))</f>
        <v>Expedido</v>
      </c>
      <c r="P3451" s="5" t="s">
        <v>25</v>
      </c>
      <c r="S3451" s="7">
        <f>IF(ISBLANK(M3451),"Aguardando Previsão/Data",NETWORKDAYS(L3451,M3451)-1)</f>
        <v>-4</v>
      </c>
      <c r="T3451" s="5" t="s">
        <v>942</v>
      </c>
    </row>
    <row r="3452" spans="1:20" x14ac:dyDescent="0.35">
      <c r="A3452" s="5">
        <v>8100282718</v>
      </c>
      <c r="B3452" s="5">
        <v>19638</v>
      </c>
      <c r="C3452" s="6">
        <v>45681</v>
      </c>
      <c r="D3452" s="5" t="s">
        <v>106</v>
      </c>
      <c r="E3452" s="5" t="s">
        <v>107</v>
      </c>
      <c r="F3452" s="5" t="s">
        <v>111</v>
      </c>
      <c r="G3452" s="5" t="s">
        <v>112</v>
      </c>
      <c r="H3452" s="5" t="s">
        <v>108</v>
      </c>
      <c r="I3452" s="5" t="s">
        <v>115</v>
      </c>
      <c r="J3452" s="5" t="s">
        <v>343</v>
      </c>
      <c r="K3452" s="5" t="s">
        <v>110</v>
      </c>
      <c r="L3452" s="6">
        <v>45691</v>
      </c>
      <c r="M3452" s="6">
        <v>45685</v>
      </c>
      <c r="N3452" s="5" t="s">
        <v>811</v>
      </c>
      <c r="O3452" s="5" t="str">
        <f ca="1">IF(P3452&lt;&gt;"EXPEDIÇÃO","Expedido",IF(NETWORKDAYS(C3452,TODAY())&gt;=5,"Risco Alto",IF(NETWORKDAYS(C3452,TODAY())&gt;=3,IF(NETWORKDAYS(C3452,TODAY())&lt;5,"Risco Médio",""),IF(NETWORKDAYS(C3452,TODAY())&lt;=2,"Risco Baixo",""))))</f>
        <v>Expedido</v>
      </c>
      <c r="P3452" s="5" t="s">
        <v>25</v>
      </c>
      <c r="S3452" s="7">
        <f>IF(ISBLANK(M3452),"Aguardando Previsão/Data",NETWORKDAYS(L3452,M3452)-1)</f>
        <v>-6</v>
      </c>
      <c r="T3452" s="5" t="s">
        <v>942</v>
      </c>
    </row>
    <row r="3453" spans="1:20" x14ac:dyDescent="0.35">
      <c r="A3453" s="5">
        <v>8100282726</v>
      </c>
      <c r="B3453" s="5">
        <v>19653</v>
      </c>
      <c r="C3453" s="6">
        <v>45681</v>
      </c>
      <c r="D3453" s="5" t="s">
        <v>106</v>
      </c>
      <c r="E3453" s="5" t="s">
        <v>107</v>
      </c>
      <c r="F3453" s="5" t="s">
        <v>69</v>
      </c>
      <c r="G3453" s="5" t="s">
        <v>70</v>
      </c>
      <c r="H3453" s="5" t="s">
        <v>108</v>
      </c>
      <c r="I3453" s="5" t="s">
        <v>284</v>
      </c>
      <c r="J3453" s="5" t="s">
        <v>700</v>
      </c>
      <c r="K3453" s="5" t="s">
        <v>110</v>
      </c>
      <c r="L3453" s="6">
        <v>45687</v>
      </c>
      <c r="M3453" s="6">
        <v>45684</v>
      </c>
      <c r="N3453" s="5" t="s">
        <v>811</v>
      </c>
      <c r="O3453" s="5" t="str">
        <f ca="1">IF(P3453&lt;&gt;"EXPEDIÇÃO","Expedido",IF(NETWORKDAYS(C3453,TODAY())&gt;=5,"Risco Alto",IF(NETWORKDAYS(C3453,TODAY())&gt;=3,IF(NETWORKDAYS(C3453,TODAY())&lt;5,"Risco Médio",""),IF(NETWORKDAYS(C3453,TODAY())&lt;=2,"Risco Baixo",""))))</f>
        <v>Expedido</v>
      </c>
      <c r="P3453" s="5" t="s">
        <v>25</v>
      </c>
      <c r="S3453" s="7">
        <f>IF(ISBLANK(M3453),"Aguardando Previsão/Data",NETWORKDAYS(L3453,M3453)-1)</f>
        <v>-5</v>
      </c>
      <c r="T3453" s="5" t="s">
        <v>942</v>
      </c>
    </row>
    <row r="3454" spans="1:20" x14ac:dyDescent="0.35">
      <c r="A3454" s="5">
        <v>8100282727</v>
      </c>
      <c r="B3454" s="5">
        <v>19654</v>
      </c>
      <c r="C3454" s="6">
        <v>45681</v>
      </c>
      <c r="D3454" s="5" t="s">
        <v>106</v>
      </c>
      <c r="E3454" s="5" t="s">
        <v>107</v>
      </c>
      <c r="F3454" s="5" t="s">
        <v>69</v>
      </c>
      <c r="G3454" s="5" t="s">
        <v>70</v>
      </c>
      <c r="H3454" s="5" t="s">
        <v>108</v>
      </c>
      <c r="I3454" s="5" t="s">
        <v>284</v>
      </c>
      <c r="J3454" s="5" t="s">
        <v>700</v>
      </c>
      <c r="K3454" s="5" t="s">
        <v>110</v>
      </c>
      <c r="L3454" s="6">
        <v>45687</v>
      </c>
      <c r="M3454" s="6">
        <v>45684</v>
      </c>
      <c r="N3454" s="5" t="s">
        <v>811</v>
      </c>
      <c r="O3454" s="5" t="str">
        <f ca="1">IF(P3454&lt;&gt;"EXPEDIÇÃO","Expedido",IF(NETWORKDAYS(C3454,TODAY())&gt;=5,"Risco Alto",IF(NETWORKDAYS(C3454,TODAY())&gt;=3,IF(NETWORKDAYS(C3454,TODAY())&lt;5,"Risco Médio",""),IF(NETWORKDAYS(C3454,TODAY())&lt;=2,"Risco Baixo",""))))</f>
        <v>Expedido</v>
      </c>
      <c r="P3454" s="5" t="s">
        <v>25</v>
      </c>
      <c r="S3454" s="7">
        <f>IF(ISBLANK(M3454),"Aguardando Previsão/Data",NETWORKDAYS(L3454,M3454)-1)</f>
        <v>-5</v>
      </c>
      <c r="T3454" s="5" t="s">
        <v>942</v>
      </c>
    </row>
    <row r="3455" spans="1:20" x14ac:dyDescent="0.35">
      <c r="A3455" s="5">
        <v>8100282729</v>
      </c>
      <c r="B3455" s="5">
        <v>19639</v>
      </c>
      <c r="C3455" s="6">
        <v>45681</v>
      </c>
      <c r="D3455" s="5" t="s">
        <v>106</v>
      </c>
      <c r="E3455" s="5" t="s">
        <v>107</v>
      </c>
      <c r="F3455" s="5" t="s">
        <v>111</v>
      </c>
      <c r="G3455" s="5" t="s">
        <v>112</v>
      </c>
      <c r="H3455" s="5" t="s">
        <v>108</v>
      </c>
      <c r="I3455" s="5" t="s">
        <v>115</v>
      </c>
      <c r="J3455" s="5" t="s">
        <v>343</v>
      </c>
      <c r="K3455" s="5" t="s">
        <v>110</v>
      </c>
      <c r="L3455" s="6">
        <v>45691</v>
      </c>
      <c r="M3455" s="6">
        <v>45685</v>
      </c>
      <c r="N3455" s="5" t="s">
        <v>811</v>
      </c>
      <c r="O3455" s="5" t="str">
        <f ca="1">IF(P3455&lt;&gt;"EXPEDIÇÃO","Expedido",IF(NETWORKDAYS(C3455,TODAY())&gt;=5,"Risco Alto",IF(NETWORKDAYS(C3455,TODAY())&gt;=3,IF(NETWORKDAYS(C3455,TODAY())&lt;5,"Risco Médio",""),IF(NETWORKDAYS(C3455,TODAY())&lt;=2,"Risco Baixo",""))))</f>
        <v>Expedido</v>
      </c>
      <c r="P3455" s="5" t="s">
        <v>25</v>
      </c>
      <c r="S3455" s="7">
        <f>IF(ISBLANK(M3455),"Aguardando Previsão/Data",NETWORKDAYS(L3455,M3455)-1)</f>
        <v>-6</v>
      </c>
      <c r="T3455" s="5" t="s">
        <v>942</v>
      </c>
    </row>
    <row r="3456" spans="1:20" x14ac:dyDescent="0.35">
      <c r="A3456" s="5">
        <v>8100282730</v>
      </c>
      <c r="B3456" s="5">
        <v>19642</v>
      </c>
      <c r="C3456" s="6">
        <v>45681</v>
      </c>
      <c r="D3456" s="5" t="s">
        <v>106</v>
      </c>
      <c r="E3456" s="5" t="s">
        <v>107</v>
      </c>
      <c r="F3456" s="5" t="s">
        <v>111</v>
      </c>
      <c r="G3456" s="5" t="s">
        <v>112</v>
      </c>
      <c r="H3456" s="5" t="s">
        <v>108</v>
      </c>
      <c r="I3456" s="5" t="s">
        <v>115</v>
      </c>
      <c r="J3456" s="5" t="s">
        <v>122</v>
      </c>
      <c r="K3456" s="5" t="s">
        <v>110</v>
      </c>
      <c r="L3456" s="6">
        <v>45688</v>
      </c>
      <c r="M3456" s="6">
        <v>45686</v>
      </c>
      <c r="N3456" s="5" t="s">
        <v>811</v>
      </c>
      <c r="O3456" s="5" t="str">
        <f ca="1">IF(P3456&lt;&gt;"EXPEDIÇÃO","Expedido",IF(NETWORKDAYS(C3456,TODAY())&gt;=5,"Risco Alto",IF(NETWORKDAYS(C3456,TODAY())&gt;=3,IF(NETWORKDAYS(C3456,TODAY())&lt;5,"Risco Médio",""),IF(NETWORKDAYS(C3456,TODAY())&lt;=2,"Risco Baixo",""))))</f>
        <v>Expedido</v>
      </c>
      <c r="P3456" s="5" t="s">
        <v>25</v>
      </c>
      <c r="S3456" s="7">
        <f>IF(ISBLANK(M3456),"Aguardando Previsão/Data",NETWORKDAYS(L3456,M3456)-1)</f>
        <v>-4</v>
      </c>
      <c r="T3456" s="5" t="s">
        <v>942</v>
      </c>
    </row>
    <row r="3457" spans="1:20" x14ac:dyDescent="0.35">
      <c r="A3457" s="5">
        <v>8100282732</v>
      </c>
      <c r="B3457" s="5">
        <v>19641</v>
      </c>
      <c r="C3457" s="6">
        <v>45681</v>
      </c>
      <c r="D3457" s="5" t="s">
        <v>106</v>
      </c>
      <c r="E3457" s="5" t="s">
        <v>107</v>
      </c>
      <c r="F3457" s="5" t="s">
        <v>111</v>
      </c>
      <c r="G3457" s="5" t="s">
        <v>112</v>
      </c>
      <c r="H3457" s="5" t="s">
        <v>108</v>
      </c>
      <c r="I3457" s="5" t="s">
        <v>701</v>
      </c>
      <c r="J3457" s="5" t="s">
        <v>124</v>
      </c>
      <c r="K3457" s="5" t="s">
        <v>110</v>
      </c>
      <c r="L3457" s="6">
        <v>45691</v>
      </c>
      <c r="M3457" s="6">
        <v>45685</v>
      </c>
      <c r="N3457" s="5" t="s">
        <v>811</v>
      </c>
      <c r="O3457" s="5" t="str">
        <f ca="1">IF(P3457&lt;&gt;"EXPEDIÇÃO","Expedido",IF(NETWORKDAYS(C3457,TODAY())&gt;=5,"Risco Alto",IF(NETWORKDAYS(C3457,TODAY())&gt;=3,IF(NETWORKDAYS(C3457,TODAY())&lt;5,"Risco Médio",""),IF(NETWORKDAYS(C3457,TODAY())&lt;=2,"Risco Baixo",""))))</f>
        <v>Expedido</v>
      </c>
      <c r="P3457" s="5" t="s">
        <v>25</v>
      </c>
      <c r="S3457" s="7">
        <f>IF(ISBLANK(M3457),"Aguardando Previsão/Data",NETWORKDAYS(L3457,M3457)-1)</f>
        <v>-6</v>
      </c>
      <c r="T3457" s="5" t="s">
        <v>942</v>
      </c>
    </row>
    <row r="3458" spans="1:20" x14ac:dyDescent="0.35">
      <c r="A3458" s="5">
        <v>8100282741</v>
      </c>
      <c r="B3458" s="5">
        <v>19640</v>
      </c>
      <c r="C3458" s="6">
        <v>45681</v>
      </c>
      <c r="D3458" s="5" t="s">
        <v>106</v>
      </c>
      <c r="E3458" s="5" t="s">
        <v>107</v>
      </c>
      <c r="F3458" s="5" t="s">
        <v>111</v>
      </c>
      <c r="G3458" s="5" t="s">
        <v>112</v>
      </c>
      <c r="H3458" s="5" t="s">
        <v>108</v>
      </c>
      <c r="I3458" s="5" t="s">
        <v>115</v>
      </c>
      <c r="J3458" s="5" t="s">
        <v>344</v>
      </c>
      <c r="K3458" s="5" t="s">
        <v>110</v>
      </c>
      <c r="L3458" s="6">
        <v>45688</v>
      </c>
      <c r="M3458" s="6">
        <v>45688</v>
      </c>
      <c r="N3458" s="5" t="s">
        <v>811</v>
      </c>
      <c r="O3458" s="5" t="str">
        <f ca="1">IF(P3458&lt;&gt;"EXPEDIÇÃO","Expedido",IF(NETWORKDAYS(C3458,TODAY())&gt;=5,"Risco Alto",IF(NETWORKDAYS(C3458,TODAY())&gt;=3,IF(NETWORKDAYS(C3458,TODAY())&lt;5,"Risco Médio",""),IF(NETWORKDAYS(C3458,TODAY())&lt;=2,"Risco Baixo",""))))</f>
        <v>Expedido</v>
      </c>
      <c r="P3458" s="5" t="s">
        <v>617</v>
      </c>
      <c r="S3458" s="7">
        <f>IF(ISBLANK(M3458),"Aguardando Previsão/Data",NETWORKDAYS(L3458,M3458)-1)</f>
        <v>0</v>
      </c>
    </row>
    <row r="3459" spans="1:20" x14ac:dyDescent="0.35">
      <c r="A3459" s="5">
        <v>8100282742</v>
      </c>
      <c r="B3459" s="5">
        <v>19645</v>
      </c>
      <c r="C3459" s="6">
        <v>45681</v>
      </c>
      <c r="D3459" s="5" t="s">
        <v>106</v>
      </c>
      <c r="E3459" s="5" t="s">
        <v>107</v>
      </c>
      <c r="F3459" s="5" t="s">
        <v>58</v>
      </c>
      <c r="G3459" s="5" t="s">
        <v>59</v>
      </c>
      <c r="H3459" s="5" t="s">
        <v>108</v>
      </c>
      <c r="I3459" s="5" t="s">
        <v>126</v>
      </c>
      <c r="J3459" s="5" t="s">
        <v>127</v>
      </c>
      <c r="K3459" s="5" t="s">
        <v>110</v>
      </c>
      <c r="L3459" s="6">
        <v>45687</v>
      </c>
      <c r="M3459" s="6">
        <v>45684</v>
      </c>
      <c r="N3459" s="5" t="s">
        <v>811</v>
      </c>
      <c r="O3459" s="5" t="str">
        <f ca="1">IF(P3459&lt;&gt;"EXPEDIÇÃO","Expedido",IF(NETWORKDAYS(C3459,TODAY())&gt;=5,"Risco Alto",IF(NETWORKDAYS(C3459,TODAY())&gt;=3,IF(NETWORKDAYS(C3459,TODAY())&lt;5,"Risco Médio",""),IF(NETWORKDAYS(C3459,TODAY())&lt;=2,"Risco Baixo",""))))</f>
        <v>Expedido</v>
      </c>
      <c r="P3459" s="5" t="s">
        <v>25</v>
      </c>
      <c r="S3459" s="7">
        <f>IF(ISBLANK(M3459),"Aguardando Previsão/Data",NETWORKDAYS(L3459,M3459)-1)</f>
        <v>-5</v>
      </c>
      <c r="T3459" s="5" t="s">
        <v>942</v>
      </c>
    </row>
    <row r="3460" spans="1:20" x14ac:dyDescent="0.35">
      <c r="A3460" s="5">
        <v>8100282743</v>
      </c>
      <c r="B3460" s="5">
        <v>19643</v>
      </c>
      <c r="C3460" s="6">
        <v>45681</v>
      </c>
      <c r="D3460" s="5" t="s">
        <v>106</v>
      </c>
      <c r="E3460" s="5" t="s">
        <v>107</v>
      </c>
      <c r="F3460" s="5" t="s">
        <v>147</v>
      </c>
      <c r="G3460" s="5" t="s">
        <v>148</v>
      </c>
      <c r="H3460" s="5" t="s">
        <v>108</v>
      </c>
      <c r="I3460" s="5" t="s">
        <v>128</v>
      </c>
      <c r="J3460" s="5" t="s">
        <v>507</v>
      </c>
      <c r="K3460" s="5" t="s">
        <v>110</v>
      </c>
      <c r="L3460" s="6">
        <v>45691</v>
      </c>
      <c r="M3460" s="6">
        <v>45687</v>
      </c>
      <c r="N3460" s="5" t="s">
        <v>811</v>
      </c>
      <c r="O3460" s="5" t="str">
        <f ca="1">IF(P3460&lt;&gt;"EXPEDIÇÃO","Expedido",IF(NETWORKDAYS(C3460,TODAY())&gt;=5,"Risco Alto",IF(NETWORKDAYS(C3460,TODAY())&gt;=3,IF(NETWORKDAYS(C3460,TODAY())&lt;5,"Risco Médio",""),IF(NETWORKDAYS(C3460,TODAY())&lt;=2,"Risco Baixo",""))))</f>
        <v>Expedido</v>
      </c>
      <c r="P3460" s="5" t="s">
        <v>617</v>
      </c>
      <c r="S3460" s="7">
        <f>IF(ISBLANK(M3460),"Aguardando Previsão/Data",NETWORKDAYS(L3460,M3460)-1)</f>
        <v>-4</v>
      </c>
    </row>
    <row r="3461" spans="1:20" x14ac:dyDescent="0.35">
      <c r="A3461" s="5">
        <v>8100282744</v>
      </c>
      <c r="B3461" s="5">
        <v>19664</v>
      </c>
      <c r="C3461" s="6">
        <v>45681</v>
      </c>
      <c r="D3461" s="5" t="s">
        <v>106</v>
      </c>
      <c r="E3461" s="5" t="s">
        <v>107</v>
      </c>
      <c r="F3461" s="5" t="s">
        <v>147</v>
      </c>
      <c r="G3461" s="5" t="s">
        <v>148</v>
      </c>
      <c r="H3461" s="5" t="s">
        <v>108</v>
      </c>
      <c r="I3461" s="5" t="s">
        <v>144</v>
      </c>
      <c r="J3461" s="5" t="s">
        <v>141</v>
      </c>
      <c r="K3461" s="5" t="s">
        <v>110</v>
      </c>
      <c r="L3461" s="6">
        <v>45687</v>
      </c>
      <c r="M3461" s="6">
        <v>45681</v>
      </c>
      <c r="N3461" s="5" t="s">
        <v>811</v>
      </c>
      <c r="O3461" s="5" t="str">
        <f ca="1">IF(P3461&lt;&gt;"EXPEDIÇÃO","Expedido",IF(NETWORKDAYS(C3461,TODAY())&gt;=5,"Risco Alto",IF(NETWORKDAYS(C3461,TODAY())&gt;=3,IF(NETWORKDAYS(C3461,TODAY())&lt;5,"Risco Médio",""),IF(NETWORKDAYS(C3461,TODAY())&lt;=2,"Risco Baixo",""))))</f>
        <v>Expedido</v>
      </c>
      <c r="P3461" s="5" t="s">
        <v>25</v>
      </c>
      <c r="S3461" s="7">
        <f>IF(ISBLANK(M3461),"Aguardando Previsão/Data",NETWORKDAYS(L3461,M3461)-1)</f>
        <v>-6</v>
      </c>
      <c r="T3461" s="5" t="s">
        <v>942</v>
      </c>
    </row>
    <row r="3462" spans="1:20" x14ac:dyDescent="0.35">
      <c r="A3462" s="5">
        <v>8100282745</v>
      </c>
      <c r="B3462" s="5">
        <v>19648</v>
      </c>
      <c r="C3462" s="6">
        <v>45681</v>
      </c>
      <c r="D3462" s="5" t="s">
        <v>106</v>
      </c>
      <c r="E3462" s="5" t="s">
        <v>107</v>
      </c>
      <c r="F3462" s="5" t="s">
        <v>147</v>
      </c>
      <c r="G3462" s="5" t="s">
        <v>148</v>
      </c>
      <c r="H3462" s="5" t="s">
        <v>108</v>
      </c>
      <c r="I3462" s="5" t="s">
        <v>82</v>
      </c>
      <c r="J3462" s="5" t="s">
        <v>505</v>
      </c>
      <c r="K3462" s="5" t="s">
        <v>110</v>
      </c>
      <c r="L3462" s="6">
        <v>45691</v>
      </c>
      <c r="M3462" s="6">
        <v>45685</v>
      </c>
      <c r="N3462" s="5" t="s">
        <v>811</v>
      </c>
      <c r="O3462" s="5" t="str">
        <f ca="1">IF(P3462&lt;&gt;"EXPEDIÇÃO","Expedido",IF(NETWORKDAYS(C3462,TODAY())&gt;=5,"Risco Alto",IF(NETWORKDAYS(C3462,TODAY())&gt;=3,IF(NETWORKDAYS(C3462,TODAY())&lt;5,"Risco Médio",""),IF(NETWORKDAYS(C3462,TODAY())&lt;=2,"Risco Baixo",""))))</f>
        <v>Expedido</v>
      </c>
      <c r="P3462" s="5" t="s">
        <v>25</v>
      </c>
      <c r="S3462" s="7">
        <f>IF(ISBLANK(M3462),"Aguardando Previsão/Data",NETWORKDAYS(L3462,M3462)-1)</f>
        <v>-6</v>
      </c>
      <c r="T3462" s="5" t="s">
        <v>942</v>
      </c>
    </row>
    <row r="3463" spans="1:20" x14ac:dyDescent="0.35">
      <c r="A3463" s="5">
        <v>8100282746</v>
      </c>
      <c r="B3463" s="5">
        <v>19649</v>
      </c>
      <c r="C3463" s="6">
        <v>45681</v>
      </c>
      <c r="D3463" s="5" t="s">
        <v>106</v>
      </c>
      <c r="E3463" s="5" t="s">
        <v>107</v>
      </c>
      <c r="F3463" s="5" t="s">
        <v>147</v>
      </c>
      <c r="G3463" s="5" t="s">
        <v>148</v>
      </c>
      <c r="H3463" s="5" t="s">
        <v>108</v>
      </c>
      <c r="I3463" s="5" t="s">
        <v>82</v>
      </c>
      <c r="J3463" s="5" t="s">
        <v>505</v>
      </c>
      <c r="K3463" s="5" t="s">
        <v>110</v>
      </c>
      <c r="L3463" s="6">
        <v>45691</v>
      </c>
      <c r="M3463" s="6">
        <v>45685</v>
      </c>
      <c r="N3463" s="5" t="s">
        <v>811</v>
      </c>
      <c r="O3463" s="5" t="str">
        <f ca="1">IF(P3463&lt;&gt;"EXPEDIÇÃO","Expedido",IF(NETWORKDAYS(C3463,TODAY())&gt;=5,"Risco Alto",IF(NETWORKDAYS(C3463,TODAY())&gt;=3,IF(NETWORKDAYS(C3463,TODAY())&lt;5,"Risco Médio",""),IF(NETWORKDAYS(C3463,TODAY())&lt;=2,"Risco Baixo",""))))</f>
        <v>Expedido</v>
      </c>
      <c r="P3463" s="5" t="s">
        <v>25</v>
      </c>
      <c r="S3463" s="7">
        <f>IF(ISBLANK(M3463),"Aguardando Previsão/Data",NETWORKDAYS(L3463,M3463)-1)</f>
        <v>-6</v>
      </c>
      <c r="T3463" s="5" t="s">
        <v>942</v>
      </c>
    </row>
    <row r="3464" spans="1:20" x14ac:dyDescent="0.35">
      <c r="A3464" s="5">
        <v>8100282937</v>
      </c>
      <c r="B3464" s="5">
        <v>19669</v>
      </c>
      <c r="C3464" s="6">
        <v>45681</v>
      </c>
      <c r="D3464" s="5" t="s">
        <v>106</v>
      </c>
      <c r="E3464" s="5" t="s">
        <v>107</v>
      </c>
      <c r="F3464" s="5" t="s">
        <v>69</v>
      </c>
      <c r="G3464" s="5" t="s">
        <v>70</v>
      </c>
      <c r="H3464" s="5" t="s">
        <v>108</v>
      </c>
      <c r="I3464" s="5" t="s">
        <v>278</v>
      </c>
      <c r="J3464" s="5" t="s">
        <v>279</v>
      </c>
      <c r="K3464" s="5" t="s">
        <v>110</v>
      </c>
      <c r="L3464" s="6">
        <v>45688</v>
      </c>
      <c r="M3464" s="6">
        <v>45692</v>
      </c>
      <c r="N3464" s="5" t="s">
        <v>811</v>
      </c>
      <c r="O3464" s="5" t="str">
        <f ca="1">IF(P3464&lt;&gt;"EXPEDIÇÃO","Expedido",IF(NETWORKDAYS(C3464,TODAY())&gt;=5,"Risco Alto",IF(NETWORKDAYS(C3464,TODAY())&gt;=3,IF(NETWORKDAYS(C3464,TODAY())&lt;5,"Risco Médio",""),IF(NETWORKDAYS(C3464,TODAY())&lt;=2,"Risco Baixo",""))))</f>
        <v>Risco Alto</v>
      </c>
      <c r="P3464" s="5" t="s">
        <v>726</v>
      </c>
      <c r="Q3464" s="5" t="s">
        <v>897</v>
      </c>
      <c r="R3464" s="5" t="s">
        <v>1616</v>
      </c>
      <c r="S3464" s="7">
        <f>IF(ISBLANK(M3464),"Aguardando Previsão/Data",NETWORKDAYS(L3464,M3464)-1)</f>
        <v>2</v>
      </c>
    </row>
    <row r="3465" spans="1:20" x14ac:dyDescent="0.35">
      <c r="A3465" s="5">
        <v>8100282964</v>
      </c>
      <c r="B3465" s="5">
        <v>19671</v>
      </c>
      <c r="C3465" s="6">
        <v>45681</v>
      </c>
      <c r="D3465" s="5" t="s">
        <v>106</v>
      </c>
      <c r="E3465" s="5" t="s">
        <v>107</v>
      </c>
      <c r="F3465" s="5" t="s">
        <v>58</v>
      </c>
      <c r="G3465" s="5" t="s">
        <v>59</v>
      </c>
      <c r="H3465" s="5" t="s">
        <v>108</v>
      </c>
      <c r="I3465" s="5" t="s">
        <v>126</v>
      </c>
      <c r="J3465" s="5" t="s">
        <v>127</v>
      </c>
      <c r="K3465" s="5" t="s">
        <v>110</v>
      </c>
      <c r="L3465" s="6">
        <v>45687</v>
      </c>
      <c r="M3465" s="6">
        <v>45684</v>
      </c>
      <c r="N3465" s="5" t="s">
        <v>811</v>
      </c>
      <c r="O3465" s="5" t="str">
        <f ca="1">IF(P3465&lt;&gt;"EXPEDIÇÃO","Expedido",IF(NETWORKDAYS(C3465,TODAY())&gt;=5,"Risco Alto",IF(NETWORKDAYS(C3465,TODAY())&gt;=3,IF(NETWORKDAYS(C3465,TODAY())&lt;5,"Risco Médio",""),IF(NETWORKDAYS(C3465,TODAY())&lt;=2,"Risco Baixo",""))))</f>
        <v>Expedido</v>
      </c>
      <c r="P3465" s="5" t="s">
        <v>25</v>
      </c>
      <c r="S3465" s="7">
        <f>IF(ISBLANK(M3465),"Aguardando Previsão/Data",NETWORKDAYS(L3465,M3465)-1)</f>
        <v>-5</v>
      </c>
      <c r="T3465" s="5" t="s">
        <v>942</v>
      </c>
    </row>
    <row r="3466" spans="1:20" x14ac:dyDescent="0.35">
      <c r="A3466" s="5">
        <v>8100282968</v>
      </c>
      <c r="B3466" s="5">
        <v>19670</v>
      </c>
      <c r="C3466" s="6">
        <v>45681</v>
      </c>
      <c r="D3466" s="5" t="s">
        <v>106</v>
      </c>
      <c r="E3466" s="5" t="s">
        <v>107</v>
      </c>
      <c r="F3466" s="5" t="s">
        <v>58</v>
      </c>
      <c r="G3466" s="5" t="s">
        <v>59</v>
      </c>
      <c r="H3466" s="5" t="s">
        <v>108</v>
      </c>
      <c r="I3466" s="5" t="s">
        <v>213</v>
      </c>
      <c r="J3466" s="5" t="s">
        <v>214</v>
      </c>
      <c r="K3466" s="5" t="s">
        <v>119</v>
      </c>
      <c r="L3466" s="6">
        <v>45687</v>
      </c>
      <c r="M3466" s="6">
        <v>45691</v>
      </c>
      <c r="N3466" s="5" t="s">
        <v>812</v>
      </c>
      <c r="O3466" s="5" t="str">
        <f ca="1">IF(P3466&lt;&gt;"EXPEDIÇÃO","Expedido",IF(NETWORKDAYS(C3466,TODAY())&gt;=5,"Risco Alto",IF(NETWORKDAYS(C3466,TODAY())&gt;=3,IF(NETWORKDAYS(C3466,TODAY())&lt;5,"Risco Médio",""),IF(NETWORKDAYS(C3466,TODAY())&lt;=2,"Risco Baixo",""))))</f>
        <v>Expedido</v>
      </c>
      <c r="P3466" s="5" t="s">
        <v>617</v>
      </c>
      <c r="Q3466" s="5" t="s">
        <v>1623</v>
      </c>
      <c r="S3466" s="7">
        <f>IF(ISBLANK(M3466),"Aguardando Previsão/Data",NETWORKDAYS(L3466,M3466)-1)</f>
        <v>2</v>
      </c>
    </row>
    <row r="3467" spans="1:20" x14ac:dyDescent="0.35">
      <c r="A3467" s="5">
        <v>8100282969</v>
      </c>
      <c r="B3467" s="5">
        <v>19672</v>
      </c>
      <c r="C3467" s="6">
        <v>45681</v>
      </c>
      <c r="D3467" s="5" t="s">
        <v>106</v>
      </c>
      <c r="E3467" s="5" t="s">
        <v>107</v>
      </c>
      <c r="F3467" s="5" t="s">
        <v>58</v>
      </c>
      <c r="G3467" s="5" t="s">
        <v>59</v>
      </c>
      <c r="H3467" s="5" t="s">
        <v>108</v>
      </c>
      <c r="I3467" s="5" t="s">
        <v>130</v>
      </c>
      <c r="J3467" s="5" t="s">
        <v>131</v>
      </c>
      <c r="K3467" s="5" t="s">
        <v>110</v>
      </c>
      <c r="L3467" s="6">
        <v>45687</v>
      </c>
      <c r="M3467" s="6">
        <v>45686</v>
      </c>
      <c r="N3467" s="5" t="s">
        <v>811</v>
      </c>
      <c r="O3467" s="5" t="str">
        <f ca="1">IF(P3467&lt;&gt;"EXPEDIÇÃO","Expedido",IF(NETWORKDAYS(C3467,TODAY())&gt;=5,"Risco Alto",IF(NETWORKDAYS(C3467,TODAY())&gt;=3,IF(NETWORKDAYS(C3467,TODAY())&lt;5,"Risco Médio",""),IF(NETWORKDAYS(C3467,TODAY())&lt;=2,"Risco Baixo",""))))</f>
        <v>Expedido</v>
      </c>
      <c r="P3467" s="5" t="s">
        <v>25</v>
      </c>
      <c r="S3467" s="7">
        <f>IF(ISBLANK(M3467),"Aguardando Previsão/Data",NETWORKDAYS(L3467,M3467)-1)</f>
        <v>-3</v>
      </c>
      <c r="T3467" s="5" t="s">
        <v>942</v>
      </c>
    </row>
    <row r="3468" spans="1:20" x14ac:dyDescent="0.35">
      <c r="A3468" s="5">
        <v>8100282970</v>
      </c>
      <c r="B3468" s="5">
        <v>19673</v>
      </c>
      <c r="C3468" s="6">
        <v>45681</v>
      </c>
      <c r="D3468" s="5" t="s">
        <v>106</v>
      </c>
      <c r="E3468" s="5" t="s">
        <v>107</v>
      </c>
      <c r="F3468" s="5" t="s">
        <v>58</v>
      </c>
      <c r="G3468" s="5" t="s">
        <v>59</v>
      </c>
      <c r="H3468" s="5" t="s">
        <v>108</v>
      </c>
      <c r="I3468" s="5" t="s">
        <v>130</v>
      </c>
      <c r="J3468" s="5" t="s">
        <v>131</v>
      </c>
      <c r="K3468" s="5" t="s">
        <v>110</v>
      </c>
      <c r="L3468" s="6">
        <v>45687</v>
      </c>
      <c r="M3468" s="6">
        <v>45686</v>
      </c>
      <c r="N3468" s="5" t="s">
        <v>811</v>
      </c>
      <c r="O3468" s="5" t="str">
        <f ca="1">IF(P3468&lt;&gt;"EXPEDIÇÃO","Expedido",IF(NETWORKDAYS(C3468,TODAY())&gt;=5,"Risco Alto",IF(NETWORKDAYS(C3468,TODAY())&gt;=3,IF(NETWORKDAYS(C3468,TODAY())&lt;5,"Risco Médio",""),IF(NETWORKDAYS(C3468,TODAY())&lt;=2,"Risco Baixo",""))))</f>
        <v>Expedido</v>
      </c>
      <c r="P3468" s="5" t="s">
        <v>25</v>
      </c>
      <c r="S3468" s="7">
        <f>IF(ISBLANK(M3468),"Aguardando Previsão/Data",NETWORKDAYS(L3468,M3468)-1)</f>
        <v>-3</v>
      </c>
      <c r="T3468" s="5" t="s">
        <v>942</v>
      </c>
    </row>
    <row r="3469" spans="1:20" x14ac:dyDescent="0.35">
      <c r="A3469" s="5">
        <v>8100282971</v>
      </c>
      <c r="B3469" s="5">
        <v>19688</v>
      </c>
      <c r="C3469" s="6">
        <v>45681</v>
      </c>
      <c r="D3469" s="5" t="s">
        <v>106</v>
      </c>
      <c r="E3469" s="5" t="s">
        <v>107</v>
      </c>
      <c r="F3469" s="5" t="s">
        <v>58</v>
      </c>
      <c r="G3469" s="5" t="s">
        <v>59</v>
      </c>
      <c r="H3469" s="5" t="s">
        <v>108</v>
      </c>
      <c r="I3469" s="5" t="s">
        <v>140</v>
      </c>
      <c r="J3469" s="5" t="s">
        <v>141</v>
      </c>
      <c r="K3469" s="5" t="s">
        <v>110</v>
      </c>
      <c r="L3469" s="6">
        <v>45687</v>
      </c>
      <c r="M3469" s="6">
        <v>45681</v>
      </c>
      <c r="N3469" s="5" t="s">
        <v>811</v>
      </c>
      <c r="O3469" s="5" t="str">
        <f ca="1">IF(P3469&lt;&gt;"EXPEDIÇÃO","Expedido",IF(NETWORKDAYS(C3469,TODAY())&gt;=5,"Risco Alto",IF(NETWORKDAYS(C3469,TODAY())&gt;=3,IF(NETWORKDAYS(C3469,TODAY())&lt;5,"Risco Médio",""),IF(NETWORKDAYS(C3469,TODAY())&lt;=2,"Risco Baixo",""))))</f>
        <v>Expedido</v>
      </c>
      <c r="P3469" s="5" t="s">
        <v>25</v>
      </c>
      <c r="Q3469" s="5" t="s">
        <v>900</v>
      </c>
      <c r="S3469" s="7">
        <f>IF(ISBLANK(M3469),"Aguardando Previsão/Data",NETWORKDAYS(L3469,M3469)-1)</f>
        <v>-6</v>
      </c>
      <c r="T3469" s="5" t="s">
        <v>942</v>
      </c>
    </row>
    <row r="3470" spans="1:20" x14ac:dyDescent="0.35">
      <c r="A3470" s="5">
        <v>8100282972</v>
      </c>
      <c r="B3470" s="5">
        <v>19689</v>
      </c>
      <c r="C3470" s="6">
        <v>45681</v>
      </c>
      <c r="D3470" s="5" t="s">
        <v>106</v>
      </c>
      <c r="E3470" s="5" t="s">
        <v>107</v>
      </c>
      <c r="F3470" s="5" t="s">
        <v>58</v>
      </c>
      <c r="G3470" s="5" t="s">
        <v>59</v>
      </c>
      <c r="H3470" s="5" t="s">
        <v>108</v>
      </c>
      <c r="I3470" s="5" t="s">
        <v>140</v>
      </c>
      <c r="J3470" s="5" t="s">
        <v>141</v>
      </c>
      <c r="K3470" s="5" t="s">
        <v>110</v>
      </c>
      <c r="L3470" s="6">
        <v>45687</v>
      </c>
      <c r="M3470" s="6">
        <v>45681</v>
      </c>
      <c r="N3470" s="5" t="s">
        <v>811</v>
      </c>
      <c r="O3470" s="5" t="str">
        <f ca="1">IF(P3470&lt;&gt;"EXPEDIÇÃO","Expedido",IF(NETWORKDAYS(C3470,TODAY())&gt;=5,"Risco Alto",IF(NETWORKDAYS(C3470,TODAY())&gt;=3,IF(NETWORKDAYS(C3470,TODAY())&lt;5,"Risco Médio",""),IF(NETWORKDAYS(C3470,TODAY())&lt;=2,"Risco Baixo",""))))</f>
        <v>Expedido</v>
      </c>
      <c r="P3470" s="5" t="s">
        <v>25</v>
      </c>
      <c r="Q3470" s="5" t="s">
        <v>900</v>
      </c>
      <c r="S3470" s="7">
        <f>IF(ISBLANK(M3470),"Aguardando Previsão/Data",NETWORKDAYS(L3470,M3470)-1)</f>
        <v>-6</v>
      </c>
      <c r="T3470" s="5" t="s">
        <v>942</v>
      </c>
    </row>
    <row r="3471" spans="1:20" x14ac:dyDescent="0.35">
      <c r="A3471" s="5">
        <v>8100282973</v>
      </c>
      <c r="B3471" s="5">
        <v>19668</v>
      </c>
      <c r="C3471" s="6">
        <v>45681</v>
      </c>
      <c r="D3471" s="5" t="s">
        <v>106</v>
      </c>
      <c r="E3471" s="5" t="s">
        <v>107</v>
      </c>
      <c r="F3471" s="5" t="s">
        <v>111</v>
      </c>
      <c r="G3471" s="5" t="s">
        <v>112</v>
      </c>
      <c r="H3471" s="5" t="s">
        <v>108</v>
      </c>
      <c r="I3471" s="5" t="s">
        <v>120</v>
      </c>
      <c r="J3471" s="5" t="s">
        <v>121</v>
      </c>
      <c r="K3471" s="5" t="s">
        <v>110</v>
      </c>
      <c r="L3471" s="6">
        <v>45688</v>
      </c>
      <c r="M3471" s="6">
        <v>45686</v>
      </c>
      <c r="N3471" s="5" t="s">
        <v>811</v>
      </c>
      <c r="O3471" s="5" t="str">
        <f ca="1">IF(P3471&lt;&gt;"EXPEDIÇÃO","Expedido",IF(NETWORKDAYS(C3471,TODAY())&gt;=5,"Risco Alto",IF(NETWORKDAYS(C3471,TODAY())&gt;=3,IF(NETWORKDAYS(C3471,TODAY())&lt;5,"Risco Médio",""),IF(NETWORKDAYS(C3471,TODAY())&lt;=2,"Risco Baixo",""))))</f>
        <v>Expedido</v>
      </c>
      <c r="P3471" s="5" t="s">
        <v>25</v>
      </c>
      <c r="S3471" s="7">
        <f>IF(ISBLANK(M3471),"Aguardando Previsão/Data",NETWORKDAYS(L3471,M3471)-1)</f>
        <v>-4</v>
      </c>
      <c r="T3471" s="5" t="s">
        <v>942</v>
      </c>
    </row>
    <row r="3472" spans="1:20" x14ac:dyDescent="0.35">
      <c r="A3472" s="5">
        <v>8100282974</v>
      </c>
      <c r="B3472" s="5">
        <v>19665</v>
      </c>
      <c r="C3472" s="6">
        <v>45681</v>
      </c>
      <c r="D3472" s="5" t="s">
        <v>106</v>
      </c>
      <c r="E3472" s="5" t="s">
        <v>107</v>
      </c>
      <c r="F3472" s="5" t="s">
        <v>58</v>
      </c>
      <c r="G3472" s="5" t="s">
        <v>59</v>
      </c>
      <c r="H3472" s="5" t="s">
        <v>108</v>
      </c>
      <c r="I3472" s="5" t="s">
        <v>985</v>
      </c>
      <c r="J3472" s="5" t="s">
        <v>134</v>
      </c>
      <c r="K3472" s="5" t="s">
        <v>110</v>
      </c>
      <c r="L3472" s="6">
        <v>45687</v>
      </c>
      <c r="M3472" s="6">
        <v>45686</v>
      </c>
      <c r="N3472" s="5" t="s">
        <v>811</v>
      </c>
      <c r="O3472" s="5" t="str">
        <f ca="1">IF(P3472&lt;&gt;"EXPEDIÇÃO","Expedido",IF(NETWORKDAYS(C3472,TODAY())&gt;=5,"Risco Alto",IF(NETWORKDAYS(C3472,TODAY())&gt;=3,IF(NETWORKDAYS(C3472,TODAY())&lt;5,"Risco Médio",""),IF(NETWORKDAYS(C3472,TODAY())&lt;=2,"Risco Baixo",""))))</f>
        <v>Expedido</v>
      </c>
      <c r="P3472" s="5" t="s">
        <v>25</v>
      </c>
      <c r="S3472" s="7">
        <f>IF(ISBLANK(M3472),"Aguardando Previsão/Data",NETWORKDAYS(L3472,M3472)-1)</f>
        <v>-3</v>
      </c>
      <c r="T3472" s="5" t="s">
        <v>942</v>
      </c>
    </row>
    <row r="3473" spans="1:20" x14ac:dyDescent="0.35">
      <c r="A3473" s="5">
        <v>8100282975</v>
      </c>
      <c r="B3473" s="5">
        <v>19666</v>
      </c>
      <c r="C3473" s="6">
        <v>45681</v>
      </c>
      <c r="D3473" s="5" t="s">
        <v>106</v>
      </c>
      <c r="E3473" s="5" t="s">
        <v>107</v>
      </c>
      <c r="F3473" s="5" t="s">
        <v>58</v>
      </c>
      <c r="G3473" s="5" t="s">
        <v>59</v>
      </c>
      <c r="H3473" s="5" t="s">
        <v>108</v>
      </c>
      <c r="I3473" s="5" t="s">
        <v>985</v>
      </c>
      <c r="J3473" s="5" t="s">
        <v>134</v>
      </c>
      <c r="K3473" s="5" t="s">
        <v>110</v>
      </c>
      <c r="L3473" s="6">
        <v>45687</v>
      </c>
      <c r="M3473" s="6">
        <v>45684</v>
      </c>
      <c r="N3473" s="5" t="s">
        <v>811</v>
      </c>
      <c r="O3473" s="5" t="str">
        <f ca="1">IF(P3473&lt;&gt;"EXPEDIÇÃO","Expedido",IF(NETWORKDAYS(C3473,TODAY())&gt;=5,"Risco Alto",IF(NETWORKDAYS(C3473,TODAY())&gt;=3,IF(NETWORKDAYS(C3473,TODAY())&lt;5,"Risco Médio",""),IF(NETWORKDAYS(C3473,TODAY())&lt;=2,"Risco Baixo",""))))</f>
        <v>Expedido</v>
      </c>
      <c r="P3473" s="5" t="s">
        <v>25</v>
      </c>
      <c r="S3473" s="7">
        <f>IF(ISBLANK(M3473),"Aguardando Previsão/Data",NETWORKDAYS(L3473,M3473)-1)</f>
        <v>-5</v>
      </c>
      <c r="T3473" s="5" t="s">
        <v>942</v>
      </c>
    </row>
    <row r="3474" spans="1:20" x14ac:dyDescent="0.35">
      <c r="A3474" s="5">
        <v>8100282988</v>
      </c>
      <c r="B3474" s="5">
        <v>19667</v>
      </c>
      <c r="C3474" s="6">
        <v>45681</v>
      </c>
      <c r="D3474" s="5" t="s">
        <v>106</v>
      </c>
      <c r="E3474" s="5" t="s">
        <v>107</v>
      </c>
      <c r="F3474" s="5" t="s">
        <v>111</v>
      </c>
      <c r="G3474" s="5" t="s">
        <v>112</v>
      </c>
      <c r="H3474" s="5" t="s">
        <v>108</v>
      </c>
      <c r="I3474" s="5" t="s">
        <v>292</v>
      </c>
      <c r="J3474" s="5" t="s">
        <v>293</v>
      </c>
      <c r="K3474" s="5" t="s">
        <v>110</v>
      </c>
      <c r="L3474" s="6">
        <v>45687</v>
      </c>
      <c r="M3474" s="6">
        <v>45685</v>
      </c>
      <c r="N3474" s="5" t="s">
        <v>811</v>
      </c>
      <c r="O3474" s="5" t="str">
        <f ca="1">IF(P3474&lt;&gt;"EXPEDIÇÃO","Expedido",IF(NETWORKDAYS(C3474,TODAY())&gt;=5,"Risco Alto",IF(NETWORKDAYS(C3474,TODAY())&gt;=3,IF(NETWORKDAYS(C3474,TODAY())&lt;5,"Risco Médio",""),IF(NETWORKDAYS(C3474,TODAY())&lt;=2,"Risco Baixo",""))))</f>
        <v>Expedido</v>
      </c>
      <c r="P3474" s="5" t="s">
        <v>25</v>
      </c>
      <c r="S3474" s="7">
        <f>IF(ISBLANK(M3474),"Aguardando Previsão/Data",NETWORKDAYS(L3474,M3474)-1)</f>
        <v>-4</v>
      </c>
      <c r="T3474" s="5" t="s">
        <v>942</v>
      </c>
    </row>
    <row r="3475" spans="1:20" x14ac:dyDescent="0.35">
      <c r="A3475" s="5">
        <v>8100282990</v>
      </c>
      <c r="B3475" s="5">
        <v>19679</v>
      </c>
      <c r="C3475" s="6">
        <v>45681</v>
      </c>
      <c r="D3475" s="5" t="s">
        <v>106</v>
      </c>
      <c r="E3475" s="5" t="s">
        <v>107</v>
      </c>
      <c r="F3475" s="5" t="s">
        <v>111</v>
      </c>
      <c r="G3475" s="5" t="s">
        <v>112</v>
      </c>
      <c r="H3475" s="5" t="s">
        <v>108</v>
      </c>
      <c r="I3475" s="5" t="s">
        <v>292</v>
      </c>
      <c r="J3475" s="5" t="s">
        <v>293</v>
      </c>
      <c r="K3475" s="5" t="s">
        <v>110</v>
      </c>
      <c r="L3475" s="6">
        <v>45687</v>
      </c>
      <c r="M3475" s="6">
        <v>45685</v>
      </c>
      <c r="N3475" s="5" t="s">
        <v>811</v>
      </c>
      <c r="O3475" s="5" t="str">
        <f ca="1">IF(P3475&lt;&gt;"EXPEDIÇÃO","Expedido",IF(NETWORKDAYS(C3475,TODAY())&gt;=5,"Risco Alto",IF(NETWORKDAYS(C3475,TODAY())&gt;=3,IF(NETWORKDAYS(C3475,TODAY())&lt;5,"Risco Médio",""),IF(NETWORKDAYS(C3475,TODAY())&lt;=2,"Risco Baixo",""))))</f>
        <v>Expedido</v>
      </c>
      <c r="P3475" s="5" t="s">
        <v>25</v>
      </c>
      <c r="S3475" s="7">
        <f>IF(ISBLANK(M3475),"Aguardando Previsão/Data",NETWORKDAYS(L3475,M3475)-1)</f>
        <v>-4</v>
      </c>
      <c r="T3475" s="5" t="s">
        <v>942</v>
      </c>
    </row>
    <row r="3476" spans="1:20" x14ac:dyDescent="0.35">
      <c r="A3476" s="5">
        <v>8100283078</v>
      </c>
      <c r="B3476" s="5">
        <v>19683</v>
      </c>
      <c r="C3476" s="6">
        <v>45681</v>
      </c>
      <c r="D3476" s="5" t="s">
        <v>106</v>
      </c>
      <c r="E3476" s="5" t="s">
        <v>107</v>
      </c>
      <c r="F3476" s="5" t="s">
        <v>69</v>
      </c>
      <c r="G3476" s="5" t="s">
        <v>70</v>
      </c>
      <c r="H3476" s="5" t="s">
        <v>108</v>
      </c>
      <c r="I3476" s="5" t="s">
        <v>278</v>
      </c>
      <c r="J3476" s="5" t="s">
        <v>279</v>
      </c>
      <c r="K3476" s="5" t="s">
        <v>110</v>
      </c>
      <c r="L3476" s="6">
        <v>45688</v>
      </c>
      <c r="M3476" s="6">
        <v>45695</v>
      </c>
      <c r="N3476" s="5" t="s">
        <v>811</v>
      </c>
      <c r="O3476" s="5" t="str">
        <f ca="1">IF(P3476&lt;&gt;"EXPEDIÇÃO","Expedido",IF(NETWORKDAYS(C3476,TODAY())&gt;=5,"Risco Alto",IF(NETWORKDAYS(C3476,TODAY())&gt;=3,IF(NETWORKDAYS(C3476,TODAY())&lt;5,"Risco Médio",""),IF(NETWORKDAYS(C3476,TODAY())&lt;=2,"Risco Baixo",""))))</f>
        <v>Risco Alto</v>
      </c>
      <c r="P3476" s="5" t="s">
        <v>726</v>
      </c>
      <c r="Q3476" s="5" t="s">
        <v>914</v>
      </c>
      <c r="S3476" s="7">
        <f>IF(ISBLANK(M3476),"Aguardando Previsão/Data",NETWORKDAYS(L3476,M3476)-1)</f>
        <v>5</v>
      </c>
    </row>
    <row r="3477" spans="1:20" x14ac:dyDescent="0.35">
      <c r="A3477" s="5">
        <v>8100283079</v>
      </c>
      <c r="B3477" s="5">
        <v>19681</v>
      </c>
      <c r="C3477" s="6">
        <v>45681</v>
      </c>
      <c r="D3477" s="5" t="s">
        <v>106</v>
      </c>
      <c r="E3477" s="5" t="s">
        <v>107</v>
      </c>
      <c r="F3477" s="5" t="s">
        <v>58</v>
      </c>
      <c r="G3477" s="5" t="s">
        <v>59</v>
      </c>
      <c r="H3477" s="5" t="s">
        <v>108</v>
      </c>
      <c r="I3477" s="5" t="s">
        <v>585</v>
      </c>
      <c r="J3477" s="5" t="s">
        <v>586</v>
      </c>
      <c r="K3477" s="5" t="s">
        <v>110</v>
      </c>
      <c r="L3477" s="6">
        <v>45688</v>
      </c>
      <c r="M3477" s="6">
        <v>45686</v>
      </c>
      <c r="N3477" s="5" t="s">
        <v>811</v>
      </c>
      <c r="O3477" s="5" t="str">
        <f ca="1">IF(P3477&lt;&gt;"EXPEDIÇÃO","Expedido",IF(NETWORKDAYS(C3477,TODAY())&gt;=5,"Risco Alto",IF(NETWORKDAYS(C3477,TODAY())&gt;=3,IF(NETWORKDAYS(C3477,TODAY())&lt;5,"Risco Médio",""),IF(NETWORKDAYS(C3477,TODAY())&lt;=2,"Risco Baixo",""))))</f>
        <v>Expedido</v>
      </c>
      <c r="P3477" s="5" t="s">
        <v>25</v>
      </c>
      <c r="S3477" s="7">
        <f>IF(ISBLANK(M3477),"Aguardando Previsão/Data",NETWORKDAYS(L3477,M3477)-1)</f>
        <v>-4</v>
      </c>
      <c r="T3477" s="5" t="s">
        <v>942</v>
      </c>
    </row>
    <row r="3478" spans="1:20" x14ac:dyDescent="0.35">
      <c r="A3478" s="5">
        <v>8100283080</v>
      </c>
      <c r="B3478" s="5">
        <v>19687</v>
      </c>
      <c r="C3478" s="6">
        <v>45681</v>
      </c>
      <c r="D3478" s="5" t="s">
        <v>106</v>
      </c>
      <c r="E3478" s="5" t="s">
        <v>107</v>
      </c>
      <c r="F3478" s="5" t="s">
        <v>147</v>
      </c>
      <c r="G3478" s="5" t="s">
        <v>148</v>
      </c>
      <c r="H3478" s="5" t="s">
        <v>108</v>
      </c>
      <c r="I3478" s="5" t="s">
        <v>144</v>
      </c>
      <c r="J3478" s="5" t="s">
        <v>141</v>
      </c>
      <c r="K3478" s="5" t="s">
        <v>110</v>
      </c>
      <c r="L3478" s="6">
        <v>45687</v>
      </c>
      <c r="M3478" s="6">
        <v>45681</v>
      </c>
      <c r="N3478" s="5" t="s">
        <v>811</v>
      </c>
      <c r="O3478" s="5" t="str">
        <f ca="1">IF(P3478&lt;&gt;"EXPEDIÇÃO","Expedido",IF(NETWORKDAYS(C3478,TODAY())&gt;=5,"Risco Alto",IF(NETWORKDAYS(C3478,TODAY())&gt;=3,IF(NETWORKDAYS(C3478,TODAY())&lt;5,"Risco Médio",""),IF(NETWORKDAYS(C3478,TODAY())&lt;=2,"Risco Baixo",""))))</f>
        <v>Expedido</v>
      </c>
      <c r="P3478" s="5" t="s">
        <v>25</v>
      </c>
      <c r="S3478" s="7">
        <f>IF(ISBLANK(M3478),"Aguardando Previsão/Data",NETWORKDAYS(L3478,M3478)-1)</f>
        <v>-6</v>
      </c>
      <c r="T3478" s="5" t="s">
        <v>942</v>
      </c>
    </row>
    <row r="3479" spans="1:20" x14ac:dyDescent="0.35">
      <c r="A3479" s="5">
        <v>8100283081</v>
      </c>
      <c r="B3479" s="5">
        <v>19682</v>
      </c>
      <c r="C3479" s="6">
        <v>45681</v>
      </c>
      <c r="D3479" s="5" t="s">
        <v>106</v>
      </c>
      <c r="E3479" s="5" t="s">
        <v>107</v>
      </c>
      <c r="F3479" s="5" t="s">
        <v>69</v>
      </c>
      <c r="G3479" s="5" t="s">
        <v>70</v>
      </c>
      <c r="H3479" s="5" t="s">
        <v>108</v>
      </c>
      <c r="I3479" s="5" t="s">
        <v>82</v>
      </c>
      <c r="J3479" s="5" t="s">
        <v>124</v>
      </c>
      <c r="K3479" s="5" t="s">
        <v>110</v>
      </c>
      <c r="L3479" s="6">
        <v>45691</v>
      </c>
      <c r="M3479" s="6">
        <v>45687</v>
      </c>
      <c r="N3479" s="5" t="s">
        <v>811</v>
      </c>
      <c r="O3479" s="5" t="str">
        <f ca="1">IF(P3479&lt;&gt;"EXPEDIÇÃO","Expedido",IF(NETWORKDAYS(C3479,TODAY())&gt;=5,"Risco Alto",IF(NETWORKDAYS(C3479,TODAY())&gt;=3,IF(NETWORKDAYS(C3479,TODAY())&lt;5,"Risco Médio",""),IF(NETWORKDAYS(C3479,TODAY())&lt;=2,"Risco Baixo",""))))</f>
        <v>Expedido</v>
      </c>
      <c r="P3479" s="5" t="s">
        <v>617</v>
      </c>
      <c r="S3479" s="7">
        <f>IF(ISBLANK(M3479),"Aguardando Previsão/Data",NETWORKDAYS(L3479,M3479)-1)</f>
        <v>-4</v>
      </c>
    </row>
    <row r="3480" spans="1:20" x14ac:dyDescent="0.35">
      <c r="A3480" s="5">
        <v>8100283082</v>
      </c>
      <c r="B3480" s="5">
        <v>19680</v>
      </c>
      <c r="C3480" s="6">
        <v>45681</v>
      </c>
      <c r="D3480" s="5" t="s">
        <v>106</v>
      </c>
      <c r="E3480" s="5" t="s">
        <v>107</v>
      </c>
      <c r="F3480" s="5" t="s">
        <v>69</v>
      </c>
      <c r="G3480" s="5" t="s">
        <v>70</v>
      </c>
      <c r="H3480" s="5" t="s">
        <v>108</v>
      </c>
      <c r="I3480" s="5" t="s">
        <v>64</v>
      </c>
      <c r="J3480" s="5" t="s">
        <v>537</v>
      </c>
      <c r="K3480" s="5" t="s">
        <v>110</v>
      </c>
      <c r="L3480" s="6">
        <v>45691</v>
      </c>
      <c r="M3480" s="6">
        <v>45688</v>
      </c>
      <c r="N3480" s="5" t="s">
        <v>811</v>
      </c>
      <c r="O3480" s="5" t="str">
        <f ca="1">IF(P3480&lt;&gt;"EXPEDIÇÃO","Expedido",IF(NETWORKDAYS(C3480,TODAY())&gt;=5,"Risco Alto",IF(NETWORKDAYS(C3480,TODAY())&gt;=3,IF(NETWORKDAYS(C3480,TODAY())&lt;5,"Risco Médio",""),IF(NETWORKDAYS(C3480,TODAY())&lt;=2,"Risco Baixo",""))))</f>
        <v>Expedido</v>
      </c>
      <c r="P3480" s="5" t="s">
        <v>617</v>
      </c>
      <c r="S3480" s="7">
        <f>IF(ISBLANK(M3480),"Aguardando Previsão/Data",NETWORKDAYS(L3480,M3480)-1)</f>
        <v>-3</v>
      </c>
    </row>
    <row r="3481" spans="1:20" x14ac:dyDescent="0.35">
      <c r="A3481" s="5">
        <v>8100283083</v>
      </c>
      <c r="B3481" s="5">
        <v>19684</v>
      </c>
      <c r="C3481" s="6">
        <v>45681</v>
      </c>
      <c r="D3481" s="5" t="s">
        <v>106</v>
      </c>
      <c r="E3481" s="5" t="s">
        <v>107</v>
      </c>
      <c r="F3481" s="5" t="s">
        <v>69</v>
      </c>
      <c r="G3481" s="5" t="s">
        <v>70</v>
      </c>
      <c r="H3481" s="5" t="s">
        <v>108</v>
      </c>
      <c r="I3481" s="5" t="s">
        <v>64</v>
      </c>
      <c r="J3481" s="5" t="s">
        <v>537</v>
      </c>
      <c r="K3481" s="5" t="s">
        <v>110</v>
      </c>
      <c r="L3481" s="6">
        <v>45691</v>
      </c>
      <c r="M3481" s="6">
        <v>45688</v>
      </c>
      <c r="N3481" s="5" t="s">
        <v>811</v>
      </c>
      <c r="O3481" s="5" t="str">
        <f ca="1">IF(P3481&lt;&gt;"EXPEDIÇÃO","Expedido",IF(NETWORKDAYS(C3481,TODAY())&gt;=5,"Risco Alto",IF(NETWORKDAYS(C3481,TODAY())&gt;=3,IF(NETWORKDAYS(C3481,TODAY())&lt;5,"Risco Médio",""),IF(NETWORKDAYS(C3481,TODAY())&lt;=2,"Risco Baixo",""))))</f>
        <v>Expedido</v>
      </c>
      <c r="P3481" s="5" t="s">
        <v>617</v>
      </c>
      <c r="S3481" s="7">
        <f>IF(ISBLANK(M3481),"Aguardando Previsão/Data",NETWORKDAYS(L3481,M3481)-1)</f>
        <v>-3</v>
      </c>
    </row>
    <row r="3482" spans="1:20" x14ac:dyDescent="0.35">
      <c r="A3482" s="5">
        <v>8100283084</v>
      </c>
      <c r="B3482" s="5">
        <v>19685</v>
      </c>
      <c r="C3482" s="6">
        <v>45681</v>
      </c>
      <c r="D3482" s="5" t="s">
        <v>106</v>
      </c>
      <c r="E3482" s="5" t="s">
        <v>107</v>
      </c>
      <c r="F3482" s="5" t="s">
        <v>66</v>
      </c>
      <c r="G3482" s="5" t="s">
        <v>67</v>
      </c>
      <c r="H3482" s="5" t="s">
        <v>108</v>
      </c>
      <c r="I3482" s="5" t="s">
        <v>152</v>
      </c>
      <c r="J3482" s="5" t="s">
        <v>153</v>
      </c>
      <c r="K3482" s="5" t="s">
        <v>110</v>
      </c>
      <c r="L3482" s="6">
        <v>45688</v>
      </c>
      <c r="M3482" s="6">
        <v>45688</v>
      </c>
      <c r="N3482" s="5" t="s">
        <v>811</v>
      </c>
      <c r="O3482" s="5" t="str">
        <f ca="1">IF(P3482&lt;&gt;"EXPEDIÇÃO","Expedido",IF(NETWORKDAYS(C3482,TODAY())&gt;=5,"Risco Alto",IF(NETWORKDAYS(C3482,TODAY())&gt;=3,IF(NETWORKDAYS(C3482,TODAY())&lt;5,"Risco Médio",""),IF(NETWORKDAYS(C3482,TODAY())&lt;=2,"Risco Baixo",""))))</f>
        <v>Expedido</v>
      </c>
      <c r="P3482" s="5" t="s">
        <v>617</v>
      </c>
      <c r="S3482" s="7">
        <f>IF(ISBLANK(M3482),"Aguardando Previsão/Data",NETWORKDAYS(L3482,M3482)-1)</f>
        <v>0</v>
      </c>
    </row>
    <row r="3483" spans="1:20" x14ac:dyDescent="0.35">
      <c r="A3483" s="5">
        <v>8100283086</v>
      </c>
      <c r="B3483" s="5">
        <v>19686</v>
      </c>
      <c r="C3483" s="6">
        <v>45681</v>
      </c>
      <c r="D3483" s="5" t="s">
        <v>106</v>
      </c>
      <c r="E3483" s="5" t="s">
        <v>107</v>
      </c>
      <c r="F3483" s="5" t="s">
        <v>69</v>
      </c>
      <c r="G3483" s="5" t="s">
        <v>70</v>
      </c>
      <c r="H3483" s="5" t="s">
        <v>108</v>
      </c>
      <c r="I3483" s="5" t="s">
        <v>278</v>
      </c>
      <c r="J3483" s="5" t="s">
        <v>279</v>
      </c>
      <c r="K3483" s="5" t="s">
        <v>110</v>
      </c>
      <c r="L3483" s="6">
        <v>45688</v>
      </c>
      <c r="M3483" s="6">
        <v>45695</v>
      </c>
      <c r="N3483" s="5" t="s">
        <v>812</v>
      </c>
      <c r="O3483" s="5" t="str">
        <f ca="1">IF(P3483&lt;&gt;"EXPEDIÇÃO","Expedido",IF(NETWORKDAYS(C3483,TODAY())&gt;=5,"Risco Alto",IF(NETWORKDAYS(C3483,TODAY())&gt;=3,IF(NETWORKDAYS(C3483,TODAY())&lt;5,"Risco Médio",""),IF(NETWORKDAYS(C3483,TODAY())&lt;=2,"Risco Baixo",""))))</f>
        <v>Expedido</v>
      </c>
      <c r="P3483" s="5" t="s">
        <v>617</v>
      </c>
      <c r="S3483" s="7">
        <f>IF(ISBLANK(M3483),"Aguardando Previsão/Data",NETWORKDAYS(L3483,M3483)-1)</f>
        <v>5</v>
      </c>
    </row>
    <row r="3484" spans="1:20" x14ac:dyDescent="0.35">
      <c r="A3484" s="5">
        <v>8100280563</v>
      </c>
      <c r="B3484" s="5">
        <v>7360</v>
      </c>
      <c r="C3484" s="6">
        <v>45681</v>
      </c>
      <c r="D3484" s="5" t="s">
        <v>194</v>
      </c>
      <c r="E3484" s="5" t="s">
        <v>195</v>
      </c>
      <c r="F3484" s="5" t="s">
        <v>199</v>
      </c>
      <c r="G3484" s="5" t="s">
        <v>200</v>
      </c>
      <c r="H3484" s="5" t="s">
        <v>108</v>
      </c>
      <c r="I3484" s="5" t="s">
        <v>1523</v>
      </c>
      <c r="J3484" s="5" t="s">
        <v>590</v>
      </c>
      <c r="K3484" s="5" t="s">
        <v>198</v>
      </c>
      <c r="L3484" s="6">
        <v>45688</v>
      </c>
      <c r="M3484" s="6">
        <v>45686</v>
      </c>
      <c r="N3484" s="5" t="s">
        <v>811</v>
      </c>
      <c r="O3484" s="5" t="str">
        <f ca="1">IF(P3484&lt;&gt;"EXPEDIÇÃO","Expedido",IF(NETWORKDAYS(C3484,TODAY())&gt;=5,"Risco Alto",IF(NETWORKDAYS(C3484,TODAY())&gt;=3,IF(NETWORKDAYS(C3484,TODAY())&lt;5,"Risco Médio",""),IF(NETWORKDAYS(C3484,TODAY())&lt;=2,"Risco Baixo",""))))</f>
        <v>Expedido</v>
      </c>
      <c r="P3484" s="5" t="s">
        <v>25</v>
      </c>
      <c r="Q3484" s="5" t="s">
        <v>899</v>
      </c>
      <c r="S3484" s="7">
        <f>IF(ISBLANK(M3484),"Aguardando Previsão/Data",NETWORKDAYS(L3484,M3484)-1)</f>
        <v>-4</v>
      </c>
      <c r="T3484" s="5" t="s">
        <v>942</v>
      </c>
    </row>
    <row r="3485" spans="1:20" x14ac:dyDescent="0.35">
      <c r="A3485" s="5">
        <v>8100281213</v>
      </c>
      <c r="B3485" s="5">
        <v>7376</v>
      </c>
      <c r="C3485" s="6">
        <v>45681</v>
      </c>
      <c r="D3485" s="5" t="s">
        <v>194</v>
      </c>
      <c r="E3485" s="5" t="s">
        <v>195</v>
      </c>
      <c r="F3485" s="5" t="s">
        <v>199</v>
      </c>
      <c r="G3485" s="5" t="s">
        <v>200</v>
      </c>
      <c r="H3485" s="5" t="s">
        <v>108</v>
      </c>
      <c r="I3485" s="5" t="s">
        <v>1524</v>
      </c>
      <c r="J3485" s="5" t="s">
        <v>205</v>
      </c>
      <c r="K3485" s="5" t="s">
        <v>198</v>
      </c>
      <c r="L3485" s="6">
        <v>45691</v>
      </c>
      <c r="M3485" s="6">
        <v>45687</v>
      </c>
      <c r="N3485" s="5" t="s">
        <v>811</v>
      </c>
      <c r="O3485" s="5" t="str">
        <f ca="1">IF(P3485&lt;&gt;"EXPEDIÇÃO","Expedido",IF(NETWORKDAYS(C3485,TODAY())&gt;=5,"Risco Alto",IF(NETWORKDAYS(C3485,TODAY())&gt;=3,IF(NETWORKDAYS(C3485,TODAY())&lt;5,"Risco Médio",""),IF(NETWORKDAYS(C3485,TODAY())&lt;=2,"Risco Baixo",""))))</f>
        <v>Expedido</v>
      </c>
      <c r="P3485" s="5" t="s">
        <v>25</v>
      </c>
      <c r="S3485" s="7">
        <f>IF(ISBLANK(M3485),"Aguardando Previsão/Data",NETWORKDAYS(L3485,M3485)-1)</f>
        <v>-4</v>
      </c>
      <c r="T3485" s="5" t="s">
        <v>942</v>
      </c>
    </row>
    <row r="3486" spans="1:20" x14ac:dyDescent="0.35">
      <c r="A3486" s="5">
        <v>8100281216</v>
      </c>
      <c r="B3486" s="5">
        <v>7377</v>
      </c>
      <c r="C3486" s="6">
        <v>45681</v>
      </c>
      <c r="D3486" s="5" t="s">
        <v>194</v>
      </c>
      <c r="E3486" s="5" t="s">
        <v>195</v>
      </c>
      <c r="F3486" s="5" t="s">
        <v>406</v>
      </c>
      <c r="G3486" s="5" t="s">
        <v>407</v>
      </c>
      <c r="H3486" s="5" t="s">
        <v>108</v>
      </c>
      <c r="I3486" s="5" t="s">
        <v>1525</v>
      </c>
      <c r="J3486" s="5" t="s">
        <v>407</v>
      </c>
      <c r="K3486" s="5" t="s">
        <v>198</v>
      </c>
      <c r="L3486" s="6">
        <v>45687</v>
      </c>
      <c r="M3486" s="6">
        <v>45686</v>
      </c>
      <c r="N3486" s="5" t="s">
        <v>811</v>
      </c>
      <c r="O3486" s="5" t="str">
        <f ca="1">IF(P3486&lt;&gt;"EXPEDIÇÃO","Expedido",IF(NETWORKDAYS(C3486,TODAY())&gt;=5,"Risco Alto",IF(NETWORKDAYS(C3486,TODAY())&gt;=3,IF(NETWORKDAYS(C3486,TODAY())&lt;5,"Risco Médio",""),IF(NETWORKDAYS(C3486,TODAY())&lt;=2,"Risco Baixo",""))))</f>
        <v>Expedido</v>
      </c>
      <c r="P3486" s="5" t="s">
        <v>25</v>
      </c>
      <c r="Q3486" s="5" t="s">
        <v>899</v>
      </c>
      <c r="S3486" s="7">
        <f>IF(ISBLANK(M3486),"Aguardando Previsão/Data",NETWORKDAYS(L3486,M3486)-1)</f>
        <v>-3</v>
      </c>
      <c r="T3486" s="5" t="s">
        <v>942</v>
      </c>
    </row>
    <row r="3487" spans="1:20" x14ac:dyDescent="0.35">
      <c r="A3487" s="5">
        <v>8100281218</v>
      </c>
      <c r="B3487" s="5">
        <v>7378</v>
      </c>
      <c r="C3487" s="6">
        <v>45681</v>
      </c>
      <c r="D3487" s="5" t="s">
        <v>194</v>
      </c>
      <c r="E3487" s="5" t="s">
        <v>195</v>
      </c>
      <c r="F3487" s="5" t="s">
        <v>406</v>
      </c>
      <c r="G3487" s="5" t="s">
        <v>407</v>
      </c>
      <c r="H3487" s="5" t="s">
        <v>108</v>
      </c>
      <c r="I3487" s="5" t="s">
        <v>1525</v>
      </c>
      <c r="J3487" s="5" t="s">
        <v>407</v>
      </c>
      <c r="K3487" s="5" t="s">
        <v>198</v>
      </c>
      <c r="L3487" s="6">
        <v>45687</v>
      </c>
      <c r="M3487" s="6">
        <v>45686</v>
      </c>
      <c r="N3487" s="5" t="s">
        <v>811</v>
      </c>
      <c r="O3487" s="5" t="str">
        <f ca="1">IF(P3487&lt;&gt;"EXPEDIÇÃO","Expedido",IF(NETWORKDAYS(C3487,TODAY())&gt;=5,"Risco Alto",IF(NETWORKDAYS(C3487,TODAY())&gt;=3,IF(NETWORKDAYS(C3487,TODAY())&lt;5,"Risco Médio",""),IF(NETWORKDAYS(C3487,TODAY())&lt;=2,"Risco Baixo",""))))</f>
        <v>Expedido</v>
      </c>
      <c r="P3487" s="5" t="s">
        <v>25</v>
      </c>
      <c r="Q3487" s="5" t="s">
        <v>899</v>
      </c>
      <c r="S3487" s="7">
        <f>IF(ISBLANK(M3487),"Aguardando Previsão/Data",NETWORKDAYS(L3487,M3487)-1)</f>
        <v>-3</v>
      </c>
      <c r="T3487" s="5" t="s">
        <v>942</v>
      </c>
    </row>
    <row r="3488" spans="1:20" x14ac:dyDescent="0.35">
      <c r="A3488" s="5">
        <v>8100281857</v>
      </c>
      <c r="B3488" s="5">
        <v>7348</v>
      </c>
      <c r="C3488" s="6">
        <v>45681</v>
      </c>
      <c r="D3488" s="5" t="s">
        <v>194</v>
      </c>
      <c r="E3488" s="5" t="s">
        <v>195</v>
      </c>
      <c r="F3488" s="5" t="s">
        <v>406</v>
      </c>
      <c r="G3488" s="5" t="s">
        <v>407</v>
      </c>
      <c r="H3488" s="5" t="s">
        <v>108</v>
      </c>
      <c r="I3488" s="5" t="s">
        <v>788</v>
      </c>
      <c r="J3488" s="5" t="s">
        <v>407</v>
      </c>
      <c r="K3488" s="5" t="s">
        <v>198</v>
      </c>
      <c r="L3488" s="6">
        <v>45687</v>
      </c>
      <c r="M3488" s="6">
        <v>45685</v>
      </c>
      <c r="N3488" s="5" t="s">
        <v>811</v>
      </c>
      <c r="O3488" s="5" t="str">
        <f ca="1">IF(P3488&lt;&gt;"EXPEDIÇÃO","Expedido",IF(NETWORKDAYS(C3488,TODAY())&gt;=5,"Risco Alto",IF(NETWORKDAYS(C3488,TODAY())&gt;=3,IF(NETWORKDAYS(C3488,TODAY())&lt;5,"Risco Médio",""),IF(NETWORKDAYS(C3488,TODAY())&lt;=2,"Risco Baixo",""))))</f>
        <v>Expedido</v>
      </c>
      <c r="P3488" s="5" t="s">
        <v>25</v>
      </c>
      <c r="S3488" s="7">
        <f>IF(ISBLANK(M3488),"Aguardando Previsão/Data",NETWORKDAYS(L3488,M3488)-1)</f>
        <v>-4</v>
      </c>
      <c r="T3488" s="5" t="s">
        <v>942</v>
      </c>
    </row>
    <row r="3489" spans="1:20" x14ac:dyDescent="0.35">
      <c r="A3489" s="5">
        <v>8100281859</v>
      </c>
      <c r="B3489" s="5">
        <v>7373</v>
      </c>
      <c r="C3489" s="6">
        <v>45681</v>
      </c>
      <c r="D3489" s="5" t="s">
        <v>194</v>
      </c>
      <c r="E3489" s="5" t="s">
        <v>195</v>
      </c>
      <c r="F3489" s="5" t="s">
        <v>199</v>
      </c>
      <c r="G3489" s="5" t="s">
        <v>200</v>
      </c>
      <c r="H3489" s="5" t="s">
        <v>108</v>
      </c>
      <c r="I3489" s="5" t="s">
        <v>589</v>
      </c>
      <c r="J3489" s="5" t="s">
        <v>205</v>
      </c>
      <c r="K3489" s="5" t="s">
        <v>198</v>
      </c>
      <c r="L3489" s="6">
        <v>45691</v>
      </c>
      <c r="M3489" s="6">
        <v>45687</v>
      </c>
      <c r="N3489" s="5" t="s">
        <v>811</v>
      </c>
      <c r="O3489" s="5" t="str">
        <f ca="1">IF(P3489&lt;&gt;"EXPEDIÇÃO","Expedido",IF(NETWORKDAYS(C3489,TODAY())&gt;=5,"Risco Alto",IF(NETWORKDAYS(C3489,TODAY())&gt;=3,IF(NETWORKDAYS(C3489,TODAY())&lt;5,"Risco Médio",""),IF(NETWORKDAYS(C3489,TODAY())&lt;=2,"Risco Baixo",""))))</f>
        <v>Expedido</v>
      </c>
      <c r="P3489" s="5" t="s">
        <v>25</v>
      </c>
      <c r="Q3489" s="5" t="s">
        <v>899</v>
      </c>
      <c r="S3489" s="7">
        <f>IF(ISBLANK(M3489),"Aguardando Previsão/Data",NETWORKDAYS(L3489,M3489)-1)</f>
        <v>-4</v>
      </c>
      <c r="T3489" s="5" t="s">
        <v>942</v>
      </c>
    </row>
    <row r="3490" spans="1:20" x14ac:dyDescent="0.35">
      <c r="A3490" s="5">
        <v>8100282213</v>
      </c>
      <c r="B3490" s="5">
        <v>7339</v>
      </c>
      <c r="C3490" s="6">
        <v>45681</v>
      </c>
      <c r="D3490" s="5" t="s">
        <v>194</v>
      </c>
      <c r="E3490" s="5" t="s">
        <v>195</v>
      </c>
      <c r="F3490" s="5" t="s">
        <v>199</v>
      </c>
      <c r="G3490" s="5" t="s">
        <v>200</v>
      </c>
      <c r="H3490" s="5" t="s">
        <v>108</v>
      </c>
      <c r="I3490" s="5" t="s">
        <v>1292</v>
      </c>
      <c r="J3490" s="5" t="s">
        <v>690</v>
      </c>
      <c r="K3490" s="5" t="s">
        <v>198</v>
      </c>
      <c r="L3490" s="6">
        <v>45691</v>
      </c>
      <c r="M3490" s="6">
        <v>45686</v>
      </c>
      <c r="N3490" s="5" t="s">
        <v>811</v>
      </c>
      <c r="O3490" s="5" t="str">
        <f ca="1">IF(P3490&lt;&gt;"EXPEDIÇÃO","Expedido",IF(NETWORKDAYS(C3490,TODAY())&gt;=5,"Risco Alto",IF(NETWORKDAYS(C3490,TODAY())&gt;=3,IF(NETWORKDAYS(C3490,TODAY())&lt;5,"Risco Médio",""),IF(NETWORKDAYS(C3490,TODAY())&lt;=2,"Risco Baixo",""))))</f>
        <v>Expedido</v>
      </c>
      <c r="P3490" s="5" t="s">
        <v>25</v>
      </c>
      <c r="Q3490" s="5" t="s">
        <v>899</v>
      </c>
      <c r="S3490" s="7">
        <f>IF(ISBLANK(M3490),"Aguardando Previsão/Data",NETWORKDAYS(L3490,M3490)-1)</f>
        <v>-5</v>
      </c>
      <c r="T3490" s="5" t="s">
        <v>942</v>
      </c>
    </row>
    <row r="3491" spans="1:20" x14ac:dyDescent="0.35">
      <c r="A3491" s="5">
        <v>8100282218</v>
      </c>
      <c r="B3491" s="5">
        <v>7354</v>
      </c>
      <c r="C3491" s="6">
        <v>45681</v>
      </c>
      <c r="D3491" s="5" t="s">
        <v>194</v>
      </c>
      <c r="E3491" s="5" t="s">
        <v>195</v>
      </c>
      <c r="F3491" s="5" t="s">
        <v>406</v>
      </c>
      <c r="G3491" s="5" t="s">
        <v>407</v>
      </c>
      <c r="H3491" s="5" t="s">
        <v>108</v>
      </c>
      <c r="I3491" s="5" t="s">
        <v>1433</v>
      </c>
      <c r="J3491" s="5" t="s">
        <v>1528</v>
      </c>
      <c r="K3491" s="5" t="s">
        <v>198</v>
      </c>
      <c r="L3491" s="6">
        <v>45687</v>
      </c>
      <c r="M3491" s="6">
        <v>45688</v>
      </c>
      <c r="N3491" s="5" t="s">
        <v>812</v>
      </c>
      <c r="O3491" s="5" t="str">
        <f ca="1">IF(P3491&lt;&gt;"EXPEDIÇÃO","Expedido",IF(NETWORKDAYS(C3491,TODAY())&gt;=5,"Risco Alto",IF(NETWORKDAYS(C3491,TODAY())&gt;=3,IF(NETWORKDAYS(C3491,TODAY())&lt;5,"Risco Médio",""),IF(NETWORKDAYS(C3491,TODAY())&lt;=2,"Risco Baixo",""))))</f>
        <v>Expedido</v>
      </c>
      <c r="P3491" s="5" t="s">
        <v>617</v>
      </c>
      <c r="Q3491" s="5" t="s">
        <v>899</v>
      </c>
      <c r="S3491" s="7">
        <f>IF(ISBLANK(M3491),"Aguardando Previsão/Data",NETWORKDAYS(L3491,M3491)-1)</f>
        <v>1</v>
      </c>
    </row>
    <row r="3492" spans="1:20" x14ac:dyDescent="0.35">
      <c r="A3492" s="5">
        <v>8100282219</v>
      </c>
      <c r="B3492" s="5">
        <v>7340</v>
      </c>
      <c r="C3492" s="6">
        <v>45681</v>
      </c>
      <c r="D3492" s="5" t="s">
        <v>194</v>
      </c>
      <c r="E3492" s="5" t="s">
        <v>195</v>
      </c>
      <c r="F3492" s="5" t="s">
        <v>406</v>
      </c>
      <c r="G3492" s="5" t="s">
        <v>407</v>
      </c>
      <c r="H3492" s="5" t="s">
        <v>108</v>
      </c>
      <c r="I3492" s="5" t="s">
        <v>1397</v>
      </c>
      <c r="J3492" s="5" t="s">
        <v>407</v>
      </c>
      <c r="K3492" s="5" t="s">
        <v>198</v>
      </c>
      <c r="L3492" s="6">
        <v>45687</v>
      </c>
      <c r="M3492" s="6">
        <v>45685</v>
      </c>
      <c r="N3492" s="5" t="s">
        <v>811</v>
      </c>
      <c r="O3492" s="5" t="str">
        <f ca="1">IF(P3492&lt;&gt;"EXPEDIÇÃO","Expedido",IF(NETWORKDAYS(C3492,TODAY())&gt;=5,"Risco Alto",IF(NETWORKDAYS(C3492,TODAY())&gt;=3,IF(NETWORKDAYS(C3492,TODAY())&lt;5,"Risco Médio",""),IF(NETWORKDAYS(C3492,TODAY())&lt;=2,"Risco Baixo",""))))</f>
        <v>Expedido</v>
      </c>
      <c r="P3492" s="5" t="s">
        <v>25</v>
      </c>
      <c r="Q3492" s="5" t="s">
        <v>899</v>
      </c>
      <c r="S3492" s="7">
        <f>IF(ISBLANK(M3492),"Aguardando Previsão/Data",NETWORKDAYS(L3492,M3492)-1)</f>
        <v>-4</v>
      </c>
      <c r="T3492" s="5" t="s">
        <v>942</v>
      </c>
    </row>
    <row r="3493" spans="1:20" x14ac:dyDescent="0.35">
      <c r="A3493" s="5">
        <v>8100282503</v>
      </c>
      <c r="B3493" s="5">
        <v>7357</v>
      </c>
      <c r="C3493" s="6">
        <v>45681</v>
      </c>
      <c r="D3493" s="5" t="s">
        <v>194</v>
      </c>
      <c r="E3493" s="5" t="s">
        <v>195</v>
      </c>
      <c r="F3493" s="5" t="s">
        <v>69</v>
      </c>
      <c r="G3493" s="5" t="s">
        <v>70</v>
      </c>
      <c r="H3493" s="5" t="s">
        <v>108</v>
      </c>
      <c r="I3493" s="5" t="s">
        <v>544</v>
      </c>
      <c r="J3493" s="5" t="s">
        <v>202</v>
      </c>
      <c r="K3493" s="5" t="s">
        <v>198</v>
      </c>
      <c r="L3493" s="6">
        <v>45688</v>
      </c>
      <c r="M3493" s="6">
        <v>45686</v>
      </c>
      <c r="N3493" s="5" t="s">
        <v>811</v>
      </c>
      <c r="O3493" s="5" t="str">
        <f ca="1">IF(P3493&lt;&gt;"EXPEDIÇÃO","Expedido",IF(NETWORKDAYS(C3493,TODAY())&gt;=5,"Risco Alto",IF(NETWORKDAYS(C3493,TODAY())&gt;=3,IF(NETWORKDAYS(C3493,TODAY())&lt;5,"Risco Médio",""),IF(NETWORKDAYS(C3493,TODAY())&lt;=2,"Risco Baixo",""))))</f>
        <v>Expedido</v>
      </c>
      <c r="P3493" s="5" t="s">
        <v>25</v>
      </c>
      <c r="S3493" s="7">
        <f>IF(ISBLANK(M3493),"Aguardando Previsão/Data",NETWORKDAYS(L3493,M3493)-1)</f>
        <v>-4</v>
      </c>
      <c r="T3493" s="5" t="s">
        <v>942</v>
      </c>
    </row>
    <row r="3494" spans="1:20" x14ac:dyDescent="0.35">
      <c r="A3494" s="5">
        <v>8100282504</v>
      </c>
      <c r="B3494" s="5">
        <v>7352</v>
      </c>
      <c r="C3494" s="6">
        <v>45681</v>
      </c>
      <c r="D3494" s="5" t="s">
        <v>194</v>
      </c>
      <c r="E3494" s="5" t="s">
        <v>195</v>
      </c>
      <c r="F3494" s="5" t="s">
        <v>406</v>
      </c>
      <c r="G3494" s="5" t="s">
        <v>407</v>
      </c>
      <c r="H3494" s="5" t="s">
        <v>108</v>
      </c>
      <c r="I3494" s="5" t="s">
        <v>633</v>
      </c>
      <c r="J3494" s="5" t="s">
        <v>407</v>
      </c>
      <c r="K3494" s="5" t="s">
        <v>198</v>
      </c>
      <c r="L3494" s="6">
        <v>45687</v>
      </c>
      <c r="M3494" s="6">
        <v>45685</v>
      </c>
      <c r="N3494" s="5" t="s">
        <v>811</v>
      </c>
      <c r="O3494" s="5" t="str">
        <f ca="1">IF(P3494&lt;&gt;"EXPEDIÇÃO","Expedido",IF(NETWORKDAYS(C3494,TODAY())&gt;=5,"Risco Alto",IF(NETWORKDAYS(C3494,TODAY())&gt;=3,IF(NETWORKDAYS(C3494,TODAY())&lt;5,"Risco Médio",""),IF(NETWORKDAYS(C3494,TODAY())&lt;=2,"Risco Baixo",""))))</f>
        <v>Expedido</v>
      </c>
      <c r="P3494" s="5" t="s">
        <v>25</v>
      </c>
      <c r="S3494" s="7">
        <f>IF(ISBLANK(M3494),"Aguardando Previsão/Data",NETWORKDAYS(L3494,M3494)-1)</f>
        <v>-4</v>
      </c>
      <c r="T3494" s="5" t="s">
        <v>942</v>
      </c>
    </row>
    <row r="3495" spans="1:20" x14ac:dyDescent="0.35">
      <c r="A3495" s="5">
        <v>8100282505</v>
      </c>
      <c r="B3495" s="5">
        <v>7345</v>
      </c>
      <c r="C3495" s="6">
        <v>45681</v>
      </c>
      <c r="D3495" s="5" t="s">
        <v>194</v>
      </c>
      <c r="E3495" s="5" t="s">
        <v>195</v>
      </c>
      <c r="F3495" s="5" t="s">
        <v>406</v>
      </c>
      <c r="G3495" s="5" t="s">
        <v>407</v>
      </c>
      <c r="H3495" s="5" t="s">
        <v>108</v>
      </c>
      <c r="I3495" s="5" t="s">
        <v>633</v>
      </c>
      <c r="J3495" s="5" t="s">
        <v>407</v>
      </c>
      <c r="K3495" s="5" t="s">
        <v>198</v>
      </c>
      <c r="L3495" s="6">
        <v>45687</v>
      </c>
      <c r="M3495" s="6">
        <v>45685</v>
      </c>
      <c r="N3495" s="5" t="s">
        <v>811</v>
      </c>
      <c r="O3495" s="5" t="str">
        <f ca="1">IF(P3495&lt;&gt;"EXPEDIÇÃO","Expedido",IF(NETWORKDAYS(C3495,TODAY())&gt;=5,"Risco Alto",IF(NETWORKDAYS(C3495,TODAY())&gt;=3,IF(NETWORKDAYS(C3495,TODAY())&lt;5,"Risco Médio",""),IF(NETWORKDAYS(C3495,TODAY())&lt;=2,"Risco Baixo",""))))</f>
        <v>Expedido</v>
      </c>
      <c r="P3495" s="5" t="s">
        <v>25</v>
      </c>
      <c r="S3495" s="7">
        <f>IF(ISBLANK(M3495),"Aguardando Previsão/Data",NETWORKDAYS(L3495,M3495)-1)</f>
        <v>-4</v>
      </c>
      <c r="T3495" s="5" t="s">
        <v>942</v>
      </c>
    </row>
    <row r="3496" spans="1:20" x14ac:dyDescent="0.35">
      <c r="A3496" s="5">
        <v>8100282506</v>
      </c>
      <c r="B3496" s="5">
        <v>7343</v>
      </c>
      <c r="C3496" s="6">
        <v>45681</v>
      </c>
      <c r="D3496" s="5" t="s">
        <v>194</v>
      </c>
      <c r="E3496" s="5" t="s">
        <v>195</v>
      </c>
      <c r="F3496" s="5" t="s">
        <v>406</v>
      </c>
      <c r="G3496" s="5" t="s">
        <v>407</v>
      </c>
      <c r="H3496" s="5" t="s">
        <v>108</v>
      </c>
      <c r="I3496" s="5" t="s">
        <v>1353</v>
      </c>
      <c r="J3496" s="5" t="s">
        <v>588</v>
      </c>
      <c r="K3496" s="5" t="s">
        <v>198</v>
      </c>
      <c r="L3496" s="6">
        <v>45688</v>
      </c>
      <c r="M3496" s="6">
        <v>45688</v>
      </c>
      <c r="N3496" s="5" t="s">
        <v>811</v>
      </c>
      <c r="O3496" s="5" t="str">
        <f ca="1">IF(P3496&lt;&gt;"EXPEDIÇÃO","Expedido",IF(NETWORKDAYS(C3496,TODAY())&gt;=5,"Risco Alto",IF(NETWORKDAYS(C3496,TODAY())&gt;=3,IF(NETWORKDAYS(C3496,TODAY())&lt;5,"Risco Médio",""),IF(NETWORKDAYS(C3496,TODAY())&lt;=2,"Risco Baixo",""))))</f>
        <v>Expedido</v>
      </c>
      <c r="P3496" s="5" t="s">
        <v>617</v>
      </c>
      <c r="Q3496" s="5" t="s">
        <v>899</v>
      </c>
      <c r="S3496" s="7">
        <f>IF(ISBLANK(M3496),"Aguardando Previsão/Data",NETWORKDAYS(L3496,M3496)-1)</f>
        <v>0</v>
      </c>
    </row>
    <row r="3497" spans="1:20" x14ac:dyDescent="0.35">
      <c r="A3497" s="5">
        <v>8100282507</v>
      </c>
      <c r="B3497" s="5">
        <v>7366</v>
      </c>
      <c r="C3497" s="6">
        <v>45681</v>
      </c>
      <c r="D3497" s="5" t="s">
        <v>194</v>
      </c>
      <c r="E3497" s="5" t="s">
        <v>195</v>
      </c>
      <c r="F3497" s="5" t="s">
        <v>406</v>
      </c>
      <c r="G3497" s="5" t="s">
        <v>407</v>
      </c>
      <c r="H3497" s="5" t="s">
        <v>108</v>
      </c>
      <c r="I3497" s="5" t="s">
        <v>1354</v>
      </c>
      <c r="J3497" s="5" t="s">
        <v>735</v>
      </c>
      <c r="K3497" s="5" t="s">
        <v>198</v>
      </c>
      <c r="L3497" s="6">
        <v>45688</v>
      </c>
      <c r="M3497" s="6">
        <v>45686</v>
      </c>
      <c r="N3497" s="5" t="s">
        <v>811</v>
      </c>
      <c r="O3497" s="5" t="str">
        <f ca="1">IF(P3497&lt;&gt;"EXPEDIÇÃO","Expedido",IF(NETWORKDAYS(C3497,TODAY())&gt;=5,"Risco Alto",IF(NETWORKDAYS(C3497,TODAY())&gt;=3,IF(NETWORKDAYS(C3497,TODAY())&lt;5,"Risco Médio",""),IF(NETWORKDAYS(C3497,TODAY())&lt;=2,"Risco Baixo",""))))</f>
        <v>Expedido</v>
      </c>
      <c r="P3497" s="5" t="s">
        <v>25</v>
      </c>
      <c r="Q3497" s="5" t="s">
        <v>1617</v>
      </c>
      <c r="R3497" s="5">
        <v>3117083</v>
      </c>
      <c r="S3497" s="7">
        <f>IF(ISBLANK(M3497),"Aguardando Previsão/Data",NETWORKDAYS(L3497,M3497)-1)</f>
        <v>-4</v>
      </c>
      <c r="T3497" s="5" t="s">
        <v>942</v>
      </c>
    </row>
    <row r="3498" spans="1:20" x14ac:dyDescent="0.35">
      <c r="A3498" s="5">
        <v>8100282508</v>
      </c>
      <c r="B3498" s="5">
        <v>7344</v>
      </c>
      <c r="C3498" s="6">
        <v>45681</v>
      </c>
      <c r="D3498" s="5" t="s">
        <v>194</v>
      </c>
      <c r="E3498" s="5" t="s">
        <v>195</v>
      </c>
      <c r="F3498" s="5" t="s">
        <v>406</v>
      </c>
      <c r="G3498" s="5" t="s">
        <v>407</v>
      </c>
      <c r="H3498" s="5" t="s">
        <v>108</v>
      </c>
      <c r="I3498" s="5" t="s">
        <v>1432</v>
      </c>
      <c r="J3498" s="5" t="s">
        <v>513</v>
      </c>
      <c r="K3498" s="5" t="s">
        <v>198</v>
      </c>
      <c r="L3498" s="6">
        <v>45688</v>
      </c>
      <c r="M3498" s="6">
        <v>45687</v>
      </c>
      <c r="N3498" s="5" t="s">
        <v>811</v>
      </c>
      <c r="O3498" s="5" t="str">
        <f ca="1">IF(P3498&lt;&gt;"EXPEDIÇÃO","Expedido",IF(NETWORKDAYS(C3498,TODAY())&gt;=5,"Risco Alto",IF(NETWORKDAYS(C3498,TODAY())&gt;=3,IF(NETWORKDAYS(C3498,TODAY())&lt;5,"Risco Médio",""),IF(NETWORKDAYS(C3498,TODAY())&lt;=2,"Risco Baixo",""))))</f>
        <v>Expedido</v>
      </c>
      <c r="P3498" s="5" t="s">
        <v>617</v>
      </c>
      <c r="Q3498" s="5" t="s">
        <v>899</v>
      </c>
      <c r="S3498" s="7">
        <f>IF(ISBLANK(M3498),"Aguardando Previsão/Data",NETWORKDAYS(L3498,M3498)-1)</f>
        <v>-3</v>
      </c>
    </row>
    <row r="3499" spans="1:20" x14ac:dyDescent="0.35">
      <c r="A3499" s="5">
        <v>8100282509</v>
      </c>
      <c r="B3499" s="5">
        <v>7363</v>
      </c>
      <c r="C3499" s="6">
        <v>45681</v>
      </c>
      <c r="D3499" s="5" t="s">
        <v>194</v>
      </c>
      <c r="E3499" s="5" t="s">
        <v>195</v>
      </c>
      <c r="F3499" s="5" t="s">
        <v>406</v>
      </c>
      <c r="G3499" s="5" t="s">
        <v>407</v>
      </c>
      <c r="H3499" s="5" t="s">
        <v>108</v>
      </c>
      <c r="I3499" s="5" t="s">
        <v>1455</v>
      </c>
      <c r="J3499" s="5" t="s">
        <v>513</v>
      </c>
      <c r="K3499" s="5" t="s">
        <v>198</v>
      </c>
      <c r="L3499" s="6">
        <v>45688</v>
      </c>
      <c r="M3499" s="6">
        <v>45687</v>
      </c>
      <c r="N3499" s="5" t="s">
        <v>811</v>
      </c>
      <c r="O3499" s="5" t="str">
        <f ca="1">IF(P3499&lt;&gt;"EXPEDIÇÃO","Expedido",IF(NETWORKDAYS(C3499,TODAY())&gt;=5,"Risco Alto",IF(NETWORKDAYS(C3499,TODAY())&gt;=3,IF(NETWORKDAYS(C3499,TODAY())&lt;5,"Risco Médio",""),IF(NETWORKDAYS(C3499,TODAY())&lt;=2,"Risco Baixo",""))))</f>
        <v>Expedido</v>
      </c>
      <c r="P3499" s="5" t="s">
        <v>617</v>
      </c>
      <c r="Q3499" s="5" t="s">
        <v>899</v>
      </c>
      <c r="S3499" s="7">
        <f>IF(ISBLANK(M3499),"Aguardando Previsão/Data",NETWORKDAYS(L3499,M3499)-1)</f>
        <v>-3</v>
      </c>
    </row>
    <row r="3500" spans="1:20" x14ac:dyDescent="0.35">
      <c r="A3500" s="5">
        <v>8100282510</v>
      </c>
      <c r="B3500" s="5">
        <v>7346</v>
      </c>
      <c r="C3500" s="6">
        <v>45681</v>
      </c>
      <c r="D3500" s="5" t="s">
        <v>194</v>
      </c>
      <c r="E3500" s="5" t="s">
        <v>195</v>
      </c>
      <c r="F3500" s="5" t="s">
        <v>406</v>
      </c>
      <c r="G3500" s="5" t="s">
        <v>407</v>
      </c>
      <c r="H3500" s="5" t="s">
        <v>108</v>
      </c>
      <c r="I3500" s="5" t="s">
        <v>544</v>
      </c>
      <c r="J3500" s="5" t="s">
        <v>202</v>
      </c>
      <c r="K3500" s="5" t="s">
        <v>198</v>
      </c>
      <c r="L3500" s="6">
        <v>45688</v>
      </c>
      <c r="M3500" s="6">
        <v>45686</v>
      </c>
      <c r="N3500" s="5" t="s">
        <v>811</v>
      </c>
      <c r="O3500" s="5" t="str">
        <f ca="1">IF(P3500&lt;&gt;"EXPEDIÇÃO","Expedido",IF(NETWORKDAYS(C3500,TODAY())&gt;=5,"Risco Alto",IF(NETWORKDAYS(C3500,TODAY())&gt;=3,IF(NETWORKDAYS(C3500,TODAY())&lt;5,"Risco Médio",""),IF(NETWORKDAYS(C3500,TODAY())&lt;=2,"Risco Baixo",""))))</f>
        <v>Expedido</v>
      </c>
      <c r="P3500" s="5" t="s">
        <v>25</v>
      </c>
      <c r="S3500" s="7">
        <f>IF(ISBLANK(M3500),"Aguardando Previsão/Data",NETWORKDAYS(L3500,M3500)-1)</f>
        <v>-4</v>
      </c>
      <c r="T3500" s="5" t="s">
        <v>942</v>
      </c>
    </row>
    <row r="3501" spans="1:20" x14ac:dyDescent="0.35">
      <c r="A3501" s="5">
        <v>8100282512</v>
      </c>
      <c r="B3501" s="5">
        <v>7356</v>
      </c>
      <c r="C3501" s="6">
        <v>45681</v>
      </c>
      <c r="D3501" s="5" t="s">
        <v>194</v>
      </c>
      <c r="E3501" s="5" t="s">
        <v>195</v>
      </c>
      <c r="F3501" s="5" t="s">
        <v>406</v>
      </c>
      <c r="G3501" s="5" t="s">
        <v>407</v>
      </c>
      <c r="H3501" s="5" t="s">
        <v>108</v>
      </c>
      <c r="I3501" s="5" t="s">
        <v>544</v>
      </c>
      <c r="J3501" s="5" t="s">
        <v>202</v>
      </c>
      <c r="K3501" s="5" t="s">
        <v>198</v>
      </c>
      <c r="L3501" s="6">
        <v>45688</v>
      </c>
      <c r="M3501" s="6">
        <v>45686</v>
      </c>
      <c r="N3501" s="5" t="s">
        <v>811</v>
      </c>
      <c r="O3501" s="5" t="str">
        <f ca="1">IF(P3501&lt;&gt;"EXPEDIÇÃO","Expedido",IF(NETWORKDAYS(C3501,TODAY())&gt;=5,"Risco Alto",IF(NETWORKDAYS(C3501,TODAY())&gt;=3,IF(NETWORKDAYS(C3501,TODAY())&lt;5,"Risco Médio",""),IF(NETWORKDAYS(C3501,TODAY())&lt;=2,"Risco Baixo",""))))</f>
        <v>Expedido</v>
      </c>
      <c r="P3501" s="5" t="s">
        <v>25</v>
      </c>
      <c r="S3501" s="7">
        <f>IF(ISBLANK(M3501),"Aguardando Previsão/Data",NETWORKDAYS(L3501,M3501)-1)</f>
        <v>-4</v>
      </c>
      <c r="T3501" s="5" t="s">
        <v>942</v>
      </c>
    </row>
    <row r="3502" spans="1:20" x14ac:dyDescent="0.35">
      <c r="A3502" s="5">
        <v>8100282513</v>
      </c>
      <c r="B3502" s="5">
        <v>7355</v>
      </c>
      <c r="C3502" s="6">
        <v>45681</v>
      </c>
      <c r="D3502" s="5" t="s">
        <v>194</v>
      </c>
      <c r="E3502" s="5" t="s">
        <v>195</v>
      </c>
      <c r="F3502" s="5" t="s">
        <v>406</v>
      </c>
      <c r="G3502" s="5" t="s">
        <v>407</v>
      </c>
      <c r="H3502" s="5" t="s">
        <v>108</v>
      </c>
      <c r="I3502" s="5" t="s">
        <v>633</v>
      </c>
      <c r="J3502" s="5" t="s">
        <v>407</v>
      </c>
      <c r="K3502" s="5" t="s">
        <v>198</v>
      </c>
      <c r="L3502" s="6">
        <v>45687</v>
      </c>
      <c r="M3502" s="6">
        <v>45685</v>
      </c>
      <c r="N3502" s="5" t="s">
        <v>811</v>
      </c>
      <c r="O3502" s="5" t="str">
        <f ca="1">IF(P3502&lt;&gt;"EXPEDIÇÃO","Expedido",IF(NETWORKDAYS(C3502,TODAY())&gt;=5,"Risco Alto",IF(NETWORKDAYS(C3502,TODAY())&gt;=3,IF(NETWORKDAYS(C3502,TODAY())&lt;5,"Risco Médio",""),IF(NETWORKDAYS(C3502,TODAY())&lt;=2,"Risco Baixo",""))))</f>
        <v>Expedido</v>
      </c>
      <c r="P3502" s="5" t="s">
        <v>25</v>
      </c>
      <c r="Q3502" s="5" t="s">
        <v>899</v>
      </c>
      <c r="S3502" s="7">
        <f>IF(ISBLANK(M3502),"Aguardando Previsão/Data",NETWORKDAYS(L3502,M3502)-1)</f>
        <v>-4</v>
      </c>
      <c r="T3502" s="5" t="s">
        <v>942</v>
      </c>
    </row>
    <row r="3503" spans="1:20" x14ac:dyDescent="0.35">
      <c r="A3503" s="5">
        <v>8100282514</v>
      </c>
      <c r="B3503" s="5">
        <v>7353</v>
      </c>
      <c r="C3503" s="6">
        <v>45681</v>
      </c>
      <c r="D3503" s="5" t="s">
        <v>194</v>
      </c>
      <c r="E3503" s="5" t="s">
        <v>195</v>
      </c>
      <c r="F3503" s="5" t="s">
        <v>58</v>
      </c>
      <c r="G3503" s="5" t="s">
        <v>59</v>
      </c>
      <c r="H3503" s="5" t="s">
        <v>108</v>
      </c>
      <c r="I3503" s="5" t="s">
        <v>209</v>
      </c>
      <c r="J3503" s="5" t="s">
        <v>210</v>
      </c>
      <c r="K3503" s="5" t="s">
        <v>198</v>
      </c>
      <c r="L3503" s="6">
        <v>45688</v>
      </c>
      <c r="M3503" s="6">
        <v>45687</v>
      </c>
      <c r="N3503" s="5" t="s">
        <v>811</v>
      </c>
      <c r="O3503" s="5" t="str">
        <f ca="1">IF(P3503&lt;&gt;"EXPEDIÇÃO","Expedido",IF(NETWORKDAYS(C3503,TODAY())&gt;=5,"Risco Alto",IF(NETWORKDAYS(C3503,TODAY())&gt;=3,IF(NETWORKDAYS(C3503,TODAY())&lt;5,"Risco Médio",""),IF(NETWORKDAYS(C3503,TODAY())&lt;=2,"Risco Baixo",""))))</f>
        <v>Expedido</v>
      </c>
      <c r="P3503" s="5" t="s">
        <v>25</v>
      </c>
      <c r="Q3503" s="5" t="s">
        <v>899</v>
      </c>
      <c r="S3503" s="7">
        <f>IF(ISBLANK(M3503),"Aguardando Previsão/Data",NETWORKDAYS(L3503,M3503)-1)</f>
        <v>-3</v>
      </c>
      <c r="T3503" s="5" t="s">
        <v>942</v>
      </c>
    </row>
    <row r="3504" spans="1:20" x14ac:dyDescent="0.35">
      <c r="A3504" s="5">
        <v>8100282515</v>
      </c>
      <c r="B3504" s="5">
        <v>7349</v>
      </c>
      <c r="C3504" s="6">
        <v>45681</v>
      </c>
      <c r="D3504" s="5" t="s">
        <v>194</v>
      </c>
      <c r="E3504" s="5" t="s">
        <v>195</v>
      </c>
      <c r="F3504" s="5" t="s">
        <v>406</v>
      </c>
      <c r="G3504" s="5" t="s">
        <v>407</v>
      </c>
      <c r="H3504" s="5" t="s">
        <v>108</v>
      </c>
      <c r="I3504" s="5" t="s">
        <v>1469</v>
      </c>
      <c r="J3504" s="5" t="s">
        <v>407</v>
      </c>
      <c r="K3504" s="5" t="s">
        <v>198</v>
      </c>
      <c r="L3504" s="6">
        <v>45687</v>
      </c>
      <c r="M3504" s="6">
        <v>45685</v>
      </c>
      <c r="N3504" s="5" t="s">
        <v>811</v>
      </c>
      <c r="O3504" s="5" t="str">
        <f ca="1">IF(P3504&lt;&gt;"EXPEDIÇÃO","Expedido",IF(NETWORKDAYS(C3504,TODAY())&gt;=5,"Risco Alto",IF(NETWORKDAYS(C3504,TODAY())&gt;=3,IF(NETWORKDAYS(C3504,TODAY())&lt;5,"Risco Médio",""),IF(NETWORKDAYS(C3504,TODAY())&lt;=2,"Risco Baixo",""))))</f>
        <v>Expedido</v>
      </c>
      <c r="P3504" s="5" t="s">
        <v>25</v>
      </c>
      <c r="S3504" s="7">
        <f>IF(ISBLANK(M3504),"Aguardando Previsão/Data",NETWORKDAYS(L3504,M3504)-1)</f>
        <v>-4</v>
      </c>
      <c r="T3504" s="5" t="s">
        <v>942</v>
      </c>
    </row>
    <row r="3505" spans="1:20" x14ac:dyDescent="0.35">
      <c r="A3505" s="5">
        <v>8100282516</v>
      </c>
      <c r="B3505" s="5">
        <v>7361</v>
      </c>
      <c r="C3505" s="6">
        <v>45681</v>
      </c>
      <c r="D3505" s="5" t="s">
        <v>194</v>
      </c>
      <c r="E3505" s="5" t="s">
        <v>195</v>
      </c>
      <c r="F3505" s="5" t="s">
        <v>406</v>
      </c>
      <c r="G3505" s="5" t="s">
        <v>407</v>
      </c>
      <c r="H3505" s="5" t="s">
        <v>108</v>
      </c>
      <c r="I3505" s="5" t="s">
        <v>835</v>
      </c>
      <c r="J3505" s="5" t="s">
        <v>616</v>
      </c>
      <c r="K3505" s="5" t="s">
        <v>198</v>
      </c>
      <c r="L3505" s="6">
        <v>45687</v>
      </c>
      <c r="M3505" s="6">
        <v>45687</v>
      </c>
      <c r="N3505" s="5" t="s">
        <v>811</v>
      </c>
      <c r="O3505" s="5" t="str">
        <f ca="1">IF(P3505&lt;&gt;"EXPEDIÇÃO","Expedido",IF(NETWORKDAYS(C3505,TODAY())&gt;=5,"Risco Alto",IF(NETWORKDAYS(C3505,TODAY())&gt;=3,IF(NETWORKDAYS(C3505,TODAY())&lt;5,"Risco Médio",""),IF(NETWORKDAYS(C3505,TODAY())&lt;=2,"Risco Baixo",""))))</f>
        <v>Expedido</v>
      </c>
      <c r="P3505" s="5" t="s">
        <v>617</v>
      </c>
      <c r="Q3505" s="5" t="s">
        <v>899</v>
      </c>
      <c r="S3505" s="7">
        <f>IF(ISBLANK(M3505),"Aguardando Previsão/Data",NETWORKDAYS(L3505,M3505)-1)</f>
        <v>0</v>
      </c>
    </row>
    <row r="3506" spans="1:20" x14ac:dyDescent="0.35">
      <c r="A3506" s="5">
        <v>8100282518</v>
      </c>
      <c r="B3506" s="5">
        <v>7347</v>
      </c>
      <c r="C3506" s="6">
        <v>45681</v>
      </c>
      <c r="D3506" s="5" t="s">
        <v>194</v>
      </c>
      <c r="E3506" s="5" t="s">
        <v>195</v>
      </c>
      <c r="F3506" s="5" t="s">
        <v>406</v>
      </c>
      <c r="G3506" s="5" t="s">
        <v>407</v>
      </c>
      <c r="H3506" s="5" t="s">
        <v>108</v>
      </c>
      <c r="I3506" s="5" t="s">
        <v>633</v>
      </c>
      <c r="J3506" s="5" t="s">
        <v>407</v>
      </c>
      <c r="K3506" s="5" t="s">
        <v>198</v>
      </c>
      <c r="L3506" s="6">
        <v>45687</v>
      </c>
      <c r="M3506" s="6">
        <v>45685</v>
      </c>
      <c r="N3506" s="5" t="s">
        <v>811</v>
      </c>
      <c r="O3506" s="5" t="str">
        <f ca="1">IF(P3506&lt;&gt;"EXPEDIÇÃO","Expedido",IF(NETWORKDAYS(C3506,TODAY())&gt;=5,"Risco Alto",IF(NETWORKDAYS(C3506,TODAY())&gt;=3,IF(NETWORKDAYS(C3506,TODAY())&lt;5,"Risco Médio",""),IF(NETWORKDAYS(C3506,TODAY())&lt;=2,"Risco Baixo",""))))</f>
        <v>Expedido</v>
      </c>
      <c r="P3506" s="5" t="s">
        <v>25</v>
      </c>
      <c r="S3506" s="7">
        <f>IF(ISBLANK(M3506),"Aguardando Previsão/Data",NETWORKDAYS(L3506,M3506)-1)</f>
        <v>-4</v>
      </c>
      <c r="T3506" s="5" t="s">
        <v>942</v>
      </c>
    </row>
    <row r="3507" spans="1:20" x14ac:dyDescent="0.35">
      <c r="A3507" s="5">
        <v>8100282519</v>
      </c>
      <c r="B3507" s="5">
        <v>7364</v>
      </c>
      <c r="C3507" s="6">
        <v>45681</v>
      </c>
      <c r="D3507" s="5" t="s">
        <v>194</v>
      </c>
      <c r="E3507" s="5" t="s">
        <v>195</v>
      </c>
      <c r="F3507" s="5" t="s">
        <v>406</v>
      </c>
      <c r="G3507" s="5" t="s">
        <v>407</v>
      </c>
      <c r="H3507" s="5" t="s">
        <v>108</v>
      </c>
      <c r="I3507" s="5" t="s">
        <v>788</v>
      </c>
      <c r="J3507" s="5" t="s">
        <v>407</v>
      </c>
      <c r="K3507" s="5" t="s">
        <v>198</v>
      </c>
      <c r="L3507" s="6">
        <v>45687</v>
      </c>
      <c r="M3507" s="6">
        <v>45685</v>
      </c>
      <c r="N3507" s="5" t="s">
        <v>811</v>
      </c>
      <c r="O3507" s="5" t="str">
        <f ca="1">IF(P3507&lt;&gt;"EXPEDIÇÃO","Expedido",IF(NETWORKDAYS(C3507,TODAY())&gt;=5,"Risco Alto",IF(NETWORKDAYS(C3507,TODAY())&gt;=3,IF(NETWORKDAYS(C3507,TODAY())&lt;5,"Risco Médio",""),IF(NETWORKDAYS(C3507,TODAY())&lt;=2,"Risco Baixo",""))))</f>
        <v>Expedido</v>
      </c>
      <c r="P3507" s="5" t="s">
        <v>25</v>
      </c>
      <c r="Q3507" s="5" t="s">
        <v>899</v>
      </c>
      <c r="S3507" s="7">
        <f>IF(ISBLANK(M3507),"Aguardando Previsão/Data",NETWORKDAYS(L3507,M3507)-1)</f>
        <v>-4</v>
      </c>
      <c r="T3507" s="5" t="s">
        <v>942</v>
      </c>
    </row>
    <row r="3508" spans="1:20" x14ac:dyDescent="0.35">
      <c r="A3508" s="5">
        <v>8100282521</v>
      </c>
      <c r="B3508" s="5">
        <v>7342</v>
      </c>
      <c r="C3508" s="6">
        <v>45681</v>
      </c>
      <c r="D3508" s="5" t="s">
        <v>194</v>
      </c>
      <c r="E3508" s="5" t="s">
        <v>195</v>
      </c>
      <c r="F3508" s="5" t="s">
        <v>406</v>
      </c>
      <c r="G3508" s="5" t="s">
        <v>407</v>
      </c>
      <c r="H3508" s="5" t="s">
        <v>108</v>
      </c>
      <c r="I3508" s="5" t="s">
        <v>633</v>
      </c>
      <c r="J3508" s="5" t="s">
        <v>407</v>
      </c>
      <c r="K3508" s="5" t="s">
        <v>198</v>
      </c>
      <c r="L3508" s="6">
        <v>45687</v>
      </c>
      <c r="M3508" s="6">
        <v>45685</v>
      </c>
      <c r="N3508" s="5" t="s">
        <v>811</v>
      </c>
      <c r="O3508" s="5" t="str">
        <f ca="1">IF(P3508&lt;&gt;"EXPEDIÇÃO","Expedido",IF(NETWORKDAYS(C3508,TODAY())&gt;=5,"Risco Alto",IF(NETWORKDAYS(C3508,TODAY())&gt;=3,IF(NETWORKDAYS(C3508,TODAY())&lt;5,"Risco Médio",""),IF(NETWORKDAYS(C3508,TODAY())&lt;=2,"Risco Baixo",""))))</f>
        <v>Expedido</v>
      </c>
      <c r="P3508" s="5" t="s">
        <v>25</v>
      </c>
      <c r="S3508" s="7">
        <f>IF(ISBLANK(M3508),"Aguardando Previsão/Data",NETWORKDAYS(L3508,M3508)-1)</f>
        <v>-4</v>
      </c>
      <c r="T3508" s="5" t="s">
        <v>942</v>
      </c>
    </row>
    <row r="3509" spans="1:20" x14ac:dyDescent="0.35">
      <c r="A3509" s="5">
        <v>8100282524</v>
      </c>
      <c r="B3509" s="5">
        <v>7372</v>
      </c>
      <c r="C3509" s="6">
        <v>45681</v>
      </c>
      <c r="D3509" s="5" t="s">
        <v>194</v>
      </c>
      <c r="E3509" s="5" t="s">
        <v>195</v>
      </c>
      <c r="F3509" s="5" t="s">
        <v>199</v>
      </c>
      <c r="G3509" s="5" t="s">
        <v>200</v>
      </c>
      <c r="H3509" s="5" t="s">
        <v>108</v>
      </c>
      <c r="I3509" s="5" t="s">
        <v>1447</v>
      </c>
      <c r="J3509" s="5" t="s">
        <v>1448</v>
      </c>
      <c r="K3509" s="5" t="s">
        <v>198</v>
      </c>
      <c r="L3509" s="6">
        <v>45688</v>
      </c>
      <c r="M3509" s="6">
        <v>45688</v>
      </c>
      <c r="N3509" s="5" t="s">
        <v>811</v>
      </c>
      <c r="O3509" s="5" t="str">
        <f ca="1">IF(P3509&lt;&gt;"EXPEDIÇÃO","Expedido",IF(NETWORKDAYS(C3509,TODAY())&gt;=5,"Risco Alto",IF(NETWORKDAYS(C3509,TODAY())&gt;=3,IF(NETWORKDAYS(C3509,TODAY())&lt;5,"Risco Médio",""),IF(NETWORKDAYS(C3509,TODAY())&lt;=2,"Risco Baixo",""))))</f>
        <v>Risco Alto</v>
      </c>
      <c r="P3509" s="5" t="s">
        <v>726</v>
      </c>
      <c r="S3509" s="7">
        <f>IF(ISBLANK(M3509),"Aguardando Previsão/Data",NETWORKDAYS(L3509,M3509)-1)</f>
        <v>0</v>
      </c>
    </row>
    <row r="3510" spans="1:20" x14ac:dyDescent="0.35">
      <c r="A3510" s="5">
        <v>8100282526</v>
      </c>
      <c r="B3510" s="5">
        <v>7367</v>
      </c>
      <c r="C3510" s="6">
        <v>45681</v>
      </c>
      <c r="D3510" s="5" t="s">
        <v>194</v>
      </c>
      <c r="E3510" s="5" t="s">
        <v>195</v>
      </c>
      <c r="F3510" s="5" t="s">
        <v>199</v>
      </c>
      <c r="G3510" s="5" t="s">
        <v>200</v>
      </c>
      <c r="H3510" s="5" t="s">
        <v>108</v>
      </c>
      <c r="I3510" s="5" t="s">
        <v>953</v>
      </c>
      <c r="J3510" s="5" t="s">
        <v>590</v>
      </c>
      <c r="K3510" s="5" t="s">
        <v>198</v>
      </c>
      <c r="L3510" s="6">
        <v>45688</v>
      </c>
      <c r="M3510" s="6">
        <v>45686</v>
      </c>
      <c r="N3510" s="5" t="s">
        <v>811</v>
      </c>
      <c r="O3510" s="5" t="str">
        <f ca="1">IF(P3510&lt;&gt;"EXPEDIÇÃO","Expedido",IF(NETWORKDAYS(C3510,TODAY())&gt;=5,"Risco Alto",IF(NETWORKDAYS(C3510,TODAY())&gt;=3,IF(NETWORKDAYS(C3510,TODAY())&lt;5,"Risco Médio",""),IF(NETWORKDAYS(C3510,TODAY())&lt;=2,"Risco Baixo",""))))</f>
        <v>Expedido</v>
      </c>
      <c r="P3510" s="5" t="s">
        <v>25</v>
      </c>
      <c r="Q3510" s="5" t="s">
        <v>899</v>
      </c>
      <c r="S3510" s="7">
        <f>IF(ISBLANK(M3510),"Aguardando Previsão/Data",NETWORKDAYS(L3510,M3510)-1)</f>
        <v>-4</v>
      </c>
      <c r="T3510" s="5" t="s">
        <v>942</v>
      </c>
    </row>
    <row r="3511" spans="1:20" x14ac:dyDescent="0.35">
      <c r="A3511" s="5">
        <v>8100282527</v>
      </c>
      <c r="B3511" s="5">
        <v>7358</v>
      </c>
      <c r="C3511" s="6">
        <v>45681</v>
      </c>
      <c r="D3511" s="5" t="s">
        <v>194</v>
      </c>
      <c r="E3511" s="5" t="s">
        <v>195</v>
      </c>
      <c r="F3511" s="5" t="s">
        <v>69</v>
      </c>
      <c r="G3511" s="5" t="s">
        <v>70</v>
      </c>
      <c r="H3511" s="5" t="s">
        <v>108</v>
      </c>
      <c r="I3511" s="5" t="s">
        <v>128</v>
      </c>
      <c r="J3511" s="5" t="s">
        <v>290</v>
      </c>
      <c r="K3511" s="5" t="s">
        <v>198</v>
      </c>
      <c r="L3511" s="6">
        <v>45687</v>
      </c>
      <c r="M3511" s="6">
        <v>45688</v>
      </c>
      <c r="N3511" s="5" t="s">
        <v>812</v>
      </c>
      <c r="O3511" s="5" t="str">
        <f ca="1">IF(P3511&lt;&gt;"EXPEDIÇÃO","Expedido",IF(NETWORKDAYS(C3511,TODAY())&gt;=5,"Risco Alto",IF(NETWORKDAYS(C3511,TODAY())&gt;=3,IF(NETWORKDAYS(C3511,TODAY())&lt;5,"Risco Médio",""),IF(NETWORKDAYS(C3511,TODAY())&lt;=2,"Risco Baixo",""))))</f>
        <v>Expedido</v>
      </c>
      <c r="P3511" s="5" t="s">
        <v>617</v>
      </c>
      <c r="Q3511" s="5" t="s">
        <v>1624</v>
      </c>
      <c r="S3511" s="7">
        <f>IF(ISBLANK(M3511),"Aguardando Previsão/Data",NETWORKDAYS(L3511,M3511)-1)</f>
        <v>1</v>
      </c>
    </row>
    <row r="3512" spans="1:20" x14ac:dyDescent="0.35">
      <c r="A3512" s="5">
        <v>8100282528</v>
      </c>
      <c r="B3512" s="5">
        <v>7369</v>
      </c>
      <c r="C3512" s="6">
        <v>45681</v>
      </c>
      <c r="D3512" s="5" t="s">
        <v>194</v>
      </c>
      <c r="E3512" s="5" t="s">
        <v>195</v>
      </c>
      <c r="F3512" s="5" t="s">
        <v>406</v>
      </c>
      <c r="G3512" s="5" t="s">
        <v>407</v>
      </c>
      <c r="H3512" s="5" t="s">
        <v>108</v>
      </c>
      <c r="I3512" s="5" t="s">
        <v>1505</v>
      </c>
      <c r="J3512" s="5" t="s">
        <v>616</v>
      </c>
      <c r="K3512" s="5" t="s">
        <v>198</v>
      </c>
      <c r="L3512" s="6">
        <v>45687</v>
      </c>
      <c r="M3512" s="6">
        <v>45687</v>
      </c>
      <c r="N3512" s="5" t="s">
        <v>811</v>
      </c>
      <c r="O3512" s="5" t="str">
        <f ca="1">IF(P3512&lt;&gt;"EXPEDIÇÃO","Expedido",IF(NETWORKDAYS(C3512,TODAY())&gt;=5,"Risco Alto",IF(NETWORKDAYS(C3512,TODAY())&gt;=3,IF(NETWORKDAYS(C3512,TODAY())&lt;5,"Risco Médio",""),IF(NETWORKDAYS(C3512,TODAY())&lt;=2,"Risco Baixo",""))))</f>
        <v>Expedido</v>
      </c>
      <c r="P3512" s="5" t="s">
        <v>617</v>
      </c>
      <c r="Q3512" s="5" t="s">
        <v>899</v>
      </c>
      <c r="S3512" s="7">
        <f>IF(ISBLANK(M3512),"Aguardando Previsão/Data",NETWORKDAYS(L3512,M3512)-1)</f>
        <v>0</v>
      </c>
    </row>
    <row r="3513" spans="1:20" x14ac:dyDescent="0.35">
      <c r="A3513" s="5">
        <v>8100282529</v>
      </c>
      <c r="B3513" s="5">
        <v>7368</v>
      </c>
      <c r="C3513" s="6">
        <v>45681</v>
      </c>
      <c r="D3513" s="5" t="s">
        <v>194</v>
      </c>
      <c r="E3513" s="5" t="s">
        <v>195</v>
      </c>
      <c r="F3513" s="5" t="s">
        <v>406</v>
      </c>
      <c r="G3513" s="5" t="s">
        <v>407</v>
      </c>
      <c r="H3513" s="5" t="s">
        <v>108</v>
      </c>
      <c r="I3513" s="5" t="s">
        <v>1535</v>
      </c>
      <c r="J3513" s="5" t="s">
        <v>616</v>
      </c>
      <c r="K3513" s="5" t="s">
        <v>198</v>
      </c>
      <c r="L3513" s="6">
        <v>45687</v>
      </c>
      <c r="M3513" s="6">
        <v>45687</v>
      </c>
      <c r="N3513" s="5" t="s">
        <v>811</v>
      </c>
      <c r="O3513" s="5" t="str">
        <f ca="1">IF(P3513&lt;&gt;"EXPEDIÇÃO","Expedido",IF(NETWORKDAYS(C3513,TODAY())&gt;=5,"Risco Alto",IF(NETWORKDAYS(C3513,TODAY())&gt;=3,IF(NETWORKDAYS(C3513,TODAY())&lt;5,"Risco Médio",""),IF(NETWORKDAYS(C3513,TODAY())&lt;=2,"Risco Baixo",""))))</f>
        <v>Expedido</v>
      </c>
      <c r="P3513" s="5" t="s">
        <v>617</v>
      </c>
      <c r="Q3513" s="5" t="s">
        <v>899</v>
      </c>
      <c r="S3513" s="7">
        <f>IF(ISBLANK(M3513),"Aguardando Previsão/Data",NETWORKDAYS(L3513,M3513)-1)</f>
        <v>0</v>
      </c>
    </row>
    <row r="3514" spans="1:20" x14ac:dyDescent="0.35">
      <c r="A3514" s="5">
        <v>8100282530</v>
      </c>
      <c r="B3514" s="5">
        <v>7365</v>
      </c>
      <c r="C3514" s="6">
        <v>45681</v>
      </c>
      <c r="D3514" s="5" t="s">
        <v>194</v>
      </c>
      <c r="E3514" s="5" t="s">
        <v>195</v>
      </c>
      <c r="F3514" s="5" t="s">
        <v>69</v>
      </c>
      <c r="G3514" s="5" t="s">
        <v>70</v>
      </c>
      <c r="H3514" s="5" t="s">
        <v>108</v>
      </c>
      <c r="I3514" s="5" t="s">
        <v>334</v>
      </c>
      <c r="J3514" s="5" t="s">
        <v>291</v>
      </c>
      <c r="K3514" s="5" t="s">
        <v>198</v>
      </c>
      <c r="L3514" s="6">
        <v>45688</v>
      </c>
      <c r="M3514" s="6">
        <v>45686</v>
      </c>
      <c r="N3514" s="5" t="s">
        <v>811</v>
      </c>
      <c r="O3514" s="5" t="str">
        <f ca="1">IF(P3514&lt;&gt;"EXPEDIÇÃO","Expedido",IF(NETWORKDAYS(C3514,TODAY())&gt;=5,"Risco Alto",IF(NETWORKDAYS(C3514,TODAY())&gt;=3,IF(NETWORKDAYS(C3514,TODAY())&lt;5,"Risco Médio",""),IF(NETWORKDAYS(C3514,TODAY())&lt;=2,"Risco Baixo",""))))</f>
        <v>Expedido</v>
      </c>
      <c r="P3514" s="5" t="s">
        <v>25</v>
      </c>
      <c r="S3514" s="7">
        <f>IF(ISBLANK(M3514),"Aguardando Previsão/Data",NETWORKDAYS(L3514,M3514)-1)</f>
        <v>-4</v>
      </c>
      <c r="T3514" s="5" t="s">
        <v>942</v>
      </c>
    </row>
    <row r="3515" spans="1:20" x14ac:dyDescent="0.35">
      <c r="A3515" s="5">
        <v>8100282531</v>
      </c>
      <c r="B3515" s="5">
        <v>7350</v>
      </c>
      <c r="C3515" s="6">
        <v>45681</v>
      </c>
      <c r="D3515" s="5" t="s">
        <v>194</v>
      </c>
      <c r="E3515" s="5" t="s">
        <v>195</v>
      </c>
      <c r="F3515" s="5" t="s">
        <v>69</v>
      </c>
      <c r="G3515" s="5" t="s">
        <v>70</v>
      </c>
      <c r="H3515" s="5" t="s">
        <v>108</v>
      </c>
      <c r="I3515" s="5" t="s">
        <v>128</v>
      </c>
      <c r="J3515" s="5" t="s">
        <v>291</v>
      </c>
      <c r="K3515" s="5" t="s">
        <v>198</v>
      </c>
      <c r="L3515" s="6">
        <v>45688</v>
      </c>
      <c r="M3515" s="6">
        <v>45688</v>
      </c>
      <c r="N3515" s="5" t="s">
        <v>811</v>
      </c>
      <c r="O3515" s="5" t="str">
        <f ca="1">IF(P3515&lt;&gt;"EXPEDIÇÃO","Expedido",IF(NETWORKDAYS(C3515,TODAY())&gt;=5,"Risco Alto",IF(NETWORKDAYS(C3515,TODAY())&gt;=3,IF(NETWORKDAYS(C3515,TODAY())&lt;5,"Risco Médio",""),IF(NETWORKDAYS(C3515,TODAY())&lt;=2,"Risco Baixo",""))))</f>
        <v>Expedido</v>
      </c>
      <c r="P3515" s="5" t="s">
        <v>617</v>
      </c>
      <c r="Q3515" s="5" t="s">
        <v>1622</v>
      </c>
      <c r="S3515" s="7">
        <f>IF(ISBLANK(M3515),"Aguardando Previsão/Data",NETWORKDAYS(L3515,M3515)-1)</f>
        <v>0</v>
      </c>
    </row>
    <row r="3516" spans="1:20" x14ac:dyDescent="0.35">
      <c r="A3516" s="5">
        <v>8100282532</v>
      </c>
      <c r="B3516" s="5">
        <v>7370</v>
      </c>
      <c r="C3516" s="6">
        <v>45681</v>
      </c>
      <c r="D3516" s="5" t="s">
        <v>194</v>
      </c>
      <c r="E3516" s="5" t="s">
        <v>195</v>
      </c>
      <c r="F3516" s="5" t="s">
        <v>406</v>
      </c>
      <c r="G3516" s="5" t="s">
        <v>407</v>
      </c>
      <c r="H3516" s="5" t="s">
        <v>108</v>
      </c>
      <c r="I3516" s="5" t="s">
        <v>708</v>
      </c>
      <c r="J3516" s="5" t="s">
        <v>616</v>
      </c>
      <c r="K3516" s="5" t="s">
        <v>198</v>
      </c>
      <c r="L3516" s="6">
        <v>45687</v>
      </c>
      <c r="M3516" s="6">
        <v>45685</v>
      </c>
      <c r="N3516" s="5" t="s">
        <v>811</v>
      </c>
      <c r="O3516" s="5" t="str">
        <f ca="1">IF(P3516&lt;&gt;"EXPEDIÇÃO","Expedido",IF(NETWORKDAYS(C3516,TODAY())&gt;=5,"Risco Alto",IF(NETWORKDAYS(C3516,TODAY())&gt;=3,IF(NETWORKDAYS(C3516,TODAY())&lt;5,"Risco Médio",""),IF(NETWORKDAYS(C3516,TODAY())&lt;=2,"Risco Baixo",""))))</f>
        <v>Expedido</v>
      </c>
      <c r="P3516" s="5" t="s">
        <v>25</v>
      </c>
      <c r="S3516" s="7">
        <f>IF(ISBLANK(M3516),"Aguardando Previsão/Data",NETWORKDAYS(L3516,M3516)-1)</f>
        <v>-4</v>
      </c>
      <c r="T3516" s="5" t="s">
        <v>942</v>
      </c>
    </row>
    <row r="3517" spans="1:20" x14ac:dyDescent="0.35">
      <c r="A3517" s="5">
        <v>8100282541</v>
      </c>
      <c r="B3517" s="5">
        <v>7371</v>
      </c>
      <c r="C3517" s="6">
        <v>45681</v>
      </c>
      <c r="D3517" s="5" t="s">
        <v>194</v>
      </c>
      <c r="E3517" s="5" t="s">
        <v>195</v>
      </c>
      <c r="F3517" s="5" t="s">
        <v>199</v>
      </c>
      <c r="G3517" s="5" t="s">
        <v>200</v>
      </c>
      <c r="H3517" s="5" t="s">
        <v>108</v>
      </c>
      <c r="I3517" s="5" t="s">
        <v>1436</v>
      </c>
      <c r="J3517" s="5" t="s">
        <v>785</v>
      </c>
      <c r="K3517" s="5" t="s">
        <v>198</v>
      </c>
      <c r="L3517" s="6">
        <v>45691</v>
      </c>
      <c r="M3517" s="6">
        <v>45688</v>
      </c>
      <c r="N3517" s="5" t="s">
        <v>811</v>
      </c>
      <c r="O3517" s="5" t="str">
        <f ca="1">IF(P3517&lt;&gt;"EXPEDIÇÃO","Expedido",IF(NETWORKDAYS(C3517,TODAY())&gt;=5,"Risco Alto",IF(NETWORKDAYS(C3517,TODAY())&gt;=3,IF(NETWORKDAYS(C3517,TODAY())&lt;5,"Risco Médio",""),IF(NETWORKDAYS(C3517,TODAY())&lt;=2,"Risco Baixo",""))))</f>
        <v>Risco Alto</v>
      </c>
      <c r="P3517" s="5" t="s">
        <v>726</v>
      </c>
      <c r="S3517" s="7">
        <f>IF(ISBLANK(M3517),"Aguardando Previsão/Data",NETWORKDAYS(L3517,M3517)-1)</f>
        <v>-3</v>
      </c>
    </row>
    <row r="3518" spans="1:20" x14ac:dyDescent="0.35">
      <c r="A3518" s="5">
        <v>8100282720</v>
      </c>
      <c r="B3518" s="5">
        <v>7341</v>
      </c>
      <c r="C3518" s="6">
        <v>45681</v>
      </c>
      <c r="D3518" s="5" t="s">
        <v>194</v>
      </c>
      <c r="E3518" s="5" t="s">
        <v>195</v>
      </c>
      <c r="F3518" s="5" t="s">
        <v>69</v>
      </c>
      <c r="G3518" s="5" t="s">
        <v>70</v>
      </c>
      <c r="H3518" s="5" t="s">
        <v>108</v>
      </c>
      <c r="I3518" s="5" t="s">
        <v>311</v>
      </c>
      <c r="J3518" s="5" t="s">
        <v>202</v>
      </c>
      <c r="K3518" s="5" t="s">
        <v>198</v>
      </c>
      <c r="L3518" s="6">
        <v>45688</v>
      </c>
      <c r="M3518" s="6">
        <v>45686</v>
      </c>
      <c r="N3518" s="5" t="s">
        <v>811</v>
      </c>
      <c r="O3518" s="5" t="str">
        <f ca="1">IF(P3518&lt;&gt;"EXPEDIÇÃO","Expedido",IF(NETWORKDAYS(C3518,TODAY())&gt;=5,"Risco Alto",IF(NETWORKDAYS(C3518,TODAY())&gt;=3,IF(NETWORKDAYS(C3518,TODAY())&lt;5,"Risco Médio",""),IF(NETWORKDAYS(C3518,TODAY())&lt;=2,"Risco Baixo",""))))</f>
        <v>Expedido</v>
      </c>
      <c r="P3518" s="5" t="s">
        <v>25</v>
      </c>
      <c r="S3518" s="7">
        <f>IF(ISBLANK(M3518),"Aguardando Previsão/Data",NETWORKDAYS(L3518,M3518)-1)</f>
        <v>-4</v>
      </c>
      <c r="T3518" s="5" t="s">
        <v>942</v>
      </c>
    </row>
    <row r="3519" spans="1:20" x14ac:dyDescent="0.35">
      <c r="A3519" s="5">
        <v>8100282804</v>
      </c>
      <c r="B3519" s="5">
        <v>7351</v>
      </c>
      <c r="C3519" s="6">
        <v>45681</v>
      </c>
      <c r="D3519" s="5" t="s">
        <v>194</v>
      </c>
      <c r="E3519" s="5" t="s">
        <v>195</v>
      </c>
      <c r="F3519" s="5" t="s">
        <v>69</v>
      </c>
      <c r="G3519" s="5" t="s">
        <v>70</v>
      </c>
      <c r="H3519" s="5" t="s">
        <v>108</v>
      </c>
      <c r="I3519" s="5" t="s">
        <v>128</v>
      </c>
      <c r="J3519" s="5" t="s">
        <v>291</v>
      </c>
      <c r="K3519" s="5" t="s">
        <v>198</v>
      </c>
      <c r="L3519" s="6">
        <v>45688</v>
      </c>
      <c r="M3519" s="6">
        <v>45688</v>
      </c>
      <c r="N3519" s="5" t="s">
        <v>811</v>
      </c>
      <c r="O3519" s="5" t="str">
        <f ca="1">IF(P3519&lt;&gt;"EXPEDIÇÃO","Expedido",IF(NETWORKDAYS(C3519,TODAY())&gt;=5,"Risco Alto",IF(NETWORKDAYS(C3519,TODAY())&gt;=3,IF(NETWORKDAYS(C3519,TODAY())&lt;5,"Risco Médio",""),IF(NETWORKDAYS(C3519,TODAY())&lt;=2,"Risco Baixo",""))))</f>
        <v>Expedido</v>
      </c>
      <c r="P3519" s="5" t="s">
        <v>617</v>
      </c>
      <c r="Q3519" s="5" t="s">
        <v>1622</v>
      </c>
      <c r="S3519" s="7">
        <f>IF(ISBLANK(M3519),"Aguardando Previsão/Data",NETWORKDAYS(L3519,M3519)-1)</f>
        <v>0</v>
      </c>
    </row>
    <row r="3520" spans="1:20" x14ac:dyDescent="0.35">
      <c r="A3520" s="5">
        <v>8100282812</v>
      </c>
      <c r="B3520" s="5">
        <v>7362</v>
      </c>
      <c r="C3520" s="6">
        <v>45681</v>
      </c>
      <c r="D3520" s="5" t="s">
        <v>194</v>
      </c>
      <c r="E3520" s="5" t="s">
        <v>195</v>
      </c>
      <c r="F3520" s="5" t="s">
        <v>69</v>
      </c>
      <c r="G3520" s="5" t="s">
        <v>70</v>
      </c>
      <c r="H3520" s="5" t="s">
        <v>108</v>
      </c>
      <c r="I3520" s="5" t="s">
        <v>311</v>
      </c>
      <c r="J3520" s="5" t="s">
        <v>202</v>
      </c>
      <c r="K3520" s="5" t="s">
        <v>198</v>
      </c>
      <c r="L3520" s="6">
        <v>45688</v>
      </c>
      <c r="M3520" s="6">
        <v>45686</v>
      </c>
      <c r="N3520" s="5" t="s">
        <v>811</v>
      </c>
      <c r="O3520" s="5" t="str">
        <f ca="1">IF(P3520&lt;&gt;"EXPEDIÇÃO","Expedido",IF(NETWORKDAYS(C3520,TODAY())&gt;=5,"Risco Alto",IF(NETWORKDAYS(C3520,TODAY())&gt;=3,IF(NETWORKDAYS(C3520,TODAY())&lt;5,"Risco Médio",""),IF(NETWORKDAYS(C3520,TODAY())&lt;=2,"Risco Baixo",""))))</f>
        <v>Expedido</v>
      </c>
      <c r="P3520" s="5" t="s">
        <v>25</v>
      </c>
      <c r="S3520" s="7">
        <f>IF(ISBLANK(M3520),"Aguardando Previsão/Data",NETWORKDAYS(L3520,M3520)-1)</f>
        <v>-4</v>
      </c>
      <c r="T3520" s="5" t="s">
        <v>942</v>
      </c>
    </row>
    <row r="3521" spans="1:20" x14ac:dyDescent="0.35">
      <c r="A3521" s="5">
        <v>8100283093</v>
      </c>
      <c r="B3521" s="5">
        <v>7375</v>
      </c>
      <c r="C3521" s="6">
        <v>45681</v>
      </c>
      <c r="D3521" s="5" t="s">
        <v>194</v>
      </c>
      <c r="E3521" s="5" t="s">
        <v>195</v>
      </c>
      <c r="F3521" s="5" t="s">
        <v>147</v>
      </c>
      <c r="G3521" s="5" t="s">
        <v>148</v>
      </c>
      <c r="H3521" s="5" t="s">
        <v>108</v>
      </c>
      <c r="I3521" s="5" t="s">
        <v>128</v>
      </c>
      <c r="J3521" s="5" t="s">
        <v>291</v>
      </c>
      <c r="K3521" s="5" t="s">
        <v>198</v>
      </c>
      <c r="L3521" s="6">
        <v>45688</v>
      </c>
      <c r="M3521" s="6">
        <v>45688</v>
      </c>
      <c r="N3521" s="5" t="s">
        <v>811</v>
      </c>
      <c r="O3521" s="5" t="str">
        <f ca="1">IF(P3521&lt;&gt;"EXPEDIÇÃO","Expedido",IF(NETWORKDAYS(C3521,TODAY())&gt;=5,"Risco Alto",IF(NETWORKDAYS(C3521,TODAY())&gt;=3,IF(NETWORKDAYS(C3521,TODAY())&lt;5,"Risco Médio",""),IF(NETWORKDAYS(C3521,TODAY())&lt;=2,"Risco Baixo",""))))</f>
        <v>Expedido</v>
      </c>
      <c r="P3521" s="5" t="s">
        <v>617</v>
      </c>
      <c r="Q3521" s="5" t="s">
        <v>1622</v>
      </c>
      <c r="S3521" s="7">
        <f>IF(ISBLANK(M3521),"Aguardando Previsão/Data",NETWORKDAYS(L3521,M3521)-1)</f>
        <v>0</v>
      </c>
    </row>
    <row r="3522" spans="1:20" x14ac:dyDescent="0.35">
      <c r="A3522" s="5">
        <v>8100283117</v>
      </c>
      <c r="B3522" s="5">
        <v>7374</v>
      </c>
      <c r="C3522" s="6">
        <v>45681</v>
      </c>
      <c r="D3522" s="5" t="s">
        <v>194</v>
      </c>
      <c r="E3522" s="5" t="s">
        <v>195</v>
      </c>
      <c r="F3522" s="5" t="s">
        <v>58</v>
      </c>
      <c r="G3522" s="5" t="s">
        <v>59</v>
      </c>
      <c r="H3522" s="5" t="s">
        <v>108</v>
      </c>
      <c r="I3522" s="5" t="s">
        <v>1358</v>
      </c>
      <c r="J3522" s="5" t="s">
        <v>205</v>
      </c>
      <c r="K3522" s="5" t="s">
        <v>198</v>
      </c>
      <c r="L3522" s="6">
        <v>45691</v>
      </c>
      <c r="M3522" s="6">
        <v>45686</v>
      </c>
      <c r="N3522" s="5" t="s">
        <v>811</v>
      </c>
      <c r="O3522" s="5" t="str">
        <f ca="1">IF(P3522&lt;&gt;"EXPEDIÇÃO","Expedido",IF(NETWORKDAYS(C3522,TODAY())&gt;=5,"Risco Alto",IF(NETWORKDAYS(C3522,TODAY())&gt;=3,IF(NETWORKDAYS(C3522,TODAY())&lt;5,"Risco Médio",""),IF(NETWORKDAYS(C3522,TODAY())&lt;=2,"Risco Baixo",""))))</f>
        <v>Expedido</v>
      </c>
      <c r="P3522" s="5" t="s">
        <v>25</v>
      </c>
      <c r="S3522" s="7">
        <f>IF(ISBLANK(M3522),"Aguardando Previsão/Data",NETWORKDAYS(L3522,M3522)-1)</f>
        <v>-5</v>
      </c>
      <c r="T3522" s="5" t="s">
        <v>942</v>
      </c>
    </row>
    <row r="3523" spans="1:20" x14ac:dyDescent="0.35">
      <c r="A3523" s="5">
        <v>8100282355</v>
      </c>
      <c r="B3523" s="5">
        <v>14677</v>
      </c>
      <c r="C3523" s="6">
        <v>45681</v>
      </c>
      <c r="D3523" s="5" t="s">
        <v>211</v>
      </c>
      <c r="E3523" s="5" t="s">
        <v>212</v>
      </c>
      <c r="F3523" s="5" t="s">
        <v>136</v>
      </c>
      <c r="G3523" s="5" t="s">
        <v>137</v>
      </c>
      <c r="H3523" s="5" t="s">
        <v>108</v>
      </c>
      <c r="I3523" s="5" t="s">
        <v>680</v>
      </c>
      <c r="J3523" s="5" t="s">
        <v>681</v>
      </c>
      <c r="K3523" s="5" t="s">
        <v>170</v>
      </c>
      <c r="L3523" s="6">
        <v>45693</v>
      </c>
      <c r="M3523" s="6">
        <v>45693</v>
      </c>
      <c r="N3523" s="5" t="s">
        <v>811</v>
      </c>
      <c r="O3523" s="5" t="str">
        <f ca="1">IF(P3523&lt;&gt;"EXPEDIÇÃO","Expedido",IF(NETWORKDAYS(C3523,TODAY())&gt;=5,"Risco Alto",IF(NETWORKDAYS(C3523,TODAY())&gt;=3,IF(NETWORKDAYS(C3523,TODAY())&lt;5,"Risco Médio",""),IF(NETWORKDAYS(C3523,TODAY())&lt;=2,"Risco Baixo",""))))</f>
        <v>Expedido</v>
      </c>
      <c r="P3523" s="5" t="s">
        <v>617</v>
      </c>
      <c r="S3523" s="7">
        <f>IF(ISBLANK(M3523),"Aguardando Previsão/Data",NETWORKDAYS(L3523,M3523)-1)</f>
        <v>0</v>
      </c>
    </row>
    <row r="3524" spans="1:20" x14ac:dyDescent="0.35">
      <c r="A3524" s="5">
        <v>8100282716</v>
      </c>
      <c r="B3524" s="5">
        <v>14680</v>
      </c>
      <c r="C3524" s="6">
        <v>45681</v>
      </c>
      <c r="D3524" s="5" t="s">
        <v>211</v>
      </c>
      <c r="E3524" s="5" t="s">
        <v>212</v>
      </c>
      <c r="F3524" s="5" t="s">
        <v>66</v>
      </c>
      <c r="G3524" s="5" t="s">
        <v>67</v>
      </c>
      <c r="H3524" s="5" t="s">
        <v>108</v>
      </c>
      <c r="I3524" s="5" t="s">
        <v>398</v>
      </c>
      <c r="J3524" s="5" t="s">
        <v>399</v>
      </c>
      <c r="K3524" s="5" t="s">
        <v>156</v>
      </c>
      <c r="L3524" s="6">
        <v>45693</v>
      </c>
      <c r="M3524" s="6">
        <v>45687</v>
      </c>
      <c r="N3524" s="5" t="s">
        <v>811</v>
      </c>
      <c r="O3524" s="5" t="str">
        <f ca="1">IF(P3524&lt;&gt;"EXPEDIÇÃO","Expedido",IF(NETWORKDAYS(C3524,TODAY())&gt;=5,"Risco Alto",IF(NETWORKDAYS(C3524,TODAY())&gt;=3,IF(NETWORKDAYS(C3524,TODAY())&lt;5,"Risco Médio",""),IF(NETWORKDAYS(C3524,TODAY())&lt;=2,"Risco Baixo",""))))</f>
        <v>Expedido</v>
      </c>
      <c r="P3524" s="5" t="s">
        <v>617</v>
      </c>
      <c r="S3524" s="7">
        <f>IF(ISBLANK(M3524),"Aguardando Previsão/Data",NETWORKDAYS(L3524,M3524)-1)</f>
        <v>-6</v>
      </c>
    </row>
    <row r="3525" spans="1:20" x14ac:dyDescent="0.35">
      <c r="A3525" s="5">
        <v>8100282717</v>
      </c>
      <c r="B3525" s="5">
        <v>14681</v>
      </c>
      <c r="C3525" s="6">
        <v>45681</v>
      </c>
      <c r="D3525" s="5" t="s">
        <v>211</v>
      </c>
      <c r="E3525" s="5" t="s">
        <v>212</v>
      </c>
      <c r="F3525" s="5" t="s">
        <v>66</v>
      </c>
      <c r="G3525" s="5" t="s">
        <v>67</v>
      </c>
      <c r="H3525" s="5" t="s">
        <v>108</v>
      </c>
      <c r="I3525" s="5" t="s">
        <v>398</v>
      </c>
      <c r="J3525" s="5" t="s">
        <v>399</v>
      </c>
      <c r="K3525" s="5" t="s">
        <v>156</v>
      </c>
      <c r="L3525" s="6">
        <v>45693</v>
      </c>
      <c r="M3525" s="6">
        <v>45687</v>
      </c>
      <c r="N3525" s="5" t="s">
        <v>811</v>
      </c>
      <c r="O3525" s="5" t="str">
        <f ca="1">IF(P3525&lt;&gt;"EXPEDIÇÃO","Expedido",IF(NETWORKDAYS(C3525,TODAY())&gt;=5,"Risco Alto",IF(NETWORKDAYS(C3525,TODAY())&gt;=3,IF(NETWORKDAYS(C3525,TODAY())&lt;5,"Risco Médio",""),IF(NETWORKDAYS(C3525,TODAY())&lt;=2,"Risco Baixo",""))))</f>
        <v>Expedido</v>
      </c>
      <c r="P3525" s="5" t="s">
        <v>617</v>
      </c>
      <c r="S3525" s="7">
        <f>IF(ISBLANK(M3525),"Aguardando Previsão/Data",NETWORKDAYS(L3525,M3525)-1)</f>
        <v>-6</v>
      </c>
    </row>
    <row r="3526" spans="1:20" x14ac:dyDescent="0.35">
      <c r="A3526" s="5">
        <v>8100282719</v>
      </c>
      <c r="B3526" s="5">
        <v>14682</v>
      </c>
      <c r="C3526" s="6">
        <v>45681</v>
      </c>
      <c r="D3526" s="5" t="s">
        <v>211</v>
      </c>
      <c r="E3526" s="5" t="s">
        <v>212</v>
      </c>
      <c r="F3526" s="5" t="s">
        <v>66</v>
      </c>
      <c r="G3526" s="5" t="s">
        <v>67</v>
      </c>
      <c r="H3526" s="5" t="s">
        <v>108</v>
      </c>
      <c r="I3526" s="5" t="s">
        <v>398</v>
      </c>
      <c r="J3526" s="5" t="s">
        <v>399</v>
      </c>
      <c r="K3526" s="5" t="s">
        <v>156</v>
      </c>
      <c r="L3526" s="6">
        <v>45693</v>
      </c>
      <c r="M3526" s="6">
        <v>45687</v>
      </c>
      <c r="N3526" s="5" t="s">
        <v>811</v>
      </c>
      <c r="O3526" s="5" t="str">
        <f ca="1">IF(P3526&lt;&gt;"EXPEDIÇÃO","Expedido",IF(NETWORKDAYS(C3526,TODAY())&gt;=5,"Risco Alto",IF(NETWORKDAYS(C3526,TODAY())&gt;=3,IF(NETWORKDAYS(C3526,TODAY())&lt;5,"Risco Médio",""),IF(NETWORKDAYS(C3526,TODAY())&lt;=2,"Risco Baixo",""))))</f>
        <v>Expedido</v>
      </c>
      <c r="P3526" s="5" t="s">
        <v>617</v>
      </c>
      <c r="S3526" s="7">
        <f>IF(ISBLANK(M3526),"Aguardando Previsão/Data",NETWORKDAYS(L3526,M3526)-1)</f>
        <v>-6</v>
      </c>
    </row>
    <row r="3527" spans="1:20" x14ac:dyDescent="0.35">
      <c r="A3527" s="5">
        <v>8100282754</v>
      </c>
      <c r="B3527" s="5">
        <v>14679</v>
      </c>
      <c r="C3527" s="6">
        <v>45681</v>
      </c>
      <c r="D3527" s="5" t="s">
        <v>211</v>
      </c>
      <c r="E3527" s="5" t="s">
        <v>212</v>
      </c>
      <c r="F3527" s="5" t="s">
        <v>58</v>
      </c>
      <c r="G3527" s="5" t="s">
        <v>59</v>
      </c>
      <c r="H3527" s="5" t="s">
        <v>108</v>
      </c>
      <c r="I3527" s="5" t="s">
        <v>213</v>
      </c>
      <c r="J3527" s="5" t="s">
        <v>214</v>
      </c>
      <c r="K3527" s="5" t="s">
        <v>119</v>
      </c>
      <c r="L3527" s="6">
        <v>45687</v>
      </c>
      <c r="M3527" s="6">
        <v>45686</v>
      </c>
      <c r="N3527" s="5" t="s">
        <v>811</v>
      </c>
      <c r="O3527" s="5" t="str">
        <f ca="1">IF(P3527&lt;&gt;"EXPEDIÇÃO","Expedido",IF(NETWORKDAYS(C3527,TODAY())&gt;=5,"Risco Alto",IF(NETWORKDAYS(C3527,TODAY())&gt;=3,IF(NETWORKDAYS(C3527,TODAY())&lt;5,"Risco Médio",""),IF(NETWORKDAYS(C3527,TODAY())&lt;=2,"Risco Baixo",""))))</f>
        <v>Expedido</v>
      </c>
      <c r="P3527" s="5" t="s">
        <v>25</v>
      </c>
      <c r="S3527" s="7">
        <f>IF(ISBLANK(M3527),"Aguardando Previsão/Data",NETWORKDAYS(L3527,M3527)-1)</f>
        <v>-3</v>
      </c>
      <c r="T3527" s="5" t="s">
        <v>942</v>
      </c>
    </row>
    <row r="3528" spans="1:20" x14ac:dyDescent="0.35">
      <c r="A3528" s="5">
        <v>8100282755</v>
      </c>
      <c r="B3528" s="5">
        <v>14678</v>
      </c>
      <c r="C3528" s="6">
        <v>45681</v>
      </c>
      <c r="D3528" s="5" t="s">
        <v>211</v>
      </c>
      <c r="E3528" s="5" t="s">
        <v>212</v>
      </c>
      <c r="F3528" s="5" t="s">
        <v>58</v>
      </c>
      <c r="G3528" s="5" t="s">
        <v>59</v>
      </c>
      <c r="H3528" s="5" t="s">
        <v>108</v>
      </c>
      <c r="I3528" s="5" t="s">
        <v>486</v>
      </c>
      <c r="J3528" s="5" t="s">
        <v>214</v>
      </c>
      <c r="K3528" s="5" t="s">
        <v>119</v>
      </c>
      <c r="L3528" s="6">
        <v>45687</v>
      </c>
      <c r="M3528" s="6">
        <v>45687</v>
      </c>
      <c r="N3528" s="5" t="s">
        <v>811</v>
      </c>
      <c r="O3528" s="5" t="str">
        <f ca="1">IF(P3528&lt;&gt;"EXPEDIÇÃO","Expedido",IF(NETWORKDAYS(C3528,TODAY())&gt;=5,"Risco Alto",IF(NETWORKDAYS(C3528,TODAY())&gt;=3,IF(NETWORKDAYS(C3528,TODAY())&lt;5,"Risco Médio",""),IF(NETWORKDAYS(C3528,TODAY())&lt;=2,"Risco Baixo",""))))</f>
        <v>Expedido</v>
      </c>
      <c r="P3528" s="5" t="s">
        <v>617</v>
      </c>
      <c r="S3528" s="7">
        <f>IF(ISBLANK(M3528),"Aguardando Previsão/Data",NETWORKDAYS(L3528,M3528)-1)</f>
        <v>0</v>
      </c>
    </row>
    <row r="3529" spans="1:20" x14ac:dyDescent="0.35">
      <c r="A3529" s="5">
        <v>8100282756</v>
      </c>
      <c r="B3529" s="5">
        <v>14675</v>
      </c>
      <c r="C3529" s="6">
        <v>45681</v>
      </c>
      <c r="D3529" s="5" t="s">
        <v>211</v>
      </c>
      <c r="E3529" s="5" t="s">
        <v>212</v>
      </c>
      <c r="F3529" s="5" t="s">
        <v>171</v>
      </c>
      <c r="G3529" s="5" t="s">
        <v>172</v>
      </c>
      <c r="H3529" s="5" t="s">
        <v>108</v>
      </c>
      <c r="I3529" s="5" t="s">
        <v>182</v>
      </c>
      <c r="J3529" s="5" t="s">
        <v>314</v>
      </c>
      <c r="K3529" s="5" t="s">
        <v>170</v>
      </c>
      <c r="L3529" s="6">
        <v>45693</v>
      </c>
      <c r="M3529" s="6">
        <v>45693</v>
      </c>
      <c r="N3529" s="5" t="s">
        <v>811</v>
      </c>
      <c r="O3529" s="5" t="str">
        <f ca="1">IF(P3529&lt;&gt;"EXPEDIÇÃO","Expedido",IF(NETWORKDAYS(C3529,TODAY())&gt;=5,"Risco Alto",IF(NETWORKDAYS(C3529,TODAY())&gt;=3,IF(NETWORKDAYS(C3529,TODAY())&lt;5,"Risco Médio",""),IF(NETWORKDAYS(C3529,TODAY())&lt;=2,"Risco Baixo",""))))</f>
        <v>Expedido</v>
      </c>
      <c r="P3529" s="5" t="s">
        <v>617</v>
      </c>
      <c r="S3529" s="7">
        <f>IF(ISBLANK(M3529),"Aguardando Previsão/Data",NETWORKDAYS(L3529,M3529)-1)</f>
        <v>0</v>
      </c>
    </row>
    <row r="3530" spans="1:20" x14ac:dyDescent="0.35">
      <c r="A3530" s="5">
        <v>8100282757</v>
      </c>
      <c r="B3530" s="5">
        <v>14676</v>
      </c>
      <c r="C3530" s="6">
        <v>45681</v>
      </c>
      <c r="D3530" s="5" t="s">
        <v>211</v>
      </c>
      <c r="E3530" s="5" t="s">
        <v>212</v>
      </c>
      <c r="F3530" s="5" t="s">
        <v>167</v>
      </c>
      <c r="G3530" s="5" t="s">
        <v>168</v>
      </c>
      <c r="H3530" s="5" t="s">
        <v>108</v>
      </c>
      <c r="I3530" s="5" t="s">
        <v>782</v>
      </c>
      <c r="J3530" s="5" t="s">
        <v>168</v>
      </c>
      <c r="K3530" s="5" t="s">
        <v>170</v>
      </c>
      <c r="L3530" s="6">
        <v>45691</v>
      </c>
      <c r="M3530" s="6">
        <v>45691</v>
      </c>
      <c r="N3530" s="5" t="s">
        <v>811</v>
      </c>
      <c r="O3530" s="5" t="str">
        <f ca="1">IF(P3530&lt;&gt;"EXPEDIÇÃO","Expedido",IF(NETWORKDAYS(C3530,TODAY())&gt;=5,"Risco Alto",IF(NETWORKDAYS(C3530,TODAY())&gt;=3,IF(NETWORKDAYS(C3530,TODAY())&lt;5,"Risco Médio",""),IF(NETWORKDAYS(C3530,TODAY())&lt;=2,"Risco Baixo",""))))</f>
        <v>Expedido</v>
      </c>
      <c r="P3530" s="5" t="s">
        <v>617</v>
      </c>
      <c r="S3530" s="7">
        <f>IF(ISBLANK(M3530),"Aguardando Previsão/Data",NETWORKDAYS(L3530,M3530)-1)</f>
        <v>0</v>
      </c>
    </row>
    <row r="3531" spans="1:20" x14ac:dyDescent="0.35">
      <c r="A3531" s="5">
        <v>8100283073</v>
      </c>
      <c r="B3531" s="5">
        <v>14687</v>
      </c>
      <c r="C3531" s="6">
        <v>45681</v>
      </c>
      <c r="D3531" s="5" t="s">
        <v>211</v>
      </c>
      <c r="E3531" s="5" t="s">
        <v>212</v>
      </c>
      <c r="F3531" s="5" t="s">
        <v>58</v>
      </c>
      <c r="G3531" s="5" t="s">
        <v>59</v>
      </c>
      <c r="H3531" s="5" t="s">
        <v>108</v>
      </c>
      <c r="I3531" s="5" t="s">
        <v>269</v>
      </c>
      <c r="J3531" s="5" t="s">
        <v>316</v>
      </c>
      <c r="K3531" s="5" t="s">
        <v>156</v>
      </c>
      <c r="L3531" s="6">
        <v>45693</v>
      </c>
      <c r="M3531" s="6">
        <v>45693</v>
      </c>
      <c r="N3531" s="5" t="s">
        <v>811</v>
      </c>
      <c r="O3531" s="5" t="str">
        <f ca="1">IF(P3531&lt;&gt;"EXPEDIÇÃO","Expedido",IF(NETWORKDAYS(C3531,TODAY())&gt;=5,"Risco Alto",IF(NETWORKDAYS(C3531,TODAY())&gt;=3,IF(NETWORKDAYS(C3531,TODAY())&lt;5,"Risco Médio",""),IF(NETWORKDAYS(C3531,TODAY())&lt;=2,"Risco Baixo",""))))</f>
        <v>Expedido</v>
      </c>
      <c r="P3531" s="5" t="s">
        <v>617</v>
      </c>
      <c r="S3531" s="7">
        <f>IF(ISBLANK(M3531),"Aguardando Previsão/Data",NETWORKDAYS(L3531,M3531)-1)</f>
        <v>0</v>
      </c>
    </row>
    <row r="3532" spans="1:20" x14ac:dyDescent="0.35">
      <c r="A3532" s="5">
        <v>8100283074</v>
      </c>
      <c r="B3532" s="5">
        <v>14688</v>
      </c>
      <c r="C3532" s="6">
        <v>45681</v>
      </c>
      <c r="D3532" s="5" t="s">
        <v>211</v>
      </c>
      <c r="E3532" s="5" t="s">
        <v>212</v>
      </c>
      <c r="F3532" s="5" t="s">
        <v>58</v>
      </c>
      <c r="G3532" s="5" t="s">
        <v>59</v>
      </c>
      <c r="H3532" s="5" t="s">
        <v>108</v>
      </c>
      <c r="I3532" s="5" t="s">
        <v>1519</v>
      </c>
      <c r="J3532" s="5" t="s">
        <v>1520</v>
      </c>
      <c r="K3532" s="5" t="s">
        <v>119</v>
      </c>
      <c r="L3532" s="6">
        <v>45687</v>
      </c>
      <c r="M3532" s="6">
        <v>45687</v>
      </c>
      <c r="N3532" s="5" t="s">
        <v>811</v>
      </c>
      <c r="O3532" s="5" t="str">
        <f ca="1">IF(P3532&lt;&gt;"EXPEDIÇÃO","Expedido",IF(NETWORKDAYS(C3532,TODAY())&gt;=5,"Risco Alto",IF(NETWORKDAYS(C3532,TODAY())&gt;=3,IF(NETWORKDAYS(C3532,TODAY())&lt;5,"Risco Médio",""),IF(NETWORKDAYS(C3532,TODAY())&lt;=2,"Risco Baixo",""))))</f>
        <v>Expedido</v>
      </c>
      <c r="P3532" s="5" t="s">
        <v>617</v>
      </c>
      <c r="S3532" s="7">
        <f>IF(ISBLANK(M3532),"Aguardando Previsão/Data",NETWORKDAYS(L3532,M3532)-1)</f>
        <v>0</v>
      </c>
    </row>
    <row r="3533" spans="1:20" x14ac:dyDescent="0.35">
      <c r="A3533" s="5">
        <v>8100283075</v>
      </c>
      <c r="B3533" s="5">
        <v>14689</v>
      </c>
      <c r="C3533" s="6">
        <v>45681</v>
      </c>
      <c r="D3533" s="5" t="s">
        <v>211</v>
      </c>
      <c r="E3533" s="5" t="s">
        <v>212</v>
      </c>
      <c r="F3533" s="5" t="s">
        <v>167</v>
      </c>
      <c r="G3533" s="5" t="s">
        <v>168</v>
      </c>
      <c r="H3533" s="5" t="s">
        <v>108</v>
      </c>
      <c r="I3533" s="5" t="s">
        <v>782</v>
      </c>
      <c r="J3533" s="5" t="s">
        <v>168</v>
      </c>
      <c r="K3533" s="5" t="s">
        <v>170</v>
      </c>
      <c r="L3533" s="6">
        <v>45691</v>
      </c>
      <c r="M3533" s="6">
        <v>45691</v>
      </c>
      <c r="N3533" s="5" t="s">
        <v>811</v>
      </c>
      <c r="O3533" s="5" t="str">
        <f ca="1">IF(P3533&lt;&gt;"EXPEDIÇÃO","Expedido",IF(NETWORKDAYS(C3533,TODAY())&gt;=5,"Risco Alto",IF(NETWORKDAYS(C3533,TODAY())&gt;=3,IF(NETWORKDAYS(C3533,TODAY())&lt;5,"Risco Médio",""),IF(NETWORKDAYS(C3533,TODAY())&lt;=2,"Risco Baixo",""))))</f>
        <v>Expedido</v>
      </c>
      <c r="P3533" s="5" t="s">
        <v>617</v>
      </c>
      <c r="S3533" s="7">
        <f>IF(ISBLANK(M3533),"Aguardando Previsão/Data",NETWORKDAYS(L3533,M3533)-1)</f>
        <v>0</v>
      </c>
    </row>
    <row r="3534" spans="1:20" x14ac:dyDescent="0.35">
      <c r="A3534" s="5">
        <v>8100281870</v>
      </c>
      <c r="B3534" s="5">
        <v>12473</v>
      </c>
      <c r="C3534" s="6">
        <v>45681</v>
      </c>
      <c r="D3534" s="5" t="s">
        <v>158</v>
      </c>
      <c r="E3534" s="5" t="s">
        <v>159</v>
      </c>
      <c r="F3534" s="5" t="s">
        <v>167</v>
      </c>
      <c r="G3534" s="5" t="s">
        <v>168</v>
      </c>
      <c r="H3534" s="5" t="s">
        <v>108</v>
      </c>
      <c r="I3534" s="5" t="s">
        <v>164</v>
      </c>
      <c r="J3534" s="5" t="s">
        <v>193</v>
      </c>
      <c r="K3534" s="5" t="s">
        <v>170</v>
      </c>
      <c r="L3534" s="6">
        <v>45688</v>
      </c>
      <c r="M3534" s="6">
        <v>45685</v>
      </c>
      <c r="N3534" s="5" t="s">
        <v>811</v>
      </c>
      <c r="O3534" s="5" t="str">
        <f ca="1">IF(P3534&lt;&gt;"EXPEDIÇÃO","Expedido",IF(NETWORKDAYS(C3534,TODAY())&gt;=5,"Risco Alto",IF(NETWORKDAYS(C3534,TODAY())&gt;=3,IF(NETWORKDAYS(C3534,TODAY())&lt;5,"Risco Médio",""),IF(NETWORKDAYS(C3534,TODAY())&lt;=2,"Risco Baixo",""))))</f>
        <v>Expedido</v>
      </c>
      <c r="P3534" s="5" t="s">
        <v>25</v>
      </c>
      <c r="Q3534" s="5" t="s">
        <v>897</v>
      </c>
      <c r="S3534" s="7">
        <f>IF(ISBLANK(M3534),"Aguardando Previsão/Data",NETWORKDAYS(L3534,M3534)-1)</f>
        <v>-5</v>
      </c>
      <c r="T3534" s="5" t="s">
        <v>942</v>
      </c>
    </row>
    <row r="3535" spans="1:20" x14ac:dyDescent="0.35">
      <c r="A3535" s="5">
        <v>8100281874</v>
      </c>
      <c r="B3535" s="5">
        <v>12472</v>
      </c>
      <c r="C3535" s="6">
        <v>45681</v>
      </c>
      <c r="D3535" s="5" t="s">
        <v>158</v>
      </c>
      <c r="E3535" s="5" t="s">
        <v>159</v>
      </c>
      <c r="F3535" s="5" t="s">
        <v>171</v>
      </c>
      <c r="G3535" s="5" t="s">
        <v>172</v>
      </c>
      <c r="H3535" s="5" t="s">
        <v>108</v>
      </c>
      <c r="I3535" s="5" t="s">
        <v>510</v>
      </c>
      <c r="J3535" s="5" t="s">
        <v>172</v>
      </c>
      <c r="K3535" s="5" t="s">
        <v>170</v>
      </c>
      <c r="L3535" s="6">
        <v>45688</v>
      </c>
      <c r="M3535" s="6">
        <v>45686</v>
      </c>
      <c r="N3535" s="5" t="s">
        <v>811</v>
      </c>
      <c r="O3535" s="5" t="str">
        <f ca="1">IF(P3535&lt;&gt;"EXPEDIÇÃO","Expedido",IF(NETWORKDAYS(C3535,TODAY())&gt;=5,"Risco Alto",IF(NETWORKDAYS(C3535,TODAY())&gt;=3,IF(NETWORKDAYS(C3535,TODAY())&lt;5,"Risco Médio",""),IF(NETWORKDAYS(C3535,TODAY())&lt;=2,"Risco Baixo",""))))</f>
        <v>Expedido</v>
      </c>
      <c r="P3535" s="5" t="s">
        <v>25</v>
      </c>
      <c r="Q3535" s="5" t="s">
        <v>897</v>
      </c>
      <c r="S3535" s="7">
        <f>IF(ISBLANK(M3535),"Aguardando Previsão/Data",NETWORKDAYS(L3535,M3535)-1)</f>
        <v>-4</v>
      </c>
      <c r="T3535" s="5" t="s">
        <v>942</v>
      </c>
    </row>
    <row r="3536" spans="1:20" x14ac:dyDescent="0.35">
      <c r="A3536" s="5">
        <v>8100282555</v>
      </c>
      <c r="B3536" s="5">
        <v>12463</v>
      </c>
      <c r="C3536" s="6">
        <v>45681</v>
      </c>
      <c r="D3536" s="5" t="s">
        <v>158</v>
      </c>
      <c r="E3536" s="5" t="s">
        <v>159</v>
      </c>
      <c r="F3536" s="5" t="s">
        <v>176</v>
      </c>
      <c r="G3536" s="5" t="s">
        <v>177</v>
      </c>
      <c r="H3536" s="5" t="s">
        <v>108</v>
      </c>
      <c r="I3536" s="5" t="s">
        <v>162</v>
      </c>
      <c r="J3536" s="5" t="s">
        <v>348</v>
      </c>
      <c r="K3536" s="5" t="s">
        <v>175</v>
      </c>
      <c r="L3536" s="6">
        <v>45691</v>
      </c>
      <c r="M3536" s="6">
        <v>45684</v>
      </c>
      <c r="N3536" s="5" t="s">
        <v>811</v>
      </c>
      <c r="O3536" s="5" t="str">
        <f ca="1">IF(P3536&lt;&gt;"EXPEDIÇÃO","Expedido",IF(NETWORKDAYS(C3536,TODAY())&gt;=5,"Risco Alto",IF(NETWORKDAYS(C3536,TODAY())&gt;=3,IF(NETWORKDAYS(C3536,TODAY())&lt;5,"Risco Médio",""),IF(NETWORKDAYS(C3536,TODAY())&lt;=2,"Risco Baixo",""))))</f>
        <v>Expedido</v>
      </c>
      <c r="P3536" s="5" t="s">
        <v>25</v>
      </c>
      <c r="S3536" s="7">
        <f>IF(ISBLANK(M3536),"Aguardando Previsão/Data",NETWORKDAYS(L3536,M3536)-1)</f>
        <v>-7</v>
      </c>
      <c r="T3536" s="5" t="s">
        <v>942</v>
      </c>
    </row>
    <row r="3537" spans="1:20" x14ac:dyDescent="0.35">
      <c r="A3537" s="5">
        <v>8100282556</v>
      </c>
      <c r="B3537" s="5">
        <v>12444</v>
      </c>
      <c r="C3537" s="6">
        <v>45681</v>
      </c>
      <c r="D3537" s="5" t="s">
        <v>158</v>
      </c>
      <c r="E3537" s="5" t="s">
        <v>159</v>
      </c>
      <c r="F3537" s="5" t="s">
        <v>167</v>
      </c>
      <c r="G3537" s="5" t="s">
        <v>168</v>
      </c>
      <c r="H3537" s="5" t="s">
        <v>108</v>
      </c>
      <c r="I3537" s="5" t="s">
        <v>164</v>
      </c>
      <c r="J3537" s="5" t="s">
        <v>1536</v>
      </c>
      <c r="K3537" s="5" t="s">
        <v>170</v>
      </c>
      <c r="L3537" s="6">
        <v>45688</v>
      </c>
      <c r="M3537" s="6">
        <v>45687</v>
      </c>
      <c r="N3537" s="5" t="s">
        <v>811</v>
      </c>
      <c r="O3537" s="5" t="str">
        <f ca="1">IF(P3537&lt;&gt;"EXPEDIÇÃO","Expedido",IF(NETWORKDAYS(C3537,TODAY())&gt;=5,"Risco Alto",IF(NETWORKDAYS(C3537,TODAY())&gt;=3,IF(NETWORKDAYS(C3537,TODAY())&lt;5,"Risco Médio",""),IF(NETWORKDAYS(C3537,TODAY())&lt;=2,"Risco Baixo",""))))</f>
        <v>Expedido</v>
      </c>
      <c r="P3537" s="5" t="s">
        <v>25</v>
      </c>
      <c r="S3537" s="7">
        <f>IF(ISBLANK(M3537),"Aguardando Previsão/Data",NETWORKDAYS(L3537,M3537)-1)</f>
        <v>-3</v>
      </c>
      <c r="T3537" s="5" t="s">
        <v>942</v>
      </c>
    </row>
    <row r="3538" spans="1:20" x14ac:dyDescent="0.35">
      <c r="A3538" s="5">
        <v>8100282557</v>
      </c>
      <c r="B3538" s="5">
        <v>12452</v>
      </c>
      <c r="C3538" s="6">
        <v>45681</v>
      </c>
      <c r="D3538" s="5" t="s">
        <v>158</v>
      </c>
      <c r="E3538" s="5" t="s">
        <v>159</v>
      </c>
      <c r="F3538" s="5" t="s">
        <v>167</v>
      </c>
      <c r="G3538" s="5" t="s">
        <v>168</v>
      </c>
      <c r="H3538" s="5" t="s">
        <v>108</v>
      </c>
      <c r="I3538" s="5" t="s">
        <v>164</v>
      </c>
      <c r="J3538" s="5" t="s">
        <v>784</v>
      </c>
      <c r="K3538" s="5" t="s">
        <v>170</v>
      </c>
      <c r="L3538" s="6">
        <v>45688</v>
      </c>
      <c r="M3538" s="6">
        <v>45685</v>
      </c>
      <c r="N3538" s="5" t="s">
        <v>811</v>
      </c>
      <c r="O3538" s="5" t="str">
        <f ca="1">IF(P3538&lt;&gt;"EXPEDIÇÃO","Expedido",IF(NETWORKDAYS(C3538,TODAY())&gt;=5,"Risco Alto",IF(NETWORKDAYS(C3538,TODAY())&gt;=3,IF(NETWORKDAYS(C3538,TODAY())&lt;5,"Risco Médio",""),IF(NETWORKDAYS(C3538,TODAY())&lt;=2,"Risco Baixo",""))))</f>
        <v>Expedido</v>
      </c>
      <c r="P3538" s="5" t="s">
        <v>25</v>
      </c>
      <c r="S3538" s="7">
        <f>IF(ISBLANK(M3538),"Aguardando Previsão/Data",NETWORKDAYS(L3538,M3538)-1)</f>
        <v>-5</v>
      </c>
      <c r="T3538" s="5" t="s">
        <v>942</v>
      </c>
    </row>
    <row r="3539" spans="1:20" x14ac:dyDescent="0.35">
      <c r="A3539" s="5">
        <v>8100282559</v>
      </c>
      <c r="B3539" s="5">
        <v>12457</v>
      </c>
      <c r="C3539" s="6">
        <v>45681</v>
      </c>
      <c r="D3539" s="5" t="s">
        <v>158</v>
      </c>
      <c r="E3539" s="5" t="s">
        <v>159</v>
      </c>
      <c r="F3539" s="5" t="s">
        <v>167</v>
      </c>
      <c r="G3539" s="5" t="s">
        <v>168</v>
      </c>
      <c r="H3539" s="5" t="s">
        <v>108</v>
      </c>
      <c r="I3539" s="5" t="s">
        <v>164</v>
      </c>
      <c r="J3539" s="5" t="s">
        <v>1484</v>
      </c>
      <c r="K3539" s="5" t="s">
        <v>170</v>
      </c>
      <c r="L3539" s="6">
        <v>45688</v>
      </c>
      <c r="M3539" s="6">
        <v>45685</v>
      </c>
      <c r="N3539" s="5" t="s">
        <v>811</v>
      </c>
      <c r="O3539" s="5" t="str">
        <f ca="1">IF(P3539&lt;&gt;"EXPEDIÇÃO","Expedido",IF(NETWORKDAYS(C3539,TODAY())&gt;=5,"Risco Alto",IF(NETWORKDAYS(C3539,TODAY())&gt;=3,IF(NETWORKDAYS(C3539,TODAY())&lt;5,"Risco Médio",""),IF(NETWORKDAYS(C3539,TODAY())&lt;=2,"Risco Baixo",""))))</f>
        <v>Expedido</v>
      </c>
      <c r="P3539" s="5" t="s">
        <v>25</v>
      </c>
      <c r="S3539" s="7">
        <f>IF(ISBLANK(M3539),"Aguardando Previsão/Data",NETWORKDAYS(L3539,M3539)-1)</f>
        <v>-5</v>
      </c>
      <c r="T3539" s="5" t="s">
        <v>942</v>
      </c>
    </row>
    <row r="3540" spans="1:20" x14ac:dyDescent="0.35">
      <c r="A3540" s="5">
        <v>8100282560</v>
      </c>
      <c r="B3540" s="5">
        <v>12447</v>
      </c>
      <c r="C3540" s="6">
        <v>45681</v>
      </c>
      <c r="D3540" s="5" t="s">
        <v>158</v>
      </c>
      <c r="E3540" s="5" t="s">
        <v>159</v>
      </c>
      <c r="F3540" s="5" t="s">
        <v>167</v>
      </c>
      <c r="G3540" s="5" t="s">
        <v>168</v>
      </c>
      <c r="H3540" s="5" t="s">
        <v>108</v>
      </c>
      <c r="I3540" s="5" t="s">
        <v>164</v>
      </c>
      <c r="J3540" s="5" t="s">
        <v>1537</v>
      </c>
      <c r="K3540" s="5" t="s">
        <v>170</v>
      </c>
      <c r="L3540" s="6">
        <v>45688</v>
      </c>
      <c r="M3540" s="6">
        <v>45686</v>
      </c>
      <c r="N3540" s="5" t="s">
        <v>811</v>
      </c>
      <c r="O3540" s="5" t="str">
        <f ca="1">IF(P3540&lt;&gt;"EXPEDIÇÃO","Expedido",IF(NETWORKDAYS(C3540,TODAY())&gt;=5,"Risco Alto",IF(NETWORKDAYS(C3540,TODAY())&gt;=3,IF(NETWORKDAYS(C3540,TODAY())&lt;5,"Risco Médio",""),IF(NETWORKDAYS(C3540,TODAY())&lt;=2,"Risco Baixo",""))))</f>
        <v>Expedido</v>
      </c>
      <c r="P3540" s="5" t="s">
        <v>25</v>
      </c>
      <c r="S3540" s="7">
        <f>IF(ISBLANK(M3540),"Aguardando Previsão/Data",NETWORKDAYS(L3540,M3540)-1)</f>
        <v>-4</v>
      </c>
      <c r="T3540" s="5" t="s">
        <v>942</v>
      </c>
    </row>
    <row r="3541" spans="1:20" x14ac:dyDescent="0.35">
      <c r="A3541" s="5">
        <v>8100282561</v>
      </c>
      <c r="B3541" s="5">
        <v>12450</v>
      </c>
      <c r="C3541" s="6">
        <v>45681</v>
      </c>
      <c r="D3541" s="5" t="s">
        <v>158</v>
      </c>
      <c r="E3541" s="5" t="s">
        <v>159</v>
      </c>
      <c r="F3541" s="5" t="s">
        <v>167</v>
      </c>
      <c r="G3541" s="5" t="s">
        <v>168</v>
      </c>
      <c r="H3541" s="5" t="s">
        <v>108</v>
      </c>
      <c r="I3541" s="5" t="s">
        <v>164</v>
      </c>
      <c r="J3541" s="5" t="s">
        <v>1486</v>
      </c>
      <c r="K3541" s="5" t="s">
        <v>170</v>
      </c>
      <c r="L3541" s="6">
        <v>45688</v>
      </c>
      <c r="M3541" s="6">
        <v>45685</v>
      </c>
      <c r="N3541" s="5" t="s">
        <v>811</v>
      </c>
      <c r="O3541" s="5" t="str">
        <f ca="1">IF(P3541&lt;&gt;"EXPEDIÇÃO","Expedido",IF(NETWORKDAYS(C3541,TODAY())&gt;=5,"Risco Alto",IF(NETWORKDAYS(C3541,TODAY())&gt;=3,IF(NETWORKDAYS(C3541,TODAY())&lt;5,"Risco Médio",""),IF(NETWORKDAYS(C3541,TODAY())&lt;=2,"Risco Baixo",""))))</f>
        <v>Expedido</v>
      </c>
      <c r="P3541" s="5" t="s">
        <v>25</v>
      </c>
      <c r="S3541" s="7">
        <f>IF(ISBLANK(M3541),"Aguardando Previsão/Data",NETWORKDAYS(L3541,M3541)-1)</f>
        <v>-5</v>
      </c>
      <c r="T3541" s="5" t="s">
        <v>942</v>
      </c>
    </row>
    <row r="3542" spans="1:20" x14ac:dyDescent="0.35">
      <c r="A3542" s="5">
        <v>8100282564</v>
      </c>
      <c r="B3542" s="5">
        <v>12453</v>
      </c>
      <c r="C3542" s="6">
        <v>45681</v>
      </c>
      <c r="D3542" s="5" t="s">
        <v>158</v>
      </c>
      <c r="E3542" s="5" t="s">
        <v>159</v>
      </c>
      <c r="F3542" s="5" t="s">
        <v>167</v>
      </c>
      <c r="G3542" s="5" t="s">
        <v>168</v>
      </c>
      <c r="H3542" s="5" t="s">
        <v>108</v>
      </c>
      <c r="I3542" s="5" t="s">
        <v>164</v>
      </c>
      <c r="J3542" s="5" t="s">
        <v>784</v>
      </c>
      <c r="K3542" s="5" t="s">
        <v>170</v>
      </c>
      <c r="L3542" s="6">
        <v>45688</v>
      </c>
      <c r="M3542" s="6">
        <v>45685</v>
      </c>
      <c r="N3542" s="5" t="s">
        <v>811</v>
      </c>
      <c r="O3542" s="5" t="str">
        <f ca="1">IF(P3542&lt;&gt;"EXPEDIÇÃO","Expedido",IF(NETWORKDAYS(C3542,TODAY())&gt;=5,"Risco Alto",IF(NETWORKDAYS(C3542,TODAY())&gt;=3,IF(NETWORKDAYS(C3542,TODAY())&lt;5,"Risco Médio",""),IF(NETWORKDAYS(C3542,TODAY())&lt;=2,"Risco Baixo",""))))</f>
        <v>Expedido</v>
      </c>
      <c r="P3542" s="5" t="s">
        <v>25</v>
      </c>
      <c r="S3542" s="7">
        <f>IF(ISBLANK(M3542),"Aguardando Previsão/Data",NETWORKDAYS(L3542,M3542)-1)</f>
        <v>-5</v>
      </c>
      <c r="T3542" s="5" t="s">
        <v>942</v>
      </c>
    </row>
    <row r="3543" spans="1:20" x14ac:dyDescent="0.35">
      <c r="A3543" s="5">
        <v>8100282566</v>
      </c>
      <c r="B3543" s="5">
        <v>12458</v>
      </c>
      <c r="C3543" s="6">
        <v>45681</v>
      </c>
      <c r="D3543" s="5" t="s">
        <v>158</v>
      </c>
      <c r="E3543" s="5" t="s">
        <v>159</v>
      </c>
      <c r="F3543" s="5" t="s">
        <v>167</v>
      </c>
      <c r="G3543" s="5" t="s">
        <v>168</v>
      </c>
      <c r="H3543" s="5" t="s">
        <v>108</v>
      </c>
      <c r="I3543" s="5" t="s">
        <v>164</v>
      </c>
      <c r="J3543" s="5" t="s">
        <v>1484</v>
      </c>
      <c r="K3543" s="5" t="s">
        <v>170</v>
      </c>
      <c r="L3543" s="6">
        <v>45688</v>
      </c>
      <c r="M3543" s="6">
        <v>45685</v>
      </c>
      <c r="N3543" s="5" t="s">
        <v>811</v>
      </c>
      <c r="O3543" s="5" t="str">
        <f ca="1">IF(P3543&lt;&gt;"EXPEDIÇÃO","Expedido",IF(NETWORKDAYS(C3543,TODAY())&gt;=5,"Risco Alto",IF(NETWORKDAYS(C3543,TODAY())&gt;=3,IF(NETWORKDAYS(C3543,TODAY())&lt;5,"Risco Médio",""),IF(NETWORKDAYS(C3543,TODAY())&lt;=2,"Risco Baixo",""))))</f>
        <v>Expedido</v>
      </c>
      <c r="P3543" s="5" t="s">
        <v>25</v>
      </c>
      <c r="S3543" s="7">
        <f>IF(ISBLANK(M3543),"Aguardando Previsão/Data",NETWORKDAYS(L3543,M3543)-1)</f>
        <v>-5</v>
      </c>
      <c r="T3543" s="5" t="s">
        <v>942</v>
      </c>
    </row>
    <row r="3544" spans="1:20" x14ac:dyDescent="0.35">
      <c r="A3544" s="5">
        <v>8100282567</v>
      </c>
      <c r="B3544" s="5">
        <v>12448</v>
      </c>
      <c r="C3544" s="6">
        <v>45681</v>
      </c>
      <c r="D3544" s="5" t="s">
        <v>158</v>
      </c>
      <c r="E3544" s="5" t="s">
        <v>159</v>
      </c>
      <c r="F3544" s="5" t="s">
        <v>167</v>
      </c>
      <c r="G3544" s="5" t="s">
        <v>168</v>
      </c>
      <c r="H3544" s="5" t="s">
        <v>108</v>
      </c>
      <c r="I3544" s="5" t="s">
        <v>164</v>
      </c>
      <c r="J3544" s="5" t="s">
        <v>1537</v>
      </c>
      <c r="K3544" s="5" t="s">
        <v>170</v>
      </c>
      <c r="L3544" s="6">
        <v>45688</v>
      </c>
      <c r="M3544" s="6">
        <v>45686</v>
      </c>
      <c r="N3544" s="5" t="s">
        <v>811</v>
      </c>
      <c r="O3544" s="5" t="str">
        <f ca="1">IF(P3544&lt;&gt;"EXPEDIÇÃO","Expedido",IF(NETWORKDAYS(C3544,TODAY())&gt;=5,"Risco Alto",IF(NETWORKDAYS(C3544,TODAY())&gt;=3,IF(NETWORKDAYS(C3544,TODAY())&lt;5,"Risco Médio",""),IF(NETWORKDAYS(C3544,TODAY())&lt;=2,"Risco Baixo",""))))</f>
        <v>Expedido</v>
      </c>
      <c r="P3544" s="5" t="s">
        <v>25</v>
      </c>
      <c r="S3544" s="7">
        <f>IF(ISBLANK(M3544),"Aguardando Previsão/Data",NETWORKDAYS(L3544,M3544)-1)</f>
        <v>-4</v>
      </c>
      <c r="T3544" s="5" t="s">
        <v>942</v>
      </c>
    </row>
    <row r="3545" spans="1:20" x14ac:dyDescent="0.35">
      <c r="A3545" s="5">
        <v>8100282568</v>
      </c>
      <c r="B3545" s="5">
        <v>12451</v>
      </c>
      <c r="C3545" s="6">
        <v>45681</v>
      </c>
      <c r="D3545" s="5" t="s">
        <v>158</v>
      </c>
      <c r="E3545" s="5" t="s">
        <v>159</v>
      </c>
      <c r="F3545" s="5" t="s">
        <v>167</v>
      </c>
      <c r="G3545" s="5" t="s">
        <v>168</v>
      </c>
      <c r="H3545" s="5" t="s">
        <v>108</v>
      </c>
      <c r="I3545" s="5" t="s">
        <v>164</v>
      </c>
      <c r="J3545" s="5" t="s">
        <v>1486</v>
      </c>
      <c r="K3545" s="5" t="s">
        <v>170</v>
      </c>
      <c r="L3545" s="6">
        <v>45688</v>
      </c>
      <c r="M3545" s="6">
        <v>45685</v>
      </c>
      <c r="N3545" s="5" t="s">
        <v>811</v>
      </c>
      <c r="O3545" s="5" t="str">
        <f ca="1">IF(P3545&lt;&gt;"EXPEDIÇÃO","Expedido",IF(NETWORKDAYS(C3545,TODAY())&gt;=5,"Risco Alto",IF(NETWORKDAYS(C3545,TODAY())&gt;=3,IF(NETWORKDAYS(C3545,TODAY())&lt;5,"Risco Médio",""),IF(NETWORKDAYS(C3545,TODAY())&lt;=2,"Risco Baixo",""))))</f>
        <v>Expedido</v>
      </c>
      <c r="P3545" s="5" t="s">
        <v>25</v>
      </c>
      <c r="S3545" s="7">
        <f>IF(ISBLANK(M3545),"Aguardando Previsão/Data",NETWORKDAYS(L3545,M3545)-1)</f>
        <v>-5</v>
      </c>
      <c r="T3545" s="5" t="s">
        <v>942</v>
      </c>
    </row>
    <row r="3546" spans="1:20" x14ac:dyDescent="0.35">
      <c r="A3546" s="5">
        <v>8100282570</v>
      </c>
      <c r="B3546" s="5">
        <v>12459</v>
      </c>
      <c r="C3546" s="6">
        <v>45681</v>
      </c>
      <c r="D3546" s="5" t="s">
        <v>158</v>
      </c>
      <c r="E3546" s="5" t="s">
        <v>159</v>
      </c>
      <c r="F3546" s="5" t="s">
        <v>171</v>
      </c>
      <c r="G3546" s="5" t="s">
        <v>172</v>
      </c>
      <c r="H3546" s="5" t="s">
        <v>108</v>
      </c>
      <c r="I3546" s="5" t="s">
        <v>189</v>
      </c>
      <c r="J3546" s="5" t="s">
        <v>190</v>
      </c>
      <c r="K3546" s="5" t="s">
        <v>170</v>
      </c>
      <c r="L3546" s="6">
        <v>45691</v>
      </c>
      <c r="M3546" s="6">
        <v>45688</v>
      </c>
      <c r="N3546" s="5" t="s">
        <v>811</v>
      </c>
      <c r="O3546" s="5" t="str">
        <f ca="1">IF(P3546&lt;&gt;"EXPEDIÇÃO","Expedido",IF(NETWORKDAYS(C3546,TODAY())&gt;=5,"Risco Alto",IF(NETWORKDAYS(C3546,TODAY())&gt;=3,IF(NETWORKDAYS(C3546,TODAY())&lt;5,"Risco Médio",""),IF(NETWORKDAYS(C3546,TODAY())&lt;=2,"Risco Baixo",""))))</f>
        <v>Risco Alto</v>
      </c>
      <c r="P3546" s="5" t="s">
        <v>726</v>
      </c>
      <c r="S3546" s="7">
        <f>IF(ISBLANK(M3546),"Aguardando Previsão/Data",NETWORKDAYS(L3546,M3546)-1)</f>
        <v>-3</v>
      </c>
    </row>
    <row r="3547" spans="1:20" x14ac:dyDescent="0.35">
      <c r="A3547" s="5">
        <v>8100282571</v>
      </c>
      <c r="B3547" s="5">
        <v>12435</v>
      </c>
      <c r="C3547" s="6">
        <v>45681</v>
      </c>
      <c r="D3547" s="5" t="s">
        <v>158</v>
      </c>
      <c r="E3547" s="5" t="s">
        <v>159</v>
      </c>
      <c r="F3547" s="5" t="s">
        <v>79</v>
      </c>
      <c r="G3547" s="5" t="s">
        <v>80</v>
      </c>
      <c r="H3547" s="5" t="s">
        <v>108</v>
      </c>
      <c r="I3547" s="5" t="s">
        <v>180</v>
      </c>
      <c r="J3547" s="5" t="s">
        <v>181</v>
      </c>
      <c r="K3547" s="5" t="s">
        <v>80</v>
      </c>
      <c r="L3547" s="6">
        <v>45691</v>
      </c>
      <c r="M3547" s="6">
        <v>45685</v>
      </c>
      <c r="N3547" s="5" t="s">
        <v>811</v>
      </c>
      <c r="O3547" s="5" t="str">
        <f ca="1">IF(P3547&lt;&gt;"EXPEDIÇÃO","Expedido",IF(NETWORKDAYS(C3547,TODAY())&gt;=5,"Risco Alto",IF(NETWORKDAYS(C3547,TODAY())&gt;=3,IF(NETWORKDAYS(C3547,TODAY())&lt;5,"Risco Médio",""),IF(NETWORKDAYS(C3547,TODAY())&lt;=2,"Risco Baixo",""))))</f>
        <v>Expedido</v>
      </c>
      <c r="P3547" s="5" t="s">
        <v>25</v>
      </c>
      <c r="S3547" s="7">
        <f>IF(ISBLANK(M3547),"Aguardando Previsão/Data",NETWORKDAYS(L3547,M3547)-1)</f>
        <v>-6</v>
      </c>
      <c r="T3547" s="5" t="s">
        <v>942</v>
      </c>
    </row>
    <row r="3548" spans="1:20" x14ac:dyDescent="0.35">
      <c r="A3548" s="5">
        <v>8100282572</v>
      </c>
      <c r="B3548" s="5">
        <v>12456</v>
      </c>
      <c r="C3548" s="6">
        <v>45681</v>
      </c>
      <c r="D3548" s="5" t="s">
        <v>158</v>
      </c>
      <c r="E3548" s="5" t="s">
        <v>159</v>
      </c>
      <c r="F3548" s="5" t="s">
        <v>167</v>
      </c>
      <c r="G3548" s="5" t="s">
        <v>168</v>
      </c>
      <c r="H3548" s="5" t="s">
        <v>108</v>
      </c>
      <c r="I3548" s="5" t="s">
        <v>164</v>
      </c>
      <c r="J3548" s="5" t="s">
        <v>1487</v>
      </c>
      <c r="K3548" s="5" t="s">
        <v>170</v>
      </c>
      <c r="L3548" s="6">
        <v>45688</v>
      </c>
      <c r="M3548" s="6">
        <v>45686</v>
      </c>
      <c r="N3548" s="5" t="s">
        <v>811</v>
      </c>
      <c r="O3548" s="5" t="str">
        <f ca="1">IF(P3548&lt;&gt;"EXPEDIÇÃO","Expedido",IF(NETWORKDAYS(C3548,TODAY())&gt;=5,"Risco Alto",IF(NETWORKDAYS(C3548,TODAY())&gt;=3,IF(NETWORKDAYS(C3548,TODAY())&lt;5,"Risco Médio",""),IF(NETWORKDAYS(C3548,TODAY())&lt;=2,"Risco Baixo",""))))</f>
        <v>Expedido</v>
      </c>
      <c r="P3548" s="5" t="s">
        <v>25</v>
      </c>
      <c r="S3548" s="7">
        <f>IF(ISBLANK(M3548),"Aguardando Previsão/Data",NETWORKDAYS(L3548,M3548)-1)</f>
        <v>-4</v>
      </c>
      <c r="T3548" s="5" t="s">
        <v>942</v>
      </c>
    </row>
    <row r="3549" spans="1:20" x14ac:dyDescent="0.35">
      <c r="A3549" s="5">
        <v>8100282573</v>
      </c>
      <c r="B3549" s="5">
        <v>12437</v>
      </c>
      <c r="C3549" s="6">
        <v>45681</v>
      </c>
      <c r="D3549" s="5" t="s">
        <v>158</v>
      </c>
      <c r="E3549" s="5" t="s">
        <v>159</v>
      </c>
      <c r="F3549" s="5" t="s">
        <v>167</v>
      </c>
      <c r="G3549" s="5" t="s">
        <v>168</v>
      </c>
      <c r="H3549" s="5" t="s">
        <v>108</v>
      </c>
      <c r="I3549" s="5" t="s">
        <v>164</v>
      </c>
      <c r="J3549" s="5" t="s">
        <v>883</v>
      </c>
      <c r="K3549" s="5" t="s">
        <v>170</v>
      </c>
      <c r="L3549" s="6">
        <v>45688</v>
      </c>
      <c r="M3549" s="6">
        <v>45687</v>
      </c>
      <c r="N3549" s="5" t="s">
        <v>811</v>
      </c>
      <c r="O3549" s="5" t="str">
        <f ca="1">IF(P3549&lt;&gt;"EXPEDIÇÃO","Expedido",IF(NETWORKDAYS(C3549,TODAY())&gt;=5,"Risco Alto",IF(NETWORKDAYS(C3549,TODAY())&gt;=3,IF(NETWORKDAYS(C3549,TODAY())&lt;5,"Risco Médio",""),IF(NETWORKDAYS(C3549,TODAY())&lt;=2,"Risco Baixo",""))))</f>
        <v>Expedido</v>
      </c>
      <c r="P3549" s="5" t="s">
        <v>617</v>
      </c>
      <c r="S3549" s="7">
        <f>IF(ISBLANK(M3549),"Aguardando Previsão/Data",NETWORKDAYS(L3549,M3549)-1)</f>
        <v>-3</v>
      </c>
    </row>
    <row r="3550" spans="1:20" x14ac:dyDescent="0.35">
      <c r="A3550" s="5">
        <v>8100282574</v>
      </c>
      <c r="B3550" s="5">
        <v>12443</v>
      </c>
      <c r="C3550" s="6">
        <v>45681</v>
      </c>
      <c r="D3550" s="5" t="s">
        <v>158</v>
      </c>
      <c r="E3550" s="5" t="s">
        <v>159</v>
      </c>
      <c r="F3550" s="5" t="s">
        <v>167</v>
      </c>
      <c r="G3550" s="5" t="s">
        <v>168</v>
      </c>
      <c r="H3550" s="5" t="s">
        <v>108</v>
      </c>
      <c r="I3550" s="5" t="s">
        <v>164</v>
      </c>
      <c r="J3550" s="5" t="s">
        <v>987</v>
      </c>
      <c r="K3550" s="5" t="s">
        <v>170</v>
      </c>
      <c r="L3550" s="6">
        <v>45688</v>
      </c>
      <c r="M3550" s="6">
        <v>45687</v>
      </c>
      <c r="N3550" s="5" t="s">
        <v>811</v>
      </c>
      <c r="O3550" s="5" t="str">
        <f ca="1">IF(P3550&lt;&gt;"EXPEDIÇÃO","Expedido",IF(NETWORKDAYS(C3550,TODAY())&gt;=5,"Risco Alto",IF(NETWORKDAYS(C3550,TODAY())&gt;=3,IF(NETWORKDAYS(C3550,TODAY())&lt;5,"Risco Médio",""),IF(NETWORKDAYS(C3550,TODAY())&lt;=2,"Risco Baixo",""))))</f>
        <v>Expedido</v>
      </c>
      <c r="P3550" s="5" t="s">
        <v>25</v>
      </c>
      <c r="S3550" s="7">
        <f>IF(ISBLANK(M3550),"Aguardando Previsão/Data",NETWORKDAYS(L3550,M3550)-1)</f>
        <v>-3</v>
      </c>
      <c r="T3550" s="5" t="s">
        <v>942</v>
      </c>
    </row>
    <row r="3551" spans="1:20" x14ac:dyDescent="0.35">
      <c r="A3551" s="5">
        <v>8100282575</v>
      </c>
      <c r="B3551" s="5">
        <v>12439</v>
      </c>
      <c r="C3551" s="6">
        <v>45681</v>
      </c>
      <c r="D3551" s="5" t="s">
        <v>158</v>
      </c>
      <c r="E3551" s="5" t="s">
        <v>159</v>
      </c>
      <c r="F3551" s="5" t="s">
        <v>167</v>
      </c>
      <c r="G3551" s="5" t="s">
        <v>168</v>
      </c>
      <c r="H3551" s="5" t="s">
        <v>108</v>
      </c>
      <c r="I3551" s="5" t="s">
        <v>164</v>
      </c>
      <c r="J3551" s="5" t="s">
        <v>615</v>
      </c>
      <c r="K3551" s="5" t="s">
        <v>170</v>
      </c>
      <c r="L3551" s="6">
        <v>45688</v>
      </c>
      <c r="M3551" s="6">
        <v>45684</v>
      </c>
      <c r="N3551" s="5" t="s">
        <v>811</v>
      </c>
      <c r="O3551" s="5" t="str">
        <f ca="1">IF(P3551&lt;&gt;"EXPEDIÇÃO","Expedido",IF(NETWORKDAYS(C3551,TODAY())&gt;=5,"Risco Alto",IF(NETWORKDAYS(C3551,TODAY())&gt;=3,IF(NETWORKDAYS(C3551,TODAY())&lt;5,"Risco Médio",""),IF(NETWORKDAYS(C3551,TODAY())&lt;=2,"Risco Baixo",""))))</f>
        <v>Expedido</v>
      </c>
      <c r="P3551" s="5" t="s">
        <v>25</v>
      </c>
      <c r="S3551" s="7">
        <f>IF(ISBLANK(M3551),"Aguardando Previsão/Data",NETWORKDAYS(L3551,M3551)-1)</f>
        <v>-6</v>
      </c>
      <c r="T3551" s="5" t="s">
        <v>942</v>
      </c>
    </row>
    <row r="3552" spans="1:20" x14ac:dyDescent="0.35">
      <c r="A3552" s="5">
        <v>8100282576</v>
      </c>
      <c r="B3552" s="5">
        <v>12446</v>
      </c>
      <c r="C3552" s="6">
        <v>45681</v>
      </c>
      <c r="D3552" s="5" t="s">
        <v>158</v>
      </c>
      <c r="E3552" s="5" t="s">
        <v>159</v>
      </c>
      <c r="F3552" s="5" t="s">
        <v>167</v>
      </c>
      <c r="G3552" s="5" t="s">
        <v>168</v>
      </c>
      <c r="H3552" s="5" t="s">
        <v>108</v>
      </c>
      <c r="I3552" s="5" t="s">
        <v>164</v>
      </c>
      <c r="J3552" s="5" t="s">
        <v>988</v>
      </c>
      <c r="K3552" s="5" t="s">
        <v>170</v>
      </c>
      <c r="L3552" s="6">
        <v>45688</v>
      </c>
      <c r="M3552" s="6">
        <v>45686</v>
      </c>
      <c r="N3552" s="5" t="s">
        <v>811</v>
      </c>
      <c r="O3552" s="5" t="str">
        <f ca="1">IF(P3552&lt;&gt;"EXPEDIÇÃO","Expedido",IF(NETWORKDAYS(C3552,TODAY())&gt;=5,"Risco Alto",IF(NETWORKDAYS(C3552,TODAY())&gt;=3,IF(NETWORKDAYS(C3552,TODAY())&lt;5,"Risco Médio",""),IF(NETWORKDAYS(C3552,TODAY())&lt;=2,"Risco Baixo",""))))</f>
        <v>Expedido</v>
      </c>
      <c r="P3552" s="5" t="s">
        <v>25</v>
      </c>
      <c r="S3552" s="7">
        <f>IF(ISBLANK(M3552),"Aguardando Previsão/Data",NETWORKDAYS(L3552,M3552)-1)</f>
        <v>-4</v>
      </c>
      <c r="T3552" s="5" t="s">
        <v>942</v>
      </c>
    </row>
    <row r="3553" spans="1:20" x14ac:dyDescent="0.35">
      <c r="A3553" s="5">
        <v>8100282577</v>
      </c>
      <c r="B3553" s="5">
        <v>12455</v>
      </c>
      <c r="C3553" s="6">
        <v>45681</v>
      </c>
      <c r="D3553" s="5" t="s">
        <v>158</v>
      </c>
      <c r="E3553" s="5" t="s">
        <v>159</v>
      </c>
      <c r="F3553" s="5" t="s">
        <v>167</v>
      </c>
      <c r="G3553" s="5" t="s">
        <v>168</v>
      </c>
      <c r="H3553" s="5" t="s">
        <v>108</v>
      </c>
      <c r="I3553" s="5" t="s">
        <v>164</v>
      </c>
      <c r="J3553" s="5" t="s">
        <v>1538</v>
      </c>
      <c r="K3553" s="5" t="s">
        <v>170</v>
      </c>
      <c r="L3553" s="6">
        <v>45688</v>
      </c>
      <c r="M3553" s="6">
        <v>45686</v>
      </c>
      <c r="N3553" s="5" t="s">
        <v>811</v>
      </c>
      <c r="O3553" s="5" t="str">
        <f ca="1">IF(P3553&lt;&gt;"EXPEDIÇÃO","Expedido",IF(NETWORKDAYS(C3553,TODAY())&gt;=5,"Risco Alto",IF(NETWORKDAYS(C3553,TODAY())&gt;=3,IF(NETWORKDAYS(C3553,TODAY())&lt;5,"Risco Médio",""),IF(NETWORKDAYS(C3553,TODAY())&lt;=2,"Risco Baixo",""))))</f>
        <v>Expedido</v>
      </c>
      <c r="P3553" s="5" t="s">
        <v>25</v>
      </c>
      <c r="S3553" s="7">
        <f>IF(ISBLANK(M3553),"Aguardando Previsão/Data",NETWORKDAYS(L3553,M3553)-1)</f>
        <v>-4</v>
      </c>
      <c r="T3553" s="5" t="s">
        <v>942</v>
      </c>
    </row>
    <row r="3554" spans="1:20" x14ac:dyDescent="0.35">
      <c r="A3554" s="5">
        <v>8100282578</v>
      </c>
      <c r="B3554" s="5">
        <v>12445</v>
      </c>
      <c r="C3554" s="6">
        <v>45681</v>
      </c>
      <c r="D3554" s="5" t="s">
        <v>158</v>
      </c>
      <c r="E3554" s="5" t="s">
        <v>159</v>
      </c>
      <c r="F3554" s="5" t="s">
        <v>167</v>
      </c>
      <c r="G3554" s="5" t="s">
        <v>168</v>
      </c>
      <c r="H3554" s="5" t="s">
        <v>108</v>
      </c>
      <c r="I3554" s="5" t="s">
        <v>164</v>
      </c>
      <c r="J3554" s="5" t="s">
        <v>613</v>
      </c>
      <c r="K3554" s="5" t="s">
        <v>170</v>
      </c>
      <c r="L3554" s="6">
        <v>45687</v>
      </c>
      <c r="M3554" s="6">
        <v>45686</v>
      </c>
      <c r="N3554" s="5" t="s">
        <v>811</v>
      </c>
      <c r="O3554" s="5" t="str">
        <f ca="1">IF(P3554&lt;&gt;"EXPEDIÇÃO","Expedido",IF(NETWORKDAYS(C3554,TODAY())&gt;=5,"Risco Alto",IF(NETWORKDAYS(C3554,TODAY())&gt;=3,IF(NETWORKDAYS(C3554,TODAY())&lt;5,"Risco Médio",""),IF(NETWORKDAYS(C3554,TODAY())&lt;=2,"Risco Baixo",""))))</f>
        <v>Expedido</v>
      </c>
      <c r="P3554" s="5" t="s">
        <v>25</v>
      </c>
      <c r="S3554" s="7">
        <f>IF(ISBLANK(M3554),"Aguardando Previsão/Data",NETWORKDAYS(L3554,M3554)-1)</f>
        <v>-3</v>
      </c>
      <c r="T3554" s="5" t="s">
        <v>942</v>
      </c>
    </row>
    <row r="3555" spans="1:20" x14ac:dyDescent="0.35">
      <c r="A3555" s="5">
        <v>8100282580</v>
      </c>
      <c r="B3555" s="5">
        <v>12432</v>
      </c>
      <c r="C3555" s="6">
        <v>45681</v>
      </c>
      <c r="D3555" s="5" t="s">
        <v>158</v>
      </c>
      <c r="E3555" s="5" t="s">
        <v>159</v>
      </c>
      <c r="F3555" s="5" t="s">
        <v>167</v>
      </c>
      <c r="G3555" s="5" t="s">
        <v>168</v>
      </c>
      <c r="H3555" s="5" t="s">
        <v>108</v>
      </c>
      <c r="I3555" s="5" t="s">
        <v>164</v>
      </c>
      <c r="J3555" s="5" t="s">
        <v>1539</v>
      </c>
      <c r="K3555" s="5" t="s">
        <v>170</v>
      </c>
      <c r="L3555" s="6">
        <v>45688</v>
      </c>
      <c r="M3555" s="6">
        <v>45688</v>
      </c>
      <c r="N3555" s="5" t="s">
        <v>811</v>
      </c>
      <c r="O3555" s="5" t="str">
        <f ca="1">IF(P3555&lt;&gt;"EXPEDIÇÃO","Expedido",IF(NETWORKDAYS(C3555,TODAY())&gt;=5,"Risco Alto",IF(NETWORKDAYS(C3555,TODAY())&gt;=3,IF(NETWORKDAYS(C3555,TODAY())&lt;5,"Risco Médio",""),IF(NETWORKDAYS(C3555,TODAY())&lt;=2,"Risco Baixo",""))))</f>
        <v>Expedido</v>
      </c>
      <c r="P3555" s="5" t="s">
        <v>617</v>
      </c>
      <c r="S3555" s="7">
        <f>IF(ISBLANK(M3555),"Aguardando Previsão/Data",NETWORKDAYS(L3555,M3555)-1)</f>
        <v>0</v>
      </c>
    </row>
    <row r="3556" spans="1:20" x14ac:dyDescent="0.35">
      <c r="A3556" s="5">
        <v>8100282629</v>
      </c>
      <c r="B3556" s="5">
        <v>12461</v>
      </c>
      <c r="C3556" s="6">
        <v>45681</v>
      </c>
      <c r="D3556" s="5" t="s">
        <v>158</v>
      </c>
      <c r="E3556" s="5" t="s">
        <v>159</v>
      </c>
      <c r="F3556" s="5" t="s">
        <v>79</v>
      </c>
      <c r="G3556" s="5" t="s">
        <v>80</v>
      </c>
      <c r="H3556" s="5" t="s">
        <v>108</v>
      </c>
      <c r="I3556" s="5" t="s">
        <v>541</v>
      </c>
      <c r="J3556" s="5" t="s">
        <v>163</v>
      </c>
      <c r="K3556" s="5" t="s">
        <v>80</v>
      </c>
      <c r="L3556" s="6">
        <v>45691</v>
      </c>
      <c r="M3556" s="6">
        <v>45685</v>
      </c>
      <c r="N3556" s="5" t="s">
        <v>811</v>
      </c>
      <c r="O3556" s="5" t="str">
        <f ca="1">IF(P3556&lt;&gt;"EXPEDIÇÃO","Expedido",IF(NETWORKDAYS(C3556,TODAY())&gt;=5,"Risco Alto",IF(NETWORKDAYS(C3556,TODAY())&gt;=3,IF(NETWORKDAYS(C3556,TODAY())&lt;5,"Risco Médio",""),IF(NETWORKDAYS(C3556,TODAY())&lt;=2,"Risco Baixo",""))))</f>
        <v>Expedido</v>
      </c>
      <c r="P3556" s="5" t="s">
        <v>25</v>
      </c>
      <c r="S3556" s="7">
        <f>IF(ISBLANK(M3556),"Aguardando Previsão/Data",NETWORKDAYS(L3556,M3556)-1)</f>
        <v>-6</v>
      </c>
      <c r="T3556" s="5" t="s">
        <v>942</v>
      </c>
    </row>
    <row r="3557" spans="1:20" x14ac:dyDescent="0.35">
      <c r="A3557" s="5">
        <v>8100282630</v>
      </c>
      <c r="B3557" s="5">
        <v>12454</v>
      </c>
      <c r="C3557" s="6">
        <v>45681</v>
      </c>
      <c r="D3557" s="5" t="s">
        <v>158</v>
      </c>
      <c r="E3557" s="5" t="s">
        <v>159</v>
      </c>
      <c r="F3557" s="5" t="s">
        <v>167</v>
      </c>
      <c r="G3557" s="5" t="s">
        <v>168</v>
      </c>
      <c r="H3557" s="5" t="s">
        <v>108</v>
      </c>
      <c r="I3557" s="5" t="s">
        <v>164</v>
      </c>
      <c r="J3557" s="5" t="s">
        <v>784</v>
      </c>
      <c r="K3557" s="5" t="s">
        <v>170</v>
      </c>
      <c r="L3557" s="6">
        <v>45688</v>
      </c>
      <c r="M3557" s="6">
        <v>45685</v>
      </c>
      <c r="N3557" s="5" t="s">
        <v>811</v>
      </c>
      <c r="O3557" s="5" t="str">
        <f ca="1">IF(P3557&lt;&gt;"EXPEDIÇÃO","Expedido",IF(NETWORKDAYS(C3557,TODAY())&gt;=5,"Risco Alto",IF(NETWORKDAYS(C3557,TODAY())&gt;=3,IF(NETWORKDAYS(C3557,TODAY())&lt;5,"Risco Médio",""),IF(NETWORKDAYS(C3557,TODAY())&lt;=2,"Risco Baixo",""))))</f>
        <v>Expedido</v>
      </c>
      <c r="P3557" s="5" t="s">
        <v>25</v>
      </c>
      <c r="S3557" s="7">
        <f>IF(ISBLANK(M3557),"Aguardando Previsão/Data",NETWORKDAYS(L3557,M3557)-1)</f>
        <v>-5</v>
      </c>
      <c r="T3557" s="5" t="s">
        <v>942</v>
      </c>
    </row>
    <row r="3558" spans="1:20" x14ac:dyDescent="0.35">
      <c r="A3558" s="5">
        <v>8100282631</v>
      </c>
      <c r="B3558" s="5">
        <v>12438</v>
      </c>
      <c r="C3558" s="6">
        <v>45681</v>
      </c>
      <c r="D3558" s="5" t="s">
        <v>158</v>
      </c>
      <c r="E3558" s="5" t="s">
        <v>159</v>
      </c>
      <c r="F3558" s="5" t="s">
        <v>167</v>
      </c>
      <c r="G3558" s="5" t="s">
        <v>168</v>
      </c>
      <c r="H3558" s="5" t="s">
        <v>108</v>
      </c>
      <c r="I3558" s="5" t="s">
        <v>164</v>
      </c>
      <c r="J3558" s="5" t="s">
        <v>883</v>
      </c>
      <c r="K3558" s="5" t="s">
        <v>170</v>
      </c>
      <c r="L3558" s="6">
        <v>45688</v>
      </c>
      <c r="M3558" s="6">
        <v>45687</v>
      </c>
      <c r="N3558" s="5" t="s">
        <v>811</v>
      </c>
      <c r="O3558" s="5" t="str">
        <f ca="1">IF(P3558&lt;&gt;"EXPEDIÇÃO","Expedido",IF(NETWORKDAYS(C3558,TODAY())&gt;=5,"Risco Alto",IF(NETWORKDAYS(C3558,TODAY())&gt;=3,IF(NETWORKDAYS(C3558,TODAY())&lt;5,"Risco Médio",""),IF(NETWORKDAYS(C3558,TODAY())&lt;=2,"Risco Baixo",""))))</f>
        <v>Expedido</v>
      </c>
      <c r="P3558" s="5" t="s">
        <v>617</v>
      </c>
      <c r="S3558" s="7">
        <f>IF(ISBLANK(M3558),"Aguardando Previsão/Data",NETWORKDAYS(L3558,M3558)-1)</f>
        <v>-3</v>
      </c>
    </row>
    <row r="3559" spans="1:20" x14ac:dyDescent="0.35">
      <c r="A3559" s="5">
        <v>8100282633</v>
      </c>
      <c r="B3559" s="5">
        <v>12449</v>
      </c>
      <c r="C3559" s="6">
        <v>45681</v>
      </c>
      <c r="D3559" s="5" t="s">
        <v>158</v>
      </c>
      <c r="E3559" s="5" t="s">
        <v>159</v>
      </c>
      <c r="F3559" s="5" t="s">
        <v>167</v>
      </c>
      <c r="G3559" s="5" t="s">
        <v>168</v>
      </c>
      <c r="H3559" s="5" t="s">
        <v>108</v>
      </c>
      <c r="I3559" s="5" t="s">
        <v>164</v>
      </c>
      <c r="J3559" s="5" t="s">
        <v>1537</v>
      </c>
      <c r="K3559" s="5" t="s">
        <v>170</v>
      </c>
      <c r="L3559" s="6">
        <v>45688</v>
      </c>
      <c r="M3559" s="6">
        <v>45687</v>
      </c>
      <c r="N3559" s="5" t="s">
        <v>811</v>
      </c>
      <c r="O3559" s="5" t="str">
        <f ca="1">IF(P3559&lt;&gt;"EXPEDIÇÃO","Expedido",IF(NETWORKDAYS(C3559,TODAY())&gt;=5,"Risco Alto",IF(NETWORKDAYS(C3559,TODAY())&gt;=3,IF(NETWORKDAYS(C3559,TODAY())&lt;5,"Risco Médio",""),IF(NETWORKDAYS(C3559,TODAY())&lt;=2,"Risco Baixo",""))))</f>
        <v>Expedido</v>
      </c>
      <c r="P3559" s="5" t="s">
        <v>25</v>
      </c>
      <c r="S3559" s="7">
        <f>IF(ISBLANK(M3559),"Aguardando Previsão/Data",NETWORKDAYS(L3559,M3559)-1)</f>
        <v>-3</v>
      </c>
      <c r="T3559" s="5" t="s">
        <v>942</v>
      </c>
    </row>
    <row r="3560" spans="1:20" x14ac:dyDescent="0.35">
      <c r="A3560" s="5">
        <v>8100282634</v>
      </c>
      <c r="B3560" s="5">
        <v>12460</v>
      </c>
      <c r="C3560" s="6">
        <v>45681</v>
      </c>
      <c r="D3560" s="5" t="s">
        <v>158</v>
      </c>
      <c r="E3560" s="5" t="s">
        <v>159</v>
      </c>
      <c r="F3560" s="5" t="s">
        <v>171</v>
      </c>
      <c r="G3560" s="5" t="s">
        <v>172</v>
      </c>
      <c r="H3560" s="5" t="s">
        <v>108</v>
      </c>
      <c r="I3560" s="5" t="s">
        <v>189</v>
      </c>
      <c r="J3560" s="5" t="s">
        <v>190</v>
      </c>
      <c r="K3560" s="5" t="s">
        <v>170</v>
      </c>
      <c r="L3560" s="6">
        <v>45691</v>
      </c>
      <c r="M3560" s="6">
        <v>45687</v>
      </c>
      <c r="N3560" s="5" t="s">
        <v>811</v>
      </c>
      <c r="O3560" s="5" t="str">
        <f ca="1">IF(P3560&lt;&gt;"EXPEDIÇÃO","Expedido",IF(NETWORKDAYS(C3560,TODAY())&gt;=5,"Risco Alto",IF(NETWORKDAYS(C3560,TODAY())&gt;=3,IF(NETWORKDAYS(C3560,TODAY())&lt;5,"Risco Médio",""),IF(NETWORKDAYS(C3560,TODAY())&lt;=2,"Risco Baixo",""))))</f>
        <v>Risco Alto</v>
      </c>
      <c r="P3560" s="5" t="s">
        <v>726</v>
      </c>
      <c r="S3560" s="7">
        <f>IF(ISBLANK(M3560),"Aguardando Previsão/Data",NETWORKDAYS(L3560,M3560)-1)</f>
        <v>-4</v>
      </c>
    </row>
    <row r="3561" spans="1:20" x14ac:dyDescent="0.35">
      <c r="A3561" s="5">
        <v>8100282710</v>
      </c>
      <c r="B3561" s="5">
        <v>12431</v>
      </c>
      <c r="C3561" s="6">
        <v>45681</v>
      </c>
      <c r="D3561" s="5" t="s">
        <v>158</v>
      </c>
      <c r="E3561" s="5" t="s">
        <v>159</v>
      </c>
      <c r="F3561" s="5" t="s">
        <v>79</v>
      </c>
      <c r="G3561" s="5" t="s">
        <v>80</v>
      </c>
      <c r="H3561" s="5" t="s">
        <v>108</v>
      </c>
      <c r="I3561" s="5" t="s">
        <v>538</v>
      </c>
      <c r="J3561" s="5" t="s">
        <v>402</v>
      </c>
      <c r="K3561" s="5" t="s">
        <v>80</v>
      </c>
      <c r="L3561" s="6">
        <v>45688</v>
      </c>
      <c r="M3561" s="6">
        <v>45687</v>
      </c>
      <c r="N3561" s="5" t="s">
        <v>811</v>
      </c>
      <c r="O3561" s="5" t="str">
        <f ca="1">IF(P3561&lt;&gt;"EXPEDIÇÃO","Expedido",IF(NETWORKDAYS(C3561,TODAY())&gt;=5,"Risco Alto",IF(NETWORKDAYS(C3561,TODAY())&gt;=3,IF(NETWORKDAYS(C3561,TODAY())&lt;5,"Risco Médio",""),IF(NETWORKDAYS(C3561,TODAY())&lt;=2,"Risco Baixo",""))))</f>
        <v>Expedido</v>
      </c>
      <c r="P3561" s="5" t="s">
        <v>25</v>
      </c>
      <c r="S3561" s="7">
        <f>IF(ISBLANK(M3561),"Aguardando Previsão/Data",NETWORKDAYS(L3561,M3561)-1)</f>
        <v>-3</v>
      </c>
      <c r="T3561" s="5" t="s">
        <v>942</v>
      </c>
    </row>
    <row r="3562" spans="1:20" x14ac:dyDescent="0.35">
      <c r="A3562" s="5">
        <v>8100282711</v>
      </c>
      <c r="B3562" s="5">
        <v>12441</v>
      </c>
      <c r="C3562" s="6">
        <v>45681</v>
      </c>
      <c r="D3562" s="5" t="s">
        <v>158</v>
      </c>
      <c r="E3562" s="5" t="s">
        <v>159</v>
      </c>
      <c r="F3562" s="5" t="s">
        <v>79</v>
      </c>
      <c r="G3562" s="5" t="s">
        <v>80</v>
      </c>
      <c r="H3562" s="5" t="s">
        <v>108</v>
      </c>
      <c r="I3562" s="5" t="s">
        <v>182</v>
      </c>
      <c r="J3562" s="5" t="s">
        <v>660</v>
      </c>
      <c r="K3562" s="5" t="s">
        <v>80</v>
      </c>
      <c r="L3562" s="6">
        <v>45691</v>
      </c>
      <c r="M3562" s="6">
        <v>45686</v>
      </c>
      <c r="N3562" s="5" t="s">
        <v>811</v>
      </c>
      <c r="O3562" s="5" t="str">
        <f ca="1">IF(P3562&lt;&gt;"EXPEDIÇÃO","Expedido",IF(NETWORKDAYS(C3562,TODAY())&gt;=5,"Risco Alto",IF(NETWORKDAYS(C3562,TODAY())&gt;=3,IF(NETWORKDAYS(C3562,TODAY())&lt;5,"Risco Médio",""),IF(NETWORKDAYS(C3562,TODAY())&lt;=2,"Risco Baixo",""))))</f>
        <v>Expedido</v>
      </c>
      <c r="P3562" s="5" t="s">
        <v>25</v>
      </c>
      <c r="S3562" s="7">
        <f>IF(ISBLANK(M3562),"Aguardando Previsão/Data",NETWORKDAYS(L3562,M3562)-1)</f>
        <v>-5</v>
      </c>
      <c r="T3562" s="5" t="s">
        <v>942</v>
      </c>
    </row>
    <row r="3563" spans="1:20" x14ac:dyDescent="0.35">
      <c r="A3563" s="5">
        <v>8100282712</v>
      </c>
      <c r="B3563" s="5">
        <v>12442</v>
      </c>
      <c r="C3563" s="6">
        <v>45681</v>
      </c>
      <c r="D3563" s="5" t="s">
        <v>158</v>
      </c>
      <c r="E3563" s="5" t="s">
        <v>159</v>
      </c>
      <c r="F3563" s="5" t="s">
        <v>79</v>
      </c>
      <c r="G3563" s="5" t="s">
        <v>80</v>
      </c>
      <c r="H3563" s="5" t="s">
        <v>108</v>
      </c>
      <c r="I3563" s="5" t="s">
        <v>182</v>
      </c>
      <c r="J3563" s="5" t="s">
        <v>183</v>
      </c>
      <c r="K3563" s="5" t="s">
        <v>80</v>
      </c>
      <c r="L3563" s="6">
        <v>45691</v>
      </c>
      <c r="M3563" s="6">
        <v>45685</v>
      </c>
      <c r="N3563" s="5" t="s">
        <v>811</v>
      </c>
      <c r="O3563" s="5" t="str">
        <f ca="1">IF(P3563&lt;&gt;"EXPEDIÇÃO","Expedido",IF(NETWORKDAYS(C3563,TODAY())&gt;=5,"Risco Alto",IF(NETWORKDAYS(C3563,TODAY())&gt;=3,IF(NETWORKDAYS(C3563,TODAY())&lt;5,"Risco Médio",""),IF(NETWORKDAYS(C3563,TODAY())&lt;=2,"Risco Baixo",""))))</f>
        <v>Expedido</v>
      </c>
      <c r="P3563" s="5" t="s">
        <v>25</v>
      </c>
      <c r="S3563" s="7">
        <f>IF(ISBLANK(M3563),"Aguardando Previsão/Data",NETWORKDAYS(L3563,M3563)-1)</f>
        <v>-6</v>
      </c>
      <c r="T3563" s="5" t="s">
        <v>942</v>
      </c>
    </row>
    <row r="3564" spans="1:20" x14ac:dyDescent="0.35">
      <c r="A3564" s="5">
        <v>8100282714</v>
      </c>
      <c r="B3564" s="5">
        <v>12436</v>
      </c>
      <c r="C3564" s="6">
        <v>45681</v>
      </c>
      <c r="D3564" s="5" t="s">
        <v>158</v>
      </c>
      <c r="E3564" s="5" t="s">
        <v>159</v>
      </c>
      <c r="F3564" s="5" t="s">
        <v>79</v>
      </c>
      <c r="G3564" s="5" t="s">
        <v>80</v>
      </c>
      <c r="H3564" s="5" t="s">
        <v>108</v>
      </c>
      <c r="I3564" s="5" t="s">
        <v>452</v>
      </c>
      <c r="J3564" s="5" t="s">
        <v>183</v>
      </c>
      <c r="K3564" s="5" t="s">
        <v>80</v>
      </c>
      <c r="L3564" s="6">
        <v>45691</v>
      </c>
      <c r="M3564" s="6">
        <v>45685</v>
      </c>
      <c r="N3564" s="5" t="s">
        <v>811</v>
      </c>
      <c r="O3564" s="5" t="str">
        <f ca="1">IF(P3564&lt;&gt;"EXPEDIÇÃO","Expedido",IF(NETWORKDAYS(C3564,TODAY())&gt;=5,"Risco Alto",IF(NETWORKDAYS(C3564,TODAY())&gt;=3,IF(NETWORKDAYS(C3564,TODAY())&lt;5,"Risco Médio",""),IF(NETWORKDAYS(C3564,TODAY())&lt;=2,"Risco Baixo",""))))</f>
        <v>Expedido</v>
      </c>
      <c r="P3564" s="5" t="s">
        <v>25</v>
      </c>
      <c r="S3564" s="7">
        <f>IF(ISBLANK(M3564),"Aguardando Previsão/Data",NETWORKDAYS(L3564,M3564)-1)</f>
        <v>-6</v>
      </c>
      <c r="T3564" s="5" t="s">
        <v>942</v>
      </c>
    </row>
    <row r="3565" spans="1:20" x14ac:dyDescent="0.35">
      <c r="A3565" s="5">
        <v>8100282770</v>
      </c>
      <c r="B3565" s="5">
        <v>12464</v>
      </c>
      <c r="C3565" s="6">
        <v>45681</v>
      </c>
      <c r="D3565" s="5" t="s">
        <v>158</v>
      </c>
      <c r="E3565" s="5" t="s">
        <v>159</v>
      </c>
      <c r="F3565" s="5" t="s">
        <v>160</v>
      </c>
      <c r="G3565" s="5" t="s">
        <v>161</v>
      </c>
      <c r="H3565" s="5" t="s">
        <v>108</v>
      </c>
      <c r="I3565" s="5" t="s">
        <v>1175</v>
      </c>
      <c r="J3565" s="5" t="s">
        <v>310</v>
      </c>
      <c r="K3565" s="5" t="s">
        <v>175</v>
      </c>
      <c r="L3565" s="6">
        <v>45692</v>
      </c>
      <c r="M3565" s="6">
        <v>45687</v>
      </c>
      <c r="N3565" s="5" t="s">
        <v>811</v>
      </c>
      <c r="O3565" s="5" t="str">
        <f ca="1">IF(P3565&lt;&gt;"EXPEDIÇÃO","Expedido",IF(NETWORKDAYS(C3565,TODAY())&gt;=5,"Risco Alto",IF(NETWORKDAYS(C3565,TODAY())&gt;=3,IF(NETWORKDAYS(C3565,TODAY())&lt;5,"Risco Médio",""),IF(NETWORKDAYS(C3565,TODAY())&lt;=2,"Risco Baixo",""))))</f>
        <v>Expedido</v>
      </c>
      <c r="P3565" s="5" t="s">
        <v>25</v>
      </c>
      <c r="S3565" s="7">
        <f>IF(ISBLANK(M3565),"Aguardando Previsão/Data",NETWORKDAYS(L3565,M3565)-1)</f>
        <v>-5</v>
      </c>
      <c r="T3565" s="5" t="s">
        <v>942</v>
      </c>
    </row>
    <row r="3566" spans="1:20" x14ac:dyDescent="0.35">
      <c r="A3566" s="5">
        <v>8100282771</v>
      </c>
      <c r="B3566" s="5">
        <v>12465</v>
      </c>
      <c r="C3566" s="6">
        <v>45681</v>
      </c>
      <c r="D3566" s="5" t="s">
        <v>158</v>
      </c>
      <c r="E3566" s="5" t="s">
        <v>159</v>
      </c>
      <c r="F3566" s="5" t="s">
        <v>167</v>
      </c>
      <c r="G3566" s="5" t="s">
        <v>168</v>
      </c>
      <c r="H3566" s="5" t="s">
        <v>108</v>
      </c>
      <c r="I3566" s="5" t="s">
        <v>304</v>
      </c>
      <c r="J3566" s="5" t="s">
        <v>305</v>
      </c>
      <c r="K3566" s="5" t="s">
        <v>170</v>
      </c>
      <c r="L3566" s="6">
        <v>45687</v>
      </c>
      <c r="M3566" s="6">
        <v>45684</v>
      </c>
      <c r="N3566" s="5" t="s">
        <v>811</v>
      </c>
      <c r="O3566" s="5" t="str">
        <f ca="1">IF(P3566&lt;&gt;"EXPEDIÇÃO","Expedido",IF(NETWORKDAYS(C3566,TODAY())&gt;=5,"Risco Alto",IF(NETWORKDAYS(C3566,TODAY())&gt;=3,IF(NETWORKDAYS(C3566,TODAY())&lt;5,"Risco Médio",""),IF(NETWORKDAYS(C3566,TODAY())&lt;=2,"Risco Baixo",""))))</f>
        <v>Expedido</v>
      </c>
      <c r="P3566" s="5" t="s">
        <v>25</v>
      </c>
      <c r="S3566" s="7">
        <f>IF(ISBLANK(M3566),"Aguardando Previsão/Data",NETWORKDAYS(L3566,M3566)-1)</f>
        <v>-5</v>
      </c>
      <c r="T3566" s="5" t="s">
        <v>942</v>
      </c>
    </row>
    <row r="3567" spans="1:20" x14ac:dyDescent="0.35">
      <c r="A3567" s="5">
        <v>8100282772</v>
      </c>
      <c r="B3567" s="5">
        <v>12440</v>
      </c>
      <c r="C3567" s="6">
        <v>45681</v>
      </c>
      <c r="D3567" s="5" t="s">
        <v>158</v>
      </c>
      <c r="E3567" s="5" t="s">
        <v>159</v>
      </c>
      <c r="F3567" s="5" t="s">
        <v>147</v>
      </c>
      <c r="G3567" s="5" t="s">
        <v>148</v>
      </c>
      <c r="H3567" s="5" t="s">
        <v>108</v>
      </c>
      <c r="I3567" s="5" t="s">
        <v>82</v>
      </c>
      <c r="J3567" s="5" t="s">
        <v>296</v>
      </c>
      <c r="K3567" s="5" t="s">
        <v>80</v>
      </c>
      <c r="L3567" s="6">
        <v>45691</v>
      </c>
      <c r="M3567" s="6">
        <v>45684</v>
      </c>
      <c r="N3567" s="5" t="s">
        <v>811</v>
      </c>
      <c r="O3567" s="5" t="str">
        <f ca="1">IF(P3567&lt;&gt;"EXPEDIÇÃO","Expedido",IF(NETWORKDAYS(C3567,TODAY())&gt;=5,"Risco Alto",IF(NETWORKDAYS(C3567,TODAY())&gt;=3,IF(NETWORKDAYS(C3567,TODAY())&lt;5,"Risco Médio",""),IF(NETWORKDAYS(C3567,TODAY())&lt;=2,"Risco Baixo",""))))</f>
        <v>Expedido</v>
      </c>
      <c r="P3567" s="5" t="s">
        <v>25</v>
      </c>
      <c r="S3567" s="7">
        <f>IF(ISBLANK(M3567),"Aguardando Previsão/Data",NETWORKDAYS(L3567,M3567)-1)</f>
        <v>-7</v>
      </c>
      <c r="T3567" s="5" t="s">
        <v>942</v>
      </c>
    </row>
    <row r="3568" spans="1:20" x14ac:dyDescent="0.35">
      <c r="A3568" s="5">
        <v>8100282773</v>
      </c>
      <c r="B3568" s="5">
        <v>12434</v>
      </c>
      <c r="C3568" s="6">
        <v>45681</v>
      </c>
      <c r="D3568" s="5" t="s">
        <v>158</v>
      </c>
      <c r="E3568" s="5" t="s">
        <v>159</v>
      </c>
      <c r="F3568" s="5" t="s">
        <v>167</v>
      </c>
      <c r="G3568" s="5" t="s">
        <v>168</v>
      </c>
      <c r="H3568" s="5" t="s">
        <v>108</v>
      </c>
      <c r="I3568" s="5" t="s">
        <v>782</v>
      </c>
      <c r="J3568" s="5" t="s">
        <v>1543</v>
      </c>
      <c r="K3568" s="5" t="s">
        <v>170</v>
      </c>
      <c r="L3568" s="6">
        <v>45687</v>
      </c>
      <c r="M3568" s="6">
        <v>45685</v>
      </c>
      <c r="N3568" s="5" t="s">
        <v>811</v>
      </c>
      <c r="O3568" s="5" t="str">
        <f ca="1">IF(P3568&lt;&gt;"EXPEDIÇÃO","Expedido",IF(NETWORKDAYS(C3568,TODAY())&gt;=5,"Risco Alto",IF(NETWORKDAYS(C3568,TODAY())&gt;=3,IF(NETWORKDAYS(C3568,TODAY())&lt;5,"Risco Médio",""),IF(NETWORKDAYS(C3568,TODAY())&lt;=2,"Risco Baixo",""))))</f>
        <v>Expedido</v>
      </c>
      <c r="P3568" s="5" t="s">
        <v>25</v>
      </c>
      <c r="S3568" s="7">
        <f>IF(ISBLANK(M3568),"Aguardando Previsão/Data",NETWORKDAYS(L3568,M3568)-1)</f>
        <v>-4</v>
      </c>
      <c r="T3568" s="5" t="s">
        <v>942</v>
      </c>
    </row>
    <row r="3569" spans="1:20" x14ac:dyDescent="0.35">
      <c r="A3569" s="5">
        <v>8100282774</v>
      </c>
      <c r="B3569" s="5">
        <v>12433</v>
      </c>
      <c r="C3569" s="6">
        <v>45681</v>
      </c>
      <c r="D3569" s="5" t="s">
        <v>158</v>
      </c>
      <c r="E3569" s="5" t="s">
        <v>159</v>
      </c>
      <c r="F3569" s="5" t="s">
        <v>79</v>
      </c>
      <c r="G3569" s="5" t="s">
        <v>80</v>
      </c>
      <c r="H3569" s="5" t="s">
        <v>108</v>
      </c>
      <c r="I3569" s="5" t="s">
        <v>182</v>
      </c>
      <c r="J3569" s="5" t="s">
        <v>163</v>
      </c>
      <c r="K3569" s="5" t="s">
        <v>80</v>
      </c>
      <c r="L3569" s="6">
        <v>45691</v>
      </c>
      <c r="M3569" s="6">
        <v>45684</v>
      </c>
      <c r="N3569" s="5" t="s">
        <v>811</v>
      </c>
      <c r="O3569" s="5" t="str">
        <f ca="1">IF(P3569&lt;&gt;"EXPEDIÇÃO","Expedido",IF(NETWORKDAYS(C3569,TODAY())&gt;=5,"Risco Alto",IF(NETWORKDAYS(C3569,TODAY())&gt;=3,IF(NETWORKDAYS(C3569,TODAY())&lt;5,"Risco Médio",""),IF(NETWORKDAYS(C3569,TODAY())&lt;=2,"Risco Baixo",""))))</f>
        <v>Expedido</v>
      </c>
      <c r="P3569" s="5" t="s">
        <v>25</v>
      </c>
      <c r="S3569" s="7">
        <f>IF(ISBLANK(M3569),"Aguardando Previsão/Data",NETWORKDAYS(L3569,M3569)-1)</f>
        <v>-7</v>
      </c>
      <c r="T3569" s="5" t="s">
        <v>942</v>
      </c>
    </row>
    <row r="3570" spans="1:20" x14ac:dyDescent="0.35">
      <c r="A3570" s="5">
        <v>8100282806</v>
      </c>
      <c r="B3570" s="5">
        <v>12462</v>
      </c>
      <c r="C3570" s="6">
        <v>45681</v>
      </c>
      <c r="D3570" s="5" t="s">
        <v>158</v>
      </c>
      <c r="E3570" s="5" t="s">
        <v>159</v>
      </c>
      <c r="F3570" s="5" t="s">
        <v>147</v>
      </c>
      <c r="G3570" s="5" t="s">
        <v>148</v>
      </c>
      <c r="H3570" s="5" t="s">
        <v>108</v>
      </c>
      <c r="I3570" s="5" t="s">
        <v>82</v>
      </c>
      <c r="J3570" s="5" t="s">
        <v>296</v>
      </c>
      <c r="K3570" s="5" t="s">
        <v>80</v>
      </c>
      <c r="L3570" s="6">
        <v>45691</v>
      </c>
      <c r="M3570" s="6">
        <v>45684</v>
      </c>
      <c r="N3570" s="5" t="s">
        <v>811</v>
      </c>
      <c r="O3570" s="5" t="str">
        <f ca="1">IF(P3570&lt;&gt;"EXPEDIÇÃO","Expedido",IF(NETWORKDAYS(C3570,TODAY())&gt;=5,"Risco Alto",IF(NETWORKDAYS(C3570,TODAY())&gt;=3,IF(NETWORKDAYS(C3570,TODAY())&lt;5,"Risco Médio",""),IF(NETWORKDAYS(C3570,TODAY())&lt;=2,"Risco Baixo",""))))</f>
        <v>Expedido</v>
      </c>
      <c r="P3570" s="5" t="s">
        <v>25</v>
      </c>
      <c r="S3570" s="7">
        <f>IF(ISBLANK(M3570),"Aguardando Previsão/Data",NETWORKDAYS(L3570,M3570)-1)</f>
        <v>-7</v>
      </c>
      <c r="T3570" s="5" t="s">
        <v>942</v>
      </c>
    </row>
    <row r="3571" spans="1:20" x14ac:dyDescent="0.35">
      <c r="A3571" s="5">
        <v>8100282890</v>
      </c>
      <c r="B3571" s="5">
        <v>12470</v>
      </c>
      <c r="C3571" s="6">
        <v>45681</v>
      </c>
      <c r="D3571" s="5" t="s">
        <v>158</v>
      </c>
      <c r="E3571" s="5" t="s">
        <v>159</v>
      </c>
      <c r="F3571" s="5" t="s">
        <v>147</v>
      </c>
      <c r="G3571" s="5" t="s">
        <v>148</v>
      </c>
      <c r="H3571" s="5" t="s">
        <v>108</v>
      </c>
      <c r="I3571" s="5" t="s">
        <v>82</v>
      </c>
      <c r="J3571" s="5" t="s">
        <v>296</v>
      </c>
      <c r="K3571" s="5" t="s">
        <v>80</v>
      </c>
      <c r="L3571" s="6">
        <v>45691</v>
      </c>
      <c r="M3571" s="6">
        <v>45684</v>
      </c>
      <c r="N3571" s="5" t="s">
        <v>811</v>
      </c>
      <c r="O3571" s="5" t="str">
        <f ca="1">IF(P3571&lt;&gt;"EXPEDIÇÃO","Expedido",IF(NETWORKDAYS(C3571,TODAY())&gt;=5,"Risco Alto",IF(NETWORKDAYS(C3571,TODAY())&gt;=3,IF(NETWORKDAYS(C3571,TODAY())&lt;5,"Risco Médio",""),IF(NETWORKDAYS(C3571,TODAY())&lt;=2,"Risco Baixo",""))))</f>
        <v>Expedido</v>
      </c>
      <c r="P3571" s="5" t="s">
        <v>25</v>
      </c>
      <c r="S3571" s="7">
        <f>IF(ISBLANK(M3571),"Aguardando Previsão/Data",NETWORKDAYS(L3571,M3571)-1)</f>
        <v>-7</v>
      </c>
      <c r="T3571" s="5" t="s">
        <v>942</v>
      </c>
    </row>
    <row r="3572" spans="1:20" x14ac:dyDescent="0.35">
      <c r="A3572" s="5">
        <v>8100282891</v>
      </c>
      <c r="B3572" s="5">
        <v>12474</v>
      </c>
      <c r="C3572" s="6">
        <v>45681</v>
      </c>
      <c r="D3572" s="5" t="s">
        <v>158</v>
      </c>
      <c r="E3572" s="5" t="s">
        <v>159</v>
      </c>
      <c r="F3572" s="5" t="s">
        <v>147</v>
      </c>
      <c r="G3572" s="5" t="s">
        <v>148</v>
      </c>
      <c r="H3572" s="5" t="s">
        <v>108</v>
      </c>
      <c r="I3572" s="5" t="s">
        <v>263</v>
      </c>
      <c r="J3572" s="5" t="s">
        <v>163</v>
      </c>
      <c r="K3572" s="5" t="s">
        <v>80</v>
      </c>
      <c r="L3572" s="6">
        <v>45691</v>
      </c>
      <c r="M3572" s="6">
        <v>45685</v>
      </c>
      <c r="N3572" s="5" t="s">
        <v>811</v>
      </c>
      <c r="O3572" s="5" t="str">
        <f ca="1">IF(P3572&lt;&gt;"EXPEDIÇÃO","Expedido",IF(NETWORKDAYS(C3572,TODAY())&gt;=5,"Risco Alto",IF(NETWORKDAYS(C3572,TODAY())&gt;=3,IF(NETWORKDAYS(C3572,TODAY())&lt;5,"Risco Médio",""),IF(NETWORKDAYS(C3572,TODAY())&lt;=2,"Risco Baixo",""))))</f>
        <v>Expedido</v>
      </c>
      <c r="P3572" s="5" t="s">
        <v>25</v>
      </c>
      <c r="S3572" s="7">
        <f>IF(ISBLANK(M3572),"Aguardando Previsão/Data",NETWORKDAYS(L3572,M3572)-1)</f>
        <v>-6</v>
      </c>
      <c r="T3572" s="5" t="s">
        <v>942</v>
      </c>
    </row>
    <row r="3573" spans="1:20" x14ac:dyDescent="0.35">
      <c r="A3573" s="5">
        <v>8100283032</v>
      </c>
      <c r="B3573" s="5">
        <v>12467</v>
      </c>
      <c r="C3573" s="6">
        <v>45681</v>
      </c>
      <c r="D3573" s="5" t="s">
        <v>158</v>
      </c>
      <c r="E3573" s="5" t="s">
        <v>159</v>
      </c>
      <c r="F3573" s="5" t="s">
        <v>176</v>
      </c>
      <c r="G3573" s="5" t="s">
        <v>177</v>
      </c>
      <c r="H3573" s="5" t="s">
        <v>108</v>
      </c>
      <c r="I3573" s="5" t="s">
        <v>1161</v>
      </c>
      <c r="J3573" s="5" t="s">
        <v>895</v>
      </c>
      <c r="K3573" s="5" t="s">
        <v>175</v>
      </c>
      <c r="L3573" s="6">
        <v>45693</v>
      </c>
      <c r="M3573" s="6">
        <v>45688</v>
      </c>
      <c r="N3573" s="5" t="s">
        <v>811</v>
      </c>
      <c r="O3573" s="5" t="str">
        <f ca="1">IF(P3573&lt;&gt;"EXPEDIÇÃO","Expedido",IF(NETWORKDAYS(C3573,TODAY())&gt;=5,"Risco Alto",IF(NETWORKDAYS(C3573,TODAY())&gt;=3,IF(NETWORKDAYS(C3573,TODAY())&lt;5,"Risco Médio",""),IF(NETWORKDAYS(C3573,TODAY())&lt;=2,"Risco Baixo",""))))</f>
        <v>Expedido</v>
      </c>
      <c r="P3573" s="5" t="s">
        <v>617</v>
      </c>
      <c r="S3573" s="7">
        <f>IF(ISBLANK(M3573),"Aguardando Previsão/Data",NETWORKDAYS(L3573,M3573)-1)</f>
        <v>-5</v>
      </c>
    </row>
    <row r="3574" spans="1:20" x14ac:dyDescent="0.35">
      <c r="A3574" s="5">
        <v>8100283034</v>
      </c>
      <c r="B3574" s="5">
        <v>12469</v>
      </c>
      <c r="C3574" s="6">
        <v>45681</v>
      </c>
      <c r="D3574" s="5" t="s">
        <v>158</v>
      </c>
      <c r="E3574" s="5" t="s">
        <v>159</v>
      </c>
      <c r="F3574" s="5" t="s">
        <v>176</v>
      </c>
      <c r="G3574" s="5" t="s">
        <v>177</v>
      </c>
      <c r="H3574" s="5" t="s">
        <v>108</v>
      </c>
      <c r="I3574" s="5" t="s">
        <v>1552</v>
      </c>
      <c r="J3574" s="5" t="s">
        <v>1162</v>
      </c>
      <c r="K3574" s="5" t="s">
        <v>175</v>
      </c>
      <c r="L3574" s="6">
        <v>45692</v>
      </c>
      <c r="M3574" s="6">
        <v>45687</v>
      </c>
      <c r="N3574" s="5" t="s">
        <v>811</v>
      </c>
      <c r="O3574" s="5" t="str">
        <f ca="1">IF(P3574&lt;&gt;"EXPEDIÇÃO","Expedido",IF(NETWORKDAYS(C3574,TODAY())&gt;=5,"Risco Alto",IF(NETWORKDAYS(C3574,TODAY())&gt;=3,IF(NETWORKDAYS(C3574,TODAY())&lt;5,"Risco Médio",""),IF(NETWORKDAYS(C3574,TODAY())&lt;=2,"Risco Baixo",""))))</f>
        <v>Expedido</v>
      </c>
      <c r="P3574" s="5" t="s">
        <v>25</v>
      </c>
      <c r="S3574" s="7">
        <f>IF(ISBLANK(M3574),"Aguardando Previsão/Data",NETWORKDAYS(L3574,M3574)-1)</f>
        <v>-5</v>
      </c>
      <c r="T3574" s="5" t="s">
        <v>942</v>
      </c>
    </row>
    <row r="3575" spans="1:20" x14ac:dyDescent="0.35">
      <c r="A3575" s="5">
        <v>8100283036</v>
      </c>
      <c r="B3575" s="5">
        <v>12468</v>
      </c>
      <c r="C3575" s="6">
        <v>45681</v>
      </c>
      <c r="D3575" s="5" t="s">
        <v>158</v>
      </c>
      <c r="E3575" s="5" t="s">
        <v>159</v>
      </c>
      <c r="F3575" s="5" t="s">
        <v>176</v>
      </c>
      <c r="G3575" s="5" t="s">
        <v>177</v>
      </c>
      <c r="H3575" s="5" t="s">
        <v>108</v>
      </c>
      <c r="I3575" s="5" t="s">
        <v>1341</v>
      </c>
      <c r="J3575" s="5" t="s">
        <v>179</v>
      </c>
      <c r="K3575" s="5" t="s">
        <v>175</v>
      </c>
      <c r="L3575" s="6">
        <v>45691</v>
      </c>
      <c r="N3575" s="5"/>
      <c r="O3575" s="5" t="str">
        <f ca="1">IF(P3575&lt;&gt;"EXPEDIÇÃO","Expedido",IF(NETWORKDAYS(C3575,TODAY())&gt;=5,"Risco Alto",IF(NETWORKDAYS(C3575,TODAY())&gt;=3,IF(NETWORKDAYS(C3575,TODAY())&lt;5,"Risco Médio",""),IF(NETWORKDAYS(C3575,TODAY())&lt;=2,"Risco Baixo",""))))</f>
        <v>Expedido</v>
      </c>
      <c r="P3575" s="5" t="s">
        <v>145</v>
      </c>
      <c r="Q3575" s="5" t="s">
        <v>363</v>
      </c>
      <c r="R3575" s="5">
        <v>3110667</v>
      </c>
      <c r="S3575" s="7" t="str">
        <f>IF(ISBLANK(M3575),"Aguardando Previsão/Data",NETWORKDAYS(L3575,M3575)-1)</f>
        <v>Aguardando Previsão/Data</v>
      </c>
      <c r="T3575" s="5" t="s">
        <v>942</v>
      </c>
    </row>
    <row r="3576" spans="1:20" x14ac:dyDescent="0.35">
      <c r="A3576" s="5">
        <v>8100283037</v>
      </c>
      <c r="B3576" s="5">
        <v>12466</v>
      </c>
      <c r="C3576" s="6">
        <v>45681</v>
      </c>
      <c r="D3576" s="5" t="s">
        <v>158</v>
      </c>
      <c r="E3576" s="5" t="s">
        <v>159</v>
      </c>
      <c r="F3576" s="5" t="s">
        <v>171</v>
      </c>
      <c r="G3576" s="5" t="s">
        <v>172</v>
      </c>
      <c r="H3576" s="5" t="s">
        <v>108</v>
      </c>
      <c r="I3576" s="5" t="s">
        <v>173</v>
      </c>
      <c r="J3576" s="5" t="s">
        <v>174</v>
      </c>
      <c r="K3576" s="5" t="s">
        <v>175</v>
      </c>
      <c r="L3576" s="6">
        <v>45691</v>
      </c>
      <c r="M3576" s="6">
        <v>45687</v>
      </c>
      <c r="N3576" s="5" t="s">
        <v>811</v>
      </c>
      <c r="O3576" s="5" t="str">
        <f ca="1">IF(P3576&lt;&gt;"EXPEDIÇÃO","Expedido",IF(NETWORKDAYS(C3576,TODAY())&gt;=5,"Risco Alto",IF(NETWORKDAYS(C3576,TODAY())&gt;=3,IF(NETWORKDAYS(C3576,TODAY())&lt;5,"Risco Médio",""),IF(NETWORKDAYS(C3576,TODAY())&lt;=2,"Risco Baixo",""))))</f>
        <v>Expedido</v>
      </c>
      <c r="P3576" s="5" t="s">
        <v>25</v>
      </c>
      <c r="S3576" s="7">
        <f>IF(ISBLANK(M3576),"Aguardando Previsão/Data",NETWORKDAYS(L3576,M3576)-1)</f>
        <v>-4</v>
      </c>
      <c r="T3576" s="5" t="s">
        <v>942</v>
      </c>
    </row>
    <row r="3577" spans="1:20" x14ac:dyDescent="0.35">
      <c r="A3577" s="5">
        <v>8100283038</v>
      </c>
      <c r="B3577" s="5">
        <v>12471</v>
      </c>
      <c r="C3577" s="6">
        <v>45681</v>
      </c>
      <c r="D3577" s="5" t="s">
        <v>158</v>
      </c>
      <c r="E3577" s="5" t="s">
        <v>159</v>
      </c>
      <c r="F3577" s="5" t="s">
        <v>147</v>
      </c>
      <c r="G3577" s="5" t="s">
        <v>148</v>
      </c>
      <c r="H3577" s="5" t="s">
        <v>108</v>
      </c>
      <c r="I3577" s="5" t="s">
        <v>82</v>
      </c>
      <c r="J3577" s="5" t="s">
        <v>186</v>
      </c>
      <c r="K3577" s="5" t="s">
        <v>170</v>
      </c>
      <c r="L3577" s="6">
        <v>45687</v>
      </c>
      <c r="M3577" s="6">
        <v>45685</v>
      </c>
      <c r="N3577" s="5" t="s">
        <v>811</v>
      </c>
      <c r="O3577" s="5" t="str">
        <f ca="1">IF(P3577&lt;&gt;"EXPEDIÇÃO","Expedido",IF(NETWORKDAYS(C3577,TODAY())&gt;=5,"Risco Alto",IF(NETWORKDAYS(C3577,TODAY())&gt;=3,IF(NETWORKDAYS(C3577,TODAY())&lt;5,"Risco Médio",""),IF(NETWORKDAYS(C3577,TODAY())&lt;=2,"Risco Baixo",""))))</f>
        <v>Expedido</v>
      </c>
      <c r="P3577" s="5" t="s">
        <v>25</v>
      </c>
      <c r="S3577" s="7">
        <f>IF(ISBLANK(M3577),"Aguardando Previsão/Data",NETWORKDAYS(L3577,M3577)-1)</f>
        <v>-4</v>
      </c>
      <c r="T3577" s="5" t="s">
        <v>942</v>
      </c>
    </row>
    <row r="3578" spans="1:20" x14ac:dyDescent="0.35">
      <c r="A3578" s="5">
        <v>8100283142</v>
      </c>
      <c r="B3578" s="5">
        <v>12477</v>
      </c>
      <c r="C3578" s="6">
        <v>45681</v>
      </c>
      <c r="D3578" s="5" t="s">
        <v>158</v>
      </c>
      <c r="E3578" s="5" t="s">
        <v>159</v>
      </c>
      <c r="F3578" s="5" t="s">
        <v>176</v>
      </c>
      <c r="G3578" s="5" t="s">
        <v>177</v>
      </c>
      <c r="H3578" s="5" t="s">
        <v>108</v>
      </c>
      <c r="I3578" s="5" t="s">
        <v>915</v>
      </c>
      <c r="J3578" s="5" t="s">
        <v>455</v>
      </c>
      <c r="K3578" s="5" t="s">
        <v>175</v>
      </c>
      <c r="L3578" s="6">
        <v>45692</v>
      </c>
      <c r="M3578" s="6">
        <v>45688</v>
      </c>
      <c r="N3578" s="5" t="s">
        <v>811</v>
      </c>
      <c r="O3578" s="5" t="str">
        <f ca="1">IF(P3578&lt;&gt;"EXPEDIÇÃO","Expedido",IF(NETWORKDAYS(C3578,TODAY())&gt;=5,"Risco Alto",IF(NETWORKDAYS(C3578,TODAY())&gt;=3,IF(NETWORKDAYS(C3578,TODAY())&lt;5,"Risco Médio",""),IF(NETWORKDAYS(C3578,TODAY())&lt;=2,"Risco Baixo",""))))</f>
        <v>Expedido</v>
      </c>
      <c r="P3578" s="5" t="s">
        <v>617</v>
      </c>
      <c r="S3578" s="7">
        <f>IF(ISBLANK(M3578),"Aguardando Previsão/Data",NETWORKDAYS(L3578,M3578)-1)</f>
        <v>-4</v>
      </c>
    </row>
    <row r="3579" spans="1:20" x14ac:dyDescent="0.35">
      <c r="A3579" s="5">
        <v>8100283143</v>
      </c>
      <c r="B3579" s="5">
        <v>12476</v>
      </c>
      <c r="C3579" s="6">
        <v>45681</v>
      </c>
      <c r="D3579" s="5" t="s">
        <v>158</v>
      </c>
      <c r="E3579" s="5" t="s">
        <v>159</v>
      </c>
      <c r="F3579" s="5" t="s">
        <v>176</v>
      </c>
      <c r="G3579" s="5" t="s">
        <v>177</v>
      </c>
      <c r="H3579" s="5" t="s">
        <v>108</v>
      </c>
      <c r="I3579" s="5" t="s">
        <v>915</v>
      </c>
      <c r="J3579" s="5" t="s">
        <v>301</v>
      </c>
      <c r="K3579" s="5" t="s">
        <v>175</v>
      </c>
      <c r="L3579" s="6">
        <v>45691</v>
      </c>
      <c r="M3579" s="6">
        <v>45685</v>
      </c>
      <c r="N3579" s="5" t="s">
        <v>811</v>
      </c>
      <c r="O3579" s="5" t="str">
        <f ca="1">IF(P3579&lt;&gt;"EXPEDIÇÃO","Expedido",IF(NETWORKDAYS(C3579,TODAY())&gt;=5,"Risco Alto",IF(NETWORKDAYS(C3579,TODAY())&gt;=3,IF(NETWORKDAYS(C3579,TODAY())&lt;5,"Risco Médio",""),IF(NETWORKDAYS(C3579,TODAY())&lt;=2,"Risco Baixo",""))))</f>
        <v>Expedido</v>
      </c>
      <c r="P3579" s="5" t="s">
        <v>25</v>
      </c>
      <c r="S3579" s="7">
        <f>IF(ISBLANK(M3579),"Aguardando Previsão/Data",NETWORKDAYS(L3579,M3579)-1)</f>
        <v>-6</v>
      </c>
      <c r="T3579" s="5" t="s">
        <v>942</v>
      </c>
    </row>
    <row r="3580" spans="1:20" x14ac:dyDescent="0.35">
      <c r="A3580" s="5">
        <v>8100283144</v>
      </c>
      <c r="B3580" s="5">
        <v>12478</v>
      </c>
      <c r="C3580" s="6">
        <v>45681</v>
      </c>
      <c r="D3580" s="5" t="s">
        <v>158</v>
      </c>
      <c r="E3580" s="5" t="s">
        <v>159</v>
      </c>
      <c r="F3580" s="5" t="s">
        <v>176</v>
      </c>
      <c r="G3580" s="5" t="s">
        <v>177</v>
      </c>
      <c r="H3580" s="5" t="s">
        <v>108</v>
      </c>
      <c r="I3580" s="5" t="s">
        <v>915</v>
      </c>
      <c r="J3580" s="5" t="s">
        <v>1145</v>
      </c>
      <c r="K3580" s="5" t="s">
        <v>170</v>
      </c>
      <c r="L3580" s="6">
        <v>45688</v>
      </c>
      <c r="M3580" s="6">
        <v>45688</v>
      </c>
      <c r="N3580" s="5" t="s">
        <v>811</v>
      </c>
      <c r="O3580" s="5" t="str">
        <f ca="1">IF(P3580&lt;&gt;"EXPEDIÇÃO","Expedido",IF(NETWORKDAYS(C3580,TODAY())&gt;=5,"Risco Alto",IF(NETWORKDAYS(C3580,TODAY())&gt;=3,IF(NETWORKDAYS(C3580,TODAY())&lt;5,"Risco Médio",""),IF(NETWORKDAYS(C3580,TODAY())&lt;=2,"Risco Baixo",""))))</f>
        <v>Risco Alto</v>
      </c>
      <c r="P3580" s="5" t="s">
        <v>726</v>
      </c>
      <c r="S3580" s="7">
        <f>IF(ISBLANK(M3580),"Aguardando Previsão/Data",NETWORKDAYS(L3580,M3580)-1)</f>
        <v>0</v>
      </c>
    </row>
    <row r="3581" spans="1:20" x14ac:dyDescent="0.35">
      <c r="A3581" s="5">
        <v>8100283145</v>
      </c>
      <c r="B3581" s="5">
        <v>12475</v>
      </c>
      <c r="C3581" s="6">
        <v>45681</v>
      </c>
      <c r="D3581" s="5" t="s">
        <v>158</v>
      </c>
      <c r="E3581" s="5" t="s">
        <v>159</v>
      </c>
      <c r="F3581" s="5" t="s">
        <v>176</v>
      </c>
      <c r="G3581" s="5" t="s">
        <v>177</v>
      </c>
      <c r="H3581" s="5" t="s">
        <v>108</v>
      </c>
      <c r="I3581" s="5" t="s">
        <v>1111</v>
      </c>
      <c r="J3581" s="5" t="s">
        <v>1162</v>
      </c>
      <c r="K3581" s="5" t="s">
        <v>175</v>
      </c>
      <c r="L3581" s="6">
        <v>45692</v>
      </c>
      <c r="M3581" s="6">
        <v>45687</v>
      </c>
      <c r="N3581" s="5" t="s">
        <v>811</v>
      </c>
      <c r="O3581" s="5" t="str">
        <f ca="1">IF(P3581&lt;&gt;"EXPEDIÇÃO","Expedido",IF(NETWORKDAYS(C3581,TODAY())&gt;=5,"Risco Alto",IF(NETWORKDAYS(C3581,TODAY())&gt;=3,IF(NETWORKDAYS(C3581,TODAY())&lt;5,"Risco Médio",""),IF(NETWORKDAYS(C3581,TODAY())&lt;=2,"Risco Baixo",""))))</f>
        <v>Expedido</v>
      </c>
      <c r="P3581" s="5" t="s">
        <v>25</v>
      </c>
      <c r="S3581" s="7">
        <f>IF(ISBLANK(M3581),"Aguardando Previsão/Data",NETWORKDAYS(L3581,M3581)-1)</f>
        <v>-5</v>
      </c>
      <c r="T3581" s="5" t="s">
        <v>942</v>
      </c>
    </row>
    <row r="3582" spans="1:20" x14ac:dyDescent="0.35">
      <c r="A3582" s="5">
        <v>8100283148</v>
      </c>
      <c r="B3582" s="5">
        <v>12479</v>
      </c>
      <c r="C3582" s="6">
        <v>45681</v>
      </c>
      <c r="D3582" s="5" t="s">
        <v>158</v>
      </c>
      <c r="E3582" s="5" t="s">
        <v>159</v>
      </c>
      <c r="F3582" s="5" t="s">
        <v>176</v>
      </c>
      <c r="G3582" s="5" t="s">
        <v>177</v>
      </c>
      <c r="H3582" s="5" t="s">
        <v>108</v>
      </c>
      <c r="I3582" s="5" t="s">
        <v>909</v>
      </c>
      <c r="J3582" s="5" t="s">
        <v>908</v>
      </c>
      <c r="K3582" s="5" t="s">
        <v>170</v>
      </c>
      <c r="L3582" s="6">
        <v>45688</v>
      </c>
      <c r="M3582" s="6">
        <v>45688</v>
      </c>
      <c r="N3582" s="5" t="s">
        <v>811</v>
      </c>
      <c r="O3582" s="5" t="str">
        <f ca="1">IF(P3582&lt;&gt;"EXPEDIÇÃO","Expedido",IF(NETWORKDAYS(C3582,TODAY())&gt;=5,"Risco Alto",IF(NETWORKDAYS(C3582,TODAY())&gt;=3,IF(NETWORKDAYS(C3582,TODAY())&lt;5,"Risco Médio",""),IF(NETWORKDAYS(C3582,TODAY())&lt;=2,"Risco Baixo",""))))</f>
        <v>Expedido</v>
      </c>
      <c r="P3582" s="5" t="s">
        <v>617</v>
      </c>
      <c r="S3582" s="7">
        <f>IF(ISBLANK(M3582),"Aguardando Previsão/Data",NETWORKDAYS(L3582,M3582)-1)</f>
        <v>0</v>
      </c>
    </row>
    <row r="3583" spans="1:20" x14ac:dyDescent="0.35">
      <c r="A3583" s="5">
        <v>8100283149</v>
      </c>
      <c r="B3583" s="5">
        <v>12480</v>
      </c>
      <c r="C3583" s="6">
        <v>45681</v>
      </c>
      <c r="D3583" s="5" t="s">
        <v>158</v>
      </c>
      <c r="E3583" s="5" t="s">
        <v>159</v>
      </c>
      <c r="F3583" s="5" t="s">
        <v>176</v>
      </c>
      <c r="G3583" s="5" t="s">
        <v>177</v>
      </c>
      <c r="H3583" s="5" t="s">
        <v>108</v>
      </c>
      <c r="I3583" s="5" t="s">
        <v>929</v>
      </c>
      <c r="J3583" s="5" t="s">
        <v>455</v>
      </c>
      <c r="K3583" s="5" t="s">
        <v>175</v>
      </c>
      <c r="L3583" s="6">
        <v>45692</v>
      </c>
      <c r="M3583" s="6">
        <v>45688</v>
      </c>
      <c r="N3583" s="5" t="s">
        <v>811</v>
      </c>
      <c r="O3583" s="5" t="str">
        <f ca="1">IF(P3583&lt;&gt;"EXPEDIÇÃO","Expedido",IF(NETWORKDAYS(C3583,TODAY())&gt;=5,"Risco Alto",IF(NETWORKDAYS(C3583,TODAY())&gt;=3,IF(NETWORKDAYS(C3583,TODAY())&lt;5,"Risco Médio",""),IF(NETWORKDAYS(C3583,TODAY())&lt;=2,"Risco Baixo",""))))</f>
        <v>Expedido</v>
      </c>
      <c r="P3583" s="5" t="s">
        <v>617</v>
      </c>
      <c r="S3583" s="7">
        <f>IF(ISBLANK(M3583),"Aguardando Previsão/Data",NETWORKDAYS(L3583,M3583)-1)</f>
        <v>-4</v>
      </c>
    </row>
    <row r="3584" spans="1:20" x14ac:dyDescent="0.35">
      <c r="A3584" s="5">
        <v>8100282805</v>
      </c>
      <c r="B3584" s="5">
        <v>10988</v>
      </c>
      <c r="C3584" s="6">
        <v>45681</v>
      </c>
      <c r="D3584" s="5" t="s">
        <v>239</v>
      </c>
      <c r="E3584" s="5" t="s">
        <v>240</v>
      </c>
      <c r="F3584" s="5" t="s">
        <v>147</v>
      </c>
      <c r="G3584" s="5" t="s">
        <v>148</v>
      </c>
      <c r="H3584" s="5" t="s">
        <v>548</v>
      </c>
      <c r="I3584" s="5" t="s">
        <v>128</v>
      </c>
      <c r="J3584" s="5" t="s">
        <v>291</v>
      </c>
      <c r="K3584" s="5" t="s">
        <v>198</v>
      </c>
      <c r="L3584" s="6">
        <v>45687</v>
      </c>
      <c r="M3584" s="6">
        <v>45686</v>
      </c>
      <c r="N3584" s="6" t="s">
        <v>811</v>
      </c>
      <c r="O3584" s="5" t="str">
        <f ca="1">IF(P3584&lt;&gt;"EXPEDIÇÃO","Expedido",IF(NETWORKDAYS(C3584,TODAY())&gt;=5,"Risco Alto",IF(NETWORKDAYS(C3584,TODAY())&gt;=3,IF(NETWORKDAYS(C3584,TODAY())&lt;5,"Risco Médio",""),IF(NETWORKDAYS(C3584,TODAY())&lt;=2,"Risco Baixo",""))))</f>
        <v>Expedido</v>
      </c>
      <c r="P3584" s="5" t="s">
        <v>25</v>
      </c>
      <c r="Q3584" s="5" t="s">
        <v>926</v>
      </c>
      <c r="S3584" s="7">
        <f>IF(ISBLANK(M3584),"Aguardando Previsão/Data",NETWORKDAYS(L3584,M3584)-1)</f>
        <v>-3</v>
      </c>
      <c r="T3584" s="5" t="s">
        <v>942</v>
      </c>
    </row>
    <row r="3585" spans="1:20" x14ac:dyDescent="0.35">
      <c r="A3585" s="5">
        <v>8100282869</v>
      </c>
      <c r="B3585" s="5">
        <v>17635</v>
      </c>
      <c r="C3585" s="6">
        <v>45682</v>
      </c>
      <c r="D3585" s="5" t="s">
        <v>51</v>
      </c>
      <c r="E3585" s="5" t="s">
        <v>52</v>
      </c>
      <c r="F3585" s="5" t="s">
        <v>406</v>
      </c>
      <c r="G3585" s="5" t="s">
        <v>407</v>
      </c>
      <c r="H3585" s="5" t="s">
        <v>21</v>
      </c>
      <c r="I3585" s="5" t="s">
        <v>1036</v>
      </c>
      <c r="J3585" s="5" t="s">
        <v>531</v>
      </c>
      <c r="K3585" s="5" t="s">
        <v>80</v>
      </c>
      <c r="L3585" s="6">
        <v>45688</v>
      </c>
      <c r="M3585" s="6">
        <v>45687</v>
      </c>
      <c r="N3585" s="5" t="s">
        <v>811</v>
      </c>
      <c r="O3585" s="5" t="str">
        <f ca="1">IF(P3585&lt;&gt;"EXPEDIÇÃO","Expedido",IF(NETWORKDAYS(C3585,TODAY())&gt;=5,"Risco Alto",IF(NETWORKDAYS(C3585,TODAY())&gt;=3,IF(NETWORKDAYS(C3585,TODAY())&lt;5,"Risco Médio",""),IF(NETWORKDAYS(C3585,TODAY())&lt;=2,"Risco Baixo",""))))</f>
        <v>Expedido</v>
      </c>
      <c r="P3585" s="5" t="s">
        <v>617</v>
      </c>
      <c r="S3585" s="7">
        <f>IF(ISBLANK(M3585),"Aguardando Previsão/Data",NETWORKDAYS(L3585,M3585)-1)</f>
        <v>-3</v>
      </c>
    </row>
    <row r="3586" spans="1:20" x14ac:dyDescent="0.35">
      <c r="A3586" s="5">
        <v>8100283156</v>
      </c>
      <c r="B3586" s="5">
        <v>17634</v>
      </c>
      <c r="C3586" s="6">
        <v>45682</v>
      </c>
      <c r="D3586" s="5" t="s">
        <v>51</v>
      </c>
      <c r="E3586" s="5" t="s">
        <v>52</v>
      </c>
      <c r="F3586" s="5" t="s">
        <v>69</v>
      </c>
      <c r="G3586" s="5" t="s">
        <v>70</v>
      </c>
      <c r="H3586" s="5" t="s">
        <v>21</v>
      </c>
      <c r="I3586" s="5" t="s">
        <v>1506</v>
      </c>
      <c r="J3586" s="5" t="s">
        <v>1507</v>
      </c>
      <c r="K3586" s="5" t="s">
        <v>57</v>
      </c>
      <c r="L3586" s="6">
        <v>45687</v>
      </c>
      <c r="M3586" s="6">
        <v>45686</v>
      </c>
      <c r="N3586" s="5" t="s">
        <v>811</v>
      </c>
      <c r="O3586" s="5" t="str">
        <f ca="1">IF(P3586&lt;&gt;"EXPEDIÇÃO","Expedido",IF(NETWORKDAYS(C3586,TODAY())&gt;=5,"Risco Alto",IF(NETWORKDAYS(C3586,TODAY())&gt;=3,IF(NETWORKDAYS(C3586,TODAY())&lt;5,"Risco Médio",""),IF(NETWORKDAYS(C3586,TODAY())&lt;=2,"Risco Baixo",""))))</f>
        <v>Expedido</v>
      </c>
      <c r="P3586" s="5" t="s">
        <v>25</v>
      </c>
      <c r="Q3586" s="5" t="s">
        <v>897</v>
      </c>
      <c r="S3586" s="7">
        <f>IF(ISBLANK(M3586),"Aguardando Previsão/Data",NETWORKDAYS(L3586,M3586)-1)</f>
        <v>-3</v>
      </c>
      <c r="T3586" s="5" t="s">
        <v>942</v>
      </c>
    </row>
    <row r="3587" spans="1:20" x14ac:dyDescent="0.35">
      <c r="A3587" s="5">
        <v>8100283157</v>
      </c>
      <c r="B3587" s="5">
        <v>17631</v>
      </c>
      <c r="C3587" s="6">
        <v>45682</v>
      </c>
      <c r="D3587" s="5" t="s">
        <v>51</v>
      </c>
      <c r="E3587" s="5" t="s">
        <v>52</v>
      </c>
      <c r="F3587" s="5" t="s">
        <v>69</v>
      </c>
      <c r="G3587" s="5" t="s">
        <v>70</v>
      </c>
      <c r="H3587" s="5" t="s">
        <v>21</v>
      </c>
      <c r="I3587" s="5" t="s">
        <v>1551</v>
      </c>
      <c r="J3587" s="5" t="s">
        <v>65</v>
      </c>
      <c r="K3587" s="5" t="s">
        <v>57</v>
      </c>
      <c r="L3587" s="6">
        <v>45686</v>
      </c>
      <c r="M3587" s="6">
        <v>45686</v>
      </c>
      <c r="N3587" s="5" t="s">
        <v>811</v>
      </c>
      <c r="O3587" s="5" t="str">
        <f ca="1">IF(P3587&lt;&gt;"EXPEDIÇÃO","Expedido",IF(NETWORKDAYS(C3587,TODAY())&gt;=5,"Risco Alto",IF(NETWORKDAYS(C3587,TODAY())&gt;=3,IF(NETWORKDAYS(C3587,TODAY())&lt;5,"Risco Médio",""),IF(NETWORKDAYS(C3587,TODAY())&lt;=2,"Risco Baixo",""))))</f>
        <v>Expedido</v>
      </c>
      <c r="P3587" s="5" t="s">
        <v>25</v>
      </c>
      <c r="Q3587" s="5" t="s">
        <v>897</v>
      </c>
      <c r="S3587" s="7">
        <f>IF(ISBLANK(M3587),"Aguardando Previsão/Data",NETWORKDAYS(L3587,M3587)-1)</f>
        <v>0</v>
      </c>
      <c r="T3587" s="5" t="s">
        <v>942</v>
      </c>
    </row>
    <row r="3588" spans="1:20" x14ac:dyDescent="0.35">
      <c r="A3588" s="5">
        <v>8100283162</v>
      </c>
      <c r="B3588" s="5">
        <v>17632</v>
      </c>
      <c r="C3588" s="6">
        <v>45682</v>
      </c>
      <c r="D3588" s="5" t="s">
        <v>51</v>
      </c>
      <c r="E3588" s="5" t="s">
        <v>52</v>
      </c>
      <c r="F3588" s="5" t="s">
        <v>69</v>
      </c>
      <c r="G3588" s="5" t="s">
        <v>70</v>
      </c>
      <c r="H3588" s="5" t="s">
        <v>21</v>
      </c>
      <c r="I3588" s="5" t="s">
        <v>1551</v>
      </c>
      <c r="J3588" s="5" t="s">
        <v>65</v>
      </c>
      <c r="K3588" s="5" t="s">
        <v>57</v>
      </c>
      <c r="L3588" s="6">
        <v>45686</v>
      </c>
      <c r="M3588" s="6">
        <v>45686</v>
      </c>
      <c r="N3588" s="5" t="s">
        <v>811</v>
      </c>
      <c r="O3588" s="5" t="str">
        <f ca="1">IF(P3588&lt;&gt;"EXPEDIÇÃO","Expedido",IF(NETWORKDAYS(C3588,TODAY())&gt;=5,"Risco Alto",IF(NETWORKDAYS(C3588,TODAY())&gt;=3,IF(NETWORKDAYS(C3588,TODAY())&lt;5,"Risco Médio",""),IF(NETWORKDAYS(C3588,TODAY())&lt;=2,"Risco Baixo",""))))</f>
        <v>Expedido</v>
      </c>
      <c r="P3588" s="5" t="s">
        <v>25</v>
      </c>
      <c r="Q3588" s="5" t="s">
        <v>897</v>
      </c>
      <c r="S3588" s="7">
        <f>IF(ISBLANK(M3588),"Aguardando Previsão/Data",NETWORKDAYS(L3588,M3588)-1)</f>
        <v>0</v>
      </c>
      <c r="T3588" s="5" t="s">
        <v>942</v>
      </c>
    </row>
    <row r="3589" spans="1:20" x14ac:dyDescent="0.35">
      <c r="A3589" s="5">
        <v>8100283163</v>
      </c>
      <c r="B3589" s="5">
        <v>17633</v>
      </c>
      <c r="C3589" s="6">
        <v>45682</v>
      </c>
      <c r="D3589" s="5" t="s">
        <v>51</v>
      </c>
      <c r="E3589" s="5" t="s">
        <v>52</v>
      </c>
      <c r="F3589" s="5" t="s">
        <v>69</v>
      </c>
      <c r="G3589" s="5" t="s">
        <v>70</v>
      </c>
      <c r="H3589" s="5" t="s">
        <v>21</v>
      </c>
      <c r="I3589" s="5" t="s">
        <v>1551</v>
      </c>
      <c r="J3589" s="5" t="s">
        <v>65</v>
      </c>
      <c r="K3589" s="5" t="s">
        <v>57</v>
      </c>
      <c r="L3589" s="6">
        <v>45686</v>
      </c>
      <c r="M3589" s="6">
        <v>45686</v>
      </c>
      <c r="N3589" s="5" t="s">
        <v>811</v>
      </c>
      <c r="O3589" s="5" t="str">
        <f ca="1">IF(P3589&lt;&gt;"EXPEDIÇÃO","Expedido",IF(NETWORKDAYS(C3589,TODAY())&gt;=5,"Risco Alto",IF(NETWORKDAYS(C3589,TODAY())&gt;=3,IF(NETWORKDAYS(C3589,TODAY())&lt;5,"Risco Médio",""),IF(NETWORKDAYS(C3589,TODAY())&lt;=2,"Risco Baixo",""))))</f>
        <v>Expedido</v>
      </c>
      <c r="P3589" s="5" t="s">
        <v>25</v>
      </c>
      <c r="Q3589" s="5" t="s">
        <v>897</v>
      </c>
      <c r="S3589" s="7">
        <f>IF(ISBLANK(M3589),"Aguardando Previsão/Data",NETWORKDAYS(L3589,M3589)-1)</f>
        <v>0</v>
      </c>
      <c r="T3589" s="5" t="s">
        <v>942</v>
      </c>
    </row>
    <row r="3590" spans="1:20" x14ac:dyDescent="0.35">
      <c r="A3590" s="5">
        <v>8100283973</v>
      </c>
      <c r="B3590" s="5">
        <v>17637</v>
      </c>
      <c r="C3590" s="6">
        <v>45682</v>
      </c>
      <c r="D3590" s="5" t="s">
        <v>51</v>
      </c>
      <c r="E3590" s="5" t="s">
        <v>52</v>
      </c>
      <c r="F3590" s="5" t="s">
        <v>66</v>
      </c>
      <c r="G3590" s="5" t="s">
        <v>67</v>
      </c>
      <c r="H3590" s="5" t="s">
        <v>21</v>
      </c>
      <c r="I3590" s="5" t="s">
        <v>73</v>
      </c>
      <c r="J3590" s="5" t="s">
        <v>268</v>
      </c>
      <c r="K3590" s="5" t="s">
        <v>57</v>
      </c>
      <c r="L3590" s="6">
        <v>45691</v>
      </c>
      <c r="M3590" s="6">
        <v>45688</v>
      </c>
      <c r="N3590" s="5" t="s">
        <v>811</v>
      </c>
      <c r="O3590" s="5" t="str">
        <f ca="1">IF(P3590&lt;&gt;"EXPEDIÇÃO","Expedido",IF(NETWORKDAYS(C3590,TODAY())&gt;=5,"Risco Alto",IF(NETWORKDAYS(C3590,TODAY())&gt;=3,IF(NETWORKDAYS(C3590,TODAY())&lt;5,"Risco Médio",""),IF(NETWORKDAYS(C3590,TODAY())&lt;=2,"Risco Baixo",""))))</f>
        <v>Expedido</v>
      </c>
      <c r="P3590" s="5" t="s">
        <v>617</v>
      </c>
      <c r="S3590" s="7">
        <f>IF(ISBLANK(M3590),"Aguardando Previsão/Data",NETWORKDAYS(L3590,M3590)-1)</f>
        <v>-3</v>
      </c>
    </row>
    <row r="3591" spans="1:20" x14ac:dyDescent="0.35">
      <c r="A3591" s="5">
        <v>8100283974</v>
      </c>
      <c r="B3591" s="5">
        <v>17636</v>
      </c>
      <c r="C3591" s="6">
        <v>45682</v>
      </c>
      <c r="D3591" s="5" t="s">
        <v>51</v>
      </c>
      <c r="E3591" s="5" t="s">
        <v>52</v>
      </c>
      <c r="F3591" s="5" t="s">
        <v>66</v>
      </c>
      <c r="G3591" s="5" t="s">
        <v>67</v>
      </c>
      <c r="H3591" s="5" t="s">
        <v>21</v>
      </c>
      <c r="I3591" s="5" t="s">
        <v>856</v>
      </c>
      <c r="J3591" s="5" t="s">
        <v>549</v>
      </c>
      <c r="K3591" s="5" t="s">
        <v>57</v>
      </c>
      <c r="L3591" s="6">
        <v>45688</v>
      </c>
      <c r="M3591" s="6">
        <v>45685</v>
      </c>
      <c r="N3591" s="5" t="s">
        <v>811</v>
      </c>
      <c r="O3591" s="5" t="str">
        <f ca="1">IF(P3591&lt;&gt;"EXPEDIÇÃO","Expedido",IF(NETWORKDAYS(C3591,TODAY())&gt;=5,"Risco Alto",IF(NETWORKDAYS(C3591,TODAY())&gt;=3,IF(NETWORKDAYS(C3591,TODAY())&lt;5,"Risco Médio",""),IF(NETWORKDAYS(C3591,TODAY())&lt;=2,"Risco Baixo",""))))</f>
        <v>Expedido</v>
      </c>
      <c r="P3591" s="5" t="s">
        <v>25</v>
      </c>
      <c r="S3591" s="7">
        <f>IF(ISBLANK(M3591),"Aguardando Previsão/Data",NETWORKDAYS(L3591,M3591)-1)</f>
        <v>-5</v>
      </c>
      <c r="T3591" s="5" t="s">
        <v>942</v>
      </c>
    </row>
    <row r="3592" spans="1:20" x14ac:dyDescent="0.35">
      <c r="A3592" s="5">
        <v>8100283985</v>
      </c>
      <c r="B3592" s="5">
        <v>17638</v>
      </c>
      <c r="C3592" s="6">
        <v>45682</v>
      </c>
      <c r="D3592" s="5" t="s">
        <v>51</v>
      </c>
      <c r="E3592" s="5" t="s">
        <v>52</v>
      </c>
      <c r="F3592" s="5" t="s">
        <v>66</v>
      </c>
      <c r="G3592" s="5" t="s">
        <v>67</v>
      </c>
      <c r="H3592" s="5" t="s">
        <v>21</v>
      </c>
      <c r="I3592" s="5" t="s">
        <v>528</v>
      </c>
      <c r="J3592" s="5" t="s">
        <v>268</v>
      </c>
      <c r="K3592" s="5" t="s">
        <v>57</v>
      </c>
      <c r="L3592" s="6">
        <v>45691</v>
      </c>
      <c r="M3592" s="6">
        <v>45686</v>
      </c>
      <c r="N3592" s="5" t="s">
        <v>811</v>
      </c>
      <c r="O3592" s="5" t="str">
        <f ca="1">IF(P3592&lt;&gt;"EXPEDIÇÃO","Expedido",IF(NETWORKDAYS(C3592,TODAY())&gt;=5,"Risco Alto",IF(NETWORKDAYS(C3592,TODAY())&gt;=3,IF(NETWORKDAYS(C3592,TODAY())&lt;5,"Risco Médio",""),IF(NETWORKDAYS(C3592,TODAY())&lt;=2,"Risco Baixo",""))))</f>
        <v>Expedido</v>
      </c>
      <c r="P3592" s="5" t="s">
        <v>25</v>
      </c>
      <c r="S3592" s="7">
        <f>IF(ISBLANK(M3592),"Aguardando Previsão/Data",NETWORKDAYS(L3592,M3592)-1)</f>
        <v>-5</v>
      </c>
      <c r="T3592" s="5" t="s">
        <v>942</v>
      </c>
    </row>
    <row r="3593" spans="1:20" x14ac:dyDescent="0.35">
      <c r="A3593" s="5">
        <v>8100283986</v>
      </c>
      <c r="B3593" s="5">
        <v>17644</v>
      </c>
      <c r="C3593" s="6">
        <v>45682</v>
      </c>
      <c r="D3593" s="5" t="s">
        <v>51</v>
      </c>
      <c r="E3593" s="5" t="s">
        <v>52</v>
      </c>
      <c r="F3593" s="5" t="s">
        <v>66</v>
      </c>
      <c r="G3593" s="5" t="s">
        <v>67</v>
      </c>
      <c r="H3593" s="5" t="s">
        <v>21</v>
      </c>
      <c r="I3593" s="5" t="s">
        <v>380</v>
      </c>
      <c r="J3593" s="5" t="s">
        <v>381</v>
      </c>
      <c r="K3593" s="5" t="s">
        <v>57</v>
      </c>
      <c r="L3593" s="6">
        <v>45691</v>
      </c>
      <c r="M3593" s="6">
        <v>45686</v>
      </c>
      <c r="N3593" s="5" t="s">
        <v>811</v>
      </c>
      <c r="O3593" s="5" t="str">
        <f ca="1">IF(P3593&lt;&gt;"EXPEDIÇÃO","Expedido",IF(NETWORKDAYS(C3593,TODAY())&gt;=5,"Risco Alto",IF(NETWORKDAYS(C3593,TODAY())&gt;=3,IF(NETWORKDAYS(C3593,TODAY())&lt;5,"Risco Médio",""),IF(NETWORKDAYS(C3593,TODAY())&lt;=2,"Risco Baixo",""))))</f>
        <v>Expedido</v>
      </c>
      <c r="P3593" s="5" t="s">
        <v>25</v>
      </c>
      <c r="S3593" s="7">
        <f>IF(ISBLANK(M3593),"Aguardando Previsão/Data",NETWORKDAYS(L3593,M3593)-1)</f>
        <v>-5</v>
      </c>
      <c r="T3593" s="5" t="s">
        <v>942</v>
      </c>
    </row>
    <row r="3594" spans="1:20" x14ac:dyDescent="0.35">
      <c r="A3594" s="5">
        <v>8100283987</v>
      </c>
      <c r="B3594" s="5">
        <v>17643</v>
      </c>
      <c r="C3594" s="6">
        <v>45682</v>
      </c>
      <c r="D3594" s="5" t="s">
        <v>51</v>
      </c>
      <c r="E3594" s="5" t="s">
        <v>52</v>
      </c>
      <c r="F3594" s="5" t="s">
        <v>66</v>
      </c>
      <c r="G3594" s="5" t="s">
        <v>67</v>
      </c>
      <c r="H3594" s="5" t="s">
        <v>21</v>
      </c>
      <c r="I3594" s="5" t="s">
        <v>1337</v>
      </c>
      <c r="J3594" s="5" t="s">
        <v>68</v>
      </c>
      <c r="K3594" s="5" t="s">
        <v>57</v>
      </c>
      <c r="L3594" s="6">
        <v>45688</v>
      </c>
      <c r="M3594" s="6">
        <v>45687</v>
      </c>
      <c r="N3594" s="5" t="s">
        <v>811</v>
      </c>
      <c r="O3594" s="5" t="str">
        <f ca="1">IF(P3594&lt;&gt;"EXPEDIÇÃO","Expedido",IF(NETWORKDAYS(C3594,TODAY())&gt;=5,"Risco Alto",IF(NETWORKDAYS(C3594,TODAY())&gt;=3,IF(NETWORKDAYS(C3594,TODAY())&lt;5,"Risco Médio",""),IF(NETWORKDAYS(C3594,TODAY())&lt;=2,"Risco Baixo",""))))</f>
        <v>Expedido</v>
      </c>
      <c r="P3594" s="5" t="s">
        <v>617</v>
      </c>
      <c r="S3594" s="7">
        <f>IF(ISBLANK(M3594),"Aguardando Previsão/Data",NETWORKDAYS(L3594,M3594)-1)</f>
        <v>-3</v>
      </c>
    </row>
    <row r="3595" spans="1:20" x14ac:dyDescent="0.35">
      <c r="A3595" s="5">
        <v>8100283988</v>
      </c>
      <c r="B3595" s="5">
        <v>17639</v>
      </c>
      <c r="C3595" s="6">
        <v>45682</v>
      </c>
      <c r="D3595" s="5" t="s">
        <v>51</v>
      </c>
      <c r="E3595" s="5" t="s">
        <v>52</v>
      </c>
      <c r="F3595" s="5" t="s">
        <v>66</v>
      </c>
      <c r="G3595" s="5" t="s">
        <v>67</v>
      </c>
      <c r="H3595" s="5" t="s">
        <v>21</v>
      </c>
      <c r="I3595" s="5" t="s">
        <v>528</v>
      </c>
      <c r="J3595" s="5" t="s">
        <v>268</v>
      </c>
      <c r="K3595" s="5" t="s">
        <v>57</v>
      </c>
      <c r="L3595" s="6">
        <v>45691</v>
      </c>
      <c r="M3595" s="6">
        <v>45686</v>
      </c>
      <c r="N3595" s="5" t="s">
        <v>811</v>
      </c>
      <c r="O3595" s="5" t="str">
        <f ca="1">IF(P3595&lt;&gt;"EXPEDIÇÃO","Expedido",IF(NETWORKDAYS(C3595,TODAY())&gt;=5,"Risco Alto",IF(NETWORKDAYS(C3595,TODAY())&gt;=3,IF(NETWORKDAYS(C3595,TODAY())&lt;5,"Risco Médio",""),IF(NETWORKDAYS(C3595,TODAY())&lt;=2,"Risco Baixo",""))))</f>
        <v>Expedido</v>
      </c>
      <c r="P3595" s="5" t="s">
        <v>25</v>
      </c>
      <c r="S3595" s="7">
        <f>IF(ISBLANK(M3595),"Aguardando Previsão/Data",NETWORKDAYS(L3595,M3595)-1)</f>
        <v>-5</v>
      </c>
      <c r="T3595" s="5" t="s">
        <v>942</v>
      </c>
    </row>
    <row r="3596" spans="1:20" x14ac:dyDescent="0.35">
      <c r="A3596" s="5">
        <v>8100283989</v>
      </c>
      <c r="B3596" s="5">
        <v>17640</v>
      </c>
      <c r="C3596" s="6">
        <v>45682</v>
      </c>
      <c r="D3596" s="5" t="s">
        <v>51</v>
      </c>
      <c r="E3596" s="5" t="s">
        <v>52</v>
      </c>
      <c r="F3596" s="5" t="s">
        <v>66</v>
      </c>
      <c r="G3596" s="5" t="s">
        <v>67</v>
      </c>
      <c r="H3596" s="5" t="s">
        <v>21</v>
      </c>
      <c r="I3596" s="5" t="s">
        <v>669</v>
      </c>
      <c r="J3596" s="5" t="s">
        <v>705</v>
      </c>
      <c r="K3596" s="5" t="s">
        <v>57</v>
      </c>
      <c r="L3596" s="6">
        <v>45688</v>
      </c>
      <c r="M3596" s="6">
        <v>45687</v>
      </c>
      <c r="N3596" s="5" t="s">
        <v>811</v>
      </c>
      <c r="O3596" s="5" t="str">
        <f ca="1">IF(P3596&lt;&gt;"EXPEDIÇÃO","Expedido",IF(NETWORKDAYS(C3596,TODAY())&gt;=5,"Risco Alto",IF(NETWORKDAYS(C3596,TODAY())&gt;=3,IF(NETWORKDAYS(C3596,TODAY())&lt;5,"Risco Médio",""),IF(NETWORKDAYS(C3596,TODAY())&lt;=2,"Risco Baixo",""))))</f>
        <v>Expedido</v>
      </c>
      <c r="P3596" s="5" t="s">
        <v>617</v>
      </c>
      <c r="Q3596" s="5" t="s">
        <v>897</v>
      </c>
      <c r="S3596" s="7">
        <f>IF(ISBLANK(M3596),"Aguardando Previsão/Data",NETWORKDAYS(L3596,M3596)-1)</f>
        <v>-3</v>
      </c>
    </row>
    <row r="3597" spans="1:20" x14ac:dyDescent="0.35">
      <c r="A3597" s="5">
        <v>8100283990</v>
      </c>
      <c r="B3597" s="5">
        <v>17642</v>
      </c>
      <c r="C3597" s="6">
        <v>45682</v>
      </c>
      <c r="D3597" s="5" t="s">
        <v>51</v>
      </c>
      <c r="E3597" s="5" t="s">
        <v>52</v>
      </c>
      <c r="F3597" s="5" t="s">
        <v>66</v>
      </c>
      <c r="G3597" s="5" t="s">
        <v>67</v>
      </c>
      <c r="H3597" s="5" t="s">
        <v>21</v>
      </c>
      <c r="I3597" s="5" t="s">
        <v>1550</v>
      </c>
      <c r="J3597" s="5" t="s">
        <v>68</v>
      </c>
      <c r="K3597" s="5" t="s">
        <v>57</v>
      </c>
      <c r="L3597" s="6">
        <v>45688</v>
      </c>
      <c r="M3597" s="6">
        <v>45687</v>
      </c>
      <c r="N3597" s="5" t="s">
        <v>811</v>
      </c>
      <c r="O3597" s="5" t="str">
        <f ca="1">IF(P3597&lt;&gt;"EXPEDIÇÃO","Expedido",IF(NETWORKDAYS(C3597,TODAY())&gt;=5,"Risco Alto",IF(NETWORKDAYS(C3597,TODAY())&gt;=3,IF(NETWORKDAYS(C3597,TODAY())&lt;5,"Risco Médio",""),IF(NETWORKDAYS(C3597,TODAY())&lt;=2,"Risco Baixo",""))))</f>
        <v>Expedido</v>
      </c>
      <c r="P3597" s="5" t="s">
        <v>617</v>
      </c>
      <c r="S3597" s="7">
        <f>IF(ISBLANK(M3597),"Aguardando Previsão/Data",NETWORKDAYS(L3597,M3597)-1)</f>
        <v>-3</v>
      </c>
    </row>
    <row r="3598" spans="1:20" x14ac:dyDescent="0.35">
      <c r="A3598" s="5">
        <v>8100283992</v>
      </c>
      <c r="B3598" s="5">
        <v>17641</v>
      </c>
      <c r="C3598" s="6">
        <v>45682</v>
      </c>
      <c r="D3598" s="5" t="s">
        <v>51</v>
      </c>
      <c r="E3598" s="5" t="s">
        <v>52</v>
      </c>
      <c r="F3598" s="5" t="s">
        <v>329</v>
      </c>
      <c r="G3598" s="5" t="s">
        <v>330</v>
      </c>
      <c r="H3598" s="5" t="s">
        <v>21</v>
      </c>
      <c r="I3598" s="5" t="s">
        <v>261</v>
      </c>
      <c r="J3598" s="5" t="s">
        <v>550</v>
      </c>
      <c r="K3598" s="5" t="s">
        <v>57</v>
      </c>
      <c r="L3598" s="6">
        <v>45687</v>
      </c>
      <c r="M3598" s="6">
        <v>45685</v>
      </c>
      <c r="N3598" s="5" t="s">
        <v>811</v>
      </c>
      <c r="O3598" s="5" t="str">
        <f ca="1">IF(P3598&lt;&gt;"EXPEDIÇÃO","Expedido",IF(NETWORKDAYS(C3598,TODAY())&gt;=5,"Risco Alto",IF(NETWORKDAYS(C3598,TODAY())&gt;=3,IF(NETWORKDAYS(C3598,TODAY())&lt;5,"Risco Médio",""),IF(NETWORKDAYS(C3598,TODAY())&lt;=2,"Risco Baixo",""))))</f>
        <v>Expedido</v>
      </c>
      <c r="P3598" s="5" t="s">
        <v>25</v>
      </c>
      <c r="S3598" s="7">
        <f>IF(ISBLANK(M3598),"Aguardando Previsão/Data",NETWORKDAYS(L3598,M3598)-1)</f>
        <v>-4</v>
      </c>
      <c r="T3598" s="5" t="s">
        <v>942</v>
      </c>
    </row>
    <row r="3599" spans="1:20" x14ac:dyDescent="0.35">
      <c r="A3599" s="5">
        <v>8100283993</v>
      </c>
      <c r="B3599" s="5">
        <v>17657</v>
      </c>
      <c r="C3599" s="6">
        <v>45682</v>
      </c>
      <c r="D3599" s="5" t="s">
        <v>51</v>
      </c>
      <c r="E3599" s="5" t="s">
        <v>52</v>
      </c>
      <c r="F3599" s="5" t="s">
        <v>69</v>
      </c>
      <c r="G3599" s="5" t="s">
        <v>70</v>
      </c>
      <c r="H3599" s="5" t="s">
        <v>21</v>
      </c>
      <c r="I3599" s="5" t="s">
        <v>527</v>
      </c>
      <c r="J3599" s="5" t="s">
        <v>65</v>
      </c>
      <c r="K3599" s="5" t="s">
        <v>57</v>
      </c>
      <c r="L3599" s="6">
        <v>45686</v>
      </c>
      <c r="M3599" s="6">
        <v>45683</v>
      </c>
      <c r="N3599" s="5" t="s">
        <v>811</v>
      </c>
      <c r="O3599" s="5" t="str">
        <f ca="1">IF(P3599&lt;&gt;"EXPEDIÇÃO","Expedido",IF(NETWORKDAYS(C3599,TODAY())&gt;=5,"Risco Alto",IF(NETWORKDAYS(C3599,TODAY())&gt;=3,IF(NETWORKDAYS(C3599,TODAY())&lt;5,"Risco Médio",""),IF(NETWORKDAYS(C3599,TODAY())&lt;=2,"Risco Baixo",""))))</f>
        <v>Expedido</v>
      </c>
      <c r="P3599" s="5" t="s">
        <v>25</v>
      </c>
      <c r="Q3599" s="5" t="s">
        <v>900</v>
      </c>
      <c r="S3599" s="7">
        <f>IF(ISBLANK(M3599),"Aguardando Previsão/Data",NETWORKDAYS(L3599,M3599)-1)</f>
        <v>-4</v>
      </c>
      <c r="T3599" s="5" t="s">
        <v>942</v>
      </c>
    </row>
    <row r="3600" spans="1:20" x14ac:dyDescent="0.35">
      <c r="A3600" s="5">
        <v>8100283994</v>
      </c>
      <c r="B3600" s="5">
        <v>17645</v>
      </c>
      <c r="C3600" s="6">
        <v>45682</v>
      </c>
      <c r="D3600" s="5" t="s">
        <v>51</v>
      </c>
      <c r="E3600" s="5" t="s">
        <v>52</v>
      </c>
      <c r="F3600" s="5" t="s">
        <v>329</v>
      </c>
      <c r="G3600" s="5" t="s">
        <v>330</v>
      </c>
      <c r="H3600" s="5" t="s">
        <v>21</v>
      </c>
      <c r="I3600" s="5" t="s">
        <v>261</v>
      </c>
      <c r="J3600" s="5" t="s">
        <v>550</v>
      </c>
      <c r="K3600" s="5" t="s">
        <v>57</v>
      </c>
      <c r="L3600" s="6">
        <v>45687</v>
      </c>
      <c r="M3600" s="6">
        <v>45685</v>
      </c>
      <c r="N3600" s="5" t="s">
        <v>811</v>
      </c>
      <c r="O3600" s="5" t="str">
        <f ca="1">IF(P3600&lt;&gt;"EXPEDIÇÃO","Expedido",IF(NETWORKDAYS(C3600,TODAY())&gt;=5,"Risco Alto",IF(NETWORKDAYS(C3600,TODAY())&gt;=3,IF(NETWORKDAYS(C3600,TODAY())&lt;5,"Risco Médio",""),IF(NETWORKDAYS(C3600,TODAY())&lt;=2,"Risco Baixo",""))))</f>
        <v>Expedido</v>
      </c>
      <c r="P3600" s="5" t="s">
        <v>25</v>
      </c>
      <c r="S3600" s="7">
        <f>IF(ISBLANK(M3600),"Aguardando Previsão/Data",NETWORKDAYS(L3600,M3600)-1)</f>
        <v>-4</v>
      </c>
      <c r="T3600" s="5" t="s">
        <v>942</v>
      </c>
    </row>
    <row r="3601" spans="1:20" x14ac:dyDescent="0.35">
      <c r="A3601" s="5">
        <v>8100283996</v>
      </c>
      <c r="B3601" s="5">
        <v>17651</v>
      </c>
      <c r="C3601" s="6">
        <v>45682</v>
      </c>
      <c r="D3601" s="5" t="s">
        <v>51</v>
      </c>
      <c r="E3601" s="5" t="s">
        <v>52</v>
      </c>
      <c r="F3601" s="5" t="s">
        <v>66</v>
      </c>
      <c r="G3601" s="5" t="s">
        <v>67</v>
      </c>
      <c r="H3601" s="5" t="s">
        <v>21</v>
      </c>
      <c r="I3601" s="5" t="s">
        <v>508</v>
      </c>
      <c r="J3601" s="5" t="s">
        <v>714</v>
      </c>
      <c r="K3601" s="5" t="s">
        <v>57</v>
      </c>
      <c r="L3601" s="6">
        <v>45687</v>
      </c>
      <c r="M3601" s="6">
        <v>45687</v>
      </c>
      <c r="N3601" s="5" t="s">
        <v>811</v>
      </c>
      <c r="O3601" s="5" t="str">
        <f ca="1">IF(P3601&lt;&gt;"EXPEDIÇÃO","Expedido",IF(NETWORKDAYS(C3601,TODAY())&gt;=5,"Risco Alto",IF(NETWORKDAYS(C3601,TODAY())&gt;=3,IF(NETWORKDAYS(C3601,TODAY())&lt;5,"Risco Médio",""),IF(NETWORKDAYS(C3601,TODAY())&lt;=2,"Risco Baixo",""))))</f>
        <v>Expedido</v>
      </c>
      <c r="P3601" s="5" t="s">
        <v>617</v>
      </c>
      <c r="S3601" s="7">
        <f>IF(ISBLANK(M3601),"Aguardando Previsão/Data",NETWORKDAYS(L3601,M3601)-1)</f>
        <v>0</v>
      </c>
    </row>
    <row r="3602" spans="1:20" x14ac:dyDescent="0.35">
      <c r="A3602" s="5">
        <v>8100283997</v>
      </c>
      <c r="B3602" s="5">
        <v>17646</v>
      </c>
      <c r="C3602" s="6">
        <v>45682</v>
      </c>
      <c r="D3602" s="5" t="s">
        <v>51</v>
      </c>
      <c r="E3602" s="5" t="s">
        <v>52</v>
      </c>
      <c r="F3602" s="5" t="s">
        <v>66</v>
      </c>
      <c r="G3602" s="5" t="s">
        <v>67</v>
      </c>
      <c r="H3602" s="5" t="s">
        <v>21</v>
      </c>
      <c r="I3602" s="5" t="s">
        <v>269</v>
      </c>
      <c r="J3602" s="5" t="s">
        <v>270</v>
      </c>
      <c r="K3602" s="5" t="s">
        <v>57</v>
      </c>
      <c r="L3602" s="6">
        <v>45691</v>
      </c>
      <c r="M3602" s="6">
        <v>45688</v>
      </c>
      <c r="N3602" s="5" t="s">
        <v>811</v>
      </c>
      <c r="O3602" s="5" t="str">
        <f ca="1">IF(P3602&lt;&gt;"EXPEDIÇÃO","Expedido",IF(NETWORKDAYS(C3602,TODAY())&gt;=5,"Risco Alto",IF(NETWORKDAYS(C3602,TODAY())&gt;=3,IF(NETWORKDAYS(C3602,TODAY())&lt;5,"Risco Médio",""),IF(NETWORKDAYS(C3602,TODAY())&lt;=2,"Risco Baixo",""))))</f>
        <v>Expedido</v>
      </c>
      <c r="P3602" s="5" t="s">
        <v>617</v>
      </c>
      <c r="S3602" s="7">
        <f>IF(ISBLANK(M3602),"Aguardando Previsão/Data",NETWORKDAYS(L3602,M3602)-1)</f>
        <v>-3</v>
      </c>
    </row>
    <row r="3603" spans="1:20" x14ac:dyDescent="0.35">
      <c r="A3603" s="5">
        <v>8100283998</v>
      </c>
      <c r="B3603" s="5">
        <v>17647</v>
      </c>
      <c r="C3603" s="6">
        <v>45682</v>
      </c>
      <c r="D3603" s="5" t="s">
        <v>51</v>
      </c>
      <c r="E3603" s="5" t="s">
        <v>52</v>
      </c>
      <c r="F3603" s="5" t="s">
        <v>58</v>
      </c>
      <c r="G3603" s="5" t="s">
        <v>59</v>
      </c>
      <c r="H3603" s="5" t="s">
        <v>21</v>
      </c>
      <c r="I3603" s="5" t="s">
        <v>269</v>
      </c>
      <c r="J3603" s="5" t="s">
        <v>270</v>
      </c>
      <c r="K3603" s="5" t="s">
        <v>57</v>
      </c>
      <c r="L3603" s="6">
        <v>45691</v>
      </c>
      <c r="M3603" s="6">
        <v>45688</v>
      </c>
      <c r="N3603" s="5" t="s">
        <v>811</v>
      </c>
      <c r="O3603" s="5" t="str">
        <f ca="1">IF(P3603&lt;&gt;"EXPEDIÇÃO","Expedido",IF(NETWORKDAYS(C3603,TODAY())&gt;=5,"Risco Alto",IF(NETWORKDAYS(C3603,TODAY())&gt;=3,IF(NETWORKDAYS(C3603,TODAY())&lt;5,"Risco Médio",""),IF(NETWORKDAYS(C3603,TODAY())&lt;=2,"Risco Baixo",""))))</f>
        <v>Expedido</v>
      </c>
      <c r="P3603" s="5" t="s">
        <v>617</v>
      </c>
      <c r="S3603" s="7">
        <f>IF(ISBLANK(M3603),"Aguardando Previsão/Data",NETWORKDAYS(L3603,M3603)-1)</f>
        <v>-3</v>
      </c>
    </row>
    <row r="3604" spans="1:20" x14ac:dyDescent="0.35">
      <c r="A3604" s="5">
        <v>8100283999</v>
      </c>
      <c r="B3604" s="5">
        <v>17648</v>
      </c>
      <c r="C3604" s="6">
        <v>45682</v>
      </c>
      <c r="D3604" s="5" t="s">
        <v>51</v>
      </c>
      <c r="E3604" s="5" t="s">
        <v>52</v>
      </c>
      <c r="F3604" s="5" t="s">
        <v>58</v>
      </c>
      <c r="G3604" s="5" t="s">
        <v>59</v>
      </c>
      <c r="H3604" s="5" t="s">
        <v>21</v>
      </c>
      <c r="I3604" s="5" t="s">
        <v>269</v>
      </c>
      <c r="J3604" s="5" t="s">
        <v>270</v>
      </c>
      <c r="K3604" s="5" t="s">
        <v>57</v>
      </c>
      <c r="L3604" s="6">
        <v>45691</v>
      </c>
      <c r="M3604" s="6">
        <v>45688</v>
      </c>
      <c r="N3604" s="5" t="s">
        <v>811</v>
      </c>
      <c r="O3604" s="5" t="str">
        <f ca="1">IF(P3604&lt;&gt;"EXPEDIÇÃO","Expedido",IF(NETWORKDAYS(C3604,TODAY())&gt;=5,"Risco Alto",IF(NETWORKDAYS(C3604,TODAY())&gt;=3,IF(NETWORKDAYS(C3604,TODAY())&lt;5,"Risco Médio",""),IF(NETWORKDAYS(C3604,TODAY())&lt;=2,"Risco Baixo",""))))</f>
        <v>Expedido</v>
      </c>
      <c r="P3604" s="5" t="s">
        <v>617</v>
      </c>
      <c r="S3604" s="7">
        <f>IF(ISBLANK(M3604),"Aguardando Previsão/Data",NETWORKDAYS(L3604,M3604)-1)</f>
        <v>-3</v>
      </c>
    </row>
    <row r="3605" spans="1:20" x14ac:dyDescent="0.35">
      <c r="A3605" s="5">
        <v>8100284000</v>
      </c>
      <c r="B3605" s="5">
        <v>17652</v>
      </c>
      <c r="C3605" s="6">
        <v>45682</v>
      </c>
      <c r="D3605" s="5" t="s">
        <v>51</v>
      </c>
      <c r="E3605" s="5" t="s">
        <v>52</v>
      </c>
      <c r="F3605" s="5" t="s">
        <v>66</v>
      </c>
      <c r="G3605" s="5" t="s">
        <v>67</v>
      </c>
      <c r="H3605" s="5" t="s">
        <v>21</v>
      </c>
      <c r="I3605" s="5" t="s">
        <v>555</v>
      </c>
      <c r="J3605" s="5" t="s">
        <v>556</v>
      </c>
      <c r="K3605" s="5" t="s">
        <v>57</v>
      </c>
      <c r="L3605" s="6">
        <v>45691</v>
      </c>
      <c r="M3605" s="6">
        <v>45687</v>
      </c>
      <c r="N3605" s="5" t="s">
        <v>811</v>
      </c>
      <c r="O3605" s="5" t="str">
        <f ca="1">IF(P3605&lt;&gt;"EXPEDIÇÃO","Expedido",IF(NETWORKDAYS(C3605,TODAY())&gt;=5,"Risco Alto",IF(NETWORKDAYS(C3605,TODAY())&gt;=3,IF(NETWORKDAYS(C3605,TODAY())&lt;5,"Risco Médio",""),IF(NETWORKDAYS(C3605,TODAY())&lt;=2,"Risco Baixo",""))))</f>
        <v>Expedido</v>
      </c>
      <c r="P3605" s="5" t="s">
        <v>25</v>
      </c>
      <c r="S3605" s="7">
        <f>IF(ISBLANK(M3605),"Aguardando Previsão/Data",NETWORKDAYS(L3605,M3605)-1)</f>
        <v>-4</v>
      </c>
      <c r="T3605" s="5" t="s">
        <v>942</v>
      </c>
    </row>
    <row r="3606" spans="1:20" x14ac:dyDescent="0.35">
      <c r="A3606" s="5">
        <v>8100284001</v>
      </c>
      <c r="B3606" s="5">
        <v>17650</v>
      </c>
      <c r="C3606" s="6">
        <v>45682</v>
      </c>
      <c r="D3606" s="5" t="s">
        <v>51</v>
      </c>
      <c r="E3606" s="5" t="s">
        <v>52</v>
      </c>
      <c r="F3606" s="5" t="s">
        <v>66</v>
      </c>
      <c r="G3606" s="5" t="s">
        <v>67</v>
      </c>
      <c r="H3606" s="5" t="s">
        <v>21</v>
      </c>
      <c r="I3606" s="5" t="s">
        <v>89</v>
      </c>
      <c r="J3606" s="5" t="s">
        <v>90</v>
      </c>
      <c r="K3606" s="5" t="s">
        <v>57</v>
      </c>
      <c r="L3606" s="6">
        <v>45691</v>
      </c>
      <c r="M3606" s="6">
        <v>45688</v>
      </c>
      <c r="N3606" s="5" t="s">
        <v>811</v>
      </c>
      <c r="O3606" s="5" t="str">
        <f ca="1">IF(P3606&lt;&gt;"EXPEDIÇÃO","Expedido",IF(NETWORKDAYS(C3606,TODAY())&gt;=5,"Risco Alto",IF(NETWORKDAYS(C3606,TODAY())&gt;=3,IF(NETWORKDAYS(C3606,TODAY())&lt;5,"Risco Médio",""),IF(NETWORKDAYS(C3606,TODAY())&lt;=2,"Risco Baixo",""))))</f>
        <v>Expedido</v>
      </c>
      <c r="P3606" s="5" t="s">
        <v>617</v>
      </c>
      <c r="S3606" s="7">
        <f>IF(ISBLANK(M3606),"Aguardando Previsão/Data",NETWORKDAYS(L3606,M3606)-1)</f>
        <v>-3</v>
      </c>
    </row>
    <row r="3607" spans="1:20" x14ac:dyDescent="0.35">
      <c r="A3607" s="5">
        <v>8100284002</v>
      </c>
      <c r="B3607" s="5">
        <v>17649</v>
      </c>
      <c r="C3607" s="6">
        <v>45682</v>
      </c>
      <c r="D3607" s="5" t="s">
        <v>51</v>
      </c>
      <c r="E3607" s="5" t="s">
        <v>52</v>
      </c>
      <c r="F3607" s="5" t="s">
        <v>66</v>
      </c>
      <c r="G3607" s="5" t="s">
        <v>67</v>
      </c>
      <c r="H3607" s="5" t="s">
        <v>21</v>
      </c>
      <c r="I3607" s="5" t="s">
        <v>269</v>
      </c>
      <c r="J3607" s="5" t="s">
        <v>270</v>
      </c>
      <c r="K3607" s="5" t="s">
        <v>57</v>
      </c>
      <c r="L3607" s="6">
        <v>45691</v>
      </c>
      <c r="M3607" s="6">
        <v>45688</v>
      </c>
      <c r="N3607" s="5" t="s">
        <v>811</v>
      </c>
      <c r="O3607" s="5" t="str">
        <f ca="1">IF(P3607&lt;&gt;"EXPEDIÇÃO","Expedido",IF(NETWORKDAYS(C3607,TODAY())&gt;=5,"Risco Alto",IF(NETWORKDAYS(C3607,TODAY())&gt;=3,IF(NETWORKDAYS(C3607,TODAY())&lt;5,"Risco Médio",""),IF(NETWORKDAYS(C3607,TODAY())&lt;=2,"Risco Baixo",""))))</f>
        <v>Expedido</v>
      </c>
      <c r="P3607" s="5" t="s">
        <v>617</v>
      </c>
      <c r="S3607" s="7">
        <f>IF(ISBLANK(M3607),"Aguardando Previsão/Data",NETWORKDAYS(L3607,M3607)-1)</f>
        <v>-3</v>
      </c>
    </row>
    <row r="3608" spans="1:20" x14ac:dyDescent="0.35">
      <c r="A3608" s="5">
        <v>8100284003</v>
      </c>
      <c r="B3608" s="5">
        <v>17655</v>
      </c>
      <c r="C3608" s="6">
        <v>45682</v>
      </c>
      <c r="D3608" s="5" t="s">
        <v>51</v>
      </c>
      <c r="E3608" s="5" t="s">
        <v>52</v>
      </c>
      <c r="F3608" s="5" t="s">
        <v>66</v>
      </c>
      <c r="G3608" s="5" t="s">
        <v>67</v>
      </c>
      <c r="H3608" s="5" t="s">
        <v>21</v>
      </c>
      <c r="I3608" s="5" t="s">
        <v>1174</v>
      </c>
      <c r="J3608" s="5" t="s">
        <v>1055</v>
      </c>
      <c r="K3608" s="5" t="s">
        <v>57</v>
      </c>
      <c r="L3608" s="6">
        <v>45691</v>
      </c>
      <c r="M3608" s="6">
        <v>45688</v>
      </c>
      <c r="N3608" s="5" t="s">
        <v>811</v>
      </c>
      <c r="O3608" s="5" t="str">
        <f ca="1">IF(P3608&lt;&gt;"EXPEDIÇÃO","Expedido",IF(NETWORKDAYS(C3608,TODAY())&gt;=5,"Risco Alto",IF(NETWORKDAYS(C3608,TODAY())&gt;=3,IF(NETWORKDAYS(C3608,TODAY())&lt;5,"Risco Médio",""),IF(NETWORKDAYS(C3608,TODAY())&lt;=2,"Risco Baixo",""))))</f>
        <v>Expedido</v>
      </c>
      <c r="P3608" s="5" t="s">
        <v>617</v>
      </c>
      <c r="S3608" s="7">
        <f>IF(ISBLANK(M3608),"Aguardando Previsão/Data",NETWORKDAYS(L3608,M3608)-1)</f>
        <v>-3</v>
      </c>
    </row>
    <row r="3609" spans="1:20" x14ac:dyDescent="0.35">
      <c r="A3609" s="5">
        <v>8100284004</v>
      </c>
      <c r="B3609" s="5">
        <v>17653</v>
      </c>
      <c r="C3609" s="6">
        <v>45682</v>
      </c>
      <c r="D3609" s="5" t="s">
        <v>51</v>
      </c>
      <c r="E3609" s="5" t="s">
        <v>52</v>
      </c>
      <c r="F3609" s="5" t="s">
        <v>66</v>
      </c>
      <c r="G3609" s="5" t="s">
        <v>67</v>
      </c>
      <c r="H3609" s="5" t="s">
        <v>21</v>
      </c>
      <c r="I3609" s="5" t="s">
        <v>269</v>
      </c>
      <c r="J3609" s="5" t="s">
        <v>270</v>
      </c>
      <c r="K3609" s="5" t="s">
        <v>57</v>
      </c>
      <c r="L3609" s="6">
        <v>45691</v>
      </c>
      <c r="M3609" s="6">
        <v>45688</v>
      </c>
      <c r="N3609" s="5" t="s">
        <v>811</v>
      </c>
      <c r="O3609" s="5" t="str">
        <f ca="1">IF(P3609&lt;&gt;"EXPEDIÇÃO","Expedido",IF(NETWORKDAYS(C3609,TODAY())&gt;=5,"Risco Alto",IF(NETWORKDAYS(C3609,TODAY())&gt;=3,IF(NETWORKDAYS(C3609,TODAY())&lt;5,"Risco Médio",""),IF(NETWORKDAYS(C3609,TODAY())&lt;=2,"Risco Baixo",""))))</f>
        <v>Expedido</v>
      </c>
      <c r="P3609" s="5" t="s">
        <v>617</v>
      </c>
      <c r="S3609" s="7">
        <f>IF(ISBLANK(M3609),"Aguardando Previsão/Data",NETWORKDAYS(L3609,M3609)-1)</f>
        <v>-3</v>
      </c>
    </row>
    <row r="3610" spans="1:20" x14ac:dyDescent="0.35">
      <c r="A3610" s="5">
        <v>8100284005</v>
      </c>
      <c r="B3610" s="5">
        <v>17656</v>
      </c>
      <c r="C3610" s="6">
        <v>45682</v>
      </c>
      <c r="D3610" s="5" t="s">
        <v>51</v>
      </c>
      <c r="E3610" s="5" t="s">
        <v>52</v>
      </c>
      <c r="F3610" s="5" t="s">
        <v>66</v>
      </c>
      <c r="G3610" s="5" t="s">
        <v>67</v>
      </c>
      <c r="H3610" s="5" t="s">
        <v>21</v>
      </c>
      <c r="I3610" s="5" t="s">
        <v>1337</v>
      </c>
      <c r="J3610" s="5" t="s">
        <v>68</v>
      </c>
      <c r="K3610" s="5" t="s">
        <v>57</v>
      </c>
      <c r="L3610" s="6">
        <v>45688</v>
      </c>
      <c r="M3610" s="6">
        <v>45687</v>
      </c>
      <c r="N3610" s="5" t="s">
        <v>811</v>
      </c>
      <c r="O3610" s="5" t="str">
        <f ca="1">IF(P3610&lt;&gt;"EXPEDIÇÃO","Expedido",IF(NETWORKDAYS(C3610,TODAY())&gt;=5,"Risco Alto",IF(NETWORKDAYS(C3610,TODAY())&gt;=3,IF(NETWORKDAYS(C3610,TODAY())&lt;5,"Risco Médio",""),IF(NETWORKDAYS(C3610,TODAY())&lt;=2,"Risco Baixo",""))))</f>
        <v>Expedido</v>
      </c>
      <c r="P3610" s="5" t="s">
        <v>617</v>
      </c>
      <c r="S3610" s="7">
        <f>IF(ISBLANK(M3610),"Aguardando Previsão/Data",NETWORKDAYS(L3610,M3610)-1)</f>
        <v>-3</v>
      </c>
    </row>
    <row r="3611" spans="1:20" x14ac:dyDescent="0.35">
      <c r="A3611" s="5">
        <v>8100284006</v>
      </c>
      <c r="B3611" s="5">
        <v>17654</v>
      </c>
      <c r="C3611" s="6">
        <v>45682</v>
      </c>
      <c r="D3611" s="5" t="s">
        <v>51</v>
      </c>
      <c r="E3611" s="5" t="s">
        <v>52</v>
      </c>
      <c r="F3611" s="5" t="s">
        <v>58</v>
      </c>
      <c r="G3611" s="5" t="s">
        <v>59</v>
      </c>
      <c r="H3611" s="5" t="s">
        <v>21</v>
      </c>
      <c r="I3611" s="5" t="s">
        <v>269</v>
      </c>
      <c r="J3611" s="5" t="s">
        <v>270</v>
      </c>
      <c r="K3611" s="5" t="s">
        <v>57</v>
      </c>
      <c r="L3611" s="6">
        <v>45691</v>
      </c>
      <c r="M3611" s="6">
        <v>45688</v>
      </c>
      <c r="N3611" s="5" t="s">
        <v>811</v>
      </c>
      <c r="O3611" s="5" t="str">
        <f ca="1">IF(P3611&lt;&gt;"EXPEDIÇÃO","Expedido",IF(NETWORKDAYS(C3611,TODAY())&gt;=5,"Risco Alto",IF(NETWORKDAYS(C3611,TODAY())&gt;=3,IF(NETWORKDAYS(C3611,TODAY())&lt;5,"Risco Médio",""),IF(NETWORKDAYS(C3611,TODAY())&lt;=2,"Risco Baixo",""))))</f>
        <v>Expedido</v>
      </c>
      <c r="P3611" s="5" t="s">
        <v>617</v>
      </c>
      <c r="S3611" s="7">
        <f>IF(ISBLANK(M3611),"Aguardando Previsão/Data",NETWORKDAYS(L3611,M3611)-1)</f>
        <v>-3</v>
      </c>
    </row>
    <row r="3612" spans="1:20" x14ac:dyDescent="0.35">
      <c r="A3612" s="5">
        <v>8100284007</v>
      </c>
      <c r="B3612" s="5">
        <v>13492</v>
      </c>
      <c r="C3612" s="6">
        <v>45682</v>
      </c>
      <c r="D3612" s="5" t="s">
        <v>91</v>
      </c>
      <c r="E3612" s="5" t="s">
        <v>92</v>
      </c>
      <c r="F3612" s="5" t="s">
        <v>58</v>
      </c>
      <c r="G3612" s="5" t="s">
        <v>59</v>
      </c>
      <c r="H3612" s="5" t="s">
        <v>21</v>
      </c>
      <c r="I3612" s="5" t="s">
        <v>534</v>
      </c>
      <c r="J3612" s="5" t="s">
        <v>535</v>
      </c>
      <c r="K3612" s="5" t="s">
        <v>95</v>
      </c>
      <c r="L3612" s="6">
        <v>45694</v>
      </c>
      <c r="M3612" s="6">
        <v>45693</v>
      </c>
      <c r="N3612" s="5" t="s">
        <v>811</v>
      </c>
      <c r="O3612" s="5" t="str">
        <f ca="1">IF(P3612&lt;&gt;"EXPEDIÇÃO","Expedido",IF(NETWORKDAYS(C3612,TODAY())&gt;=5,"Risco Alto",IF(NETWORKDAYS(C3612,TODAY())&gt;=3,IF(NETWORKDAYS(C3612,TODAY())&lt;5,"Risco Médio",""),IF(NETWORKDAYS(C3612,TODAY())&lt;=2,"Risco Baixo",""))))</f>
        <v>Risco Alto</v>
      </c>
      <c r="P3612" s="5" t="s">
        <v>726</v>
      </c>
      <c r="S3612" s="7">
        <f>IF(ISBLANK(M3612),"Aguardando Previsão/Data",NETWORKDAYS(L3612,M3612)-1)</f>
        <v>-3</v>
      </c>
    </row>
    <row r="3613" spans="1:20" x14ac:dyDescent="0.35">
      <c r="A3613" s="5">
        <v>8100284011</v>
      </c>
      <c r="B3613" s="5">
        <v>13495</v>
      </c>
      <c r="C3613" s="6">
        <v>45682</v>
      </c>
      <c r="D3613" s="5" t="s">
        <v>91</v>
      </c>
      <c r="E3613" s="5" t="s">
        <v>92</v>
      </c>
      <c r="F3613" s="5" t="s">
        <v>96</v>
      </c>
      <c r="G3613" s="5" t="s">
        <v>97</v>
      </c>
      <c r="H3613" s="5" t="s">
        <v>21</v>
      </c>
      <c r="I3613" s="5" t="s">
        <v>745</v>
      </c>
      <c r="J3613" s="5" t="s">
        <v>746</v>
      </c>
      <c r="K3613" s="5" t="s">
        <v>101</v>
      </c>
      <c r="L3613" s="6">
        <v>45693</v>
      </c>
      <c r="M3613" s="6">
        <v>45692</v>
      </c>
      <c r="N3613" s="5" t="s">
        <v>811</v>
      </c>
      <c r="O3613" s="5" t="str">
        <f ca="1">IF(P3613&lt;&gt;"EXPEDIÇÃO","Expedido",IF(NETWORKDAYS(C3613,TODAY())&gt;=5,"Risco Alto",IF(NETWORKDAYS(C3613,TODAY())&gt;=3,IF(NETWORKDAYS(C3613,TODAY())&lt;5,"Risco Médio",""),IF(NETWORKDAYS(C3613,TODAY())&lt;=2,"Risco Baixo",""))))</f>
        <v>Risco Alto</v>
      </c>
      <c r="P3613" s="5" t="s">
        <v>726</v>
      </c>
      <c r="S3613" s="7">
        <f>IF(ISBLANK(M3613),"Aguardando Previsão/Data",NETWORKDAYS(L3613,M3613)-1)</f>
        <v>-3</v>
      </c>
    </row>
    <row r="3614" spans="1:20" x14ac:dyDescent="0.35">
      <c r="A3614" s="5">
        <v>8100284012</v>
      </c>
      <c r="B3614" s="5">
        <v>13491</v>
      </c>
      <c r="C3614" s="6">
        <v>45682</v>
      </c>
      <c r="D3614" s="5" t="s">
        <v>91</v>
      </c>
      <c r="E3614" s="5" t="s">
        <v>92</v>
      </c>
      <c r="F3614" s="5" t="s">
        <v>66</v>
      </c>
      <c r="G3614" s="5" t="s">
        <v>67</v>
      </c>
      <c r="H3614" s="5" t="s">
        <v>21</v>
      </c>
      <c r="I3614" s="5" t="s">
        <v>559</v>
      </c>
      <c r="J3614" s="5" t="s">
        <v>385</v>
      </c>
      <c r="K3614" s="5" t="s">
        <v>95</v>
      </c>
      <c r="L3614" s="6">
        <v>45694</v>
      </c>
      <c r="M3614" s="6">
        <v>45693</v>
      </c>
      <c r="N3614" s="5" t="s">
        <v>811</v>
      </c>
      <c r="O3614" s="5" t="str">
        <f ca="1">IF(P3614&lt;&gt;"EXPEDIÇÃO","Expedido",IF(NETWORKDAYS(C3614,TODAY())&gt;=5,"Risco Alto",IF(NETWORKDAYS(C3614,TODAY())&gt;=3,IF(NETWORKDAYS(C3614,TODAY())&lt;5,"Risco Médio",""),IF(NETWORKDAYS(C3614,TODAY())&lt;=2,"Risco Baixo",""))))</f>
        <v>Risco Alto</v>
      </c>
      <c r="P3614" s="5" t="s">
        <v>726</v>
      </c>
      <c r="S3614" s="7">
        <f>IF(ISBLANK(M3614),"Aguardando Previsão/Data",NETWORKDAYS(L3614,M3614)-1)</f>
        <v>-3</v>
      </c>
    </row>
    <row r="3615" spans="1:20" x14ac:dyDescent="0.35">
      <c r="A3615" s="5">
        <v>8100284013</v>
      </c>
      <c r="B3615" s="5">
        <v>13493</v>
      </c>
      <c r="C3615" s="6">
        <v>45682</v>
      </c>
      <c r="D3615" s="5" t="s">
        <v>91</v>
      </c>
      <c r="E3615" s="5" t="s">
        <v>92</v>
      </c>
      <c r="F3615" s="5" t="s">
        <v>66</v>
      </c>
      <c r="G3615" s="5" t="s">
        <v>67</v>
      </c>
      <c r="H3615" s="5" t="s">
        <v>21</v>
      </c>
      <c r="I3615" s="5" t="s">
        <v>935</v>
      </c>
      <c r="J3615" s="5" t="s">
        <v>389</v>
      </c>
      <c r="K3615" s="5" t="s">
        <v>95</v>
      </c>
      <c r="L3615" s="6">
        <v>45694</v>
      </c>
      <c r="M3615" s="6">
        <v>45693</v>
      </c>
      <c r="N3615" s="5" t="s">
        <v>811</v>
      </c>
      <c r="O3615" s="5" t="str">
        <f ca="1">IF(P3615&lt;&gt;"EXPEDIÇÃO","Expedido",IF(NETWORKDAYS(C3615,TODAY())&gt;=5,"Risco Alto",IF(NETWORKDAYS(C3615,TODAY())&gt;=3,IF(NETWORKDAYS(C3615,TODAY())&lt;5,"Risco Médio",""),IF(NETWORKDAYS(C3615,TODAY())&lt;=2,"Risco Baixo",""))))</f>
        <v>Risco Alto</v>
      </c>
      <c r="P3615" s="5" t="s">
        <v>726</v>
      </c>
      <c r="S3615" s="7">
        <f>IF(ISBLANK(M3615),"Aguardando Previsão/Data",NETWORKDAYS(L3615,M3615)-1)</f>
        <v>-3</v>
      </c>
    </row>
    <row r="3616" spans="1:20" x14ac:dyDescent="0.35">
      <c r="A3616" s="5">
        <v>8100284014</v>
      </c>
      <c r="B3616" s="5">
        <v>13494</v>
      </c>
      <c r="C3616" s="6">
        <v>45682</v>
      </c>
      <c r="D3616" s="5" t="s">
        <v>91</v>
      </c>
      <c r="E3616" s="5" t="s">
        <v>92</v>
      </c>
      <c r="F3616" s="5" t="s">
        <v>66</v>
      </c>
      <c r="G3616" s="5" t="s">
        <v>67</v>
      </c>
      <c r="H3616" s="5" t="s">
        <v>21</v>
      </c>
      <c r="I3616" s="5" t="s">
        <v>935</v>
      </c>
      <c r="J3616" s="5" t="s">
        <v>389</v>
      </c>
      <c r="K3616" s="5" t="s">
        <v>95</v>
      </c>
      <c r="L3616" s="6">
        <v>45694</v>
      </c>
      <c r="M3616" s="6">
        <v>45693</v>
      </c>
      <c r="N3616" s="5" t="s">
        <v>811</v>
      </c>
      <c r="O3616" s="5" t="str">
        <f ca="1">IF(P3616&lt;&gt;"EXPEDIÇÃO","Expedido",IF(NETWORKDAYS(C3616,TODAY())&gt;=5,"Risco Alto",IF(NETWORKDAYS(C3616,TODAY())&gt;=3,IF(NETWORKDAYS(C3616,TODAY())&lt;5,"Risco Médio",""),IF(NETWORKDAYS(C3616,TODAY())&lt;=2,"Risco Baixo",""))))</f>
        <v>Risco Alto</v>
      </c>
      <c r="P3616" s="5" t="s">
        <v>726</v>
      </c>
      <c r="S3616" s="7">
        <f>IF(ISBLANK(M3616),"Aguardando Previsão/Data",NETWORKDAYS(L3616,M3616)-1)</f>
        <v>-3</v>
      </c>
    </row>
    <row r="3617" spans="1:20" x14ac:dyDescent="0.35">
      <c r="A3617" s="5">
        <v>8100284021</v>
      </c>
      <c r="B3617" s="5">
        <v>13496</v>
      </c>
      <c r="C3617" s="6">
        <v>45682</v>
      </c>
      <c r="D3617" s="5" t="s">
        <v>91</v>
      </c>
      <c r="E3617" s="5" t="s">
        <v>92</v>
      </c>
      <c r="F3617" s="5" t="s">
        <v>96</v>
      </c>
      <c r="G3617" s="5" t="s">
        <v>97</v>
      </c>
      <c r="H3617" s="5" t="s">
        <v>21</v>
      </c>
      <c r="I3617" s="5" t="s">
        <v>745</v>
      </c>
      <c r="J3617" s="5" t="s">
        <v>746</v>
      </c>
      <c r="K3617" s="5" t="s">
        <v>101</v>
      </c>
      <c r="L3617" s="6">
        <v>45693</v>
      </c>
      <c r="M3617" s="6">
        <v>45692</v>
      </c>
      <c r="N3617" s="5" t="s">
        <v>811</v>
      </c>
      <c r="O3617" s="5" t="str">
        <f ca="1">IF(P3617&lt;&gt;"EXPEDIÇÃO","Expedido",IF(NETWORKDAYS(C3617,TODAY())&gt;=5,"Risco Alto",IF(NETWORKDAYS(C3617,TODAY())&gt;=3,IF(NETWORKDAYS(C3617,TODAY())&lt;5,"Risco Médio",""),IF(NETWORKDAYS(C3617,TODAY())&lt;=2,"Risco Baixo",""))))</f>
        <v>Risco Alto</v>
      </c>
      <c r="P3617" s="5" t="s">
        <v>726</v>
      </c>
      <c r="S3617" s="7">
        <f>IF(ISBLANK(M3617),"Aguardando Previsão/Data",NETWORKDAYS(L3617,M3617)-1)</f>
        <v>-3</v>
      </c>
    </row>
    <row r="3618" spans="1:20" x14ac:dyDescent="0.35">
      <c r="A3618" s="5">
        <v>8100281651</v>
      </c>
      <c r="B3618" s="5">
        <v>21685</v>
      </c>
      <c r="C3618" s="6">
        <v>45682</v>
      </c>
      <c r="D3618" s="5" t="s">
        <v>836</v>
      </c>
      <c r="E3618" s="5" t="s">
        <v>837</v>
      </c>
      <c r="F3618" s="5" t="s">
        <v>19</v>
      </c>
      <c r="G3618" s="5" t="s">
        <v>20</v>
      </c>
      <c r="H3618" s="5" t="s">
        <v>21</v>
      </c>
      <c r="I3618" s="5" t="s">
        <v>973</v>
      </c>
      <c r="J3618" s="5" t="s">
        <v>598</v>
      </c>
      <c r="K3618" s="5" t="s">
        <v>24</v>
      </c>
      <c r="L3618" s="6">
        <v>45692</v>
      </c>
      <c r="M3618" s="6">
        <v>45693</v>
      </c>
      <c r="N3618" s="5" t="s">
        <v>812</v>
      </c>
      <c r="O3618" s="5" t="str">
        <f ca="1">IF(P3618&lt;&gt;"EXPEDIÇÃO","Expedido",IF(NETWORKDAYS(C3618,TODAY())&gt;=5,"Risco Alto",IF(NETWORKDAYS(C3618,TODAY())&gt;=3,IF(NETWORKDAYS(C3618,TODAY())&lt;5,"Risco Médio",""),IF(NETWORKDAYS(C3618,TODAY())&lt;=2,"Risco Baixo",""))))</f>
        <v>Risco Alto</v>
      </c>
      <c r="P3618" s="5" t="s">
        <v>726</v>
      </c>
      <c r="S3618" s="7">
        <f>IF(ISBLANK(M3618),"Aguardando Previsão/Data",NETWORKDAYS(L3618,M3618)-1)</f>
        <v>1</v>
      </c>
    </row>
    <row r="3619" spans="1:20" x14ac:dyDescent="0.35">
      <c r="A3619" s="5">
        <v>8100281652</v>
      </c>
      <c r="B3619" s="5">
        <v>21686</v>
      </c>
      <c r="C3619" s="6">
        <v>45682</v>
      </c>
      <c r="D3619" s="5" t="s">
        <v>836</v>
      </c>
      <c r="E3619" s="5" t="s">
        <v>837</v>
      </c>
      <c r="F3619" s="5" t="s">
        <v>19</v>
      </c>
      <c r="G3619" s="5" t="s">
        <v>20</v>
      </c>
      <c r="H3619" s="5" t="s">
        <v>21</v>
      </c>
      <c r="I3619" s="5" t="s">
        <v>742</v>
      </c>
      <c r="J3619" s="5" t="s">
        <v>48</v>
      </c>
      <c r="K3619" s="5" t="s">
        <v>24</v>
      </c>
      <c r="L3619" s="6">
        <v>45691</v>
      </c>
      <c r="M3619" s="6">
        <v>45693</v>
      </c>
      <c r="N3619" s="5" t="s">
        <v>812</v>
      </c>
      <c r="O3619" s="5" t="str">
        <f ca="1">IF(P3619&lt;&gt;"EXPEDIÇÃO","Expedido",IF(NETWORKDAYS(C3619,TODAY())&gt;=5,"Risco Alto",IF(NETWORKDAYS(C3619,TODAY())&gt;=3,IF(NETWORKDAYS(C3619,TODAY())&lt;5,"Risco Médio",""),IF(NETWORKDAYS(C3619,TODAY())&lt;=2,"Risco Baixo",""))))</f>
        <v>Risco Alto</v>
      </c>
      <c r="P3619" s="5" t="s">
        <v>726</v>
      </c>
      <c r="S3619" s="7">
        <f>IF(ISBLANK(M3619),"Aguardando Previsão/Data",NETWORKDAYS(L3619,M3619)-1)</f>
        <v>2</v>
      </c>
    </row>
    <row r="3620" spans="1:20" x14ac:dyDescent="0.35">
      <c r="A3620" s="5">
        <v>8100282909</v>
      </c>
      <c r="B3620" s="5">
        <v>21687</v>
      </c>
      <c r="C3620" s="6">
        <v>45682</v>
      </c>
      <c r="D3620" s="5" t="s">
        <v>836</v>
      </c>
      <c r="E3620" s="5" t="s">
        <v>837</v>
      </c>
      <c r="F3620" s="5" t="s">
        <v>19</v>
      </c>
      <c r="G3620" s="5" t="s">
        <v>20</v>
      </c>
      <c r="H3620" s="5" t="s">
        <v>21</v>
      </c>
      <c r="I3620" s="5" t="s">
        <v>1083</v>
      </c>
      <c r="J3620" s="5" t="s">
        <v>48</v>
      </c>
      <c r="K3620" s="5" t="s">
        <v>24</v>
      </c>
      <c r="L3620" s="6">
        <v>45691</v>
      </c>
      <c r="M3620" s="6">
        <v>45693</v>
      </c>
      <c r="N3620" s="5" t="s">
        <v>812</v>
      </c>
      <c r="O3620" s="5" t="str">
        <f ca="1">IF(P3620&lt;&gt;"EXPEDIÇÃO","Expedido",IF(NETWORKDAYS(C3620,TODAY())&gt;=5,"Risco Alto",IF(NETWORKDAYS(C3620,TODAY())&gt;=3,IF(NETWORKDAYS(C3620,TODAY())&lt;5,"Risco Médio",""),IF(NETWORKDAYS(C3620,TODAY())&lt;=2,"Risco Baixo",""))))</f>
        <v>Risco Alto</v>
      </c>
      <c r="P3620" s="5" t="s">
        <v>726</v>
      </c>
      <c r="S3620" s="7">
        <f>IF(ISBLANK(M3620),"Aguardando Previsão/Data",NETWORKDAYS(L3620,M3620)-1)</f>
        <v>2</v>
      </c>
    </row>
    <row r="3621" spans="1:20" x14ac:dyDescent="0.35">
      <c r="A3621" s="5">
        <v>8100283175</v>
      </c>
      <c r="B3621" s="5">
        <v>21684</v>
      </c>
      <c r="C3621" s="6">
        <v>45682</v>
      </c>
      <c r="D3621" s="5" t="s">
        <v>836</v>
      </c>
      <c r="E3621" s="5" t="s">
        <v>837</v>
      </c>
      <c r="F3621" s="5" t="s">
        <v>84</v>
      </c>
      <c r="G3621" s="5" t="s">
        <v>85</v>
      </c>
      <c r="H3621" s="5" t="s">
        <v>21</v>
      </c>
      <c r="I3621" s="5" t="s">
        <v>1555</v>
      </c>
      <c r="J3621" s="5" t="s">
        <v>1556</v>
      </c>
      <c r="K3621" s="5" t="s">
        <v>24</v>
      </c>
      <c r="L3621" s="6">
        <v>45692</v>
      </c>
      <c r="M3621" s="6">
        <v>45692</v>
      </c>
      <c r="N3621" s="5" t="s">
        <v>811</v>
      </c>
      <c r="O3621" s="5" t="str">
        <f ca="1">IF(P3621&lt;&gt;"EXPEDIÇÃO","Expedido",IF(NETWORKDAYS(C3621,TODAY())&gt;=5,"Risco Alto",IF(NETWORKDAYS(C3621,TODAY())&gt;=3,IF(NETWORKDAYS(C3621,TODAY())&lt;5,"Risco Médio",""),IF(NETWORKDAYS(C3621,TODAY())&lt;=2,"Risco Baixo",""))))</f>
        <v>Risco Alto</v>
      </c>
      <c r="P3621" s="5" t="s">
        <v>726</v>
      </c>
      <c r="S3621" s="7">
        <f>IF(ISBLANK(M3621),"Aguardando Previsão/Data",NETWORKDAYS(L3621,M3621)-1)</f>
        <v>0</v>
      </c>
    </row>
    <row r="3622" spans="1:20" x14ac:dyDescent="0.35">
      <c r="A3622" s="5">
        <v>8100283168</v>
      </c>
      <c r="B3622" s="5">
        <v>19701</v>
      </c>
      <c r="C3622" s="6">
        <v>45682</v>
      </c>
      <c r="D3622" s="5" t="s">
        <v>106</v>
      </c>
      <c r="E3622" s="5" t="s">
        <v>107</v>
      </c>
      <c r="F3622" s="5" t="s">
        <v>58</v>
      </c>
      <c r="G3622" s="5" t="s">
        <v>59</v>
      </c>
      <c r="H3622" s="5" t="s">
        <v>218</v>
      </c>
      <c r="I3622" s="5" t="s">
        <v>222</v>
      </c>
      <c r="J3622" s="5" t="s">
        <v>220</v>
      </c>
      <c r="K3622" s="5" t="s">
        <v>221</v>
      </c>
      <c r="L3622" s="6">
        <v>45698</v>
      </c>
      <c r="N3622" s="6" t="s">
        <v>811</v>
      </c>
      <c r="O3622" s="5" t="str">
        <f ca="1">IF(P3622&lt;&gt;"EXPEDIÇÃO","Expedido",IF(NETWORKDAYS(C3622,TODAY())&gt;=5,"Risco Alto",IF(NETWORKDAYS(C3622,TODAY())&gt;=3,IF(NETWORKDAYS(C3622,TODAY())&lt;5,"Risco Médio",""),IF(NETWORKDAYS(C3622,TODAY())&lt;=2,"Risco Baixo",""))))</f>
        <v>Risco Alto</v>
      </c>
      <c r="P3622" s="5" t="s">
        <v>726</v>
      </c>
      <c r="R3622" s="5" t="s">
        <v>1618</v>
      </c>
      <c r="S3622" s="7" t="str">
        <f>IF(ISBLANK(M3622),"Aguardando Previsão/Data",NETWORKDAYS(L3622,M3622)-1)</f>
        <v>Aguardando Previsão/Data</v>
      </c>
    </row>
    <row r="3623" spans="1:20" x14ac:dyDescent="0.35">
      <c r="A3623" s="5">
        <v>8100283170</v>
      </c>
      <c r="B3623" s="5">
        <v>19704</v>
      </c>
      <c r="C3623" s="6">
        <v>45682</v>
      </c>
      <c r="D3623" s="5" t="s">
        <v>106</v>
      </c>
      <c r="E3623" s="5" t="s">
        <v>107</v>
      </c>
      <c r="F3623" s="5" t="s">
        <v>58</v>
      </c>
      <c r="G3623" s="5" t="s">
        <v>59</v>
      </c>
      <c r="H3623" s="5" t="s">
        <v>218</v>
      </c>
      <c r="I3623" s="5" t="s">
        <v>384</v>
      </c>
      <c r="J3623" s="5" t="s">
        <v>220</v>
      </c>
      <c r="K3623" s="5" t="s">
        <v>221</v>
      </c>
      <c r="L3623" s="6">
        <v>45698</v>
      </c>
      <c r="N3623" s="6" t="s">
        <v>811</v>
      </c>
      <c r="O3623" s="5" t="str">
        <f ca="1">IF(P3623&lt;&gt;"EXPEDIÇÃO","Expedido",IF(NETWORKDAYS(C3623,TODAY())&gt;=5,"Risco Alto",IF(NETWORKDAYS(C3623,TODAY())&gt;=3,IF(NETWORKDAYS(C3623,TODAY())&lt;5,"Risco Médio",""),IF(NETWORKDAYS(C3623,TODAY())&lt;=2,"Risco Baixo",""))))</f>
        <v>Risco Alto</v>
      </c>
      <c r="P3623" s="5" t="s">
        <v>726</v>
      </c>
      <c r="R3623" s="5" t="s">
        <v>1618</v>
      </c>
      <c r="S3623" s="7" t="str">
        <f>IF(ISBLANK(M3623),"Aguardando Previsão/Data",NETWORKDAYS(L3623,M3623)-1)</f>
        <v>Aguardando Previsão/Data</v>
      </c>
    </row>
    <row r="3624" spans="1:20" x14ac:dyDescent="0.35">
      <c r="A3624" s="5">
        <v>8100283171</v>
      </c>
      <c r="B3624" s="5">
        <v>19705</v>
      </c>
      <c r="C3624" s="6">
        <v>45682</v>
      </c>
      <c r="D3624" s="5" t="s">
        <v>106</v>
      </c>
      <c r="E3624" s="5" t="s">
        <v>107</v>
      </c>
      <c r="F3624" s="5" t="s">
        <v>58</v>
      </c>
      <c r="G3624" s="5" t="s">
        <v>59</v>
      </c>
      <c r="H3624" s="5" t="s">
        <v>218</v>
      </c>
      <c r="I3624" s="5" t="s">
        <v>520</v>
      </c>
      <c r="J3624" s="5" t="s">
        <v>684</v>
      </c>
      <c r="K3624" s="5" t="s">
        <v>238</v>
      </c>
      <c r="L3624" s="6">
        <v>45700</v>
      </c>
      <c r="N3624" s="6" t="s">
        <v>811</v>
      </c>
      <c r="O3624" s="5" t="str">
        <f ca="1">IF(P3624&lt;&gt;"EXPEDIÇÃO","Expedido",IF(NETWORKDAYS(C3624,TODAY())&gt;=5,"Risco Alto",IF(NETWORKDAYS(C3624,TODAY())&gt;=3,IF(NETWORKDAYS(C3624,TODAY())&lt;5,"Risco Médio",""),IF(NETWORKDAYS(C3624,TODAY())&lt;=2,"Risco Baixo",""))))</f>
        <v>Risco Alto</v>
      </c>
      <c r="P3624" s="5" t="s">
        <v>726</v>
      </c>
      <c r="R3624" s="5" t="s">
        <v>1618</v>
      </c>
      <c r="S3624" s="7" t="str">
        <f>IF(ISBLANK(M3624),"Aguardando Previsão/Data",NETWORKDAYS(L3624,M3624)-1)</f>
        <v>Aguardando Previsão/Data</v>
      </c>
    </row>
    <row r="3625" spans="1:20" x14ac:dyDescent="0.35">
      <c r="A3625" s="5">
        <v>8100283941</v>
      </c>
      <c r="B3625" s="5">
        <v>19702</v>
      </c>
      <c r="C3625" s="6">
        <v>45682</v>
      </c>
      <c r="D3625" s="5" t="s">
        <v>106</v>
      </c>
      <c r="E3625" s="5" t="s">
        <v>107</v>
      </c>
      <c r="F3625" s="5" t="s">
        <v>58</v>
      </c>
      <c r="G3625" s="5" t="s">
        <v>59</v>
      </c>
      <c r="H3625" s="5" t="s">
        <v>218</v>
      </c>
      <c r="I3625" s="5" t="s">
        <v>317</v>
      </c>
      <c r="J3625" s="5" t="s">
        <v>770</v>
      </c>
      <c r="K3625" s="5" t="s">
        <v>238</v>
      </c>
      <c r="L3625" s="6">
        <v>45700</v>
      </c>
      <c r="N3625" s="6" t="s">
        <v>811</v>
      </c>
      <c r="O3625" s="5" t="str">
        <f ca="1">IF(P3625&lt;&gt;"EXPEDIÇÃO","Expedido",IF(NETWORKDAYS(C3625,TODAY())&gt;=5,"Risco Alto",IF(NETWORKDAYS(C3625,TODAY())&gt;=3,IF(NETWORKDAYS(C3625,TODAY())&lt;5,"Risco Médio",""),IF(NETWORKDAYS(C3625,TODAY())&lt;=2,"Risco Baixo",""))))</f>
        <v>Risco Alto</v>
      </c>
      <c r="P3625" s="5" t="s">
        <v>726</v>
      </c>
      <c r="R3625" s="5" t="s">
        <v>1618</v>
      </c>
      <c r="S3625" s="7" t="str">
        <f>IF(ISBLANK(M3625),"Aguardando Previsão/Data",NETWORKDAYS(L3625,M3625)-1)</f>
        <v>Aguardando Previsão/Data</v>
      </c>
    </row>
    <row r="3626" spans="1:20" x14ac:dyDescent="0.35">
      <c r="A3626" s="5">
        <v>8100283942</v>
      </c>
      <c r="B3626" s="5">
        <v>19703</v>
      </c>
      <c r="C3626" s="6">
        <v>45682</v>
      </c>
      <c r="D3626" s="5" t="s">
        <v>106</v>
      </c>
      <c r="E3626" s="5" t="s">
        <v>107</v>
      </c>
      <c r="F3626" s="5" t="s">
        <v>58</v>
      </c>
      <c r="G3626" s="5" t="s">
        <v>59</v>
      </c>
      <c r="H3626" s="5" t="s">
        <v>218</v>
      </c>
      <c r="I3626" s="5" t="s">
        <v>317</v>
      </c>
      <c r="J3626" s="5" t="s">
        <v>770</v>
      </c>
      <c r="K3626" s="5" t="s">
        <v>238</v>
      </c>
      <c r="L3626" s="6">
        <v>45700</v>
      </c>
      <c r="N3626" s="6" t="s">
        <v>811</v>
      </c>
      <c r="O3626" s="5" t="str">
        <f ca="1">IF(P3626&lt;&gt;"EXPEDIÇÃO","Expedido",IF(NETWORKDAYS(C3626,TODAY())&gt;=5,"Risco Alto",IF(NETWORKDAYS(C3626,TODAY())&gt;=3,IF(NETWORKDAYS(C3626,TODAY())&lt;5,"Risco Médio",""),IF(NETWORKDAYS(C3626,TODAY())&lt;=2,"Risco Baixo",""))))</f>
        <v>Risco Alto</v>
      </c>
      <c r="P3626" s="5" t="s">
        <v>726</v>
      </c>
      <c r="R3626" s="5" t="s">
        <v>1618</v>
      </c>
      <c r="S3626" s="7" t="str">
        <f>IF(ISBLANK(M3626),"Aguardando Previsão/Data",NETWORKDAYS(L3626,M3626)-1)</f>
        <v>Aguardando Previsão/Data</v>
      </c>
    </row>
    <row r="3627" spans="1:20" x14ac:dyDescent="0.35">
      <c r="A3627" s="5">
        <v>8100283948</v>
      </c>
      <c r="B3627" s="5">
        <v>19708</v>
      </c>
      <c r="C3627" s="6">
        <v>45682</v>
      </c>
      <c r="D3627" s="5" t="s">
        <v>106</v>
      </c>
      <c r="E3627" s="5" t="s">
        <v>107</v>
      </c>
      <c r="F3627" s="5" t="s">
        <v>58</v>
      </c>
      <c r="G3627" s="5" t="s">
        <v>59</v>
      </c>
      <c r="H3627" s="5" t="s">
        <v>218</v>
      </c>
      <c r="I3627" s="5" t="s">
        <v>519</v>
      </c>
      <c r="J3627" s="5" t="s">
        <v>640</v>
      </c>
      <c r="K3627" s="5" t="s">
        <v>233</v>
      </c>
      <c r="L3627" s="6">
        <v>45700</v>
      </c>
      <c r="N3627" s="6" t="s">
        <v>811</v>
      </c>
      <c r="O3627" s="5" t="str">
        <f ca="1">IF(P3627&lt;&gt;"EXPEDIÇÃO","Expedido",IF(NETWORKDAYS(C3627,TODAY())&gt;=5,"Risco Alto",IF(NETWORKDAYS(C3627,TODAY())&gt;=3,IF(NETWORKDAYS(C3627,TODAY())&lt;5,"Risco Médio",""),IF(NETWORKDAYS(C3627,TODAY())&lt;=2,"Risco Baixo",""))))</f>
        <v>Risco Alto</v>
      </c>
      <c r="P3627" s="5" t="s">
        <v>726</v>
      </c>
      <c r="R3627" s="5" t="s">
        <v>1618</v>
      </c>
      <c r="S3627" s="7" t="str">
        <f>IF(ISBLANK(M3627),"Aguardando Previsão/Data",NETWORKDAYS(L3627,M3627)-1)</f>
        <v>Aguardando Previsão/Data</v>
      </c>
    </row>
    <row r="3628" spans="1:20" x14ac:dyDescent="0.35">
      <c r="A3628" s="5">
        <v>8100283169</v>
      </c>
      <c r="B3628" s="5">
        <v>19691</v>
      </c>
      <c r="C3628" s="6">
        <v>45682</v>
      </c>
      <c r="D3628" s="5" t="s">
        <v>106</v>
      </c>
      <c r="E3628" s="5" t="s">
        <v>107</v>
      </c>
      <c r="F3628" s="5" t="s">
        <v>111</v>
      </c>
      <c r="G3628" s="5" t="s">
        <v>112</v>
      </c>
      <c r="H3628" s="5" t="s">
        <v>108</v>
      </c>
      <c r="I3628" s="5" t="s">
        <v>115</v>
      </c>
      <c r="J3628" s="5" t="s">
        <v>343</v>
      </c>
      <c r="K3628" s="5" t="s">
        <v>110</v>
      </c>
      <c r="L3628" s="6">
        <v>45691</v>
      </c>
      <c r="M3628" s="6">
        <v>45688</v>
      </c>
      <c r="N3628" s="5" t="s">
        <v>811</v>
      </c>
      <c r="O3628" s="5" t="str">
        <f ca="1">IF(P3628&lt;&gt;"EXPEDIÇÃO","Expedido",IF(NETWORKDAYS(C3628,TODAY())&gt;=5,"Risco Alto",IF(NETWORKDAYS(C3628,TODAY())&gt;=3,IF(NETWORKDAYS(C3628,TODAY())&lt;5,"Risco Médio",""),IF(NETWORKDAYS(C3628,TODAY())&lt;=2,"Risco Baixo",""))))</f>
        <v>Expedido</v>
      </c>
      <c r="P3628" s="5" t="s">
        <v>617</v>
      </c>
      <c r="S3628" s="7">
        <f>IF(ISBLANK(M3628),"Aguardando Previsão/Data",NETWORKDAYS(L3628,M3628)-1)</f>
        <v>-3</v>
      </c>
    </row>
    <row r="3629" spans="1:20" x14ac:dyDescent="0.35">
      <c r="A3629" s="5">
        <v>8100283172</v>
      </c>
      <c r="B3629" s="5">
        <v>19692</v>
      </c>
      <c r="C3629" s="6">
        <v>45682</v>
      </c>
      <c r="D3629" s="5" t="s">
        <v>106</v>
      </c>
      <c r="E3629" s="5" t="s">
        <v>107</v>
      </c>
      <c r="F3629" s="5" t="s">
        <v>111</v>
      </c>
      <c r="G3629" s="5" t="s">
        <v>112</v>
      </c>
      <c r="H3629" s="5" t="s">
        <v>108</v>
      </c>
      <c r="I3629" s="5" t="s">
        <v>120</v>
      </c>
      <c r="J3629" s="5" t="s">
        <v>121</v>
      </c>
      <c r="K3629" s="5" t="s">
        <v>110</v>
      </c>
      <c r="L3629" s="6">
        <v>45688</v>
      </c>
      <c r="M3629" s="6">
        <v>45686</v>
      </c>
      <c r="N3629" s="5" t="s">
        <v>811</v>
      </c>
      <c r="O3629" s="5" t="str">
        <f ca="1">IF(P3629&lt;&gt;"EXPEDIÇÃO","Expedido",IF(NETWORKDAYS(C3629,TODAY())&gt;=5,"Risco Alto",IF(NETWORKDAYS(C3629,TODAY())&gt;=3,IF(NETWORKDAYS(C3629,TODAY())&lt;5,"Risco Médio",""),IF(NETWORKDAYS(C3629,TODAY())&lt;=2,"Risco Baixo",""))))</f>
        <v>Expedido</v>
      </c>
      <c r="P3629" s="5" t="s">
        <v>25</v>
      </c>
      <c r="S3629" s="7">
        <f>IF(ISBLANK(M3629),"Aguardando Previsão/Data",NETWORKDAYS(L3629,M3629)-1)</f>
        <v>-4</v>
      </c>
      <c r="T3629" s="5" t="s">
        <v>942</v>
      </c>
    </row>
    <row r="3630" spans="1:20" x14ac:dyDescent="0.35">
      <c r="A3630" s="5">
        <v>8100283173</v>
      </c>
      <c r="B3630" s="5">
        <v>19693</v>
      </c>
      <c r="C3630" s="6">
        <v>45682</v>
      </c>
      <c r="D3630" s="5" t="s">
        <v>106</v>
      </c>
      <c r="E3630" s="5" t="s">
        <v>107</v>
      </c>
      <c r="F3630" s="5" t="s">
        <v>111</v>
      </c>
      <c r="G3630" s="5" t="s">
        <v>112</v>
      </c>
      <c r="H3630" s="5" t="s">
        <v>108</v>
      </c>
      <c r="I3630" s="5" t="s">
        <v>115</v>
      </c>
      <c r="J3630" s="5" t="s">
        <v>117</v>
      </c>
      <c r="K3630" s="5" t="s">
        <v>110</v>
      </c>
      <c r="L3630" s="6">
        <v>45688</v>
      </c>
      <c r="M3630" s="6">
        <v>45687</v>
      </c>
      <c r="N3630" s="5" t="s">
        <v>811</v>
      </c>
      <c r="O3630" s="5" t="str">
        <f ca="1">IF(P3630&lt;&gt;"EXPEDIÇÃO","Expedido",IF(NETWORKDAYS(C3630,TODAY())&gt;=5,"Risco Alto",IF(NETWORKDAYS(C3630,TODAY())&gt;=3,IF(NETWORKDAYS(C3630,TODAY())&lt;5,"Risco Médio",""),IF(NETWORKDAYS(C3630,TODAY())&lt;=2,"Risco Baixo",""))))</f>
        <v>Expedido</v>
      </c>
      <c r="P3630" s="5" t="s">
        <v>617</v>
      </c>
      <c r="S3630" s="7">
        <f>IF(ISBLANK(M3630),"Aguardando Previsão/Data",NETWORKDAYS(L3630,M3630)-1)</f>
        <v>-3</v>
      </c>
    </row>
    <row r="3631" spans="1:20" x14ac:dyDescent="0.35">
      <c r="A3631" s="5">
        <v>8100283174</v>
      </c>
      <c r="B3631" s="5">
        <v>19695</v>
      </c>
      <c r="C3631" s="6">
        <v>45682</v>
      </c>
      <c r="D3631" s="5" t="s">
        <v>106</v>
      </c>
      <c r="E3631" s="5" t="s">
        <v>107</v>
      </c>
      <c r="F3631" s="5" t="s">
        <v>69</v>
      </c>
      <c r="G3631" s="5" t="s">
        <v>70</v>
      </c>
      <c r="H3631" s="5" t="s">
        <v>108</v>
      </c>
      <c r="I3631" s="5" t="s">
        <v>278</v>
      </c>
      <c r="J3631" s="5" t="s">
        <v>279</v>
      </c>
      <c r="K3631" s="5" t="s">
        <v>110</v>
      </c>
      <c r="L3631" s="6">
        <v>45688</v>
      </c>
      <c r="M3631" s="6">
        <v>45695</v>
      </c>
      <c r="N3631" s="5" t="s">
        <v>811</v>
      </c>
      <c r="O3631" s="5" t="str">
        <f ca="1">IF(P3631&lt;&gt;"EXPEDIÇÃO","Expedido",IF(NETWORKDAYS(C3631,TODAY())&gt;=5,"Risco Alto",IF(NETWORKDAYS(C3631,TODAY())&gt;=3,IF(NETWORKDAYS(C3631,TODAY())&lt;5,"Risco Médio",""),IF(NETWORKDAYS(C3631,TODAY())&lt;=2,"Risco Baixo",""))))</f>
        <v>Risco Alto</v>
      </c>
      <c r="P3631" s="5" t="s">
        <v>726</v>
      </c>
      <c r="Q3631" s="5" t="s">
        <v>914</v>
      </c>
      <c r="S3631" s="7">
        <f>IF(ISBLANK(M3631),"Aguardando Previsão/Data",NETWORKDAYS(L3631,M3631)-1)</f>
        <v>5</v>
      </c>
    </row>
    <row r="3632" spans="1:20" x14ac:dyDescent="0.35">
      <c r="A3632" s="5">
        <v>8100283943</v>
      </c>
      <c r="B3632" s="5">
        <v>19697</v>
      </c>
      <c r="C3632" s="6">
        <v>45682</v>
      </c>
      <c r="D3632" s="5" t="s">
        <v>106</v>
      </c>
      <c r="E3632" s="5" t="s">
        <v>107</v>
      </c>
      <c r="F3632" s="5" t="s">
        <v>53</v>
      </c>
      <c r="G3632" s="5" t="s">
        <v>54</v>
      </c>
      <c r="H3632" s="5" t="s">
        <v>108</v>
      </c>
      <c r="I3632" s="5" t="s">
        <v>341</v>
      </c>
      <c r="J3632" s="5" t="s">
        <v>109</v>
      </c>
      <c r="K3632" s="5" t="s">
        <v>110</v>
      </c>
      <c r="L3632" s="6">
        <v>45688</v>
      </c>
      <c r="M3632" s="6">
        <v>45686</v>
      </c>
      <c r="N3632" s="5" t="s">
        <v>811</v>
      </c>
      <c r="O3632" s="5" t="str">
        <f ca="1">IF(P3632&lt;&gt;"EXPEDIÇÃO","Expedido",IF(NETWORKDAYS(C3632,TODAY())&gt;=5,"Risco Alto",IF(NETWORKDAYS(C3632,TODAY())&gt;=3,IF(NETWORKDAYS(C3632,TODAY())&lt;5,"Risco Médio",""),IF(NETWORKDAYS(C3632,TODAY())&lt;=2,"Risco Baixo",""))))</f>
        <v>Expedido</v>
      </c>
      <c r="P3632" s="5" t="s">
        <v>25</v>
      </c>
      <c r="S3632" s="7">
        <f>IF(ISBLANK(M3632),"Aguardando Previsão/Data",NETWORKDAYS(L3632,M3632)-1)</f>
        <v>-4</v>
      </c>
      <c r="T3632" s="5" t="s">
        <v>942</v>
      </c>
    </row>
    <row r="3633" spans="1:20" x14ac:dyDescent="0.35">
      <c r="A3633" s="5">
        <v>8100283944</v>
      </c>
      <c r="B3633" s="5">
        <v>19698</v>
      </c>
      <c r="C3633" s="6">
        <v>45682</v>
      </c>
      <c r="D3633" s="5" t="s">
        <v>106</v>
      </c>
      <c r="E3633" s="5" t="s">
        <v>107</v>
      </c>
      <c r="F3633" s="5" t="s">
        <v>53</v>
      </c>
      <c r="G3633" s="5" t="s">
        <v>54</v>
      </c>
      <c r="H3633" s="5" t="s">
        <v>108</v>
      </c>
      <c r="I3633" s="5" t="s">
        <v>341</v>
      </c>
      <c r="J3633" s="5" t="s">
        <v>109</v>
      </c>
      <c r="K3633" s="5" t="s">
        <v>110</v>
      </c>
      <c r="L3633" s="6">
        <v>45688</v>
      </c>
      <c r="M3633" s="6">
        <v>45686</v>
      </c>
      <c r="N3633" s="5" t="s">
        <v>811</v>
      </c>
      <c r="O3633" s="5" t="str">
        <f ca="1">IF(P3633&lt;&gt;"EXPEDIÇÃO","Expedido",IF(NETWORKDAYS(C3633,TODAY())&gt;=5,"Risco Alto",IF(NETWORKDAYS(C3633,TODAY())&gt;=3,IF(NETWORKDAYS(C3633,TODAY())&lt;5,"Risco Médio",""),IF(NETWORKDAYS(C3633,TODAY())&lt;=2,"Risco Baixo",""))))</f>
        <v>Expedido</v>
      </c>
      <c r="P3633" s="5" t="s">
        <v>25</v>
      </c>
      <c r="S3633" s="7">
        <f>IF(ISBLANK(M3633),"Aguardando Previsão/Data",NETWORKDAYS(L3633,M3633)-1)</f>
        <v>-4</v>
      </c>
      <c r="T3633" s="5" t="s">
        <v>942</v>
      </c>
    </row>
    <row r="3634" spans="1:20" x14ac:dyDescent="0.35">
      <c r="A3634" s="5">
        <v>8100283945</v>
      </c>
      <c r="B3634" s="5">
        <v>19699</v>
      </c>
      <c r="C3634" s="6">
        <v>45682</v>
      </c>
      <c r="D3634" s="5" t="s">
        <v>106</v>
      </c>
      <c r="E3634" s="5" t="s">
        <v>107</v>
      </c>
      <c r="F3634" s="5" t="s">
        <v>53</v>
      </c>
      <c r="G3634" s="5" t="s">
        <v>54</v>
      </c>
      <c r="H3634" s="5" t="s">
        <v>108</v>
      </c>
      <c r="I3634" s="5" t="s">
        <v>341</v>
      </c>
      <c r="J3634" s="5" t="s">
        <v>109</v>
      </c>
      <c r="K3634" s="5" t="s">
        <v>110</v>
      </c>
      <c r="L3634" s="6">
        <v>45688</v>
      </c>
      <c r="M3634" s="6">
        <v>45686</v>
      </c>
      <c r="N3634" s="5" t="s">
        <v>811</v>
      </c>
      <c r="O3634" s="5" t="str">
        <f ca="1">IF(P3634&lt;&gt;"EXPEDIÇÃO","Expedido",IF(NETWORKDAYS(C3634,TODAY())&gt;=5,"Risco Alto",IF(NETWORKDAYS(C3634,TODAY())&gt;=3,IF(NETWORKDAYS(C3634,TODAY())&lt;5,"Risco Médio",""),IF(NETWORKDAYS(C3634,TODAY())&lt;=2,"Risco Baixo",""))))</f>
        <v>Expedido</v>
      </c>
      <c r="P3634" s="5" t="s">
        <v>25</v>
      </c>
      <c r="S3634" s="7">
        <f>IF(ISBLANK(M3634),"Aguardando Previsão/Data",NETWORKDAYS(L3634,M3634)-1)</f>
        <v>-4</v>
      </c>
      <c r="T3634" s="5" t="s">
        <v>942</v>
      </c>
    </row>
    <row r="3635" spans="1:20" x14ac:dyDescent="0.35">
      <c r="A3635" s="5">
        <v>8100283946</v>
      </c>
      <c r="B3635" s="5">
        <v>19700</v>
      </c>
      <c r="C3635" s="6">
        <v>45682</v>
      </c>
      <c r="D3635" s="5" t="s">
        <v>106</v>
      </c>
      <c r="E3635" s="5" t="s">
        <v>107</v>
      </c>
      <c r="F3635" s="5" t="s">
        <v>53</v>
      </c>
      <c r="G3635" s="5" t="s">
        <v>54</v>
      </c>
      <c r="H3635" s="5" t="s">
        <v>108</v>
      </c>
      <c r="I3635" s="5" t="s">
        <v>341</v>
      </c>
      <c r="J3635" s="5" t="s">
        <v>109</v>
      </c>
      <c r="K3635" s="5" t="s">
        <v>110</v>
      </c>
      <c r="L3635" s="6">
        <v>45688</v>
      </c>
      <c r="M3635" s="6">
        <v>45686</v>
      </c>
      <c r="N3635" s="5" t="s">
        <v>811</v>
      </c>
      <c r="O3635" s="5" t="str">
        <f ca="1">IF(P3635&lt;&gt;"EXPEDIÇÃO","Expedido",IF(NETWORKDAYS(C3635,TODAY())&gt;=5,"Risco Alto",IF(NETWORKDAYS(C3635,TODAY())&gt;=3,IF(NETWORKDAYS(C3635,TODAY())&lt;5,"Risco Médio",""),IF(NETWORKDAYS(C3635,TODAY())&lt;=2,"Risco Baixo",""))))</f>
        <v>Expedido</v>
      </c>
      <c r="P3635" s="5" t="s">
        <v>25</v>
      </c>
      <c r="S3635" s="7">
        <f>IF(ISBLANK(M3635),"Aguardando Previsão/Data",NETWORKDAYS(L3635,M3635)-1)</f>
        <v>-4</v>
      </c>
      <c r="T3635" s="5" t="s">
        <v>942</v>
      </c>
    </row>
    <row r="3636" spans="1:20" x14ac:dyDescent="0.35">
      <c r="A3636" s="5">
        <v>8100283947</v>
      </c>
      <c r="B3636" s="5">
        <v>19696</v>
      </c>
      <c r="C3636" s="6">
        <v>45682</v>
      </c>
      <c r="D3636" s="5" t="s">
        <v>106</v>
      </c>
      <c r="E3636" s="5" t="s">
        <v>107</v>
      </c>
      <c r="F3636" s="5" t="s">
        <v>69</v>
      </c>
      <c r="G3636" s="5" t="s">
        <v>70</v>
      </c>
      <c r="H3636" s="5" t="s">
        <v>108</v>
      </c>
      <c r="I3636" s="5" t="s">
        <v>278</v>
      </c>
      <c r="J3636" s="5" t="s">
        <v>279</v>
      </c>
      <c r="K3636" s="5" t="s">
        <v>110</v>
      </c>
      <c r="L3636" s="6">
        <v>45688</v>
      </c>
      <c r="M3636" s="6">
        <v>45695</v>
      </c>
      <c r="N3636" s="5" t="s">
        <v>811</v>
      </c>
      <c r="O3636" s="5" t="str">
        <f ca="1">IF(P3636&lt;&gt;"EXPEDIÇÃO","Expedido",IF(NETWORKDAYS(C3636,TODAY())&gt;=5,"Risco Alto",IF(NETWORKDAYS(C3636,TODAY())&gt;=3,IF(NETWORKDAYS(C3636,TODAY())&lt;5,"Risco Médio",""),IF(NETWORKDAYS(C3636,TODAY())&lt;=2,"Risco Baixo",""))))</f>
        <v>Risco Alto</v>
      </c>
      <c r="P3636" s="5" t="s">
        <v>726</v>
      </c>
      <c r="Q3636" s="5" t="s">
        <v>914</v>
      </c>
      <c r="S3636" s="7">
        <f>IF(ISBLANK(M3636),"Aguardando Previsão/Data",NETWORKDAYS(L3636,M3636)-1)</f>
        <v>5</v>
      </c>
    </row>
    <row r="3637" spans="1:20" x14ac:dyDescent="0.35">
      <c r="A3637" s="5">
        <v>8100283949</v>
      </c>
      <c r="B3637" s="5">
        <v>19694</v>
      </c>
      <c r="C3637" s="6">
        <v>45682</v>
      </c>
      <c r="D3637" s="5" t="s">
        <v>106</v>
      </c>
      <c r="E3637" s="5" t="s">
        <v>107</v>
      </c>
      <c r="F3637" s="5" t="s">
        <v>53</v>
      </c>
      <c r="G3637" s="5" t="s">
        <v>54</v>
      </c>
      <c r="H3637" s="5" t="s">
        <v>108</v>
      </c>
      <c r="I3637" s="5" t="s">
        <v>782</v>
      </c>
      <c r="J3637" s="5" t="s">
        <v>1057</v>
      </c>
      <c r="K3637" s="5" t="s">
        <v>110</v>
      </c>
      <c r="L3637" s="6">
        <v>45691</v>
      </c>
      <c r="M3637" s="6">
        <v>45687</v>
      </c>
      <c r="N3637" s="5" t="s">
        <v>811</v>
      </c>
      <c r="O3637" s="5" t="str">
        <f ca="1">IF(P3637&lt;&gt;"EXPEDIÇÃO","Expedido",IF(NETWORKDAYS(C3637,TODAY())&gt;=5,"Risco Alto",IF(NETWORKDAYS(C3637,TODAY())&gt;=3,IF(NETWORKDAYS(C3637,TODAY())&lt;5,"Risco Médio",""),IF(NETWORKDAYS(C3637,TODAY())&lt;=2,"Risco Baixo",""))))</f>
        <v>Expedido</v>
      </c>
      <c r="P3637" s="5" t="s">
        <v>25</v>
      </c>
      <c r="S3637" s="7">
        <f>IF(ISBLANK(M3637),"Aguardando Previsão/Data",NETWORKDAYS(L3637,M3637)-1)</f>
        <v>-4</v>
      </c>
      <c r="T3637" s="5" t="s">
        <v>942</v>
      </c>
    </row>
    <row r="3638" spans="1:20" x14ac:dyDescent="0.35">
      <c r="A3638" s="5">
        <v>8100283980</v>
      </c>
      <c r="B3638" s="5">
        <v>19709</v>
      </c>
      <c r="C3638" s="6">
        <v>45682</v>
      </c>
      <c r="D3638" s="5" t="s">
        <v>106</v>
      </c>
      <c r="E3638" s="5" t="s">
        <v>107</v>
      </c>
      <c r="F3638" s="5" t="s">
        <v>69</v>
      </c>
      <c r="G3638" s="5" t="s">
        <v>70</v>
      </c>
      <c r="H3638" s="5" t="s">
        <v>108</v>
      </c>
      <c r="I3638" s="5" t="s">
        <v>278</v>
      </c>
      <c r="J3638" s="5" t="s">
        <v>279</v>
      </c>
      <c r="K3638" s="5" t="s">
        <v>110</v>
      </c>
      <c r="L3638" s="6">
        <v>45688</v>
      </c>
      <c r="M3638" s="6">
        <v>45695</v>
      </c>
      <c r="N3638" s="5" t="s">
        <v>811</v>
      </c>
      <c r="O3638" s="5" t="str">
        <f ca="1">IF(P3638&lt;&gt;"EXPEDIÇÃO","Expedido",IF(NETWORKDAYS(C3638,TODAY())&gt;=5,"Risco Alto",IF(NETWORKDAYS(C3638,TODAY())&gt;=3,IF(NETWORKDAYS(C3638,TODAY())&lt;5,"Risco Médio",""),IF(NETWORKDAYS(C3638,TODAY())&lt;=2,"Risco Baixo",""))))</f>
        <v>Risco Alto</v>
      </c>
      <c r="P3638" s="5" t="s">
        <v>726</v>
      </c>
      <c r="Q3638" s="5" t="s">
        <v>914</v>
      </c>
      <c r="S3638" s="7">
        <f>IF(ISBLANK(M3638),"Aguardando Previsão/Data",NETWORKDAYS(L3638,M3638)-1)</f>
        <v>5</v>
      </c>
    </row>
    <row r="3639" spans="1:20" x14ac:dyDescent="0.35">
      <c r="A3639" s="5">
        <v>8100283937</v>
      </c>
      <c r="B3639" s="5">
        <v>12481</v>
      </c>
      <c r="C3639" s="6">
        <v>45682</v>
      </c>
      <c r="D3639" s="5" t="s">
        <v>158</v>
      </c>
      <c r="E3639" s="5" t="s">
        <v>159</v>
      </c>
      <c r="F3639" s="5" t="s">
        <v>136</v>
      </c>
      <c r="G3639" s="5" t="s">
        <v>137</v>
      </c>
      <c r="H3639" s="5" t="s">
        <v>108</v>
      </c>
      <c r="I3639" s="5" t="s">
        <v>82</v>
      </c>
      <c r="J3639" s="5" t="s">
        <v>1048</v>
      </c>
      <c r="K3639" s="5" t="s">
        <v>170</v>
      </c>
      <c r="L3639" s="6">
        <v>45688</v>
      </c>
      <c r="M3639" s="6">
        <v>45685</v>
      </c>
      <c r="N3639" s="5" t="s">
        <v>811</v>
      </c>
      <c r="O3639" s="5" t="str">
        <f ca="1">IF(P3639&lt;&gt;"EXPEDIÇÃO","Expedido",IF(NETWORKDAYS(C3639,TODAY())&gt;=5,"Risco Alto",IF(NETWORKDAYS(C3639,TODAY())&gt;=3,IF(NETWORKDAYS(C3639,TODAY())&lt;5,"Risco Médio",""),IF(NETWORKDAYS(C3639,TODAY())&lt;=2,"Risco Baixo",""))))</f>
        <v>Expedido</v>
      </c>
      <c r="P3639" s="5" t="s">
        <v>25</v>
      </c>
      <c r="S3639" s="7">
        <f>IF(ISBLANK(M3639),"Aguardando Previsão/Data",NETWORKDAYS(L3639,M3639)-1)</f>
        <v>-5</v>
      </c>
      <c r="T3639" s="5" t="s">
        <v>942</v>
      </c>
    </row>
    <row r="3640" spans="1:20" x14ac:dyDescent="0.35">
      <c r="A3640" s="5">
        <v>8100283938</v>
      </c>
      <c r="B3640" s="5">
        <v>12482</v>
      </c>
      <c r="C3640" s="6">
        <v>45682</v>
      </c>
      <c r="D3640" s="5" t="s">
        <v>158</v>
      </c>
      <c r="E3640" s="5" t="s">
        <v>159</v>
      </c>
      <c r="F3640" s="5" t="s">
        <v>136</v>
      </c>
      <c r="G3640" s="5" t="s">
        <v>137</v>
      </c>
      <c r="H3640" s="5" t="s">
        <v>108</v>
      </c>
      <c r="I3640" s="5" t="s">
        <v>82</v>
      </c>
      <c r="J3640" s="5" t="s">
        <v>306</v>
      </c>
      <c r="K3640" s="5" t="s">
        <v>170</v>
      </c>
      <c r="L3640" s="6">
        <v>45687</v>
      </c>
      <c r="M3640" s="6">
        <v>45685</v>
      </c>
      <c r="N3640" s="5" t="s">
        <v>811</v>
      </c>
      <c r="O3640" s="5" t="str">
        <f ca="1">IF(P3640&lt;&gt;"EXPEDIÇÃO","Expedido",IF(NETWORKDAYS(C3640,TODAY())&gt;=5,"Risco Alto",IF(NETWORKDAYS(C3640,TODAY())&gt;=3,IF(NETWORKDAYS(C3640,TODAY())&lt;5,"Risco Médio",""),IF(NETWORKDAYS(C3640,TODAY())&lt;=2,"Risco Baixo",""))))</f>
        <v>Expedido</v>
      </c>
      <c r="P3640" s="5" t="s">
        <v>25</v>
      </c>
      <c r="S3640" s="7">
        <f>IF(ISBLANK(M3640),"Aguardando Previsão/Data",NETWORKDAYS(L3640,M3640)-1)</f>
        <v>-4</v>
      </c>
      <c r="T3640" s="5" t="s">
        <v>942</v>
      </c>
    </row>
    <row r="3641" spans="1:20" x14ac:dyDescent="0.35">
      <c r="A3641" s="5">
        <v>8100282931</v>
      </c>
      <c r="B3641" s="5">
        <v>19706</v>
      </c>
      <c r="C3641" s="6">
        <v>45682</v>
      </c>
      <c r="D3641" s="5" t="s">
        <v>106</v>
      </c>
      <c r="E3641" s="5" t="s">
        <v>107</v>
      </c>
      <c r="F3641" s="5" t="s">
        <v>69</v>
      </c>
      <c r="G3641" s="5" t="s">
        <v>70</v>
      </c>
      <c r="H3641" s="5" t="s">
        <v>548</v>
      </c>
      <c r="I3641" s="5" t="s">
        <v>1293</v>
      </c>
      <c r="J3641" s="5" t="s">
        <v>1294</v>
      </c>
      <c r="K3641" s="5" t="s">
        <v>274</v>
      </c>
      <c r="L3641" s="6">
        <v>45687</v>
      </c>
      <c r="M3641" s="6">
        <v>45687</v>
      </c>
      <c r="N3641" s="6" t="s">
        <v>811</v>
      </c>
      <c r="O3641" s="5" t="str">
        <f ca="1">IF(P3641&lt;&gt;"EXPEDIÇÃO","Expedido",IF(NETWORKDAYS(C3641,TODAY())&gt;=5,"Risco Alto",IF(NETWORKDAYS(C3641,TODAY())&gt;=3,IF(NETWORKDAYS(C3641,TODAY())&lt;5,"Risco Médio",""),IF(NETWORKDAYS(C3641,TODAY())&lt;=2,"Risco Baixo",""))))</f>
        <v>Expedido</v>
      </c>
      <c r="P3641" s="5" t="s">
        <v>25</v>
      </c>
      <c r="Q3641" s="5" t="s">
        <v>926</v>
      </c>
      <c r="S3641" s="7">
        <f>IF(ISBLANK(M3641),"Aguardando Previsão/Data",NETWORKDAYS(L3641,M3641)-1)</f>
        <v>0</v>
      </c>
      <c r="T3641" s="5" t="s">
        <v>942</v>
      </c>
    </row>
    <row r="3642" spans="1:20" x14ac:dyDescent="0.35">
      <c r="A3642" s="5">
        <v>8100283141</v>
      </c>
      <c r="B3642" s="5">
        <v>19707</v>
      </c>
      <c r="C3642" s="6">
        <v>45682</v>
      </c>
      <c r="D3642" s="5" t="s">
        <v>106</v>
      </c>
      <c r="E3642" s="5" t="s">
        <v>107</v>
      </c>
      <c r="F3642" s="5" t="s">
        <v>69</v>
      </c>
      <c r="G3642" s="5" t="s">
        <v>70</v>
      </c>
      <c r="H3642" s="5" t="s">
        <v>548</v>
      </c>
      <c r="I3642" s="5" t="s">
        <v>1293</v>
      </c>
      <c r="J3642" s="5" t="s">
        <v>1294</v>
      </c>
      <c r="K3642" s="5" t="s">
        <v>274</v>
      </c>
      <c r="L3642" s="6">
        <v>45687</v>
      </c>
      <c r="M3642" s="6">
        <v>45687</v>
      </c>
      <c r="N3642" s="5" t="s">
        <v>811</v>
      </c>
      <c r="O3642" s="5" t="str">
        <f ca="1">IF(P3642&lt;&gt;"EXPEDIÇÃO","Expedido",IF(NETWORKDAYS(C3642,TODAY())&gt;=5,"Risco Alto",IF(NETWORKDAYS(C3642,TODAY())&gt;=3,IF(NETWORKDAYS(C3642,TODAY())&lt;5,"Risco Médio",""),IF(NETWORKDAYS(C3642,TODAY())&lt;=2,"Risco Baixo",""))))</f>
        <v>Expedido</v>
      </c>
      <c r="P3642" s="5" t="s">
        <v>25</v>
      </c>
      <c r="Q3642" s="5" t="s">
        <v>926</v>
      </c>
      <c r="S3642" s="7">
        <f>IF(ISBLANK(M3642),"Aguardando Previsão/Data",NETWORKDAYS(L3642,M3642)-1)</f>
        <v>0</v>
      </c>
      <c r="T3642" s="5" t="s">
        <v>942</v>
      </c>
    </row>
    <row r="3643" spans="1:20" x14ac:dyDescent="0.35">
      <c r="A3643" s="5">
        <v>8100283995</v>
      </c>
      <c r="B3643" s="5">
        <v>17658</v>
      </c>
      <c r="C3643" s="6">
        <v>45684</v>
      </c>
      <c r="D3643" s="5" t="s">
        <v>51</v>
      </c>
      <c r="E3643" s="5" t="s">
        <v>52</v>
      </c>
      <c r="F3643" s="5" t="s">
        <v>406</v>
      </c>
      <c r="G3643" s="5" t="s">
        <v>407</v>
      </c>
      <c r="H3643" s="5" t="s">
        <v>21</v>
      </c>
      <c r="I3643" s="5" t="s">
        <v>751</v>
      </c>
      <c r="J3643" s="5" t="s">
        <v>265</v>
      </c>
      <c r="K3643" s="5" t="s">
        <v>80</v>
      </c>
      <c r="L3643" s="6">
        <v>45691</v>
      </c>
      <c r="M3643" s="6">
        <v>45686</v>
      </c>
      <c r="N3643" s="6" t="s">
        <v>811</v>
      </c>
      <c r="O3643" s="5" t="str">
        <f ca="1">IF(P3643&lt;&gt;"EXPEDIÇÃO","Expedido",IF(NETWORKDAYS(C3643,TODAY())&gt;=5,"Risco Alto",IF(NETWORKDAYS(C3643,TODAY())&gt;=3,IF(NETWORKDAYS(C3643,TODAY())&lt;5,"Risco Médio",""),IF(NETWORKDAYS(C3643,TODAY())&lt;=2,"Risco Baixo",""))))</f>
        <v>Expedido</v>
      </c>
      <c r="P3643" s="5" t="s">
        <v>25</v>
      </c>
      <c r="S3643" s="7">
        <f>IF(ISBLANK(M3643),"Aguardando Previsão/Data",NETWORKDAYS(L3643,M3643)-1)</f>
        <v>-5</v>
      </c>
      <c r="T3643" s="5" t="s">
        <v>942</v>
      </c>
    </row>
    <row r="3644" spans="1:20" x14ac:dyDescent="0.35">
      <c r="A3644" s="5">
        <v>8100284135</v>
      </c>
      <c r="B3644" s="5">
        <v>17659</v>
      </c>
      <c r="C3644" s="6">
        <v>45684</v>
      </c>
      <c r="D3644" s="5" t="s">
        <v>51</v>
      </c>
      <c r="E3644" s="5" t="s">
        <v>52</v>
      </c>
      <c r="F3644" s="5" t="s">
        <v>66</v>
      </c>
      <c r="G3644" s="5" t="s">
        <v>67</v>
      </c>
      <c r="H3644" s="5" t="s">
        <v>21</v>
      </c>
      <c r="I3644" s="5" t="s">
        <v>380</v>
      </c>
      <c r="J3644" s="5" t="s">
        <v>381</v>
      </c>
      <c r="K3644" s="5" t="s">
        <v>57</v>
      </c>
      <c r="L3644" s="6">
        <v>45692</v>
      </c>
      <c r="M3644" s="6">
        <v>45686</v>
      </c>
      <c r="N3644" s="6" t="s">
        <v>811</v>
      </c>
      <c r="O3644" s="5" t="str">
        <f ca="1">IF(P3644&lt;&gt;"EXPEDIÇÃO","Expedido",IF(NETWORKDAYS(C3644,TODAY())&gt;=5,"Risco Alto",IF(NETWORKDAYS(C3644,TODAY())&gt;=3,IF(NETWORKDAYS(C3644,TODAY())&lt;5,"Risco Médio",""),IF(NETWORKDAYS(C3644,TODAY())&lt;=2,"Risco Baixo",""))))</f>
        <v>Expedido</v>
      </c>
      <c r="P3644" s="5" t="s">
        <v>25</v>
      </c>
      <c r="S3644" s="7">
        <f>IF(ISBLANK(M3644),"Aguardando Previsão/Data",NETWORKDAYS(L3644,M3644)-1)</f>
        <v>-6</v>
      </c>
      <c r="T3644" s="5" t="s">
        <v>942</v>
      </c>
    </row>
    <row r="3645" spans="1:20" x14ac:dyDescent="0.35">
      <c r="A3645" s="5">
        <v>8100284325</v>
      </c>
      <c r="B3645" s="5">
        <v>17660</v>
      </c>
      <c r="C3645" s="6">
        <v>45684</v>
      </c>
      <c r="D3645" s="5" t="s">
        <v>51</v>
      </c>
      <c r="E3645" s="5" t="s">
        <v>52</v>
      </c>
      <c r="F3645" s="5" t="s">
        <v>329</v>
      </c>
      <c r="G3645" s="5" t="s">
        <v>330</v>
      </c>
      <c r="H3645" s="5" t="s">
        <v>21</v>
      </c>
      <c r="I3645" s="5" t="s">
        <v>1058</v>
      </c>
      <c r="J3645" s="5" t="s">
        <v>436</v>
      </c>
      <c r="K3645" s="5" t="s">
        <v>57</v>
      </c>
      <c r="L3645" s="6">
        <v>45688</v>
      </c>
      <c r="M3645" s="6">
        <v>45687</v>
      </c>
      <c r="N3645" s="6" t="s">
        <v>811</v>
      </c>
      <c r="O3645" s="5" t="str">
        <f ca="1">IF(P3645&lt;&gt;"EXPEDIÇÃO","Expedido",IF(NETWORKDAYS(C3645,TODAY())&gt;=5,"Risco Alto",IF(NETWORKDAYS(C3645,TODAY())&gt;=3,IF(NETWORKDAYS(C3645,TODAY())&lt;5,"Risco Médio",""),IF(NETWORKDAYS(C3645,TODAY())&lt;=2,"Risco Baixo",""))))</f>
        <v>Expedido</v>
      </c>
      <c r="P3645" s="5" t="s">
        <v>617</v>
      </c>
      <c r="S3645" s="7">
        <f>IF(ISBLANK(M3645),"Aguardando Previsão/Data",NETWORKDAYS(L3645,M3645)-1)</f>
        <v>-3</v>
      </c>
    </row>
    <row r="3646" spans="1:20" x14ac:dyDescent="0.35">
      <c r="A3646" s="5">
        <v>8100284498</v>
      </c>
      <c r="B3646" s="5">
        <v>17661</v>
      </c>
      <c r="C3646" s="6">
        <v>45684</v>
      </c>
      <c r="D3646" s="5" t="s">
        <v>51</v>
      </c>
      <c r="E3646" s="5" t="s">
        <v>52</v>
      </c>
      <c r="F3646" s="5" t="s">
        <v>69</v>
      </c>
      <c r="G3646" s="5" t="s">
        <v>70</v>
      </c>
      <c r="H3646" s="5" t="s">
        <v>21</v>
      </c>
      <c r="I3646" s="5" t="s">
        <v>527</v>
      </c>
      <c r="J3646" s="5" t="s">
        <v>65</v>
      </c>
      <c r="K3646" s="5" t="s">
        <v>57</v>
      </c>
      <c r="L3646" s="6">
        <v>45687</v>
      </c>
      <c r="M3646" s="6">
        <v>45684</v>
      </c>
      <c r="N3646" s="6" t="s">
        <v>811</v>
      </c>
      <c r="O3646" s="5" t="str">
        <f ca="1">IF(P3646&lt;&gt;"EXPEDIÇÃO","Expedido",IF(NETWORKDAYS(C3646,TODAY())&gt;=5,"Risco Alto",IF(NETWORKDAYS(C3646,TODAY())&gt;=3,IF(NETWORKDAYS(C3646,TODAY())&lt;5,"Risco Médio",""),IF(NETWORKDAYS(C3646,TODAY())&lt;=2,"Risco Baixo",""))))</f>
        <v>Expedido</v>
      </c>
      <c r="P3646" s="5" t="s">
        <v>25</v>
      </c>
      <c r="Q3646" s="5" t="s">
        <v>900</v>
      </c>
      <c r="S3646" s="7">
        <f>IF(ISBLANK(M3646),"Aguardando Previsão/Data",NETWORKDAYS(L3646,M3646)-1)</f>
        <v>-5</v>
      </c>
      <c r="T3646" s="5" t="s">
        <v>942</v>
      </c>
    </row>
    <row r="3647" spans="1:20" x14ac:dyDescent="0.35">
      <c r="A3647" s="5">
        <v>8100280915</v>
      </c>
      <c r="B3647" s="5">
        <v>21694</v>
      </c>
      <c r="C3647" s="6">
        <v>45684</v>
      </c>
      <c r="D3647" s="5" t="s">
        <v>17</v>
      </c>
      <c r="E3647" s="5" t="s">
        <v>18</v>
      </c>
      <c r="F3647" s="5" t="s">
        <v>44</v>
      </c>
      <c r="G3647" s="5" t="s">
        <v>45</v>
      </c>
      <c r="H3647" s="5" t="s">
        <v>21</v>
      </c>
      <c r="I3647" s="5" t="s">
        <v>371</v>
      </c>
      <c r="J3647" s="5" t="s">
        <v>372</v>
      </c>
      <c r="K3647" s="5" t="s">
        <v>24</v>
      </c>
      <c r="L3647" s="6">
        <v>45692</v>
      </c>
      <c r="M3647" s="6">
        <v>45691</v>
      </c>
      <c r="N3647" s="6" t="s">
        <v>811</v>
      </c>
      <c r="O3647" s="5" t="str">
        <f ca="1">IF(P3647&lt;&gt;"EXPEDIÇÃO","Expedido",IF(NETWORKDAYS(C3647,TODAY())&gt;=5,"Risco Alto",IF(NETWORKDAYS(C3647,TODAY())&gt;=3,IF(NETWORKDAYS(C3647,TODAY())&lt;5,"Risco Médio",""),IF(NETWORKDAYS(C3647,TODAY())&lt;=2,"Risco Baixo",""))))</f>
        <v>Risco Alto</v>
      </c>
      <c r="P3647" s="5" t="s">
        <v>726</v>
      </c>
      <c r="S3647" s="7">
        <f>IF(ISBLANK(M3647),"Aguardando Previsão/Data",NETWORKDAYS(L3647,M3647)-1)</f>
        <v>-3</v>
      </c>
    </row>
    <row r="3648" spans="1:20" x14ac:dyDescent="0.35">
      <c r="A3648" s="5">
        <v>8100281027</v>
      </c>
      <c r="B3648" s="5">
        <v>21693</v>
      </c>
      <c r="C3648" s="6">
        <v>45684</v>
      </c>
      <c r="D3648" s="5" t="s">
        <v>17</v>
      </c>
      <c r="E3648" s="5" t="s">
        <v>18</v>
      </c>
      <c r="F3648" s="5" t="s">
        <v>27</v>
      </c>
      <c r="G3648" s="5" t="s">
        <v>28</v>
      </c>
      <c r="H3648" s="5" t="s">
        <v>21</v>
      </c>
      <c r="I3648" s="5" t="s">
        <v>1113</v>
      </c>
      <c r="J3648" s="5" t="s">
        <v>566</v>
      </c>
      <c r="K3648" s="5" t="s">
        <v>24</v>
      </c>
      <c r="L3648" s="6">
        <v>45692</v>
      </c>
      <c r="M3648" s="6">
        <v>45691</v>
      </c>
      <c r="N3648" s="6" t="s">
        <v>811</v>
      </c>
      <c r="O3648" s="5" t="str">
        <f ca="1">IF(P3648&lt;&gt;"EXPEDIÇÃO","Expedido",IF(NETWORKDAYS(C3648,TODAY())&gt;=5,"Risco Alto",IF(NETWORKDAYS(C3648,TODAY())&gt;=3,IF(NETWORKDAYS(C3648,TODAY())&lt;5,"Risco Médio",""),IF(NETWORKDAYS(C3648,TODAY())&lt;=2,"Risco Baixo",""))))</f>
        <v>Expedido</v>
      </c>
      <c r="P3648" s="5" t="s">
        <v>617</v>
      </c>
      <c r="S3648" s="7">
        <f>IF(ISBLANK(M3648),"Aguardando Previsão/Data",NETWORKDAYS(L3648,M3648)-1)</f>
        <v>-3</v>
      </c>
    </row>
    <row r="3649" spans="1:20" x14ac:dyDescent="0.35">
      <c r="A3649" s="5">
        <v>8100284124</v>
      </c>
      <c r="B3649" s="5">
        <v>21689</v>
      </c>
      <c r="C3649" s="6">
        <v>45684</v>
      </c>
      <c r="D3649" s="5" t="s">
        <v>17</v>
      </c>
      <c r="E3649" s="5" t="s">
        <v>18</v>
      </c>
      <c r="F3649" s="5" t="s">
        <v>84</v>
      </c>
      <c r="G3649" s="5" t="s">
        <v>85</v>
      </c>
      <c r="H3649" s="5" t="s">
        <v>21</v>
      </c>
      <c r="I3649" s="5" t="s">
        <v>777</v>
      </c>
      <c r="J3649" s="5" t="s">
        <v>45</v>
      </c>
      <c r="K3649" s="5" t="s">
        <v>24</v>
      </c>
      <c r="L3649" s="6">
        <v>45691</v>
      </c>
      <c r="M3649" s="6">
        <v>45688</v>
      </c>
      <c r="N3649" s="6" t="s">
        <v>811</v>
      </c>
      <c r="O3649" s="5" t="str">
        <f ca="1">IF(P3649&lt;&gt;"EXPEDIÇÃO","Expedido",IF(NETWORKDAYS(C3649,TODAY())&gt;=5,"Risco Alto",IF(NETWORKDAYS(C3649,TODAY())&gt;=3,IF(NETWORKDAYS(C3649,TODAY())&lt;5,"Risco Médio",""),IF(NETWORKDAYS(C3649,TODAY())&lt;=2,"Risco Baixo",""))))</f>
        <v>Expedido</v>
      </c>
      <c r="P3649" s="5" t="s">
        <v>617</v>
      </c>
      <c r="S3649" s="7">
        <f>IF(ISBLANK(M3649),"Aguardando Previsão/Data",NETWORKDAYS(L3649,M3649)-1)</f>
        <v>-3</v>
      </c>
    </row>
    <row r="3650" spans="1:20" x14ac:dyDescent="0.35">
      <c r="A3650" s="5">
        <v>8100284126</v>
      </c>
      <c r="B3650" s="5">
        <v>21695</v>
      </c>
      <c r="C3650" s="6">
        <v>45684</v>
      </c>
      <c r="D3650" s="5" t="s">
        <v>17</v>
      </c>
      <c r="E3650" s="5" t="s">
        <v>18</v>
      </c>
      <c r="F3650" s="5" t="s">
        <v>27</v>
      </c>
      <c r="G3650" s="5" t="s">
        <v>28</v>
      </c>
      <c r="H3650" s="5" t="s">
        <v>21</v>
      </c>
      <c r="I3650" s="5" t="s">
        <v>328</v>
      </c>
      <c r="J3650" s="5" t="s">
        <v>28</v>
      </c>
      <c r="K3650" s="5" t="s">
        <v>24</v>
      </c>
      <c r="L3650" s="6">
        <v>45691</v>
      </c>
      <c r="M3650" s="6">
        <v>45688</v>
      </c>
      <c r="N3650" s="6" t="s">
        <v>811</v>
      </c>
      <c r="O3650" s="5" t="str">
        <f ca="1">IF(P3650&lt;&gt;"EXPEDIÇÃO","Expedido",IF(NETWORKDAYS(C3650,TODAY())&gt;=5,"Risco Alto",IF(NETWORKDAYS(C3650,TODAY())&gt;=3,IF(NETWORKDAYS(C3650,TODAY())&lt;5,"Risco Médio",""),IF(NETWORKDAYS(C3650,TODAY())&lt;=2,"Risco Baixo",""))))</f>
        <v>Expedido</v>
      </c>
      <c r="P3650" s="5" t="s">
        <v>617</v>
      </c>
      <c r="S3650" s="7">
        <f>IF(ISBLANK(M3650),"Aguardando Previsão/Data",NETWORKDAYS(L3650,M3650)-1)</f>
        <v>-3</v>
      </c>
    </row>
    <row r="3651" spans="1:20" x14ac:dyDescent="0.35">
      <c r="A3651" s="5">
        <v>8100284127</v>
      </c>
      <c r="B3651" s="5">
        <v>21690</v>
      </c>
      <c r="C3651" s="6">
        <v>45684</v>
      </c>
      <c r="D3651" s="5" t="s">
        <v>17</v>
      </c>
      <c r="E3651" s="5" t="s">
        <v>18</v>
      </c>
      <c r="F3651" s="5" t="s">
        <v>27</v>
      </c>
      <c r="G3651" s="5" t="s">
        <v>28</v>
      </c>
      <c r="H3651" s="5" t="s">
        <v>21</v>
      </c>
      <c r="I3651" s="5" t="s">
        <v>1562</v>
      </c>
      <c r="J3651" s="5" t="s">
        <v>364</v>
      </c>
      <c r="K3651" s="5" t="s">
        <v>24</v>
      </c>
      <c r="L3651" s="6">
        <v>45691</v>
      </c>
      <c r="M3651" s="6">
        <v>45688</v>
      </c>
      <c r="N3651" s="6" t="s">
        <v>811</v>
      </c>
      <c r="O3651" s="5" t="str">
        <f ca="1">IF(P3651&lt;&gt;"EXPEDIÇÃO","Expedido",IF(NETWORKDAYS(C3651,TODAY())&gt;=5,"Risco Alto",IF(NETWORKDAYS(C3651,TODAY())&gt;=3,IF(NETWORKDAYS(C3651,TODAY())&lt;5,"Risco Médio",""),IF(NETWORKDAYS(C3651,TODAY())&lt;=2,"Risco Baixo",""))))</f>
        <v>Expedido</v>
      </c>
      <c r="P3651" s="5" t="s">
        <v>617</v>
      </c>
      <c r="S3651" s="7">
        <f>IF(ISBLANK(M3651),"Aguardando Previsão/Data",NETWORKDAYS(L3651,M3651)-1)</f>
        <v>-3</v>
      </c>
    </row>
    <row r="3652" spans="1:20" x14ac:dyDescent="0.35">
      <c r="A3652" s="5">
        <v>8100284128</v>
      </c>
      <c r="B3652" s="5">
        <v>21692</v>
      </c>
      <c r="C3652" s="6">
        <v>45684</v>
      </c>
      <c r="D3652" s="5" t="s">
        <v>17</v>
      </c>
      <c r="E3652" s="5" t="s">
        <v>18</v>
      </c>
      <c r="F3652" s="5" t="s">
        <v>44</v>
      </c>
      <c r="G3652" s="5" t="s">
        <v>45</v>
      </c>
      <c r="H3652" s="5" t="s">
        <v>21</v>
      </c>
      <c r="I3652" s="5" t="s">
        <v>643</v>
      </c>
      <c r="J3652" s="5" t="s">
        <v>48</v>
      </c>
      <c r="K3652" s="5" t="s">
        <v>24</v>
      </c>
      <c r="L3652" s="6">
        <v>45692</v>
      </c>
      <c r="M3652" s="6">
        <v>45691</v>
      </c>
      <c r="N3652" s="6" t="s">
        <v>811</v>
      </c>
      <c r="O3652" s="5" t="str">
        <f ca="1">IF(P3652&lt;&gt;"EXPEDIÇÃO","Expedido",IF(NETWORKDAYS(C3652,TODAY())&gt;=5,"Risco Alto",IF(NETWORKDAYS(C3652,TODAY())&gt;=3,IF(NETWORKDAYS(C3652,TODAY())&lt;5,"Risco Médio",""),IF(NETWORKDAYS(C3652,TODAY())&lt;=2,"Risco Baixo",""))))</f>
        <v>Risco Alto</v>
      </c>
      <c r="P3652" s="5" t="s">
        <v>726</v>
      </c>
      <c r="S3652" s="7">
        <f>IF(ISBLANK(M3652),"Aguardando Previsão/Data",NETWORKDAYS(L3652,M3652)-1)</f>
        <v>-3</v>
      </c>
    </row>
    <row r="3653" spans="1:20" x14ac:dyDescent="0.35">
      <c r="A3653" s="5">
        <v>8100284129</v>
      </c>
      <c r="B3653" s="5">
        <v>21691</v>
      </c>
      <c r="C3653" s="6">
        <v>45684</v>
      </c>
      <c r="D3653" s="5" t="s">
        <v>17</v>
      </c>
      <c r="E3653" s="5" t="s">
        <v>18</v>
      </c>
      <c r="F3653" s="5" t="s">
        <v>44</v>
      </c>
      <c r="G3653" s="5" t="s">
        <v>45</v>
      </c>
      <c r="H3653" s="5" t="s">
        <v>21</v>
      </c>
      <c r="I3653" s="5" t="s">
        <v>635</v>
      </c>
      <c r="J3653" s="5" t="s">
        <v>47</v>
      </c>
      <c r="K3653" s="5" t="s">
        <v>24</v>
      </c>
      <c r="L3653" s="6">
        <v>45691</v>
      </c>
      <c r="M3653" s="6">
        <v>45688</v>
      </c>
      <c r="N3653" s="6" t="s">
        <v>811</v>
      </c>
      <c r="O3653" s="5" t="str">
        <f ca="1">IF(P3653&lt;&gt;"EXPEDIÇÃO","Expedido",IF(NETWORKDAYS(C3653,TODAY())&gt;=5,"Risco Alto",IF(NETWORKDAYS(C3653,TODAY())&gt;=3,IF(NETWORKDAYS(C3653,TODAY())&lt;5,"Risco Médio",""),IF(NETWORKDAYS(C3653,TODAY())&lt;=2,"Risco Baixo",""))))</f>
        <v>Expedido</v>
      </c>
      <c r="P3653" s="5" t="s">
        <v>617</v>
      </c>
      <c r="S3653" s="7">
        <f>IF(ISBLANK(M3653),"Aguardando Previsão/Data",NETWORKDAYS(L3653,M3653)-1)</f>
        <v>-3</v>
      </c>
    </row>
    <row r="3654" spans="1:20" x14ac:dyDescent="0.35">
      <c r="A3654" s="5">
        <v>8100284130</v>
      </c>
      <c r="B3654" s="5">
        <v>21696</v>
      </c>
      <c r="C3654" s="6">
        <v>45684</v>
      </c>
      <c r="D3654" s="5" t="s">
        <v>17</v>
      </c>
      <c r="E3654" s="5" t="s">
        <v>18</v>
      </c>
      <c r="F3654" s="5" t="s">
        <v>27</v>
      </c>
      <c r="G3654" s="5" t="s">
        <v>28</v>
      </c>
      <c r="H3654" s="5" t="s">
        <v>21</v>
      </c>
      <c r="I3654" s="5" t="s">
        <v>1563</v>
      </c>
      <c r="J3654" s="5" t="s">
        <v>43</v>
      </c>
      <c r="K3654" s="5" t="s">
        <v>24</v>
      </c>
      <c r="L3654" s="6">
        <v>45691</v>
      </c>
      <c r="M3654" s="6">
        <v>45686</v>
      </c>
      <c r="N3654" s="6" t="s">
        <v>811</v>
      </c>
      <c r="O3654" s="5" t="str">
        <f ca="1">IF(P3654&lt;&gt;"EXPEDIÇÃO","Expedido",IF(NETWORKDAYS(C3654,TODAY())&gt;=5,"Risco Alto",IF(NETWORKDAYS(C3654,TODAY())&gt;=3,IF(NETWORKDAYS(C3654,TODAY())&lt;5,"Risco Médio",""),IF(NETWORKDAYS(C3654,TODAY())&lt;=2,"Risco Baixo",""))))</f>
        <v>Expedido</v>
      </c>
      <c r="P3654" s="5" t="s">
        <v>25</v>
      </c>
      <c r="S3654" s="7">
        <f>IF(ISBLANK(M3654),"Aguardando Previsão/Data",NETWORKDAYS(L3654,M3654)-1)</f>
        <v>-5</v>
      </c>
      <c r="T3654" s="5" t="s">
        <v>942</v>
      </c>
    </row>
    <row r="3655" spans="1:20" x14ac:dyDescent="0.35">
      <c r="A3655" s="5">
        <v>8100284219</v>
      </c>
      <c r="B3655" s="5">
        <v>21697</v>
      </c>
      <c r="C3655" s="6">
        <v>45684</v>
      </c>
      <c r="D3655" s="5" t="s">
        <v>17</v>
      </c>
      <c r="E3655" s="5" t="s">
        <v>18</v>
      </c>
      <c r="F3655" s="5" t="s">
        <v>44</v>
      </c>
      <c r="G3655" s="5" t="s">
        <v>45</v>
      </c>
      <c r="H3655" s="5" t="s">
        <v>21</v>
      </c>
      <c r="I3655" s="5" t="s">
        <v>643</v>
      </c>
      <c r="J3655" s="5" t="s">
        <v>48</v>
      </c>
      <c r="K3655" s="5" t="s">
        <v>24</v>
      </c>
      <c r="L3655" s="6">
        <v>45692</v>
      </c>
      <c r="M3655" s="6">
        <v>45691</v>
      </c>
      <c r="N3655" s="6" t="s">
        <v>811</v>
      </c>
      <c r="O3655" s="5" t="str">
        <f ca="1">IF(P3655&lt;&gt;"EXPEDIÇÃO","Expedido",IF(NETWORKDAYS(C3655,TODAY())&gt;=5,"Risco Alto",IF(NETWORKDAYS(C3655,TODAY())&gt;=3,IF(NETWORKDAYS(C3655,TODAY())&lt;5,"Risco Médio",""),IF(NETWORKDAYS(C3655,TODAY())&lt;=2,"Risco Baixo",""))))</f>
        <v>Risco Alto</v>
      </c>
      <c r="P3655" s="5" t="s">
        <v>726</v>
      </c>
      <c r="S3655" s="7">
        <f>IF(ISBLANK(M3655),"Aguardando Previsão/Data",NETWORKDAYS(L3655,M3655)-1)</f>
        <v>-3</v>
      </c>
    </row>
    <row r="3656" spans="1:20" x14ac:dyDescent="0.35">
      <c r="A3656" s="5">
        <v>8100284220</v>
      </c>
      <c r="B3656" s="5">
        <v>21703</v>
      </c>
      <c r="C3656" s="6">
        <v>45684</v>
      </c>
      <c r="D3656" s="5" t="s">
        <v>17</v>
      </c>
      <c r="E3656" s="5" t="s">
        <v>18</v>
      </c>
      <c r="F3656" s="5" t="s">
        <v>44</v>
      </c>
      <c r="G3656" s="5" t="s">
        <v>45</v>
      </c>
      <c r="H3656" s="5" t="s">
        <v>21</v>
      </c>
      <c r="I3656" s="5" t="s">
        <v>1450</v>
      </c>
      <c r="J3656" s="5" t="s">
        <v>45</v>
      </c>
      <c r="K3656" s="5" t="s">
        <v>24</v>
      </c>
      <c r="L3656" s="6">
        <v>45691</v>
      </c>
      <c r="M3656" s="6">
        <v>45688</v>
      </c>
      <c r="N3656" s="6" t="s">
        <v>811</v>
      </c>
      <c r="O3656" s="5" t="str">
        <f ca="1">IF(P3656&lt;&gt;"EXPEDIÇÃO","Expedido",IF(NETWORKDAYS(C3656,TODAY())&gt;=5,"Risco Alto",IF(NETWORKDAYS(C3656,TODAY())&gt;=3,IF(NETWORKDAYS(C3656,TODAY())&lt;5,"Risco Médio",""),IF(NETWORKDAYS(C3656,TODAY())&lt;=2,"Risco Baixo",""))))</f>
        <v>Expedido</v>
      </c>
      <c r="P3656" s="5" t="s">
        <v>617</v>
      </c>
      <c r="S3656" s="7">
        <f>IF(ISBLANK(M3656),"Aguardando Previsão/Data",NETWORKDAYS(L3656,M3656)-1)</f>
        <v>-3</v>
      </c>
    </row>
    <row r="3657" spans="1:20" x14ac:dyDescent="0.35">
      <c r="A3657" s="5">
        <v>8100284221</v>
      </c>
      <c r="B3657" s="5">
        <v>21704</v>
      </c>
      <c r="C3657" s="6">
        <v>45684</v>
      </c>
      <c r="D3657" s="5" t="s">
        <v>17</v>
      </c>
      <c r="E3657" s="5" t="s">
        <v>18</v>
      </c>
      <c r="F3657" s="5" t="s">
        <v>84</v>
      </c>
      <c r="G3657" s="5" t="s">
        <v>85</v>
      </c>
      <c r="H3657" s="5" t="s">
        <v>21</v>
      </c>
      <c r="I3657" s="5" t="s">
        <v>845</v>
      </c>
      <c r="J3657" s="5" t="s">
        <v>566</v>
      </c>
      <c r="K3657" s="5" t="s">
        <v>24</v>
      </c>
      <c r="L3657" s="6">
        <v>45692</v>
      </c>
      <c r="M3657" s="6">
        <v>45691</v>
      </c>
      <c r="N3657" s="6" t="s">
        <v>811</v>
      </c>
      <c r="O3657" s="5" t="str">
        <f ca="1">IF(P3657&lt;&gt;"EXPEDIÇÃO","Expedido",IF(NETWORKDAYS(C3657,TODAY())&gt;=5,"Risco Alto",IF(NETWORKDAYS(C3657,TODAY())&gt;=3,IF(NETWORKDAYS(C3657,TODAY())&lt;5,"Risco Médio",""),IF(NETWORKDAYS(C3657,TODAY())&lt;=2,"Risco Baixo",""))))</f>
        <v>Risco Alto</v>
      </c>
      <c r="P3657" s="5" t="s">
        <v>726</v>
      </c>
      <c r="S3657" s="7">
        <f>IF(ISBLANK(M3657),"Aguardando Previsão/Data",NETWORKDAYS(L3657,M3657)-1)</f>
        <v>-3</v>
      </c>
    </row>
    <row r="3658" spans="1:20" x14ac:dyDescent="0.35">
      <c r="A3658" s="5">
        <v>8100284318</v>
      </c>
      <c r="B3658" s="5">
        <v>21702</v>
      </c>
      <c r="C3658" s="6">
        <v>45684</v>
      </c>
      <c r="D3658" s="5" t="s">
        <v>17</v>
      </c>
      <c r="E3658" s="5" t="s">
        <v>18</v>
      </c>
      <c r="F3658" s="5" t="s">
        <v>39</v>
      </c>
      <c r="G3658" s="5" t="s">
        <v>40</v>
      </c>
      <c r="H3658" s="5" t="s">
        <v>21</v>
      </c>
      <c r="I3658" s="5" t="s">
        <v>1545</v>
      </c>
      <c r="J3658" s="5" t="s">
        <v>1546</v>
      </c>
      <c r="K3658" s="5" t="s">
        <v>24</v>
      </c>
      <c r="L3658" s="6">
        <v>45698</v>
      </c>
      <c r="M3658" s="6">
        <v>45695</v>
      </c>
      <c r="N3658" s="6" t="s">
        <v>811</v>
      </c>
      <c r="O3658" s="5" t="str">
        <f ca="1">IF(P3658&lt;&gt;"EXPEDIÇÃO","Expedido",IF(NETWORKDAYS(C3658,TODAY())&gt;=5,"Risco Alto",IF(NETWORKDAYS(C3658,TODAY())&gt;=3,IF(NETWORKDAYS(C3658,TODAY())&lt;5,"Risco Médio",""),IF(NETWORKDAYS(C3658,TODAY())&lt;=2,"Risco Baixo",""))))</f>
        <v>Risco Alto</v>
      </c>
      <c r="P3658" s="5" t="s">
        <v>726</v>
      </c>
      <c r="S3658" s="7">
        <f>IF(ISBLANK(M3658),"Aguardando Previsão/Data",NETWORKDAYS(L3658,M3658)-1)</f>
        <v>-3</v>
      </c>
    </row>
    <row r="3659" spans="1:20" x14ac:dyDescent="0.35">
      <c r="A3659" s="5">
        <v>8100284319</v>
      </c>
      <c r="B3659" s="5">
        <v>21699</v>
      </c>
      <c r="C3659" s="6">
        <v>45684</v>
      </c>
      <c r="D3659" s="5" t="s">
        <v>17</v>
      </c>
      <c r="E3659" s="5" t="s">
        <v>18</v>
      </c>
      <c r="F3659" s="5" t="s">
        <v>406</v>
      </c>
      <c r="G3659" s="5" t="s">
        <v>407</v>
      </c>
      <c r="H3659" s="5" t="s">
        <v>21</v>
      </c>
      <c r="I3659" s="5" t="s">
        <v>1059</v>
      </c>
      <c r="J3659" s="5" t="s">
        <v>599</v>
      </c>
      <c r="K3659" s="5" t="s">
        <v>24</v>
      </c>
      <c r="L3659" s="6">
        <v>45692</v>
      </c>
      <c r="M3659" s="6">
        <v>45691</v>
      </c>
      <c r="N3659" s="6" t="s">
        <v>811</v>
      </c>
      <c r="O3659" s="5" t="str">
        <f ca="1">IF(P3659&lt;&gt;"EXPEDIÇÃO","Expedido",IF(NETWORKDAYS(C3659,TODAY())&gt;=5,"Risco Alto",IF(NETWORKDAYS(C3659,TODAY())&gt;=3,IF(NETWORKDAYS(C3659,TODAY())&lt;5,"Risco Médio",""),IF(NETWORKDAYS(C3659,TODAY())&lt;=2,"Risco Baixo",""))))</f>
        <v>Risco Alto</v>
      </c>
      <c r="P3659" s="5" t="s">
        <v>726</v>
      </c>
      <c r="S3659" s="7">
        <f>IF(ISBLANK(M3659),"Aguardando Previsão/Data",NETWORKDAYS(L3659,M3659)-1)</f>
        <v>-3</v>
      </c>
    </row>
    <row r="3660" spans="1:20" x14ac:dyDescent="0.35">
      <c r="A3660" s="5">
        <v>8100284320</v>
      </c>
      <c r="B3660" s="5">
        <v>21705</v>
      </c>
      <c r="C3660" s="6">
        <v>45684</v>
      </c>
      <c r="D3660" s="5" t="s">
        <v>17</v>
      </c>
      <c r="E3660" s="5" t="s">
        <v>18</v>
      </c>
      <c r="F3660" s="5" t="s">
        <v>84</v>
      </c>
      <c r="G3660" s="5" t="s">
        <v>85</v>
      </c>
      <c r="H3660" s="5" t="s">
        <v>21</v>
      </c>
      <c r="I3660" s="5" t="s">
        <v>845</v>
      </c>
      <c r="J3660" s="5" t="s">
        <v>566</v>
      </c>
      <c r="K3660" s="5" t="s">
        <v>24</v>
      </c>
      <c r="L3660" s="6">
        <v>45692</v>
      </c>
      <c r="M3660" s="6">
        <v>45691</v>
      </c>
      <c r="N3660" s="6" t="s">
        <v>811</v>
      </c>
      <c r="O3660" s="5" t="str">
        <f ca="1">IF(P3660&lt;&gt;"EXPEDIÇÃO","Expedido",IF(NETWORKDAYS(C3660,TODAY())&gt;=5,"Risco Alto",IF(NETWORKDAYS(C3660,TODAY())&gt;=3,IF(NETWORKDAYS(C3660,TODAY())&lt;5,"Risco Médio",""),IF(NETWORKDAYS(C3660,TODAY())&lt;=2,"Risco Baixo",""))))</f>
        <v>Risco Alto</v>
      </c>
      <c r="P3660" s="5" t="s">
        <v>726</v>
      </c>
      <c r="S3660" s="7">
        <f>IF(ISBLANK(M3660),"Aguardando Previsão/Data",NETWORKDAYS(L3660,M3660)-1)</f>
        <v>-3</v>
      </c>
    </row>
    <row r="3661" spans="1:20" x14ac:dyDescent="0.35">
      <c r="A3661" s="5">
        <v>8100284321</v>
      </c>
      <c r="B3661" s="5">
        <v>21700</v>
      </c>
      <c r="C3661" s="6">
        <v>45684</v>
      </c>
      <c r="D3661" s="5" t="s">
        <v>17</v>
      </c>
      <c r="E3661" s="5" t="s">
        <v>18</v>
      </c>
      <c r="F3661" s="5" t="s">
        <v>44</v>
      </c>
      <c r="G3661" s="5" t="s">
        <v>45</v>
      </c>
      <c r="H3661" s="5" t="s">
        <v>21</v>
      </c>
      <c r="I3661" s="5" t="s">
        <v>1565</v>
      </c>
      <c r="J3661" s="5" t="s">
        <v>45</v>
      </c>
      <c r="K3661" s="5" t="s">
        <v>24</v>
      </c>
      <c r="L3661" s="6">
        <v>45691</v>
      </c>
      <c r="M3661" s="6">
        <v>45688</v>
      </c>
      <c r="N3661" s="6" t="s">
        <v>811</v>
      </c>
      <c r="O3661" s="5" t="str">
        <f ca="1">IF(P3661&lt;&gt;"EXPEDIÇÃO","Expedido",IF(NETWORKDAYS(C3661,TODAY())&gt;=5,"Risco Alto",IF(NETWORKDAYS(C3661,TODAY())&gt;=3,IF(NETWORKDAYS(C3661,TODAY())&lt;5,"Risco Médio",""),IF(NETWORKDAYS(C3661,TODAY())&lt;=2,"Risco Baixo",""))))</f>
        <v>Expedido</v>
      </c>
      <c r="P3661" s="5" t="s">
        <v>617</v>
      </c>
      <c r="S3661" s="7">
        <f>IF(ISBLANK(M3661),"Aguardando Previsão/Data",NETWORKDAYS(L3661,M3661)-1)</f>
        <v>-3</v>
      </c>
    </row>
    <row r="3662" spans="1:20" x14ac:dyDescent="0.35">
      <c r="A3662" s="5">
        <v>8100284322</v>
      </c>
      <c r="B3662" s="5">
        <v>21701</v>
      </c>
      <c r="C3662" s="6">
        <v>45684</v>
      </c>
      <c r="D3662" s="5" t="s">
        <v>17</v>
      </c>
      <c r="E3662" s="5" t="s">
        <v>18</v>
      </c>
      <c r="F3662" s="5" t="s">
        <v>44</v>
      </c>
      <c r="G3662" s="5" t="s">
        <v>45</v>
      </c>
      <c r="H3662" s="5" t="s">
        <v>21</v>
      </c>
      <c r="I3662" s="5" t="s">
        <v>1566</v>
      </c>
      <c r="J3662" s="5" t="s">
        <v>594</v>
      </c>
      <c r="K3662" s="5" t="s">
        <v>24</v>
      </c>
      <c r="L3662" s="6">
        <v>45692</v>
      </c>
      <c r="M3662" s="6">
        <v>45691</v>
      </c>
      <c r="N3662" s="6" t="s">
        <v>811</v>
      </c>
      <c r="O3662" s="5" t="str">
        <f ca="1">IF(P3662&lt;&gt;"EXPEDIÇÃO","Expedido",IF(NETWORKDAYS(C3662,TODAY())&gt;=5,"Risco Alto",IF(NETWORKDAYS(C3662,TODAY())&gt;=3,IF(NETWORKDAYS(C3662,TODAY())&lt;5,"Risco Médio",""),IF(NETWORKDAYS(C3662,TODAY())&lt;=2,"Risco Baixo",""))))</f>
        <v>Risco Alto</v>
      </c>
      <c r="P3662" s="5" t="s">
        <v>726</v>
      </c>
      <c r="S3662" s="7">
        <f>IF(ISBLANK(M3662),"Aguardando Previsão/Data",NETWORKDAYS(L3662,M3662)-1)</f>
        <v>-3</v>
      </c>
    </row>
    <row r="3663" spans="1:20" x14ac:dyDescent="0.35">
      <c r="A3663" s="5">
        <v>8100284324</v>
      </c>
      <c r="B3663" s="5">
        <v>21706</v>
      </c>
      <c r="C3663" s="6">
        <v>45684</v>
      </c>
      <c r="D3663" s="5" t="s">
        <v>17</v>
      </c>
      <c r="E3663" s="5" t="s">
        <v>18</v>
      </c>
      <c r="F3663" s="5" t="s">
        <v>84</v>
      </c>
      <c r="G3663" s="5" t="s">
        <v>85</v>
      </c>
      <c r="H3663" s="5" t="s">
        <v>21</v>
      </c>
      <c r="I3663" s="5" t="s">
        <v>845</v>
      </c>
      <c r="J3663" s="5" t="s">
        <v>566</v>
      </c>
      <c r="K3663" s="5" t="s">
        <v>24</v>
      </c>
      <c r="L3663" s="6">
        <v>45692</v>
      </c>
      <c r="M3663" s="6">
        <v>45691</v>
      </c>
      <c r="N3663" s="6" t="s">
        <v>811</v>
      </c>
      <c r="O3663" s="5" t="str">
        <f ca="1">IF(P3663&lt;&gt;"EXPEDIÇÃO","Expedido",IF(NETWORKDAYS(C3663,TODAY())&gt;=5,"Risco Alto",IF(NETWORKDAYS(C3663,TODAY())&gt;=3,IF(NETWORKDAYS(C3663,TODAY())&lt;5,"Risco Médio",""),IF(NETWORKDAYS(C3663,TODAY())&lt;=2,"Risco Baixo",""))))</f>
        <v>Expedido</v>
      </c>
      <c r="P3663" s="5" t="s">
        <v>617</v>
      </c>
      <c r="S3663" s="7">
        <f>IF(ISBLANK(M3663),"Aguardando Previsão/Data",NETWORKDAYS(L3663,M3663)-1)</f>
        <v>-3</v>
      </c>
    </row>
    <row r="3664" spans="1:20" x14ac:dyDescent="0.35">
      <c r="A3664" s="5">
        <v>8100284364</v>
      </c>
      <c r="B3664" s="5">
        <v>21707</v>
      </c>
      <c r="C3664" s="6">
        <v>45684</v>
      </c>
      <c r="D3664" s="5" t="s">
        <v>17</v>
      </c>
      <c r="E3664" s="5" t="s">
        <v>18</v>
      </c>
      <c r="F3664" s="5" t="s">
        <v>44</v>
      </c>
      <c r="G3664" s="5" t="s">
        <v>45</v>
      </c>
      <c r="H3664" s="5" t="s">
        <v>21</v>
      </c>
      <c r="I3664" s="5" t="s">
        <v>327</v>
      </c>
      <c r="J3664" s="5" t="s">
        <v>45</v>
      </c>
      <c r="K3664" s="5" t="s">
        <v>24</v>
      </c>
      <c r="L3664" s="6">
        <v>45691</v>
      </c>
      <c r="M3664" s="6">
        <v>45688</v>
      </c>
      <c r="N3664" s="6" t="s">
        <v>811</v>
      </c>
      <c r="O3664" s="5" t="str">
        <f ca="1">IF(P3664&lt;&gt;"EXPEDIÇÃO","Expedido",IF(NETWORKDAYS(C3664,TODAY())&gt;=5,"Risco Alto",IF(NETWORKDAYS(C3664,TODAY())&gt;=3,IF(NETWORKDAYS(C3664,TODAY())&lt;5,"Risco Médio",""),IF(NETWORKDAYS(C3664,TODAY())&lt;=2,"Risco Baixo",""))))</f>
        <v>Risco Alto</v>
      </c>
      <c r="P3664" s="5" t="s">
        <v>726</v>
      </c>
      <c r="S3664" s="7">
        <f>IF(ISBLANK(M3664),"Aguardando Previsão/Data",NETWORKDAYS(L3664,M3664)-1)</f>
        <v>-3</v>
      </c>
    </row>
    <row r="3665" spans="1:19" x14ac:dyDescent="0.35">
      <c r="A3665" s="5">
        <v>8100284366</v>
      </c>
      <c r="B3665" s="5">
        <v>21708</v>
      </c>
      <c r="C3665" s="6">
        <v>45684</v>
      </c>
      <c r="D3665" s="5" t="s">
        <v>17</v>
      </c>
      <c r="E3665" s="5" t="s">
        <v>18</v>
      </c>
      <c r="F3665" s="5" t="s">
        <v>44</v>
      </c>
      <c r="G3665" s="5" t="s">
        <v>45</v>
      </c>
      <c r="H3665" s="5" t="s">
        <v>21</v>
      </c>
      <c r="I3665" s="5" t="s">
        <v>327</v>
      </c>
      <c r="J3665" s="5" t="s">
        <v>45</v>
      </c>
      <c r="K3665" s="5" t="s">
        <v>24</v>
      </c>
      <c r="L3665" s="6">
        <v>45691</v>
      </c>
      <c r="M3665" s="6">
        <v>45688</v>
      </c>
      <c r="N3665" s="6" t="s">
        <v>811</v>
      </c>
      <c r="O3665" s="5" t="str">
        <f ca="1">IF(P3665&lt;&gt;"EXPEDIÇÃO","Expedido",IF(NETWORKDAYS(C3665,TODAY())&gt;=5,"Risco Alto",IF(NETWORKDAYS(C3665,TODAY())&gt;=3,IF(NETWORKDAYS(C3665,TODAY())&lt;5,"Risco Médio",""),IF(NETWORKDAYS(C3665,TODAY())&lt;=2,"Risco Baixo",""))))</f>
        <v>Risco Alto</v>
      </c>
      <c r="P3665" s="5" t="s">
        <v>726</v>
      </c>
      <c r="S3665" s="7">
        <f>IF(ISBLANK(M3665),"Aguardando Previsão/Data",NETWORKDAYS(L3665,M3665)-1)</f>
        <v>-3</v>
      </c>
    </row>
    <row r="3666" spans="1:19" x14ac:dyDescent="0.35">
      <c r="A3666" s="5">
        <v>8100284479</v>
      </c>
      <c r="B3666" s="5">
        <v>21712</v>
      </c>
      <c r="C3666" s="6">
        <v>45684</v>
      </c>
      <c r="D3666" s="5" t="s">
        <v>17</v>
      </c>
      <c r="E3666" s="5" t="s">
        <v>18</v>
      </c>
      <c r="F3666" s="5" t="s">
        <v>39</v>
      </c>
      <c r="G3666" s="5" t="s">
        <v>40</v>
      </c>
      <c r="H3666" s="5" t="s">
        <v>21</v>
      </c>
      <c r="I3666" s="5" t="s">
        <v>464</v>
      </c>
      <c r="J3666" s="5" t="s">
        <v>465</v>
      </c>
      <c r="K3666" s="5" t="s">
        <v>24</v>
      </c>
      <c r="L3666" s="6">
        <v>45694</v>
      </c>
      <c r="M3666" s="6">
        <v>45693</v>
      </c>
      <c r="N3666" s="6" t="s">
        <v>811</v>
      </c>
      <c r="O3666" s="5" t="str">
        <f ca="1">IF(P3666&lt;&gt;"EXPEDIÇÃO","Expedido",IF(NETWORKDAYS(C3666,TODAY())&gt;=5,"Risco Alto",IF(NETWORKDAYS(C3666,TODAY())&gt;=3,IF(NETWORKDAYS(C3666,TODAY())&lt;5,"Risco Médio",""),IF(NETWORKDAYS(C3666,TODAY())&lt;=2,"Risco Baixo",""))))</f>
        <v>Risco Alto</v>
      </c>
      <c r="P3666" s="5" t="s">
        <v>726</v>
      </c>
      <c r="S3666" s="7">
        <f>IF(ISBLANK(M3666),"Aguardando Previsão/Data",NETWORKDAYS(L3666,M3666)-1)</f>
        <v>-3</v>
      </c>
    </row>
    <row r="3667" spans="1:19" x14ac:dyDescent="0.35">
      <c r="A3667" s="5">
        <v>8100284480</v>
      </c>
      <c r="B3667" s="5">
        <v>21713</v>
      </c>
      <c r="C3667" s="6">
        <v>45684</v>
      </c>
      <c r="D3667" s="5" t="s">
        <v>17</v>
      </c>
      <c r="E3667" s="5" t="s">
        <v>18</v>
      </c>
      <c r="F3667" s="5" t="s">
        <v>44</v>
      </c>
      <c r="G3667" s="5" t="s">
        <v>45</v>
      </c>
      <c r="H3667" s="5" t="s">
        <v>21</v>
      </c>
      <c r="I3667" s="5" t="s">
        <v>1530</v>
      </c>
      <c r="J3667" s="5" t="s">
        <v>1060</v>
      </c>
      <c r="K3667" s="5" t="s">
        <v>24</v>
      </c>
      <c r="L3667" s="6">
        <v>45695</v>
      </c>
      <c r="M3667" s="6">
        <v>45694</v>
      </c>
      <c r="N3667" s="6" t="s">
        <v>811</v>
      </c>
      <c r="O3667" s="5" t="str">
        <f ca="1">IF(P3667&lt;&gt;"EXPEDIÇÃO","Expedido",IF(NETWORKDAYS(C3667,TODAY())&gt;=5,"Risco Alto",IF(NETWORKDAYS(C3667,TODAY())&gt;=3,IF(NETWORKDAYS(C3667,TODAY())&lt;5,"Risco Médio",""),IF(NETWORKDAYS(C3667,TODAY())&lt;=2,"Risco Baixo",""))))</f>
        <v>Risco Alto</v>
      </c>
      <c r="P3667" s="5" t="s">
        <v>726</v>
      </c>
      <c r="S3667" s="7">
        <f>IF(ISBLANK(M3667),"Aguardando Previsão/Data",NETWORKDAYS(L3667,M3667)-1)</f>
        <v>-3</v>
      </c>
    </row>
    <row r="3668" spans="1:19" x14ac:dyDescent="0.35">
      <c r="A3668" s="5">
        <v>8100284481</v>
      </c>
      <c r="B3668" s="5">
        <v>21717</v>
      </c>
      <c r="C3668" s="6">
        <v>45684</v>
      </c>
      <c r="D3668" s="5" t="s">
        <v>17</v>
      </c>
      <c r="E3668" s="5" t="s">
        <v>18</v>
      </c>
      <c r="F3668" s="5" t="s">
        <v>39</v>
      </c>
      <c r="G3668" s="5" t="s">
        <v>40</v>
      </c>
      <c r="H3668" s="5" t="s">
        <v>21</v>
      </c>
      <c r="I3668" s="5" t="s">
        <v>1097</v>
      </c>
      <c r="J3668" s="5" t="s">
        <v>466</v>
      </c>
      <c r="K3668" s="5" t="s">
        <v>24</v>
      </c>
      <c r="L3668" s="6">
        <v>45694</v>
      </c>
      <c r="M3668" s="6">
        <v>45693</v>
      </c>
      <c r="N3668" s="6" t="s">
        <v>811</v>
      </c>
      <c r="O3668" s="5" t="str">
        <f ca="1">IF(P3668&lt;&gt;"EXPEDIÇÃO","Expedido",IF(NETWORKDAYS(C3668,TODAY())&gt;=5,"Risco Alto",IF(NETWORKDAYS(C3668,TODAY())&gt;=3,IF(NETWORKDAYS(C3668,TODAY())&lt;5,"Risco Médio",""),IF(NETWORKDAYS(C3668,TODAY())&lt;=2,"Risco Baixo",""))))</f>
        <v>Risco Alto</v>
      </c>
      <c r="P3668" s="5" t="s">
        <v>726</v>
      </c>
      <c r="S3668" s="7">
        <f>IF(ISBLANK(M3668),"Aguardando Previsão/Data",NETWORKDAYS(L3668,M3668)-1)</f>
        <v>-3</v>
      </c>
    </row>
    <row r="3669" spans="1:19" x14ac:dyDescent="0.35">
      <c r="A3669" s="5">
        <v>8100284482</v>
      </c>
      <c r="B3669" s="5">
        <v>21714</v>
      </c>
      <c r="C3669" s="6">
        <v>45684</v>
      </c>
      <c r="D3669" s="5" t="s">
        <v>17</v>
      </c>
      <c r="E3669" s="5" t="s">
        <v>18</v>
      </c>
      <c r="F3669" s="5" t="s">
        <v>44</v>
      </c>
      <c r="G3669" s="5" t="s">
        <v>45</v>
      </c>
      <c r="H3669" s="5" t="s">
        <v>21</v>
      </c>
      <c r="I3669" s="5" t="s">
        <v>1450</v>
      </c>
      <c r="J3669" s="5" t="s">
        <v>45</v>
      </c>
      <c r="K3669" s="5" t="s">
        <v>24</v>
      </c>
      <c r="L3669" s="6">
        <v>45691</v>
      </c>
      <c r="M3669" s="6">
        <v>45688</v>
      </c>
      <c r="N3669" s="6" t="s">
        <v>811</v>
      </c>
      <c r="O3669" s="5" t="str">
        <f ca="1">IF(P3669&lt;&gt;"EXPEDIÇÃO","Expedido",IF(NETWORKDAYS(C3669,TODAY())&gt;=5,"Risco Alto",IF(NETWORKDAYS(C3669,TODAY())&gt;=3,IF(NETWORKDAYS(C3669,TODAY())&lt;5,"Risco Médio",""),IF(NETWORKDAYS(C3669,TODAY())&lt;=2,"Risco Baixo",""))))</f>
        <v>Expedido</v>
      </c>
      <c r="P3669" s="5" t="s">
        <v>617</v>
      </c>
      <c r="S3669" s="7">
        <f>IF(ISBLANK(M3669),"Aguardando Previsão/Data",NETWORKDAYS(L3669,M3669)-1)</f>
        <v>-3</v>
      </c>
    </row>
    <row r="3670" spans="1:19" x14ac:dyDescent="0.35">
      <c r="A3670" s="5">
        <v>8100284484</v>
      </c>
      <c r="B3670" s="5">
        <v>21718</v>
      </c>
      <c r="C3670" s="6">
        <v>45684</v>
      </c>
      <c r="D3670" s="5" t="s">
        <v>17</v>
      </c>
      <c r="E3670" s="5" t="s">
        <v>18</v>
      </c>
      <c r="F3670" s="5" t="s">
        <v>44</v>
      </c>
      <c r="G3670" s="5" t="s">
        <v>45</v>
      </c>
      <c r="H3670" s="5" t="s">
        <v>21</v>
      </c>
      <c r="I3670" s="5" t="s">
        <v>597</v>
      </c>
      <c r="J3670" s="5" t="s">
        <v>45</v>
      </c>
      <c r="K3670" s="5" t="s">
        <v>24</v>
      </c>
      <c r="L3670" s="6">
        <v>45691</v>
      </c>
      <c r="M3670" s="6">
        <v>45691</v>
      </c>
      <c r="N3670" s="6" t="s">
        <v>811</v>
      </c>
      <c r="O3670" s="5" t="str">
        <f ca="1">IF(P3670&lt;&gt;"EXPEDIÇÃO","Expedido",IF(NETWORKDAYS(C3670,TODAY())&gt;=5,"Risco Alto",IF(NETWORKDAYS(C3670,TODAY())&gt;=3,IF(NETWORKDAYS(C3670,TODAY())&lt;5,"Risco Médio",""),IF(NETWORKDAYS(C3670,TODAY())&lt;=2,"Risco Baixo",""))))</f>
        <v>Expedido</v>
      </c>
      <c r="P3670" s="5" t="s">
        <v>617</v>
      </c>
      <c r="Q3670" s="5" t="s">
        <v>897</v>
      </c>
      <c r="S3670" s="7">
        <f>IF(ISBLANK(M3670),"Aguardando Previsão/Data",NETWORKDAYS(L3670,M3670)-1)</f>
        <v>0</v>
      </c>
    </row>
    <row r="3671" spans="1:19" x14ac:dyDescent="0.35">
      <c r="A3671" s="5">
        <v>8100284485</v>
      </c>
      <c r="B3671" s="5">
        <v>21719</v>
      </c>
      <c r="C3671" s="6">
        <v>45684</v>
      </c>
      <c r="D3671" s="5" t="s">
        <v>17</v>
      </c>
      <c r="E3671" s="5" t="s">
        <v>18</v>
      </c>
      <c r="F3671" s="5" t="s">
        <v>44</v>
      </c>
      <c r="G3671" s="5" t="s">
        <v>45</v>
      </c>
      <c r="H3671" s="5" t="s">
        <v>21</v>
      </c>
      <c r="I3671" s="5" t="s">
        <v>597</v>
      </c>
      <c r="J3671" s="5" t="s">
        <v>45</v>
      </c>
      <c r="K3671" s="5" t="s">
        <v>24</v>
      </c>
      <c r="L3671" s="6">
        <v>45691</v>
      </c>
      <c r="M3671" s="6">
        <v>45691</v>
      </c>
      <c r="N3671" s="6" t="s">
        <v>811</v>
      </c>
      <c r="O3671" s="5" t="str">
        <f ca="1">IF(P3671&lt;&gt;"EXPEDIÇÃO","Expedido",IF(NETWORKDAYS(C3671,TODAY())&gt;=5,"Risco Alto",IF(NETWORKDAYS(C3671,TODAY())&gt;=3,IF(NETWORKDAYS(C3671,TODAY())&lt;5,"Risco Médio",""),IF(NETWORKDAYS(C3671,TODAY())&lt;=2,"Risco Baixo",""))))</f>
        <v>Expedido</v>
      </c>
      <c r="P3671" s="5" t="s">
        <v>617</v>
      </c>
      <c r="Q3671" s="5" t="s">
        <v>897</v>
      </c>
      <c r="S3671" s="7">
        <f>IF(ISBLANK(M3671),"Aguardando Previsão/Data",NETWORKDAYS(L3671,M3671)-1)</f>
        <v>0</v>
      </c>
    </row>
    <row r="3672" spans="1:19" x14ac:dyDescent="0.35">
      <c r="A3672" s="5">
        <v>8100284492</v>
      </c>
      <c r="B3672" s="5">
        <v>21720</v>
      </c>
      <c r="C3672" s="6">
        <v>45684</v>
      </c>
      <c r="D3672" s="5" t="s">
        <v>17</v>
      </c>
      <c r="E3672" s="5" t="s">
        <v>18</v>
      </c>
      <c r="F3672" s="5" t="s">
        <v>44</v>
      </c>
      <c r="G3672" s="5" t="s">
        <v>45</v>
      </c>
      <c r="H3672" s="5" t="s">
        <v>21</v>
      </c>
      <c r="I3672" s="5" t="s">
        <v>597</v>
      </c>
      <c r="J3672" s="5" t="s">
        <v>45</v>
      </c>
      <c r="K3672" s="5" t="s">
        <v>24</v>
      </c>
      <c r="L3672" s="6">
        <v>45691</v>
      </c>
      <c r="M3672" s="6">
        <v>45691</v>
      </c>
      <c r="N3672" s="6" t="s">
        <v>811</v>
      </c>
      <c r="O3672" s="5" t="str">
        <f ca="1">IF(P3672&lt;&gt;"EXPEDIÇÃO","Expedido",IF(NETWORKDAYS(C3672,TODAY())&gt;=5,"Risco Alto",IF(NETWORKDAYS(C3672,TODAY())&gt;=3,IF(NETWORKDAYS(C3672,TODAY())&lt;5,"Risco Médio",""),IF(NETWORKDAYS(C3672,TODAY())&lt;=2,"Risco Baixo",""))))</f>
        <v>Expedido</v>
      </c>
      <c r="P3672" s="5" t="s">
        <v>617</v>
      </c>
      <c r="Q3672" s="5" t="s">
        <v>897</v>
      </c>
      <c r="S3672" s="7">
        <f>IF(ISBLANK(M3672),"Aguardando Previsão/Data",NETWORKDAYS(L3672,M3672)-1)</f>
        <v>0</v>
      </c>
    </row>
    <row r="3673" spans="1:19" x14ac:dyDescent="0.35">
      <c r="A3673" s="5">
        <v>8100284493</v>
      </c>
      <c r="B3673" s="5">
        <v>21715</v>
      </c>
      <c r="C3673" s="6">
        <v>45684</v>
      </c>
      <c r="D3673" s="5" t="s">
        <v>17</v>
      </c>
      <c r="E3673" s="5" t="s">
        <v>18</v>
      </c>
      <c r="F3673" s="5" t="s">
        <v>32</v>
      </c>
      <c r="G3673" s="5" t="s">
        <v>33</v>
      </c>
      <c r="H3673" s="5" t="s">
        <v>21</v>
      </c>
      <c r="I3673" s="5" t="s">
        <v>1570</v>
      </c>
      <c r="J3673" s="5" t="s">
        <v>368</v>
      </c>
      <c r="K3673" s="5" t="s">
        <v>24</v>
      </c>
      <c r="L3673" s="6">
        <v>45692</v>
      </c>
      <c r="M3673" s="6">
        <v>45691</v>
      </c>
      <c r="N3673" s="6" t="s">
        <v>811</v>
      </c>
      <c r="O3673" s="5" t="str">
        <f ca="1">IF(P3673&lt;&gt;"EXPEDIÇÃO","Expedido",IF(NETWORKDAYS(C3673,TODAY())&gt;=5,"Risco Alto",IF(NETWORKDAYS(C3673,TODAY())&gt;=3,IF(NETWORKDAYS(C3673,TODAY())&lt;5,"Risco Médio",""),IF(NETWORKDAYS(C3673,TODAY())&lt;=2,"Risco Baixo",""))))</f>
        <v>Expedido</v>
      </c>
      <c r="P3673" s="5" t="s">
        <v>617</v>
      </c>
      <c r="S3673" s="7">
        <f>IF(ISBLANK(M3673),"Aguardando Previsão/Data",NETWORKDAYS(L3673,M3673)-1)</f>
        <v>-3</v>
      </c>
    </row>
    <row r="3674" spans="1:19" x14ac:dyDescent="0.35">
      <c r="A3674" s="5">
        <v>8100284494</v>
      </c>
      <c r="B3674" s="5">
        <v>21721</v>
      </c>
      <c r="C3674" s="6">
        <v>45684</v>
      </c>
      <c r="D3674" s="5" t="s">
        <v>17</v>
      </c>
      <c r="E3674" s="5" t="s">
        <v>18</v>
      </c>
      <c r="F3674" s="5" t="s">
        <v>44</v>
      </c>
      <c r="G3674" s="5" t="s">
        <v>45</v>
      </c>
      <c r="H3674" s="5" t="s">
        <v>21</v>
      </c>
      <c r="I3674" s="5" t="s">
        <v>597</v>
      </c>
      <c r="J3674" s="5" t="s">
        <v>45</v>
      </c>
      <c r="K3674" s="5" t="s">
        <v>24</v>
      </c>
      <c r="L3674" s="6">
        <v>45691</v>
      </c>
      <c r="M3674" s="6">
        <v>45691</v>
      </c>
      <c r="N3674" s="6" t="s">
        <v>811</v>
      </c>
      <c r="O3674" s="5" t="str">
        <f ca="1">IF(P3674&lt;&gt;"EXPEDIÇÃO","Expedido",IF(NETWORKDAYS(C3674,TODAY())&gt;=5,"Risco Alto",IF(NETWORKDAYS(C3674,TODAY())&gt;=3,IF(NETWORKDAYS(C3674,TODAY())&lt;5,"Risco Médio",""),IF(NETWORKDAYS(C3674,TODAY())&lt;=2,"Risco Baixo",""))))</f>
        <v>Expedido</v>
      </c>
      <c r="P3674" s="5" t="s">
        <v>617</v>
      </c>
      <c r="Q3674" s="5" t="s">
        <v>897</v>
      </c>
      <c r="S3674" s="7">
        <f>IF(ISBLANK(M3674),"Aguardando Previsão/Data",NETWORKDAYS(L3674,M3674)-1)</f>
        <v>0</v>
      </c>
    </row>
    <row r="3675" spans="1:19" x14ac:dyDescent="0.35">
      <c r="A3675" s="5">
        <v>8100284495</v>
      </c>
      <c r="B3675" s="5">
        <v>21716</v>
      </c>
      <c r="C3675" s="6">
        <v>45684</v>
      </c>
      <c r="D3675" s="5" t="s">
        <v>17</v>
      </c>
      <c r="E3675" s="5" t="s">
        <v>18</v>
      </c>
      <c r="F3675" s="5" t="s">
        <v>32</v>
      </c>
      <c r="G3675" s="5" t="s">
        <v>33</v>
      </c>
      <c r="H3675" s="5" t="s">
        <v>21</v>
      </c>
      <c r="I3675" s="5" t="s">
        <v>1570</v>
      </c>
      <c r="J3675" s="5" t="s">
        <v>368</v>
      </c>
      <c r="K3675" s="5" t="s">
        <v>24</v>
      </c>
      <c r="L3675" s="6">
        <v>45692</v>
      </c>
      <c r="M3675" s="6">
        <v>45691</v>
      </c>
      <c r="N3675" s="6" t="s">
        <v>811</v>
      </c>
      <c r="O3675" s="5" t="str">
        <f ca="1">IF(P3675&lt;&gt;"EXPEDIÇÃO","Expedido",IF(NETWORKDAYS(C3675,TODAY())&gt;=5,"Risco Alto",IF(NETWORKDAYS(C3675,TODAY())&gt;=3,IF(NETWORKDAYS(C3675,TODAY())&lt;5,"Risco Médio",""),IF(NETWORKDAYS(C3675,TODAY())&lt;=2,"Risco Baixo",""))))</f>
        <v>Expedido</v>
      </c>
      <c r="P3675" s="5" t="s">
        <v>617</v>
      </c>
      <c r="S3675" s="7">
        <f>IF(ISBLANK(M3675),"Aguardando Previsão/Data",NETWORKDAYS(L3675,M3675)-1)</f>
        <v>-3</v>
      </c>
    </row>
    <row r="3676" spans="1:19" x14ac:dyDescent="0.35">
      <c r="A3676" s="5">
        <v>8100284631</v>
      </c>
      <c r="B3676" s="5">
        <v>21722</v>
      </c>
      <c r="C3676" s="6">
        <v>45684</v>
      </c>
      <c r="D3676" s="5" t="s">
        <v>17</v>
      </c>
      <c r="E3676" s="5" t="s">
        <v>18</v>
      </c>
      <c r="F3676" s="5" t="s">
        <v>32</v>
      </c>
      <c r="G3676" s="5" t="s">
        <v>33</v>
      </c>
      <c r="H3676" s="5" t="s">
        <v>21</v>
      </c>
      <c r="I3676" s="5" t="s">
        <v>916</v>
      </c>
      <c r="J3676" s="5" t="s">
        <v>368</v>
      </c>
      <c r="K3676" s="5" t="s">
        <v>24</v>
      </c>
      <c r="L3676" s="6">
        <v>45692</v>
      </c>
      <c r="M3676" s="6">
        <v>45691</v>
      </c>
      <c r="N3676" s="6" t="s">
        <v>811</v>
      </c>
      <c r="O3676" s="5" t="str">
        <f ca="1">IF(P3676&lt;&gt;"EXPEDIÇÃO","Expedido",IF(NETWORKDAYS(C3676,TODAY())&gt;=5,"Risco Alto",IF(NETWORKDAYS(C3676,TODAY())&gt;=3,IF(NETWORKDAYS(C3676,TODAY())&lt;5,"Risco Médio",""),IF(NETWORKDAYS(C3676,TODAY())&lt;=2,"Risco Baixo",""))))</f>
        <v>Expedido</v>
      </c>
      <c r="P3676" s="5" t="s">
        <v>617</v>
      </c>
      <c r="S3676" s="7">
        <f>IF(ISBLANK(M3676),"Aguardando Previsão/Data",NETWORKDAYS(L3676,M3676)-1)</f>
        <v>-3</v>
      </c>
    </row>
    <row r="3677" spans="1:19" x14ac:dyDescent="0.35">
      <c r="A3677" s="5">
        <v>8100284632</v>
      </c>
      <c r="B3677" s="5">
        <v>21723</v>
      </c>
      <c r="C3677" s="6">
        <v>45684</v>
      </c>
      <c r="D3677" s="5" t="s">
        <v>17</v>
      </c>
      <c r="E3677" s="5" t="s">
        <v>18</v>
      </c>
      <c r="F3677" s="5" t="s">
        <v>32</v>
      </c>
      <c r="G3677" s="5" t="s">
        <v>33</v>
      </c>
      <c r="H3677" s="5" t="s">
        <v>21</v>
      </c>
      <c r="I3677" s="5" t="s">
        <v>916</v>
      </c>
      <c r="J3677" s="5" t="s">
        <v>368</v>
      </c>
      <c r="K3677" s="5" t="s">
        <v>24</v>
      </c>
      <c r="L3677" s="6">
        <v>45692</v>
      </c>
      <c r="M3677" s="6">
        <v>45691</v>
      </c>
      <c r="N3677" s="6" t="s">
        <v>811</v>
      </c>
      <c r="O3677" s="5" t="str">
        <f ca="1">IF(P3677&lt;&gt;"EXPEDIÇÃO","Expedido",IF(NETWORKDAYS(C3677,TODAY())&gt;=5,"Risco Alto",IF(NETWORKDAYS(C3677,TODAY())&gt;=3,IF(NETWORKDAYS(C3677,TODAY())&lt;5,"Risco Médio",""),IF(NETWORKDAYS(C3677,TODAY())&lt;=2,"Risco Baixo",""))))</f>
        <v>Expedido</v>
      </c>
      <c r="P3677" s="5" t="s">
        <v>617</v>
      </c>
      <c r="S3677" s="7">
        <f>IF(ISBLANK(M3677),"Aguardando Previsão/Data",NETWORKDAYS(L3677,M3677)-1)</f>
        <v>-3</v>
      </c>
    </row>
    <row r="3678" spans="1:19" x14ac:dyDescent="0.35">
      <c r="A3678" s="5">
        <v>8100282188</v>
      </c>
      <c r="B3678" s="5">
        <v>13510</v>
      </c>
      <c r="C3678" s="6">
        <v>45684</v>
      </c>
      <c r="D3678" s="5" t="s">
        <v>91</v>
      </c>
      <c r="E3678" s="5" t="s">
        <v>92</v>
      </c>
      <c r="F3678" s="5" t="s">
        <v>96</v>
      </c>
      <c r="G3678" s="5" t="s">
        <v>97</v>
      </c>
      <c r="H3678" s="5" t="s">
        <v>21</v>
      </c>
      <c r="I3678" s="5" t="s">
        <v>750</v>
      </c>
      <c r="J3678" s="5" t="s">
        <v>636</v>
      </c>
      <c r="K3678" s="5" t="s">
        <v>95</v>
      </c>
      <c r="L3678" s="6">
        <v>45691</v>
      </c>
      <c r="M3678" s="6">
        <v>45688</v>
      </c>
      <c r="N3678" s="6" t="s">
        <v>811</v>
      </c>
      <c r="O3678" s="5" t="str">
        <f ca="1">IF(P3678&lt;&gt;"EXPEDIÇÃO","Expedido",IF(NETWORKDAYS(C3678,TODAY())&gt;=5,"Risco Alto",IF(NETWORKDAYS(C3678,TODAY())&gt;=3,IF(NETWORKDAYS(C3678,TODAY())&lt;5,"Risco Médio",""),IF(NETWORKDAYS(C3678,TODAY())&lt;=2,"Risco Baixo",""))))</f>
        <v>Expedido</v>
      </c>
      <c r="P3678" s="5" t="s">
        <v>617</v>
      </c>
      <c r="S3678" s="7">
        <f>IF(ISBLANK(M3678),"Aguardando Previsão/Data",NETWORKDAYS(L3678,M3678)-1)</f>
        <v>-3</v>
      </c>
    </row>
    <row r="3679" spans="1:19" x14ac:dyDescent="0.35">
      <c r="A3679" s="5">
        <v>8100284008</v>
      </c>
      <c r="B3679" s="5">
        <v>13500</v>
      </c>
      <c r="C3679" s="6">
        <v>45684</v>
      </c>
      <c r="D3679" s="5" t="s">
        <v>91</v>
      </c>
      <c r="E3679" s="5" t="s">
        <v>92</v>
      </c>
      <c r="F3679" s="5" t="s">
        <v>103</v>
      </c>
      <c r="G3679" s="5" t="s">
        <v>104</v>
      </c>
      <c r="H3679" s="5" t="s">
        <v>21</v>
      </c>
      <c r="I3679" s="5" t="s">
        <v>1559</v>
      </c>
      <c r="J3679" s="5" t="s">
        <v>273</v>
      </c>
      <c r="K3679" s="5" t="s">
        <v>274</v>
      </c>
      <c r="L3679" s="6">
        <v>45693</v>
      </c>
      <c r="M3679" s="6">
        <v>45692</v>
      </c>
      <c r="N3679" s="6" t="s">
        <v>811</v>
      </c>
      <c r="O3679" s="5" t="str">
        <f ca="1">IF(P3679&lt;&gt;"EXPEDIÇÃO","Expedido",IF(NETWORKDAYS(C3679,TODAY())&gt;=5,"Risco Alto",IF(NETWORKDAYS(C3679,TODAY())&gt;=3,IF(NETWORKDAYS(C3679,TODAY())&lt;5,"Risco Médio",""),IF(NETWORKDAYS(C3679,TODAY())&lt;=2,"Risco Baixo",""))))</f>
        <v>Expedido</v>
      </c>
      <c r="P3679" s="5" t="s">
        <v>617</v>
      </c>
      <c r="S3679" s="7">
        <f>IF(ISBLANK(M3679),"Aguardando Previsão/Data",NETWORKDAYS(L3679,M3679)-1)</f>
        <v>-3</v>
      </c>
    </row>
    <row r="3680" spans="1:19" x14ac:dyDescent="0.35">
      <c r="A3680" s="5">
        <v>8100284009</v>
      </c>
      <c r="B3680" s="5">
        <v>13499</v>
      </c>
      <c r="C3680" s="6">
        <v>45684</v>
      </c>
      <c r="D3680" s="5" t="s">
        <v>91</v>
      </c>
      <c r="E3680" s="5" t="s">
        <v>92</v>
      </c>
      <c r="F3680" s="5" t="s">
        <v>103</v>
      </c>
      <c r="G3680" s="5" t="s">
        <v>104</v>
      </c>
      <c r="H3680" s="5" t="s">
        <v>21</v>
      </c>
      <c r="I3680" s="5" t="s">
        <v>1560</v>
      </c>
      <c r="J3680" s="5" t="s">
        <v>273</v>
      </c>
      <c r="K3680" s="5" t="s">
        <v>274</v>
      </c>
      <c r="L3680" s="6">
        <v>45693</v>
      </c>
      <c r="M3680" s="6">
        <v>45692</v>
      </c>
      <c r="N3680" s="6" t="s">
        <v>811</v>
      </c>
      <c r="O3680" s="5" t="str">
        <f ca="1">IF(P3680&lt;&gt;"EXPEDIÇÃO","Expedido",IF(NETWORKDAYS(C3680,TODAY())&gt;=5,"Risco Alto",IF(NETWORKDAYS(C3680,TODAY())&gt;=3,IF(NETWORKDAYS(C3680,TODAY())&lt;5,"Risco Médio",""),IF(NETWORKDAYS(C3680,TODAY())&lt;=2,"Risco Baixo",""))))</f>
        <v>Expedido</v>
      </c>
      <c r="P3680" s="5" t="s">
        <v>617</v>
      </c>
      <c r="S3680" s="7">
        <f>IF(ISBLANK(M3680),"Aguardando Previsão/Data",NETWORKDAYS(L3680,M3680)-1)</f>
        <v>-3</v>
      </c>
    </row>
    <row r="3681" spans="1:20" x14ac:dyDescent="0.35">
      <c r="A3681" s="5">
        <v>8100284010</v>
      </c>
      <c r="B3681" s="5">
        <v>13501</v>
      </c>
      <c r="C3681" s="6">
        <v>45684</v>
      </c>
      <c r="D3681" s="5" t="s">
        <v>91</v>
      </c>
      <c r="E3681" s="5" t="s">
        <v>92</v>
      </c>
      <c r="F3681" s="5" t="s">
        <v>103</v>
      </c>
      <c r="G3681" s="5" t="s">
        <v>104</v>
      </c>
      <c r="H3681" s="5" t="s">
        <v>21</v>
      </c>
      <c r="I3681" s="5" t="s">
        <v>1465</v>
      </c>
      <c r="J3681" s="5" t="s">
        <v>273</v>
      </c>
      <c r="K3681" s="5" t="s">
        <v>274</v>
      </c>
      <c r="L3681" s="6">
        <v>45693</v>
      </c>
      <c r="M3681" s="6">
        <v>45692</v>
      </c>
      <c r="N3681" s="6" t="s">
        <v>811</v>
      </c>
      <c r="O3681" s="5" t="str">
        <f ca="1">IF(P3681&lt;&gt;"EXPEDIÇÃO","Expedido",IF(NETWORKDAYS(C3681,TODAY())&gt;=5,"Risco Alto",IF(NETWORKDAYS(C3681,TODAY())&gt;=3,IF(NETWORKDAYS(C3681,TODAY())&lt;5,"Risco Médio",""),IF(NETWORKDAYS(C3681,TODAY())&lt;=2,"Risco Baixo",""))))</f>
        <v>Expedido</v>
      </c>
      <c r="P3681" s="5" t="s">
        <v>617</v>
      </c>
      <c r="S3681" s="7">
        <f>IF(ISBLANK(M3681),"Aguardando Previsão/Data",NETWORKDAYS(L3681,M3681)-1)</f>
        <v>-3</v>
      </c>
    </row>
    <row r="3682" spans="1:20" x14ac:dyDescent="0.35">
      <c r="A3682" s="5">
        <v>8100284015</v>
      </c>
      <c r="B3682" s="5">
        <v>13498</v>
      </c>
      <c r="C3682" s="6">
        <v>45684</v>
      </c>
      <c r="D3682" s="5" t="s">
        <v>91</v>
      </c>
      <c r="E3682" s="5" t="s">
        <v>92</v>
      </c>
      <c r="F3682" s="5" t="s">
        <v>96</v>
      </c>
      <c r="G3682" s="5" t="s">
        <v>97</v>
      </c>
      <c r="H3682" s="5" t="s">
        <v>21</v>
      </c>
      <c r="I3682" s="5" t="s">
        <v>573</v>
      </c>
      <c r="J3682" s="5" t="s">
        <v>424</v>
      </c>
      <c r="K3682" s="5" t="s">
        <v>95</v>
      </c>
      <c r="L3682" s="6">
        <v>45691</v>
      </c>
      <c r="M3682" s="6">
        <v>45686</v>
      </c>
      <c r="N3682" s="6" t="s">
        <v>811</v>
      </c>
      <c r="O3682" s="5" t="str">
        <f ca="1">IF(P3682&lt;&gt;"EXPEDIÇÃO","Expedido",IF(NETWORKDAYS(C3682,TODAY())&gt;=5,"Risco Alto",IF(NETWORKDAYS(C3682,TODAY())&gt;=3,IF(NETWORKDAYS(C3682,TODAY())&lt;5,"Risco Médio",""),IF(NETWORKDAYS(C3682,TODAY())&lt;=2,"Risco Baixo",""))))</f>
        <v>Expedido</v>
      </c>
      <c r="P3682" s="5" t="s">
        <v>25</v>
      </c>
      <c r="S3682" s="7">
        <f>IF(ISBLANK(M3682),"Aguardando Previsão/Data",NETWORKDAYS(L3682,M3682)-1)</f>
        <v>-5</v>
      </c>
      <c r="T3682" s="5" t="s">
        <v>942</v>
      </c>
    </row>
    <row r="3683" spans="1:20" x14ac:dyDescent="0.35">
      <c r="A3683" s="5">
        <v>8100284016</v>
      </c>
      <c r="B3683" s="5">
        <v>13504</v>
      </c>
      <c r="C3683" s="6">
        <v>45684</v>
      </c>
      <c r="D3683" s="5" t="s">
        <v>91</v>
      </c>
      <c r="E3683" s="5" t="s">
        <v>92</v>
      </c>
      <c r="F3683" s="5" t="s">
        <v>96</v>
      </c>
      <c r="G3683" s="5" t="s">
        <v>97</v>
      </c>
      <c r="H3683" s="5" t="s">
        <v>21</v>
      </c>
      <c r="I3683" s="5" t="s">
        <v>574</v>
      </c>
      <c r="J3683" s="5" t="s">
        <v>99</v>
      </c>
      <c r="K3683" s="5" t="s">
        <v>95</v>
      </c>
      <c r="L3683" s="6">
        <v>45688</v>
      </c>
      <c r="M3683" s="6">
        <v>45686</v>
      </c>
      <c r="N3683" s="6" t="s">
        <v>811</v>
      </c>
      <c r="O3683" s="5" t="str">
        <f ca="1">IF(P3683&lt;&gt;"EXPEDIÇÃO","Expedido",IF(NETWORKDAYS(C3683,TODAY())&gt;=5,"Risco Alto",IF(NETWORKDAYS(C3683,TODAY())&gt;=3,IF(NETWORKDAYS(C3683,TODAY())&lt;5,"Risco Médio",""),IF(NETWORKDAYS(C3683,TODAY())&lt;=2,"Risco Baixo",""))))</f>
        <v>Expedido</v>
      </c>
      <c r="P3683" s="5" t="s">
        <v>25</v>
      </c>
      <c r="S3683" s="7">
        <f>IF(ISBLANK(M3683),"Aguardando Previsão/Data",NETWORKDAYS(L3683,M3683)-1)</f>
        <v>-4</v>
      </c>
      <c r="T3683" s="5" t="s">
        <v>942</v>
      </c>
    </row>
    <row r="3684" spans="1:20" x14ac:dyDescent="0.35">
      <c r="A3684" s="5">
        <v>8100284017</v>
      </c>
      <c r="B3684" s="5">
        <v>13497</v>
      </c>
      <c r="C3684" s="6">
        <v>45684</v>
      </c>
      <c r="D3684" s="5" t="s">
        <v>91</v>
      </c>
      <c r="E3684" s="5" t="s">
        <v>92</v>
      </c>
      <c r="F3684" s="5" t="s">
        <v>96</v>
      </c>
      <c r="G3684" s="5" t="s">
        <v>97</v>
      </c>
      <c r="H3684" s="5" t="s">
        <v>21</v>
      </c>
      <c r="I3684" s="5" t="s">
        <v>1024</v>
      </c>
      <c r="J3684" s="5" t="s">
        <v>472</v>
      </c>
      <c r="K3684" s="5" t="s">
        <v>95</v>
      </c>
      <c r="L3684" s="6">
        <v>45691</v>
      </c>
      <c r="M3684" s="6">
        <v>45688</v>
      </c>
      <c r="N3684" s="6" t="s">
        <v>811</v>
      </c>
      <c r="O3684" s="5" t="str">
        <f ca="1">IF(P3684&lt;&gt;"EXPEDIÇÃO","Expedido",IF(NETWORKDAYS(C3684,TODAY())&gt;=5,"Risco Alto",IF(NETWORKDAYS(C3684,TODAY())&gt;=3,IF(NETWORKDAYS(C3684,TODAY())&lt;5,"Risco Médio",""),IF(NETWORKDAYS(C3684,TODAY())&lt;=2,"Risco Baixo",""))))</f>
        <v>Expedido</v>
      </c>
      <c r="P3684" s="5" t="s">
        <v>617</v>
      </c>
      <c r="S3684" s="7">
        <f>IF(ISBLANK(M3684),"Aguardando Previsão/Data",NETWORKDAYS(L3684,M3684)-1)</f>
        <v>-3</v>
      </c>
    </row>
    <row r="3685" spans="1:20" x14ac:dyDescent="0.35">
      <c r="A3685" s="5">
        <v>8100284019</v>
      </c>
      <c r="B3685" s="5">
        <v>13503</v>
      </c>
      <c r="C3685" s="6">
        <v>45684</v>
      </c>
      <c r="D3685" s="5" t="s">
        <v>91</v>
      </c>
      <c r="E3685" s="5" t="s">
        <v>92</v>
      </c>
      <c r="F3685" s="5" t="s">
        <v>96</v>
      </c>
      <c r="G3685" s="5" t="s">
        <v>97</v>
      </c>
      <c r="H3685" s="5" t="s">
        <v>21</v>
      </c>
      <c r="I3685" s="5" t="s">
        <v>572</v>
      </c>
      <c r="J3685" s="5" t="s">
        <v>99</v>
      </c>
      <c r="K3685" s="5" t="s">
        <v>95</v>
      </c>
      <c r="L3685" s="6">
        <v>45688</v>
      </c>
      <c r="M3685" s="6">
        <v>45686</v>
      </c>
      <c r="N3685" s="6" t="s">
        <v>811</v>
      </c>
      <c r="O3685" s="5" t="str">
        <f ca="1">IF(P3685&lt;&gt;"EXPEDIÇÃO","Expedido",IF(NETWORKDAYS(C3685,TODAY())&gt;=5,"Risco Alto",IF(NETWORKDAYS(C3685,TODAY())&gt;=3,IF(NETWORKDAYS(C3685,TODAY())&lt;5,"Risco Médio",""),IF(NETWORKDAYS(C3685,TODAY())&lt;=2,"Risco Baixo",""))))</f>
        <v>Expedido</v>
      </c>
      <c r="P3685" s="5" t="s">
        <v>25</v>
      </c>
      <c r="S3685" s="7">
        <f>IF(ISBLANK(M3685),"Aguardando Previsão/Data",NETWORKDAYS(L3685,M3685)-1)</f>
        <v>-4</v>
      </c>
      <c r="T3685" s="5" t="s">
        <v>942</v>
      </c>
    </row>
    <row r="3686" spans="1:20" x14ac:dyDescent="0.35">
      <c r="A3686" s="5">
        <v>8100284020</v>
      </c>
      <c r="B3686" s="5">
        <v>13502</v>
      </c>
      <c r="C3686" s="6">
        <v>45684</v>
      </c>
      <c r="D3686" s="5" t="s">
        <v>91</v>
      </c>
      <c r="E3686" s="5" t="s">
        <v>92</v>
      </c>
      <c r="F3686" s="5" t="s">
        <v>96</v>
      </c>
      <c r="G3686" s="5" t="s">
        <v>97</v>
      </c>
      <c r="H3686" s="5" t="s">
        <v>21</v>
      </c>
      <c r="I3686" s="5" t="s">
        <v>750</v>
      </c>
      <c r="J3686" s="5" t="s">
        <v>636</v>
      </c>
      <c r="K3686" s="5" t="s">
        <v>95</v>
      </c>
      <c r="L3686" s="6">
        <v>45691</v>
      </c>
      <c r="M3686" s="6">
        <v>45686</v>
      </c>
      <c r="N3686" s="6" t="s">
        <v>811</v>
      </c>
      <c r="O3686" s="5" t="str">
        <f ca="1">IF(P3686&lt;&gt;"EXPEDIÇÃO","Expedido",IF(NETWORKDAYS(C3686,TODAY())&gt;=5,"Risco Alto",IF(NETWORKDAYS(C3686,TODAY())&gt;=3,IF(NETWORKDAYS(C3686,TODAY())&lt;5,"Risco Médio",""),IF(NETWORKDAYS(C3686,TODAY())&lt;=2,"Risco Baixo",""))))</f>
        <v>Expedido</v>
      </c>
      <c r="P3686" s="5" t="s">
        <v>25</v>
      </c>
      <c r="S3686" s="7">
        <f>IF(ISBLANK(M3686),"Aguardando Previsão/Data",NETWORKDAYS(L3686,M3686)-1)</f>
        <v>-5</v>
      </c>
      <c r="T3686" s="5" t="s">
        <v>942</v>
      </c>
    </row>
    <row r="3687" spans="1:20" x14ac:dyDescent="0.35">
      <c r="A3687" s="5">
        <v>8100284068</v>
      </c>
      <c r="B3687" s="5">
        <v>13505</v>
      </c>
      <c r="C3687" s="6">
        <v>45684</v>
      </c>
      <c r="D3687" s="5" t="s">
        <v>91</v>
      </c>
      <c r="E3687" s="5" t="s">
        <v>92</v>
      </c>
      <c r="F3687" s="5" t="s">
        <v>103</v>
      </c>
      <c r="G3687" s="5" t="s">
        <v>104</v>
      </c>
      <c r="H3687" s="5" t="s">
        <v>21</v>
      </c>
      <c r="I3687" s="5" t="s">
        <v>919</v>
      </c>
      <c r="J3687" s="5" t="s">
        <v>677</v>
      </c>
      <c r="K3687" s="5" t="s">
        <v>274</v>
      </c>
      <c r="L3687" s="6">
        <v>45694</v>
      </c>
      <c r="M3687" s="6">
        <v>45693</v>
      </c>
      <c r="N3687" s="6" t="s">
        <v>811</v>
      </c>
      <c r="O3687" s="5" t="str">
        <f ca="1">IF(P3687&lt;&gt;"EXPEDIÇÃO","Expedido",IF(NETWORKDAYS(C3687,TODAY())&gt;=5,"Risco Alto",IF(NETWORKDAYS(C3687,TODAY())&gt;=3,IF(NETWORKDAYS(C3687,TODAY())&lt;5,"Risco Médio",""),IF(NETWORKDAYS(C3687,TODAY())&lt;=2,"Risco Baixo",""))))</f>
        <v>Expedido</v>
      </c>
      <c r="P3687" s="5" t="s">
        <v>617</v>
      </c>
      <c r="S3687" s="7">
        <f>IF(ISBLANK(M3687),"Aguardando Previsão/Data",NETWORKDAYS(L3687,M3687)-1)</f>
        <v>-3</v>
      </c>
    </row>
    <row r="3688" spans="1:20" x14ac:dyDescent="0.35">
      <c r="A3688" s="5">
        <v>8100284069</v>
      </c>
      <c r="B3688" s="5">
        <v>13508</v>
      </c>
      <c r="C3688" s="6">
        <v>45684</v>
      </c>
      <c r="D3688" s="5" t="s">
        <v>91</v>
      </c>
      <c r="E3688" s="5" t="s">
        <v>92</v>
      </c>
      <c r="F3688" s="5" t="s">
        <v>58</v>
      </c>
      <c r="G3688" s="5" t="s">
        <v>59</v>
      </c>
      <c r="H3688" s="5" t="s">
        <v>21</v>
      </c>
      <c r="I3688" s="5" t="s">
        <v>93</v>
      </c>
      <c r="J3688" s="5" t="s">
        <v>94</v>
      </c>
      <c r="K3688" s="5" t="s">
        <v>95</v>
      </c>
      <c r="L3688" s="6">
        <v>45695</v>
      </c>
      <c r="M3688" s="6">
        <v>45694</v>
      </c>
      <c r="N3688" s="6" t="s">
        <v>811</v>
      </c>
      <c r="O3688" s="5" t="str">
        <f ca="1">IF(P3688&lt;&gt;"EXPEDIÇÃO","Expedido",IF(NETWORKDAYS(C3688,TODAY())&gt;=5,"Risco Alto",IF(NETWORKDAYS(C3688,TODAY())&gt;=3,IF(NETWORKDAYS(C3688,TODAY())&lt;5,"Risco Médio",""),IF(NETWORKDAYS(C3688,TODAY())&lt;=2,"Risco Baixo",""))))</f>
        <v>Expedido</v>
      </c>
      <c r="P3688" s="5" t="s">
        <v>617</v>
      </c>
      <c r="S3688" s="7">
        <f>IF(ISBLANK(M3688),"Aguardando Previsão/Data",NETWORKDAYS(L3688,M3688)-1)</f>
        <v>-3</v>
      </c>
    </row>
    <row r="3689" spans="1:20" x14ac:dyDescent="0.35">
      <c r="A3689" s="5">
        <v>8100284082</v>
      </c>
      <c r="B3689" s="5">
        <v>13506</v>
      </c>
      <c r="C3689" s="6">
        <v>45684</v>
      </c>
      <c r="D3689" s="5" t="s">
        <v>91</v>
      </c>
      <c r="E3689" s="5" t="s">
        <v>92</v>
      </c>
      <c r="F3689" s="5" t="s">
        <v>58</v>
      </c>
      <c r="G3689" s="5" t="s">
        <v>59</v>
      </c>
      <c r="H3689" s="5" t="s">
        <v>21</v>
      </c>
      <c r="I3689" s="5" t="s">
        <v>534</v>
      </c>
      <c r="J3689" s="5" t="s">
        <v>535</v>
      </c>
      <c r="K3689" s="5" t="s">
        <v>95</v>
      </c>
      <c r="L3689" s="6">
        <v>45695</v>
      </c>
      <c r="M3689" s="6">
        <v>45694</v>
      </c>
      <c r="N3689" s="6" t="s">
        <v>811</v>
      </c>
      <c r="O3689" s="5" t="str">
        <f ca="1">IF(P3689&lt;&gt;"EXPEDIÇÃO","Expedido",IF(NETWORKDAYS(C3689,TODAY())&gt;=5,"Risco Alto",IF(NETWORKDAYS(C3689,TODAY())&gt;=3,IF(NETWORKDAYS(C3689,TODAY())&lt;5,"Risco Médio",""),IF(NETWORKDAYS(C3689,TODAY())&lt;=2,"Risco Baixo",""))))</f>
        <v>Risco Alto</v>
      </c>
      <c r="P3689" s="5" t="s">
        <v>726</v>
      </c>
      <c r="S3689" s="7">
        <f>IF(ISBLANK(M3689),"Aguardando Previsão/Data",NETWORKDAYS(L3689,M3689)-1)</f>
        <v>-3</v>
      </c>
    </row>
    <row r="3690" spans="1:20" x14ac:dyDescent="0.35">
      <c r="A3690" s="5">
        <v>8100284199</v>
      </c>
      <c r="B3690" s="5">
        <v>13507</v>
      </c>
      <c r="C3690" s="6">
        <v>45684</v>
      </c>
      <c r="D3690" s="5" t="s">
        <v>91</v>
      </c>
      <c r="E3690" s="5" t="s">
        <v>92</v>
      </c>
      <c r="F3690" s="5" t="s">
        <v>66</v>
      </c>
      <c r="G3690" s="5" t="s">
        <v>67</v>
      </c>
      <c r="H3690" s="5" t="s">
        <v>21</v>
      </c>
      <c r="I3690" s="5" t="s">
        <v>935</v>
      </c>
      <c r="J3690" s="5" t="s">
        <v>389</v>
      </c>
      <c r="K3690" s="5" t="s">
        <v>95</v>
      </c>
      <c r="L3690" s="6">
        <v>45695</v>
      </c>
      <c r="M3690" s="6">
        <v>45694</v>
      </c>
      <c r="N3690" s="6" t="s">
        <v>811</v>
      </c>
      <c r="O3690" s="5" t="str">
        <f ca="1">IF(P3690&lt;&gt;"EXPEDIÇÃO","Expedido",IF(NETWORKDAYS(C3690,TODAY())&gt;=5,"Risco Alto",IF(NETWORKDAYS(C3690,TODAY())&gt;=3,IF(NETWORKDAYS(C3690,TODAY())&lt;5,"Risco Médio",""),IF(NETWORKDAYS(C3690,TODAY())&lt;=2,"Risco Baixo",""))))</f>
        <v>Risco Alto</v>
      </c>
      <c r="P3690" s="5" t="s">
        <v>726</v>
      </c>
      <c r="S3690" s="7">
        <f>IF(ISBLANK(M3690),"Aguardando Previsão/Data",NETWORKDAYS(L3690,M3690)-1)</f>
        <v>-3</v>
      </c>
    </row>
    <row r="3691" spans="1:20" x14ac:dyDescent="0.35">
      <c r="A3691" s="5">
        <v>8100284200</v>
      </c>
      <c r="B3691" s="5">
        <v>13509</v>
      </c>
      <c r="C3691" s="6">
        <v>45684</v>
      </c>
      <c r="D3691" s="5" t="s">
        <v>91</v>
      </c>
      <c r="E3691" s="5" t="s">
        <v>92</v>
      </c>
      <c r="F3691" s="5" t="s">
        <v>96</v>
      </c>
      <c r="G3691" s="5" t="s">
        <v>97</v>
      </c>
      <c r="H3691" s="5" t="s">
        <v>21</v>
      </c>
      <c r="I3691" s="5" t="s">
        <v>963</v>
      </c>
      <c r="J3691" s="5" t="s">
        <v>469</v>
      </c>
      <c r="K3691" s="5" t="s">
        <v>95</v>
      </c>
      <c r="L3691" s="6">
        <v>45691</v>
      </c>
      <c r="M3691" s="6">
        <v>45688</v>
      </c>
      <c r="N3691" s="6" t="s">
        <v>811</v>
      </c>
      <c r="O3691" s="5" t="str">
        <f ca="1">IF(P3691&lt;&gt;"EXPEDIÇÃO","Expedido",IF(NETWORKDAYS(C3691,TODAY())&gt;=5,"Risco Alto",IF(NETWORKDAYS(C3691,TODAY())&gt;=3,IF(NETWORKDAYS(C3691,TODAY())&lt;5,"Risco Médio",""),IF(NETWORKDAYS(C3691,TODAY())&lt;=2,"Risco Baixo",""))))</f>
        <v>Expedido</v>
      </c>
      <c r="P3691" s="5" t="s">
        <v>617</v>
      </c>
      <c r="S3691" s="7">
        <f>IF(ISBLANK(M3691),"Aguardando Previsão/Data",NETWORKDAYS(L3691,M3691)-1)</f>
        <v>-3</v>
      </c>
    </row>
    <row r="3692" spans="1:20" x14ac:dyDescent="0.35">
      <c r="A3692" s="5">
        <v>8100284201</v>
      </c>
      <c r="B3692" s="5">
        <v>13513</v>
      </c>
      <c r="C3692" s="6">
        <v>45684</v>
      </c>
      <c r="D3692" s="5" t="s">
        <v>91</v>
      </c>
      <c r="E3692" s="5" t="s">
        <v>92</v>
      </c>
      <c r="F3692" s="5" t="s">
        <v>96</v>
      </c>
      <c r="G3692" s="5" t="s">
        <v>97</v>
      </c>
      <c r="H3692" s="5" t="s">
        <v>21</v>
      </c>
      <c r="I3692" s="5" t="s">
        <v>443</v>
      </c>
      <c r="J3692" s="5" t="s">
        <v>99</v>
      </c>
      <c r="K3692" s="5" t="s">
        <v>95</v>
      </c>
      <c r="L3692" s="6">
        <v>45688</v>
      </c>
      <c r="M3692" s="6">
        <v>45686</v>
      </c>
      <c r="N3692" s="6" t="s">
        <v>811</v>
      </c>
      <c r="O3692" s="5" t="str">
        <f ca="1">IF(P3692&lt;&gt;"EXPEDIÇÃO","Expedido",IF(NETWORKDAYS(C3692,TODAY())&gt;=5,"Risco Alto",IF(NETWORKDAYS(C3692,TODAY())&gt;=3,IF(NETWORKDAYS(C3692,TODAY())&lt;5,"Risco Médio",""),IF(NETWORKDAYS(C3692,TODAY())&lt;=2,"Risco Baixo",""))))</f>
        <v>Expedido</v>
      </c>
      <c r="P3692" s="5" t="s">
        <v>25</v>
      </c>
      <c r="S3692" s="7">
        <f>IF(ISBLANK(M3692),"Aguardando Previsão/Data",NETWORKDAYS(L3692,M3692)-1)</f>
        <v>-4</v>
      </c>
      <c r="T3692" s="5" t="s">
        <v>942</v>
      </c>
    </row>
    <row r="3693" spans="1:20" x14ac:dyDescent="0.35">
      <c r="A3693" s="5">
        <v>8100284202</v>
      </c>
      <c r="B3693" s="5">
        <v>13511</v>
      </c>
      <c r="C3693" s="6">
        <v>45684</v>
      </c>
      <c r="D3693" s="5" t="s">
        <v>91</v>
      </c>
      <c r="E3693" s="5" t="s">
        <v>92</v>
      </c>
      <c r="F3693" s="5" t="s">
        <v>103</v>
      </c>
      <c r="G3693" s="5" t="s">
        <v>104</v>
      </c>
      <c r="H3693" s="5" t="s">
        <v>21</v>
      </c>
      <c r="I3693" s="5" t="s">
        <v>409</v>
      </c>
      <c r="J3693" s="5" t="s">
        <v>558</v>
      </c>
      <c r="K3693" s="5" t="s">
        <v>105</v>
      </c>
      <c r="L3693" s="6">
        <v>45698</v>
      </c>
      <c r="M3693" s="6">
        <v>45695</v>
      </c>
      <c r="N3693" s="6" t="s">
        <v>811</v>
      </c>
      <c r="O3693" s="5" t="str">
        <f ca="1">IF(P3693&lt;&gt;"EXPEDIÇÃO","Expedido",IF(NETWORKDAYS(C3693,TODAY())&gt;=5,"Risco Alto",IF(NETWORKDAYS(C3693,TODAY())&gt;=3,IF(NETWORKDAYS(C3693,TODAY())&lt;5,"Risco Médio",""),IF(NETWORKDAYS(C3693,TODAY())&lt;=2,"Risco Baixo",""))))</f>
        <v>Risco Alto</v>
      </c>
      <c r="P3693" s="5" t="s">
        <v>726</v>
      </c>
      <c r="S3693" s="7">
        <f>IF(ISBLANK(M3693),"Aguardando Previsão/Data",NETWORKDAYS(L3693,M3693)-1)</f>
        <v>-3</v>
      </c>
    </row>
    <row r="3694" spans="1:20" x14ac:dyDescent="0.35">
      <c r="A3694" s="5">
        <v>8100284203</v>
      </c>
      <c r="B3694" s="5">
        <v>13512</v>
      </c>
      <c r="C3694" s="6">
        <v>45684</v>
      </c>
      <c r="D3694" s="5" t="s">
        <v>91</v>
      </c>
      <c r="E3694" s="5" t="s">
        <v>92</v>
      </c>
      <c r="F3694" s="5" t="s">
        <v>103</v>
      </c>
      <c r="G3694" s="5" t="s">
        <v>104</v>
      </c>
      <c r="H3694" s="5" t="s">
        <v>21</v>
      </c>
      <c r="I3694" s="5" t="s">
        <v>409</v>
      </c>
      <c r="J3694" s="5" t="s">
        <v>558</v>
      </c>
      <c r="K3694" s="5" t="s">
        <v>105</v>
      </c>
      <c r="L3694" s="6">
        <v>45698</v>
      </c>
      <c r="M3694" s="6">
        <v>45695</v>
      </c>
      <c r="N3694" s="6" t="s">
        <v>811</v>
      </c>
      <c r="O3694" s="5" t="str">
        <f ca="1">IF(P3694&lt;&gt;"EXPEDIÇÃO","Expedido",IF(NETWORKDAYS(C3694,TODAY())&gt;=5,"Risco Alto",IF(NETWORKDAYS(C3694,TODAY())&gt;=3,IF(NETWORKDAYS(C3694,TODAY())&lt;5,"Risco Médio",""),IF(NETWORKDAYS(C3694,TODAY())&lt;=2,"Risco Baixo",""))))</f>
        <v>Risco Alto</v>
      </c>
      <c r="P3694" s="5" t="s">
        <v>726</v>
      </c>
      <c r="S3694" s="7">
        <f>IF(ISBLANK(M3694),"Aguardando Previsão/Data",NETWORKDAYS(L3694,M3694)-1)</f>
        <v>-3</v>
      </c>
    </row>
    <row r="3695" spans="1:20" x14ac:dyDescent="0.35">
      <c r="A3695" s="5">
        <v>8100281644</v>
      </c>
      <c r="B3695" s="5">
        <v>21698</v>
      </c>
      <c r="C3695" s="6">
        <v>45684</v>
      </c>
      <c r="D3695" s="5" t="s">
        <v>836</v>
      </c>
      <c r="E3695" s="5" t="s">
        <v>837</v>
      </c>
      <c r="F3695" s="5" t="s">
        <v>147</v>
      </c>
      <c r="G3695" s="5" t="s">
        <v>148</v>
      </c>
      <c r="H3695" s="5" t="s">
        <v>21</v>
      </c>
      <c r="I3695" s="5" t="s">
        <v>480</v>
      </c>
      <c r="J3695" s="5" t="s">
        <v>169</v>
      </c>
      <c r="K3695" s="5" t="s">
        <v>170</v>
      </c>
      <c r="L3695" s="6">
        <v>45686</v>
      </c>
      <c r="M3695" s="6">
        <v>45709</v>
      </c>
      <c r="N3695" s="6" t="s">
        <v>812</v>
      </c>
      <c r="O3695" s="5" t="str">
        <f ca="1">IF(P3695&lt;&gt;"EXPEDIÇÃO","Expedido",IF(NETWORKDAYS(C3695,TODAY())&gt;=5,"Risco Alto",IF(NETWORKDAYS(C3695,TODAY())&gt;=3,IF(NETWORKDAYS(C3695,TODAY())&lt;5,"Risco Médio",""),IF(NETWORKDAYS(C3695,TODAY())&lt;=2,"Risco Baixo",""))))</f>
        <v>Expedido</v>
      </c>
      <c r="P3695" s="5" t="s">
        <v>617</v>
      </c>
      <c r="S3695" s="7">
        <f>IF(ISBLANK(M3695),"Aguardando Previsão/Data",NETWORKDAYS(L3695,M3695)-1)</f>
        <v>17</v>
      </c>
    </row>
    <row r="3696" spans="1:20" x14ac:dyDescent="0.35">
      <c r="A3696" s="5">
        <v>8100282098</v>
      </c>
      <c r="B3696" s="5">
        <v>10998</v>
      </c>
      <c r="C3696" s="6">
        <v>45684</v>
      </c>
      <c r="D3696" s="5" t="s">
        <v>239</v>
      </c>
      <c r="E3696" s="5" t="s">
        <v>240</v>
      </c>
      <c r="F3696" s="5" t="s">
        <v>176</v>
      </c>
      <c r="G3696" s="5" t="s">
        <v>177</v>
      </c>
      <c r="H3696" s="5" t="s">
        <v>218</v>
      </c>
      <c r="I3696" s="5" t="s">
        <v>1557</v>
      </c>
      <c r="J3696" s="5" t="s">
        <v>248</v>
      </c>
      <c r="K3696" s="5" t="s">
        <v>241</v>
      </c>
      <c r="L3696" s="6">
        <v>45691</v>
      </c>
      <c r="M3696" s="6">
        <v>45688</v>
      </c>
      <c r="N3696" s="6" t="s">
        <v>811</v>
      </c>
      <c r="O3696" s="5" t="str">
        <f ca="1">IF(P3696&lt;&gt;"EXPEDIÇÃO","Expedido",IF(NETWORKDAYS(C3696,TODAY())&gt;=5,"Risco Alto",IF(NETWORKDAYS(C3696,TODAY())&gt;=3,IF(NETWORKDAYS(C3696,TODAY())&lt;5,"Risco Médio",""),IF(NETWORKDAYS(C3696,TODAY())&lt;=2,"Risco Baixo",""))))</f>
        <v>Expedido</v>
      </c>
      <c r="P3696" s="5" t="s">
        <v>617</v>
      </c>
      <c r="Q3696" s="5" t="s">
        <v>793</v>
      </c>
      <c r="S3696" s="7">
        <f>IF(ISBLANK(M3696),"Aguardando Previsão/Data",NETWORKDAYS(L3696,M3696)-1)</f>
        <v>-3</v>
      </c>
    </row>
    <row r="3697" spans="1:20" x14ac:dyDescent="0.35">
      <c r="A3697" s="5">
        <v>8100284106</v>
      </c>
      <c r="B3697" s="5">
        <v>10999</v>
      </c>
      <c r="C3697" s="6">
        <v>45684</v>
      </c>
      <c r="D3697" s="5" t="s">
        <v>239</v>
      </c>
      <c r="E3697" s="5" t="s">
        <v>240</v>
      </c>
      <c r="F3697" s="5" t="s">
        <v>176</v>
      </c>
      <c r="G3697" s="5" t="s">
        <v>177</v>
      </c>
      <c r="H3697" s="5" t="s">
        <v>218</v>
      </c>
      <c r="I3697" s="5" t="s">
        <v>322</v>
      </c>
      <c r="J3697" s="5" t="s">
        <v>323</v>
      </c>
      <c r="K3697" s="5" t="s">
        <v>241</v>
      </c>
      <c r="L3697" s="6">
        <v>45688</v>
      </c>
      <c r="M3697" s="6">
        <v>45688</v>
      </c>
      <c r="N3697" s="6" t="s">
        <v>811</v>
      </c>
      <c r="O3697" s="5" t="str">
        <f ca="1">IF(P3697&lt;&gt;"EXPEDIÇÃO","Expedido",IF(NETWORKDAYS(C3697,TODAY())&gt;=5,"Risco Alto",IF(NETWORKDAYS(C3697,TODAY())&gt;=3,IF(NETWORKDAYS(C3697,TODAY())&lt;5,"Risco Médio",""),IF(NETWORKDAYS(C3697,TODAY())&lt;=2,"Risco Baixo",""))))</f>
        <v>Expedido</v>
      </c>
      <c r="P3697" s="5" t="s">
        <v>617</v>
      </c>
      <c r="Q3697" s="5" t="s">
        <v>793</v>
      </c>
      <c r="S3697" s="7">
        <f>IF(ISBLANK(M3697),"Aguardando Previsão/Data",NETWORKDAYS(L3697,M3697)-1)</f>
        <v>0</v>
      </c>
    </row>
    <row r="3698" spans="1:20" x14ac:dyDescent="0.35">
      <c r="A3698" s="5">
        <v>8100284107</v>
      </c>
      <c r="B3698" s="5">
        <v>11007</v>
      </c>
      <c r="C3698" s="6">
        <v>45684</v>
      </c>
      <c r="D3698" s="5" t="s">
        <v>239</v>
      </c>
      <c r="E3698" s="5" t="s">
        <v>240</v>
      </c>
      <c r="F3698" s="5" t="s">
        <v>176</v>
      </c>
      <c r="G3698" s="5" t="s">
        <v>177</v>
      </c>
      <c r="H3698" s="5" t="s">
        <v>218</v>
      </c>
      <c r="I3698" s="5" t="s">
        <v>1166</v>
      </c>
      <c r="J3698" s="5" t="s">
        <v>1129</v>
      </c>
      <c r="K3698" s="5" t="s">
        <v>241</v>
      </c>
      <c r="L3698" s="6">
        <v>45691</v>
      </c>
      <c r="M3698" s="6">
        <v>45687</v>
      </c>
      <c r="N3698" s="6" t="s">
        <v>811</v>
      </c>
      <c r="O3698" s="5" t="str">
        <f ca="1">IF(P3698&lt;&gt;"EXPEDIÇÃO","Expedido",IF(NETWORKDAYS(C3698,TODAY())&gt;=5,"Risco Alto",IF(NETWORKDAYS(C3698,TODAY())&gt;=3,IF(NETWORKDAYS(C3698,TODAY())&lt;5,"Risco Médio",""),IF(NETWORKDAYS(C3698,TODAY())&lt;=2,"Risco Baixo",""))))</f>
        <v>Expedido</v>
      </c>
      <c r="P3698" s="5" t="s">
        <v>25</v>
      </c>
      <c r="Q3698" s="5" t="s">
        <v>793</v>
      </c>
      <c r="S3698" s="7">
        <f>IF(ISBLANK(M3698),"Aguardando Previsão/Data",NETWORKDAYS(L3698,M3698)-1)</f>
        <v>-4</v>
      </c>
      <c r="T3698" s="5" t="s">
        <v>942</v>
      </c>
    </row>
    <row r="3699" spans="1:20" x14ac:dyDescent="0.35">
      <c r="A3699" s="5">
        <v>8100284108</v>
      </c>
      <c r="B3699" s="5">
        <v>11001</v>
      </c>
      <c r="C3699" s="6">
        <v>45684</v>
      </c>
      <c r="D3699" s="5" t="s">
        <v>239</v>
      </c>
      <c r="E3699" s="5" t="s">
        <v>240</v>
      </c>
      <c r="F3699" s="5" t="s">
        <v>176</v>
      </c>
      <c r="G3699" s="5" t="s">
        <v>177</v>
      </c>
      <c r="H3699" s="5" t="s">
        <v>218</v>
      </c>
      <c r="I3699" s="5" t="s">
        <v>909</v>
      </c>
      <c r="J3699" s="5" t="s">
        <v>1129</v>
      </c>
      <c r="K3699" s="5" t="s">
        <v>241</v>
      </c>
      <c r="L3699" s="6">
        <v>45691</v>
      </c>
      <c r="M3699" s="6">
        <v>45687</v>
      </c>
      <c r="N3699" s="6" t="s">
        <v>811</v>
      </c>
      <c r="O3699" s="5" t="str">
        <f ca="1">IF(P3699&lt;&gt;"EXPEDIÇÃO","Expedido",IF(NETWORKDAYS(C3699,TODAY())&gt;=5,"Risco Alto",IF(NETWORKDAYS(C3699,TODAY())&gt;=3,IF(NETWORKDAYS(C3699,TODAY())&lt;5,"Risco Médio",""),IF(NETWORKDAYS(C3699,TODAY())&lt;=2,"Risco Baixo",""))))</f>
        <v>Expedido</v>
      </c>
      <c r="P3699" s="5" t="s">
        <v>25</v>
      </c>
      <c r="Q3699" s="5" t="s">
        <v>793</v>
      </c>
      <c r="S3699" s="7">
        <f>IF(ISBLANK(M3699),"Aguardando Previsão/Data",NETWORKDAYS(L3699,M3699)-1)</f>
        <v>-4</v>
      </c>
      <c r="T3699" s="5" t="s">
        <v>942</v>
      </c>
    </row>
    <row r="3700" spans="1:20" x14ac:dyDescent="0.35">
      <c r="A3700" s="5">
        <v>8100284109</v>
      </c>
      <c r="B3700" s="5">
        <v>11000</v>
      </c>
      <c r="C3700" s="6">
        <v>45684</v>
      </c>
      <c r="D3700" s="5" t="s">
        <v>239</v>
      </c>
      <c r="E3700" s="5" t="s">
        <v>240</v>
      </c>
      <c r="F3700" s="5" t="s">
        <v>176</v>
      </c>
      <c r="G3700" s="5" t="s">
        <v>177</v>
      </c>
      <c r="H3700" s="5" t="s">
        <v>218</v>
      </c>
      <c r="I3700" s="5" t="s">
        <v>1164</v>
      </c>
      <c r="J3700" s="5" t="s">
        <v>1129</v>
      </c>
      <c r="K3700" s="5" t="s">
        <v>241</v>
      </c>
      <c r="L3700" s="6">
        <v>45691</v>
      </c>
      <c r="M3700" s="6">
        <v>45687</v>
      </c>
      <c r="N3700" s="6" t="s">
        <v>811</v>
      </c>
      <c r="O3700" s="5" t="str">
        <f ca="1">IF(P3700&lt;&gt;"EXPEDIÇÃO","Expedido",IF(NETWORKDAYS(C3700,TODAY())&gt;=5,"Risco Alto",IF(NETWORKDAYS(C3700,TODAY())&gt;=3,IF(NETWORKDAYS(C3700,TODAY())&lt;5,"Risco Médio",""),IF(NETWORKDAYS(C3700,TODAY())&lt;=2,"Risco Baixo",""))))</f>
        <v>Expedido</v>
      </c>
      <c r="P3700" s="5" t="s">
        <v>25</v>
      </c>
      <c r="Q3700" s="5" t="s">
        <v>793</v>
      </c>
      <c r="S3700" s="7">
        <f>IF(ISBLANK(M3700),"Aguardando Previsão/Data",NETWORKDAYS(L3700,M3700)-1)</f>
        <v>-4</v>
      </c>
      <c r="T3700" s="5" t="s">
        <v>942</v>
      </c>
    </row>
    <row r="3701" spans="1:20" x14ac:dyDescent="0.35">
      <c r="A3701" s="5">
        <v>8100284110</v>
      </c>
      <c r="B3701" s="5">
        <v>11006</v>
      </c>
      <c r="C3701" s="6">
        <v>45684</v>
      </c>
      <c r="D3701" s="5" t="s">
        <v>239</v>
      </c>
      <c r="E3701" s="5" t="s">
        <v>240</v>
      </c>
      <c r="F3701" s="5" t="s">
        <v>176</v>
      </c>
      <c r="G3701" s="5" t="s">
        <v>177</v>
      </c>
      <c r="H3701" s="5" t="s">
        <v>218</v>
      </c>
      <c r="I3701" s="5" t="s">
        <v>1144</v>
      </c>
      <c r="J3701" s="5" t="s">
        <v>797</v>
      </c>
      <c r="K3701" s="5" t="s">
        <v>241</v>
      </c>
      <c r="L3701" s="6">
        <v>45691</v>
      </c>
      <c r="M3701" s="6">
        <v>45687</v>
      </c>
      <c r="N3701" s="6" t="s">
        <v>811</v>
      </c>
      <c r="O3701" s="5" t="str">
        <f ca="1">IF(P3701&lt;&gt;"EXPEDIÇÃO","Expedido",IF(NETWORKDAYS(C3701,TODAY())&gt;=5,"Risco Alto",IF(NETWORKDAYS(C3701,TODAY())&gt;=3,IF(NETWORKDAYS(C3701,TODAY())&lt;5,"Risco Médio",""),IF(NETWORKDAYS(C3701,TODAY())&lt;=2,"Risco Baixo",""))))</f>
        <v>Expedido</v>
      </c>
      <c r="P3701" s="5" t="s">
        <v>25</v>
      </c>
      <c r="Q3701" s="5" t="s">
        <v>793</v>
      </c>
      <c r="S3701" s="7">
        <f>IF(ISBLANK(M3701),"Aguardando Previsão/Data",NETWORKDAYS(L3701,M3701)-1)</f>
        <v>-4</v>
      </c>
      <c r="T3701" s="5" t="s">
        <v>942</v>
      </c>
    </row>
    <row r="3702" spans="1:20" x14ac:dyDescent="0.35">
      <c r="A3702" s="5">
        <v>8100284111</v>
      </c>
      <c r="B3702" s="5">
        <v>11002</v>
      </c>
      <c r="C3702" s="6">
        <v>45684</v>
      </c>
      <c r="D3702" s="5" t="s">
        <v>239</v>
      </c>
      <c r="E3702" s="5" t="s">
        <v>240</v>
      </c>
      <c r="F3702" s="5" t="s">
        <v>160</v>
      </c>
      <c r="G3702" s="5" t="s">
        <v>161</v>
      </c>
      <c r="H3702" s="5" t="s">
        <v>218</v>
      </c>
      <c r="I3702" s="5" t="s">
        <v>462</v>
      </c>
      <c r="J3702" s="5" t="s">
        <v>244</v>
      </c>
      <c r="K3702" s="5" t="s">
        <v>241</v>
      </c>
      <c r="L3702" s="6">
        <v>45688</v>
      </c>
      <c r="M3702" s="6">
        <v>45686</v>
      </c>
      <c r="N3702" s="6" t="s">
        <v>811</v>
      </c>
      <c r="O3702" s="5" t="str">
        <f ca="1">IF(P3702&lt;&gt;"EXPEDIÇÃO","Expedido",IF(NETWORKDAYS(C3702,TODAY())&gt;=5,"Risco Alto",IF(NETWORKDAYS(C3702,TODAY())&gt;=3,IF(NETWORKDAYS(C3702,TODAY())&lt;5,"Risco Médio",""),IF(NETWORKDAYS(C3702,TODAY())&lt;=2,"Risco Baixo",""))))</f>
        <v>Expedido</v>
      </c>
      <c r="P3702" s="5" t="s">
        <v>25</v>
      </c>
      <c r="Q3702" s="5" t="s">
        <v>793</v>
      </c>
      <c r="S3702" s="7">
        <f>IF(ISBLANK(M3702),"Aguardando Previsão/Data",NETWORKDAYS(L3702,M3702)-1)</f>
        <v>-4</v>
      </c>
      <c r="T3702" s="5" t="s">
        <v>942</v>
      </c>
    </row>
    <row r="3703" spans="1:20" x14ac:dyDescent="0.35">
      <c r="A3703" s="5">
        <v>8100284112</v>
      </c>
      <c r="B3703" s="5">
        <v>11004</v>
      </c>
      <c r="C3703" s="6">
        <v>45684</v>
      </c>
      <c r="D3703" s="5" t="s">
        <v>239</v>
      </c>
      <c r="E3703" s="5" t="s">
        <v>240</v>
      </c>
      <c r="F3703" s="5" t="s">
        <v>176</v>
      </c>
      <c r="G3703" s="5" t="s">
        <v>177</v>
      </c>
      <c r="H3703" s="5" t="s">
        <v>218</v>
      </c>
      <c r="I3703" s="5" t="s">
        <v>429</v>
      </c>
      <c r="J3703" s="5" t="s">
        <v>430</v>
      </c>
      <c r="K3703" s="5" t="s">
        <v>241</v>
      </c>
      <c r="L3703" s="6">
        <v>45691</v>
      </c>
      <c r="M3703" s="6">
        <v>45687</v>
      </c>
      <c r="N3703" s="6" t="s">
        <v>811</v>
      </c>
      <c r="O3703" s="5" t="str">
        <f ca="1">IF(P3703&lt;&gt;"EXPEDIÇÃO","Expedido",IF(NETWORKDAYS(C3703,TODAY())&gt;=5,"Risco Alto",IF(NETWORKDAYS(C3703,TODAY())&gt;=3,IF(NETWORKDAYS(C3703,TODAY())&lt;5,"Risco Médio",""),IF(NETWORKDAYS(C3703,TODAY())&lt;=2,"Risco Baixo",""))))</f>
        <v>Expedido</v>
      </c>
      <c r="P3703" s="5" t="s">
        <v>25</v>
      </c>
      <c r="Q3703" s="5" t="s">
        <v>793</v>
      </c>
      <c r="S3703" s="7">
        <f>IF(ISBLANK(M3703),"Aguardando Previsão/Data",NETWORKDAYS(L3703,M3703)-1)</f>
        <v>-4</v>
      </c>
      <c r="T3703" s="5" t="s">
        <v>942</v>
      </c>
    </row>
    <row r="3704" spans="1:20" x14ac:dyDescent="0.35">
      <c r="A3704" s="5">
        <v>8100284113</v>
      </c>
      <c r="B3704" s="5">
        <v>11009</v>
      </c>
      <c r="C3704" s="6">
        <v>45684</v>
      </c>
      <c r="D3704" s="5" t="s">
        <v>239</v>
      </c>
      <c r="E3704" s="5" t="s">
        <v>240</v>
      </c>
      <c r="F3704" s="5" t="s">
        <v>242</v>
      </c>
      <c r="G3704" s="5" t="s">
        <v>243</v>
      </c>
      <c r="H3704" s="5" t="s">
        <v>218</v>
      </c>
      <c r="I3704" s="5" t="s">
        <v>460</v>
      </c>
      <c r="J3704" s="5" t="s">
        <v>461</v>
      </c>
      <c r="K3704" s="5" t="s">
        <v>241</v>
      </c>
      <c r="L3704" s="6">
        <v>45688</v>
      </c>
      <c r="M3704" s="6">
        <v>45687</v>
      </c>
      <c r="N3704" s="6" t="s">
        <v>811</v>
      </c>
      <c r="O3704" s="5" t="str">
        <f ca="1">IF(P3704&lt;&gt;"EXPEDIÇÃO","Expedido",IF(NETWORKDAYS(C3704,TODAY())&gt;=5,"Risco Alto",IF(NETWORKDAYS(C3704,TODAY())&gt;=3,IF(NETWORKDAYS(C3704,TODAY())&lt;5,"Risco Médio",""),IF(NETWORKDAYS(C3704,TODAY())&lt;=2,"Risco Baixo",""))))</f>
        <v>Expedido</v>
      </c>
      <c r="P3704" s="5" t="s">
        <v>617</v>
      </c>
      <c r="Q3704" s="5" t="s">
        <v>793</v>
      </c>
      <c r="S3704" s="7">
        <f>IF(ISBLANK(M3704),"Aguardando Previsão/Data",NETWORKDAYS(L3704,M3704)-1)</f>
        <v>-3</v>
      </c>
    </row>
    <row r="3705" spans="1:20" x14ac:dyDescent="0.35">
      <c r="A3705" s="5">
        <v>8100284114</v>
      </c>
      <c r="B3705" s="5">
        <v>11003</v>
      </c>
      <c r="C3705" s="6">
        <v>45684</v>
      </c>
      <c r="D3705" s="5" t="s">
        <v>239</v>
      </c>
      <c r="E3705" s="5" t="s">
        <v>240</v>
      </c>
      <c r="F3705" s="5" t="s">
        <v>160</v>
      </c>
      <c r="G3705" s="5" t="s">
        <v>161</v>
      </c>
      <c r="H3705" s="5" t="s">
        <v>218</v>
      </c>
      <c r="I3705" s="5" t="s">
        <v>462</v>
      </c>
      <c r="J3705" s="5" t="s">
        <v>244</v>
      </c>
      <c r="K3705" s="5" t="s">
        <v>241</v>
      </c>
      <c r="L3705" s="6">
        <v>45688</v>
      </c>
      <c r="M3705" s="6">
        <v>45686</v>
      </c>
      <c r="N3705" s="6" t="s">
        <v>811</v>
      </c>
      <c r="O3705" s="5" t="str">
        <f ca="1">IF(P3705&lt;&gt;"EXPEDIÇÃO","Expedido",IF(NETWORKDAYS(C3705,TODAY())&gt;=5,"Risco Alto",IF(NETWORKDAYS(C3705,TODAY())&gt;=3,IF(NETWORKDAYS(C3705,TODAY())&lt;5,"Risco Médio",""),IF(NETWORKDAYS(C3705,TODAY())&lt;=2,"Risco Baixo",""))))</f>
        <v>Expedido</v>
      </c>
      <c r="P3705" s="5" t="s">
        <v>25</v>
      </c>
      <c r="Q3705" s="5" t="s">
        <v>793</v>
      </c>
      <c r="S3705" s="7">
        <f>IF(ISBLANK(M3705),"Aguardando Previsão/Data",NETWORKDAYS(L3705,M3705)-1)</f>
        <v>-4</v>
      </c>
      <c r="T3705" s="5" t="s">
        <v>942</v>
      </c>
    </row>
    <row r="3706" spans="1:20" x14ac:dyDescent="0.35">
      <c r="A3706" s="5">
        <v>8100284115</v>
      </c>
      <c r="B3706" s="5">
        <v>11005</v>
      </c>
      <c r="C3706" s="6">
        <v>45684</v>
      </c>
      <c r="D3706" s="5" t="s">
        <v>239</v>
      </c>
      <c r="E3706" s="5" t="s">
        <v>240</v>
      </c>
      <c r="F3706" s="5" t="s">
        <v>176</v>
      </c>
      <c r="G3706" s="5" t="s">
        <v>177</v>
      </c>
      <c r="H3706" s="5" t="s">
        <v>218</v>
      </c>
      <c r="I3706" s="5" t="s">
        <v>429</v>
      </c>
      <c r="J3706" s="5" t="s">
        <v>430</v>
      </c>
      <c r="K3706" s="5" t="s">
        <v>241</v>
      </c>
      <c r="L3706" s="6">
        <v>45691</v>
      </c>
      <c r="M3706" s="6">
        <v>45687</v>
      </c>
      <c r="N3706" s="6" t="s">
        <v>811</v>
      </c>
      <c r="O3706" s="5" t="str">
        <f ca="1">IF(P3706&lt;&gt;"EXPEDIÇÃO","Expedido",IF(NETWORKDAYS(C3706,TODAY())&gt;=5,"Risco Alto",IF(NETWORKDAYS(C3706,TODAY())&gt;=3,IF(NETWORKDAYS(C3706,TODAY())&lt;5,"Risco Médio",""),IF(NETWORKDAYS(C3706,TODAY())&lt;=2,"Risco Baixo",""))))</f>
        <v>Expedido</v>
      </c>
      <c r="P3706" s="5" t="s">
        <v>25</v>
      </c>
      <c r="Q3706" s="5" t="s">
        <v>793</v>
      </c>
      <c r="S3706" s="7">
        <f>IF(ISBLANK(M3706),"Aguardando Previsão/Data",NETWORKDAYS(L3706,M3706)-1)</f>
        <v>-4</v>
      </c>
      <c r="T3706" s="5" t="s">
        <v>942</v>
      </c>
    </row>
    <row r="3707" spans="1:20" x14ac:dyDescent="0.35">
      <c r="A3707" s="5">
        <v>8100284157</v>
      </c>
      <c r="B3707" s="5">
        <v>11008</v>
      </c>
      <c r="C3707" s="6">
        <v>45684</v>
      </c>
      <c r="D3707" s="5" t="s">
        <v>239</v>
      </c>
      <c r="E3707" s="5" t="s">
        <v>240</v>
      </c>
      <c r="F3707" s="5" t="s">
        <v>160</v>
      </c>
      <c r="G3707" s="5" t="s">
        <v>161</v>
      </c>
      <c r="H3707" s="5" t="s">
        <v>218</v>
      </c>
      <c r="I3707" s="5" t="s">
        <v>672</v>
      </c>
      <c r="J3707" s="5" t="s">
        <v>673</v>
      </c>
      <c r="K3707" s="5" t="s">
        <v>241</v>
      </c>
      <c r="L3707" s="6">
        <v>45688</v>
      </c>
      <c r="M3707" s="6">
        <v>45687</v>
      </c>
      <c r="N3707" s="6" t="s">
        <v>811</v>
      </c>
      <c r="O3707" s="5" t="str">
        <f ca="1">IF(P3707&lt;&gt;"EXPEDIÇÃO","Expedido",IF(NETWORKDAYS(C3707,TODAY())&gt;=5,"Risco Alto",IF(NETWORKDAYS(C3707,TODAY())&gt;=3,IF(NETWORKDAYS(C3707,TODAY())&lt;5,"Risco Médio",""),IF(NETWORKDAYS(C3707,TODAY())&lt;=2,"Risco Baixo",""))))</f>
        <v>Expedido</v>
      </c>
      <c r="P3707" s="5" t="s">
        <v>617</v>
      </c>
      <c r="Q3707" s="5" t="s">
        <v>793</v>
      </c>
      <c r="S3707" s="7">
        <f>IF(ISBLANK(M3707),"Aguardando Previsão/Data",NETWORKDAYS(L3707,M3707)-1)</f>
        <v>-3</v>
      </c>
    </row>
    <row r="3708" spans="1:20" x14ac:dyDescent="0.35">
      <c r="A3708" s="5">
        <v>8100284267</v>
      </c>
      <c r="B3708" s="5">
        <v>11010</v>
      </c>
      <c r="C3708" s="6">
        <v>45684</v>
      </c>
      <c r="D3708" s="5" t="s">
        <v>239</v>
      </c>
      <c r="E3708" s="5" t="s">
        <v>240</v>
      </c>
      <c r="F3708" s="5" t="s">
        <v>176</v>
      </c>
      <c r="G3708" s="5" t="s">
        <v>177</v>
      </c>
      <c r="H3708" s="5" t="s">
        <v>218</v>
      </c>
      <c r="I3708" s="5" t="s">
        <v>247</v>
      </c>
      <c r="J3708" s="5" t="s">
        <v>248</v>
      </c>
      <c r="K3708" s="5" t="s">
        <v>241</v>
      </c>
      <c r="L3708" s="6">
        <v>45691</v>
      </c>
      <c r="M3708" s="6">
        <v>45688</v>
      </c>
      <c r="N3708" s="6" t="s">
        <v>811</v>
      </c>
      <c r="O3708" s="5" t="str">
        <f ca="1">IF(P3708&lt;&gt;"EXPEDIÇÃO","Expedido",IF(NETWORKDAYS(C3708,TODAY())&gt;=5,"Risco Alto",IF(NETWORKDAYS(C3708,TODAY())&gt;=3,IF(NETWORKDAYS(C3708,TODAY())&lt;5,"Risco Médio",""),IF(NETWORKDAYS(C3708,TODAY())&lt;=2,"Risco Baixo",""))))</f>
        <v>Expedido</v>
      </c>
      <c r="P3708" s="5" t="s">
        <v>617</v>
      </c>
      <c r="Q3708" s="5" t="s">
        <v>793</v>
      </c>
      <c r="S3708" s="7">
        <f>IF(ISBLANK(M3708),"Aguardando Previsão/Data",NETWORKDAYS(L3708,M3708)-1)</f>
        <v>-3</v>
      </c>
    </row>
    <row r="3709" spans="1:20" x14ac:dyDescent="0.35">
      <c r="A3709" s="5">
        <v>8100284148</v>
      </c>
      <c r="B3709" s="5">
        <v>19717</v>
      </c>
      <c r="C3709" s="6">
        <v>45684</v>
      </c>
      <c r="D3709" s="5" t="s">
        <v>106</v>
      </c>
      <c r="E3709" s="5" t="s">
        <v>107</v>
      </c>
      <c r="F3709" s="5" t="s">
        <v>58</v>
      </c>
      <c r="G3709" s="5" t="s">
        <v>59</v>
      </c>
      <c r="H3709" s="5" t="s">
        <v>108</v>
      </c>
      <c r="I3709" s="5" t="s">
        <v>985</v>
      </c>
      <c r="J3709" s="5" t="s">
        <v>134</v>
      </c>
      <c r="K3709" s="5" t="s">
        <v>110</v>
      </c>
      <c r="L3709" s="6">
        <v>45688</v>
      </c>
      <c r="M3709" s="6">
        <v>45686</v>
      </c>
      <c r="N3709" s="6" t="s">
        <v>811</v>
      </c>
      <c r="O3709" s="5" t="str">
        <f ca="1">IF(P3709&lt;&gt;"EXPEDIÇÃO","Expedido",IF(NETWORKDAYS(C3709,TODAY())&gt;=5,"Risco Alto",IF(NETWORKDAYS(C3709,TODAY())&gt;=3,IF(NETWORKDAYS(C3709,TODAY())&lt;5,"Risco Médio",""),IF(NETWORKDAYS(C3709,TODAY())&lt;=2,"Risco Baixo",""))))</f>
        <v>Expedido</v>
      </c>
      <c r="P3709" s="5" t="s">
        <v>25</v>
      </c>
      <c r="S3709" s="7">
        <f>IF(ISBLANK(M3709),"Aguardando Previsão/Data",NETWORKDAYS(L3709,M3709)-1)</f>
        <v>-4</v>
      </c>
      <c r="T3709" s="5" t="s">
        <v>942</v>
      </c>
    </row>
    <row r="3710" spans="1:20" x14ac:dyDescent="0.35">
      <c r="A3710" s="5">
        <v>8100284149</v>
      </c>
      <c r="B3710" s="5">
        <v>19720</v>
      </c>
      <c r="C3710" s="6">
        <v>45684</v>
      </c>
      <c r="D3710" s="5" t="s">
        <v>106</v>
      </c>
      <c r="E3710" s="5" t="s">
        <v>107</v>
      </c>
      <c r="F3710" s="5" t="s">
        <v>53</v>
      </c>
      <c r="G3710" s="5" t="s">
        <v>54</v>
      </c>
      <c r="H3710" s="5" t="s">
        <v>108</v>
      </c>
      <c r="I3710" s="5" t="s">
        <v>782</v>
      </c>
      <c r="J3710" s="5" t="s">
        <v>1057</v>
      </c>
      <c r="K3710" s="5" t="s">
        <v>110</v>
      </c>
      <c r="L3710" s="6">
        <v>45692</v>
      </c>
      <c r="M3710" s="6">
        <v>45687</v>
      </c>
      <c r="N3710" s="6" t="s">
        <v>811</v>
      </c>
      <c r="O3710" s="5" t="str">
        <f ca="1">IF(P3710&lt;&gt;"EXPEDIÇÃO","Expedido",IF(NETWORKDAYS(C3710,TODAY())&gt;=5,"Risco Alto",IF(NETWORKDAYS(C3710,TODAY())&gt;=3,IF(NETWORKDAYS(C3710,TODAY())&lt;5,"Risco Médio",""),IF(NETWORKDAYS(C3710,TODAY())&lt;=2,"Risco Baixo",""))))</f>
        <v>Expedido</v>
      </c>
      <c r="P3710" s="5" t="s">
        <v>25</v>
      </c>
      <c r="S3710" s="7">
        <f>IF(ISBLANK(M3710),"Aguardando Previsão/Data",NETWORKDAYS(L3710,M3710)-1)</f>
        <v>-5</v>
      </c>
      <c r="T3710" s="5" t="s">
        <v>942</v>
      </c>
    </row>
    <row r="3711" spans="1:20" x14ac:dyDescent="0.35">
      <c r="A3711" s="5">
        <v>8100284150</v>
      </c>
      <c r="B3711" s="5">
        <v>19721</v>
      </c>
      <c r="C3711" s="6">
        <v>45684</v>
      </c>
      <c r="D3711" s="5" t="s">
        <v>106</v>
      </c>
      <c r="E3711" s="5" t="s">
        <v>107</v>
      </c>
      <c r="F3711" s="5" t="s">
        <v>53</v>
      </c>
      <c r="G3711" s="5" t="s">
        <v>54</v>
      </c>
      <c r="H3711" s="5" t="s">
        <v>108</v>
      </c>
      <c r="I3711" s="5" t="s">
        <v>782</v>
      </c>
      <c r="J3711" s="5" t="s">
        <v>1057</v>
      </c>
      <c r="K3711" s="5" t="s">
        <v>110</v>
      </c>
      <c r="L3711" s="6">
        <v>45692</v>
      </c>
      <c r="M3711" s="6">
        <v>45687</v>
      </c>
      <c r="N3711" s="6" t="s">
        <v>811</v>
      </c>
      <c r="O3711" s="5" t="str">
        <f ca="1">IF(P3711&lt;&gt;"EXPEDIÇÃO","Expedido",IF(NETWORKDAYS(C3711,TODAY())&gt;=5,"Risco Alto",IF(NETWORKDAYS(C3711,TODAY())&gt;=3,IF(NETWORKDAYS(C3711,TODAY())&lt;5,"Risco Médio",""),IF(NETWORKDAYS(C3711,TODAY())&lt;=2,"Risco Baixo",""))))</f>
        <v>Expedido</v>
      </c>
      <c r="P3711" s="5" t="s">
        <v>25</v>
      </c>
      <c r="S3711" s="7">
        <f>IF(ISBLANK(M3711),"Aguardando Previsão/Data",NETWORKDAYS(L3711,M3711)-1)</f>
        <v>-5</v>
      </c>
      <c r="T3711" s="5" t="s">
        <v>942</v>
      </c>
    </row>
    <row r="3712" spans="1:20" x14ac:dyDescent="0.35">
      <c r="A3712" s="5">
        <v>8100284424</v>
      </c>
      <c r="B3712" s="5">
        <v>19724</v>
      </c>
      <c r="C3712" s="6">
        <v>45684</v>
      </c>
      <c r="D3712" s="5" t="s">
        <v>106</v>
      </c>
      <c r="E3712" s="5" t="s">
        <v>107</v>
      </c>
      <c r="F3712" s="5" t="s">
        <v>58</v>
      </c>
      <c r="G3712" s="5" t="s">
        <v>59</v>
      </c>
      <c r="H3712" s="5" t="s">
        <v>108</v>
      </c>
      <c r="I3712" s="5" t="s">
        <v>585</v>
      </c>
      <c r="J3712" s="5" t="s">
        <v>586</v>
      </c>
      <c r="K3712" s="5" t="s">
        <v>110</v>
      </c>
      <c r="L3712" s="6">
        <v>45691</v>
      </c>
      <c r="M3712" s="6">
        <v>45687</v>
      </c>
      <c r="N3712" s="6" t="s">
        <v>811</v>
      </c>
      <c r="O3712" s="5" t="str">
        <f ca="1">IF(P3712&lt;&gt;"EXPEDIÇÃO","Expedido",IF(NETWORKDAYS(C3712,TODAY())&gt;=5,"Risco Alto",IF(NETWORKDAYS(C3712,TODAY())&gt;=3,IF(NETWORKDAYS(C3712,TODAY())&lt;5,"Risco Médio",""),IF(NETWORKDAYS(C3712,TODAY())&lt;=2,"Risco Baixo",""))))</f>
        <v>Expedido</v>
      </c>
      <c r="P3712" s="5" t="s">
        <v>617</v>
      </c>
      <c r="S3712" s="7">
        <f>IF(ISBLANK(M3712),"Aguardando Previsão/Data",NETWORKDAYS(L3712,M3712)-1)</f>
        <v>-4</v>
      </c>
    </row>
    <row r="3713" spans="1:20" x14ac:dyDescent="0.35">
      <c r="A3713" s="5">
        <v>8100284425</v>
      </c>
      <c r="B3713" s="5">
        <v>19727</v>
      </c>
      <c r="C3713" s="6">
        <v>45684</v>
      </c>
      <c r="D3713" s="5" t="s">
        <v>106</v>
      </c>
      <c r="E3713" s="5" t="s">
        <v>107</v>
      </c>
      <c r="F3713" s="5" t="s">
        <v>58</v>
      </c>
      <c r="G3713" s="5" t="s">
        <v>59</v>
      </c>
      <c r="H3713" s="5" t="s">
        <v>108</v>
      </c>
      <c r="I3713" s="5" t="s">
        <v>130</v>
      </c>
      <c r="J3713" s="5" t="s">
        <v>131</v>
      </c>
      <c r="K3713" s="5" t="s">
        <v>110</v>
      </c>
      <c r="L3713" s="6">
        <v>45688</v>
      </c>
      <c r="M3713" s="6">
        <v>45688</v>
      </c>
      <c r="N3713" s="6" t="s">
        <v>811</v>
      </c>
      <c r="O3713" s="5" t="str">
        <f ca="1">IF(P3713&lt;&gt;"EXPEDIÇÃO","Expedido",IF(NETWORKDAYS(C3713,TODAY())&gt;=5,"Risco Alto",IF(NETWORKDAYS(C3713,TODAY())&gt;=3,IF(NETWORKDAYS(C3713,TODAY())&lt;5,"Risco Médio",""),IF(NETWORKDAYS(C3713,TODAY())&lt;=2,"Risco Baixo",""))))</f>
        <v>Expedido</v>
      </c>
      <c r="P3713" s="5" t="s">
        <v>617</v>
      </c>
      <c r="S3713" s="7">
        <f>IF(ISBLANK(M3713),"Aguardando Previsão/Data",NETWORKDAYS(L3713,M3713)-1)</f>
        <v>0</v>
      </c>
    </row>
    <row r="3714" spans="1:20" x14ac:dyDescent="0.35">
      <c r="A3714" s="5">
        <v>8100284426</v>
      </c>
      <c r="B3714" s="5">
        <v>19722</v>
      </c>
      <c r="C3714" s="6">
        <v>45684</v>
      </c>
      <c r="D3714" s="5" t="s">
        <v>106</v>
      </c>
      <c r="E3714" s="5" t="s">
        <v>107</v>
      </c>
      <c r="F3714" s="5" t="s">
        <v>58</v>
      </c>
      <c r="G3714" s="5" t="s">
        <v>59</v>
      </c>
      <c r="H3714" s="5" t="s">
        <v>108</v>
      </c>
      <c r="I3714" s="5" t="s">
        <v>140</v>
      </c>
      <c r="J3714" s="5" t="s">
        <v>141</v>
      </c>
      <c r="K3714" s="5" t="s">
        <v>110</v>
      </c>
      <c r="L3714" s="6">
        <v>45688</v>
      </c>
      <c r="M3714" s="6">
        <v>45684</v>
      </c>
      <c r="N3714" s="6" t="s">
        <v>811</v>
      </c>
      <c r="O3714" s="5" t="str">
        <f ca="1">IF(P3714&lt;&gt;"EXPEDIÇÃO","Expedido",IF(NETWORKDAYS(C3714,TODAY())&gt;=5,"Risco Alto",IF(NETWORKDAYS(C3714,TODAY())&gt;=3,IF(NETWORKDAYS(C3714,TODAY())&lt;5,"Risco Médio",""),IF(NETWORKDAYS(C3714,TODAY())&lt;=2,"Risco Baixo",""))))</f>
        <v>Expedido</v>
      </c>
      <c r="P3714" s="5" t="s">
        <v>25</v>
      </c>
      <c r="Q3714" s="5" t="s">
        <v>900</v>
      </c>
      <c r="S3714" s="7">
        <f>IF(ISBLANK(M3714),"Aguardando Previsão/Data",NETWORKDAYS(L3714,M3714)-1)</f>
        <v>-6</v>
      </c>
      <c r="T3714" s="5" t="s">
        <v>942</v>
      </c>
    </row>
    <row r="3715" spans="1:20" x14ac:dyDescent="0.35">
      <c r="A3715" s="5">
        <v>8100284427</v>
      </c>
      <c r="B3715" s="5">
        <v>19723</v>
      </c>
      <c r="C3715" s="6">
        <v>45684</v>
      </c>
      <c r="D3715" s="5" t="s">
        <v>106</v>
      </c>
      <c r="E3715" s="5" t="s">
        <v>107</v>
      </c>
      <c r="F3715" s="5" t="s">
        <v>58</v>
      </c>
      <c r="G3715" s="5" t="s">
        <v>59</v>
      </c>
      <c r="H3715" s="5" t="s">
        <v>108</v>
      </c>
      <c r="I3715" s="5" t="s">
        <v>140</v>
      </c>
      <c r="J3715" s="5" t="s">
        <v>141</v>
      </c>
      <c r="K3715" s="5" t="s">
        <v>110</v>
      </c>
      <c r="L3715" s="6">
        <v>45688</v>
      </c>
      <c r="M3715" s="6">
        <v>45684</v>
      </c>
      <c r="N3715" s="6" t="s">
        <v>811</v>
      </c>
      <c r="O3715" s="5" t="str">
        <f ca="1">IF(P3715&lt;&gt;"EXPEDIÇÃO","Expedido",IF(NETWORKDAYS(C3715,TODAY())&gt;=5,"Risco Alto",IF(NETWORKDAYS(C3715,TODAY())&gt;=3,IF(NETWORKDAYS(C3715,TODAY())&lt;5,"Risco Médio",""),IF(NETWORKDAYS(C3715,TODAY())&lt;=2,"Risco Baixo",""))))</f>
        <v>Expedido</v>
      </c>
      <c r="P3715" s="5" t="s">
        <v>25</v>
      </c>
      <c r="Q3715" s="5" t="s">
        <v>900</v>
      </c>
      <c r="S3715" s="7">
        <f>IF(ISBLANK(M3715),"Aguardando Previsão/Data",NETWORKDAYS(L3715,M3715)-1)</f>
        <v>-6</v>
      </c>
      <c r="T3715" s="5" t="s">
        <v>942</v>
      </c>
    </row>
    <row r="3716" spans="1:20" x14ac:dyDescent="0.35">
      <c r="A3716" s="5">
        <v>8100284429</v>
      </c>
      <c r="B3716" s="5">
        <v>19718</v>
      </c>
      <c r="C3716" s="6">
        <v>45684</v>
      </c>
      <c r="D3716" s="5" t="s">
        <v>106</v>
      </c>
      <c r="E3716" s="5" t="s">
        <v>107</v>
      </c>
      <c r="F3716" s="5" t="s">
        <v>69</v>
      </c>
      <c r="G3716" s="5" t="s">
        <v>70</v>
      </c>
      <c r="H3716" s="5" t="s">
        <v>108</v>
      </c>
      <c r="I3716" s="5" t="s">
        <v>118</v>
      </c>
      <c r="J3716" s="5" t="s">
        <v>114</v>
      </c>
      <c r="K3716" s="5" t="s">
        <v>110</v>
      </c>
      <c r="L3716" s="6">
        <v>45692</v>
      </c>
      <c r="M3716" s="6">
        <v>45688</v>
      </c>
      <c r="N3716" s="6" t="s">
        <v>811</v>
      </c>
      <c r="O3716" s="5" t="str">
        <f ca="1">IF(P3716&lt;&gt;"EXPEDIÇÃO","Expedido",IF(NETWORKDAYS(C3716,TODAY())&gt;=5,"Risco Alto",IF(NETWORKDAYS(C3716,TODAY())&gt;=3,IF(NETWORKDAYS(C3716,TODAY())&lt;5,"Risco Médio",""),IF(NETWORKDAYS(C3716,TODAY())&lt;=2,"Risco Baixo",""))))</f>
        <v>Risco Alto</v>
      </c>
      <c r="P3716" s="5" t="s">
        <v>726</v>
      </c>
      <c r="Q3716" s="5" t="s">
        <v>897</v>
      </c>
      <c r="S3716" s="7">
        <f>IF(ISBLANK(M3716),"Aguardando Previsão/Data",NETWORKDAYS(L3716,M3716)-1)</f>
        <v>-4</v>
      </c>
    </row>
    <row r="3717" spans="1:20" x14ac:dyDescent="0.35">
      <c r="A3717" s="5">
        <v>8100284430</v>
      </c>
      <c r="B3717" s="5">
        <v>19728</v>
      </c>
      <c r="C3717" s="6">
        <v>45684</v>
      </c>
      <c r="D3717" s="5" t="s">
        <v>106</v>
      </c>
      <c r="E3717" s="5" t="s">
        <v>107</v>
      </c>
      <c r="F3717" s="5" t="s">
        <v>53</v>
      </c>
      <c r="G3717" s="5" t="s">
        <v>54</v>
      </c>
      <c r="H3717" s="5" t="s">
        <v>108</v>
      </c>
      <c r="I3717" s="5" t="s">
        <v>132</v>
      </c>
      <c r="J3717" s="5" t="s">
        <v>133</v>
      </c>
      <c r="K3717" s="5" t="s">
        <v>110</v>
      </c>
      <c r="L3717" s="6">
        <v>45692</v>
      </c>
      <c r="M3717" s="6">
        <v>45688</v>
      </c>
      <c r="N3717" s="6" t="s">
        <v>811</v>
      </c>
      <c r="O3717" s="5" t="str">
        <f ca="1">IF(P3717&lt;&gt;"EXPEDIÇÃO","Expedido",IF(NETWORKDAYS(C3717,TODAY())&gt;=5,"Risco Alto",IF(NETWORKDAYS(C3717,TODAY())&gt;=3,IF(NETWORKDAYS(C3717,TODAY())&lt;5,"Risco Médio",""),IF(NETWORKDAYS(C3717,TODAY())&lt;=2,"Risco Baixo",""))))</f>
        <v>Expedido</v>
      </c>
      <c r="P3717" s="5" t="s">
        <v>617</v>
      </c>
      <c r="S3717" s="7">
        <f>IF(ISBLANK(M3717),"Aguardando Previsão/Data",NETWORKDAYS(L3717,M3717)-1)</f>
        <v>-4</v>
      </c>
    </row>
    <row r="3718" spans="1:20" x14ac:dyDescent="0.35">
      <c r="A3718" s="5">
        <v>8100284435</v>
      </c>
      <c r="B3718" s="5">
        <v>19719</v>
      </c>
      <c r="C3718" s="6">
        <v>45684</v>
      </c>
      <c r="D3718" s="5" t="s">
        <v>106</v>
      </c>
      <c r="E3718" s="5" t="s">
        <v>107</v>
      </c>
      <c r="F3718" s="5" t="s">
        <v>69</v>
      </c>
      <c r="G3718" s="5" t="s">
        <v>70</v>
      </c>
      <c r="H3718" s="5" t="s">
        <v>108</v>
      </c>
      <c r="I3718" s="5" t="s">
        <v>118</v>
      </c>
      <c r="J3718" s="5" t="s">
        <v>114</v>
      </c>
      <c r="K3718" s="5" t="s">
        <v>110</v>
      </c>
      <c r="L3718" s="6">
        <v>45692</v>
      </c>
      <c r="M3718" s="6">
        <v>45688</v>
      </c>
      <c r="N3718" s="6" t="s">
        <v>811</v>
      </c>
      <c r="O3718" s="5" t="str">
        <f ca="1">IF(P3718&lt;&gt;"EXPEDIÇÃO","Expedido",IF(NETWORKDAYS(C3718,TODAY())&gt;=5,"Risco Alto",IF(NETWORKDAYS(C3718,TODAY())&gt;=3,IF(NETWORKDAYS(C3718,TODAY())&lt;5,"Risco Médio",""),IF(NETWORKDAYS(C3718,TODAY())&lt;=2,"Risco Baixo",""))))</f>
        <v>Risco Alto</v>
      </c>
      <c r="P3718" s="5" t="s">
        <v>726</v>
      </c>
      <c r="Q3718" s="5" t="s">
        <v>897</v>
      </c>
      <c r="S3718" s="7">
        <f>IF(ISBLANK(M3718),"Aguardando Previsão/Data",NETWORKDAYS(L3718,M3718)-1)</f>
        <v>-4</v>
      </c>
    </row>
    <row r="3719" spans="1:20" x14ac:dyDescent="0.35">
      <c r="A3719" s="5">
        <v>8100284505</v>
      </c>
      <c r="B3719" s="5">
        <v>19729</v>
      </c>
      <c r="C3719" s="6">
        <v>45684</v>
      </c>
      <c r="D3719" s="5" t="s">
        <v>106</v>
      </c>
      <c r="E3719" s="5" t="s">
        <v>107</v>
      </c>
      <c r="F3719" s="5" t="s">
        <v>147</v>
      </c>
      <c r="G3719" s="5" t="s">
        <v>148</v>
      </c>
      <c r="H3719" s="5" t="s">
        <v>108</v>
      </c>
      <c r="I3719" s="5" t="s">
        <v>115</v>
      </c>
      <c r="J3719" s="5" t="s">
        <v>116</v>
      </c>
      <c r="K3719" s="5" t="s">
        <v>110</v>
      </c>
      <c r="L3719" s="6">
        <v>45691</v>
      </c>
      <c r="M3719" s="6">
        <v>45686</v>
      </c>
      <c r="N3719" s="6" t="s">
        <v>811</v>
      </c>
      <c r="O3719" s="5" t="str">
        <f ca="1">IF(P3719&lt;&gt;"EXPEDIÇÃO","Expedido",IF(NETWORKDAYS(C3719,TODAY())&gt;=5,"Risco Alto",IF(NETWORKDAYS(C3719,TODAY())&gt;=3,IF(NETWORKDAYS(C3719,TODAY())&lt;5,"Risco Médio",""),IF(NETWORKDAYS(C3719,TODAY())&lt;=2,"Risco Baixo",""))))</f>
        <v>Expedido</v>
      </c>
      <c r="P3719" s="5" t="s">
        <v>25</v>
      </c>
      <c r="S3719" s="7">
        <f>IF(ISBLANK(M3719),"Aguardando Previsão/Data",NETWORKDAYS(L3719,M3719)-1)</f>
        <v>-5</v>
      </c>
      <c r="T3719" s="5" t="s">
        <v>942</v>
      </c>
    </row>
    <row r="3720" spans="1:20" x14ac:dyDescent="0.35">
      <c r="A3720" s="5">
        <v>8100284506</v>
      </c>
      <c r="B3720" s="5">
        <v>19725</v>
      </c>
      <c r="C3720" s="6">
        <v>45684</v>
      </c>
      <c r="D3720" s="5" t="s">
        <v>106</v>
      </c>
      <c r="E3720" s="5" t="s">
        <v>107</v>
      </c>
      <c r="F3720" s="5" t="s">
        <v>58</v>
      </c>
      <c r="G3720" s="5" t="s">
        <v>59</v>
      </c>
      <c r="H3720" s="5" t="s">
        <v>108</v>
      </c>
      <c r="I3720" s="5" t="s">
        <v>126</v>
      </c>
      <c r="J3720" s="5" t="s">
        <v>127</v>
      </c>
      <c r="K3720" s="5" t="s">
        <v>110</v>
      </c>
      <c r="L3720" s="6">
        <v>45688</v>
      </c>
      <c r="M3720" s="6">
        <v>45688</v>
      </c>
      <c r="N3720" s="6" t="s">
        <v>811</v>
      </c>
      <c r="O3720" s="5" t="str">
        <f ca="1">IF(P3720&lt;&gt;"EXPEDIÇÃO","Expedido",IF(NETWORKDAYS(C3720,TODAY())&gt;=5,"Risco Alto",IF(NETWORKDAYS(C3720,TODAY())&gt;=3,IF(NETWORKDAYS(C3720,TODAY())&lt;5,"Risco Médio",""),IF(NETWORKDAYS(C3720,TODAY())&lt;=2,"Risco Baixo",""))))</f>
        <v>Expedido</v>
      </c>
      <c r="P3720" s="5" t="s">
        <v>617</v>
      </c>
      <c r="S3720" s="7">
        <f>IF(ISBLANK(M3720),"Aguardando Previsão/Data",NETWORKDAYS(L3720,M3720)-1)</f>
        <v>0</v>
      </c>
    </row>
    <row r="3721" spans="1:20" x14ac:dyDescent="0.35">
      <c r="A3721" s="5">
        <v>8100284507</v>
      </c>
      <c r="B3721" s="5">
        <v>19726</v>
      </c>
      <c r="C3721" s="6">
        <v>45684</v>
      </c>
      <c r="D3721" s="5" t="s">
        <v>106</v>
      </c>
      <c r="E3721" s="5" t="s">
        <v>107</v>
      </c>
      <c r="F3721" s="5" t="s">
        <v>58</v>
      </c>
      <c r="G3721" s="5" t="s">
        <v>59</v>
      </c>
      <c r="H3721" s="5" t="s">
        <v>108</v>
      </c>
      <c r="I3721" s="5" t="s">
        <v>126</v>
      </c>
      <c r="J3721" s="5" t="s">
        <v>127</v>
      </c>
      <c r="K3721" s="5" t="s">
        <v>110</v>
      </c>
      <c r="L3721" s="6">
        <v>45688</v>
      </c>
      <c r="M3721" s="6">
        <v>45688</v>
      </c>
      <c r="N3721" s="6" t="s">
        <v>811</v>
      </c>
      <c r="O3721" s="5" t="str">
        <f ca="1">IF(P3721&lt;&gt;"EXPEDIÇÃO","Expedido",IF(NETWORKDAYS(C3721,TODAY())&gt;=5,"Risco Alto",IF(NETWORKDAYS(C3721,TODAY())&gt;=3,IF(NETWORKDAYS(C3721,TODAY())&lt;5,"Risco Médio",""),IF(NETWORKDAYS(C3721,TODAY())&lt;=2,"Risco Baixo",""))))</f>
        <v>Expedido</v>
      </c>
      <c r="P3721" s="5" t="s">
        <v>617</v>
      </c>
      <c r="S3721" s="7">
        <f>IF(ISBLANK(M3721),"Aguardando Previsão/Data",NETWORKDAYS(L3721,M3721)-1)</f>
        <v>0</v>
      </c>
    </row>
    <row r="3722" spans="1:20" x14ac:dyDescent="0.35">
      <c r="A3722" s="5">
        <v>8100282523</v>
      </c>
      <c r="B3722" s="5">
        <v>7394</v>
      </c>
      <c r="C3722" s="6">
        <v>45684</v>
      </c>
      <c r="D3722" s="5" t="s">
        <v>194</v>
      </c>
      <c r="E3722" s="5" t="s">
        <v>195</v>
      </c>
      <c r="F3722" s="5" t="s">
        <v>199</v>
      </c>
      <c r="G3722" s="5" t="s">
        <v>200</v>
      </c>
      <c r="H3722" s="5" t="s">
        <v>108</v>
      </c>
      <c r="I3722" s="5" t="s">
        <v>589</v>
      </c>
      <c r="J3722" s="5" t="s">
        <v>205</v>
      </c>
      <c r="K3722" s="5" t="s">
        <v>198</v>
      </c>
      <c r="L3722" s="6">
        <v>45692</v>
      </c>
      <c r="M3722" s="6">
        <v>45687</v>
      </c>
      <c r="N3722" s="6" t="s">
        <v>811</v>
      </c>
      <c r="O3722" s="5" t="str">
        <f ca="1">IF(P3722&lt;&gt;"EXPEDIÇÃO","Expedido",IF(NETWORKDAYS(C3722,TODAY())&gt;=5,"Risco Alto",IF(NETWORKDAYS(C3722,TODAY())&gt;=3,IF(NETWORKDAYS(C3722,TODAY())&lt;5,"Risco Médio",""),IF(NETWORKDAYS(C3722,TODAY())&lt;=2,"Risco Baixo",""))))</f>
        <v>Expedido</v>
      </c>
      <c r="P3722" s="5" t="s">
        <v>617</v>
      </c>
      <c r="S3722" s="7">
        <f>IF(ISBLANK(M3722),"Aguardando Previsão/Data",NETWORKDAYS(L3722,M3722)-1)</f>
        <v>-5</v>
      </c>
    </row>
    <row r="3723" spans="1:20" x14ac:dyDescent="0.35">
      <c r="A3723" s="5">
        <v>8100282525</v>
      </c>
      <c r="B3723" s="5">
        <v>7380</v>
      </c>
      <c r="C3723" s="6">
        <v>45684</v>
      </c>
      <c r="D3723" s="5" t="s">
        <v>194</v>
      </c>
      <c r="E3723" s="5" t="s">
        <v>195</v>
      </c>
      <c r="F3723" s="5" t="s">
        <v>147</v>
      </c>
      <c r="G3723" s="5" t="s">
        <v>148</v>
      </c>
      <c r="H3723" s="5" t="s">
        <v>108</v>
      </c>
      <c r="I3723" s="5" t="s">
        <v>1500</v>
      </c>
      <c r="J3723" s="5" t="s">
        <v>1064</v>
      </c>
      <c r="K3723" s="5" t="s">
        <v>198</v>
      </c>
      <c r="L3723" s="6">
        <v>45691</v>
      </c>
      <c r="M3723" s="6">
        <v>45687</v>
      </c>
      <c r="N3723" s="6" t="s">
        <v>811</v>
      </c>
      <c r="O3723" s="5" t="str">
        <f ca="1">IF(P3723&lt;&gt;"EXPEDIÇÃO","Expedido",IF(NETWORKDAYS(C3723,TODAY())&gt;=5,"Risco Alto",IF(NETWORKDAYS(C3723,TODAY())&gt;=3,IF(NETWORKDAYS(C3723,TODAY())&lt;5,"Risco Médio",""),IF(NETWORKDAYS(C3723,TODAY())&lt;=2,"Risco Baixo",""))))</f>
        <v>Expedido</v>
      </c>
      <c r="P3723" s="5" t="s">
        <v>25</v>
      </c>
      <c r="S3723" s="7">
        <f>IF(ISBLANK(M3723),"Aguardando Previsão/Data",NETWORKDAYS(L3723,M3723)-1)</f>
        <v>-4</v>
      </c>
      <c r="T3723" s="5" t="s">
        <v>942</v>
      </c>
    </row>
    <row r="3724" spans="1:20" x14ac:dyDescent="0.35">
      <c r="A3724" s="5">
        <v>8100283118</v>
      </c>
      <c r="B3724" s="5">
        <v>7379</v>
      </c>
      <c r="C3724" s="6">
        <v>45684</v>
      </c>
      <c r="D3724" s="5" t="s">
        <v>194</v>
      </c>
      <c r="E3724" s="5" t="s">
        <v>195</v>
      </c>
      <c r="F3724" s="5" t="s">
        <v>406</v>
      </c>
      <c r="G3724" s="5" t="s">
        <v>407</v>
      </c>
      <c r="H3724" s="5" t="s">
        <v>108</v>
      </c>
      <c r="I3724" s="5" t="s">
        <v>633</v>
      </c>
      <c r="J3724" s="5" t="s">
        <v>407</v>
      </c>
      <c r="K3724" s="5" t="s">
        <v>198</v>
      </c>
      <c r="L3724" s="6">
        <v>45688</v>
      </c>
      <c r="M3724" s="6">
        <v>45686</v>
      </c>
      <c r="N3724" s="6" t="s">
        <v>811</v>
      </c>
      <c r="O3724" s="5" t="str">
        <f ca="1">IF(P3724&lt;&gt;"EXPEDIÇÃO","Expedido",IF(NETWORKDAYS(C3724,TODAY())&gt;=5,"Risco Alto",IF(NETWORKDAYS(C3724,TODAY())&gt;=3,IF(NETWORKDAYS(C3724,TODAY())&lt;5,"Risco Médio",""),IF(NETWORKDAYS(C3724,TODAY())&lt;=2,"Risco Baixo",""))))</f>
        <v>Expedido</v>
      </c>
      <c r="P3724" s="5" t="s">
        <v>25</v>
      </c>
      <c r="S3724" s="7">
        <f>IF(ISBLANK(M3724),"Aguardando Previsão/Data",NETWORKDAYS(L3724,M3724)-1)</f>
        <v>-4</v>
      </c>
      <c r="T3724" s="5" t="s">
        <v>942</v>
      </c>
    </row>
    <row r="3725" spans="1:20" x14ac:dyDescent="0.35">
      <c r="A3725" s="5">
        <v>8100284062</v>
      </c>
      <c r="B3725" s="5">
        <v>7381</v>
      </c>
      <c r="C3725" s="6">
        <v>45684</v>
      </c>
      <c r="D3725" s="5" t="s">
        <v>194</v>
      </c>
      <c r="E3725" s="5" t="s">
        <v>195</v>
      </c>
      <c r="F3725" s="5" t="s">
        <v>199</v>
      </c>
      <c r="G3725" s="5" t="s">
        <v>200</v>
      </c>
      <c r="H3725" s="5" t="s">
        <v>108</v>
      </c>
      <c r="I3725" s="5" t="s">
        <v>731</v>
      </c>
      <c r="J3725" s="5" t="s">
        <v>200</v>
      </c>
      <c r="K3725" s="5" t="s">
        <v>198</v>
      </c>
      <c r="L3725" s="6">
        <v>45691</v>
      </c>
      <c r="M3725" s="6">
        <v>45687</v>
      </c>
      <c r="N3725" s="6" t="s">
        <v>811</v>
      </c>
      <c r="O3725" s="5" t="str">
        <f ca="1">IF(P3725&lt;&gt;"EXPEDIÇÃO","Expedido",IF(NETWORKDAYS(C3725,TODAY())&gt;=5,"Risco Alto",IF(NETWORKDAYS(C3725,TODAY())&gt;=3,IF(NETWORKDAYS(C3725,TODAY())&lt;5,"Risco Médio",""),IF(NETWORKDAYS(C3725,TODAY())&lt;=2,"Risco Baixo",""))))</f>
        <v>Expedido</v>
      </c>
      <c r="P3725" s="5" t="s">
        <v>25</v>
      </c>
      <c r="Q3725" s="5" t="s">
        <v>1625</v>
      </c>
      <c r="S3725" s="7">
        <f>IF(ISBLANK(M3725),"Aguardando Previsão/Data",NETWORKDAYS(L3725,M3725)-1)</f>
        <v>-4</v>
      </c>
      <c r="T3725" s="5" t="s">
        <v>942</v>
      </c>
    </row>
    <row r="3726" spans="1:20" x14ac:dyDescent="0.35">
      <c r="A3726" s="5">
        <v>8100284063</v>
      </c>
      <c r="B3726" s="5">
        <v>7382</v>
      </c>
      <c r="C3726" s="6">
        <v>45684</v>
      </c>
      <c r="D3726" s="5" t="s">
        <v>194</v>
      </c>
      <c r="E3726" s="5" t="s">
        <v>195</v>
      </c>
      <c r="F3726" s="5" t="s">
        <v>199</v>
      </c>
      <c r="G3726" s="5" t="s">
        <v>200</v>
      </c>
      <c r="H3726" s="5" t="s">
        <v>108</v>
      </c>
      <c r="I3726" s="5" t="s">
        <v>731</v>
      </c>
      <c r="J3726" s="5" t="s">
        <v>200</v>
      </c>
      <c r="K3726" s="5" t="s">
        <v>198</v>
      </c>
      <c r="L3726" s="6">
        <v>45691</v>
      </c>
      <c r="M3726" s="6">
        <v>45686</v>
      </c>
      <c r="N3726" s="6" t="s">
        <v>811</v>
      </c>
      <c r="O3726" s="5" t="str">
        <f ca="1">IF(P3726&lt;&gt;"EXPEDIÇÃO","Expedido",IF(NETWORKDAYS(C3726,TODAY())&gt;=5,"Risco Alto",IF(NETWORKDAYS(C3726,TODAY())&gt;=3,IF(NETWORKDAYS(C3726,TODAY())&lt;5,"Risco Médio",""),IF(NETWORKDAYS(C3726,TODAY())&lt;=2,"Risco Baixo",""))))</f>
        <v>Expedido</v>
      </c>
      <c r="P3726" s="5" t="s">
        <v>25</v>
      </c>
      <c r="Q3726" s="5" t="s">
        <v>1625</v>
      </c>
      <c r="S3726" s="7">
        <f>IF(ISBLANK(M3726),"Aguardando Previsão/Data",NETWORKDAYS(L3726,M3726)-1)</f>
        <v>-5</v>
      </c>
      <c r="T3726" s="5" t="s">
        <v>942</v>
      </c>
    </row>
    <row r="3727" spans="1:20" x14ac:dyDescent="0.35">
      <c r="A3727" s="5">
        <v>8100284064</v>
      </c>
      <c r="B3727" s="5">
        <v>7395</v>
      </c>
      <c r="C3727" s="6">
        <v>45684</v>
      </c>
      <c r="D3727" s="5" t="s">
        <v>194</v>
      </c>
      <c r="E3727" s="5" t="s">
        <v>195</v>
      </c>
      <c r="F3727" s="5" t="s">
        <v>199</v>
      </c>
      <c r="G3727" s="5" t="s">
        <v>200</v>
      </c>
      <c r="H3727" s="5" t="s">
        <v>108</v>
      </c>
      <c r="I3727" s="5" t="s">
        <v>1561</v>
      </c>
      <c r="J3727" s="5" t="s">
        <v>516</v>
      </c>
      <c r="K3727" s="5" t="s">
        <v>198</v>
      </c>
      <c r="L3727" s="6">
        <v>45691</v>
      </c>
      <c r="M3727" s="6">
        <v>45688</v>
      </c>
      <c r="N3727" s="6" t="s">
        <v>811</v>
      </c>
      <c r="O3727" s="5" t="str">
        <f ca="1">IF(P3727&lt;&gt;"EXPEDIÇÃO","Expedido",IF(NETWORKDAYS(C3727,TODAY())&gt;=5,"Risco Alto",IF(NETWORKDAYS(C3727,TODAY())&gt;=3,IF(NETWORKDAYS(C3727,TODAY())&lt;5,"Risco Médio",""),IF(NETWORKDAYS(C3727,TODAY())&lt;=2,"Risco Baixo",""))))</f>
        <v>Risco Alto</v>
      </c>
      <c r="P3727" s="5" t="s">
        <v>726</v>
      </c>
      <c r="S3727" s="7">
        <f>IF(ISBLANK(M3727),"Aguardando Previsão/Data",NETWORKDAYS(L3727,M3727)-1)</f>
        <v>-3</v>
      </c>
    </row>
    <row r="3728" spans="1:20" x14ac:dyDescent="0.35">
      <c r="A3728" s="5">
        <v>8100284229</v>
      </c>
      <c r="B3728" s="5">
        <v>7402</v>
      </c>
      <c r="C3728" s="6">
        <v>45684</v>
      </c>
      <c r="D3728" s="5" t="s">
        <v>194</v>
      </c>
      <c r="E3728" s="5" t="s">
        <v>195</v>
      </c>
      <c r="F3728" s="5" t="s">
        <v>199</v>
      </c>
      <c r="G3728" s="5" t="s">
        <v>200</v>
      </c>
      <c r="H3728" s="5" t="s">
        <v>108</v>
      </c>
      <c r="I3728" s="5" t="s">
        <v>331</v>
      </c>
      <c r="J3728" s="5" t="s">
        <v>628</v>
      </c>
      <c r="K3728" s="5" t="s">
        <v>198</v>
      </c>
      <c r="L3728" s="6">
        <v>45692</v>
      </c>
      <c r="M3728" s="6">
        <v>45689</v>
      </c>
      <c r="N3728" s="6" t="s">
        <v>811</v>
      </c>
      <c r="O3728" s="5" t="str">
        <f ca="1">IF(P3728&lt;&gt;"EXPEDIÇÃO","Expedido",IF(NETWORKDAYS(C3728,TODAY())&gt;=5,"Risco Alto",IF(NETWORKDAYS(C3728,TODAY())&gt;=3,IF(NETWORKDAYS(C3728,TODAY())&lt;5,"Risco Médio",""),IF(NETWORKDAYS(C3728,TODAY())&lt;=2,"Risco Baixo",""))))</f>
        <v>Expedido</v>
      </c>
      <c r="P3728" s="5" t="s">
        <v>617</v>
      </c>
      <c r="S3728" s="7">
        <f>IF(ISBLANK(M3728),"Aguardando Previsão/Data",NETWORKDAYS(L3728,M3728)-1)</f>
        <v>-3</v>
      </c>
    </row>
    <row r="3729" spans="1:20" x14ac:dyDescent="0.35">
      <c r="A3729" s="5">
        <v>8100284241</v>
      </c>
      <c r="B3729" s="5">
        <v>7399</v>
      </c>
      <c r="C3729" s="6">
        <v>45684</v>
      </c>
      <c r="D3729" s="5" t="s">
        <v>194</v>
      </c>
      <c r="E3729" s="5" t="s">
        <v>195</v>
      </c>
      <c r="F3729" s="5" t="s">
        <v>58</v>
      </c>
      <c r="G3729" s="5" t="s">
        <v>59</v>
      </c>
      <c r="H3729" s="5" t="s">
        <v>108</v>
      </c>
      <c r="I3729" s="5" t="s">
        <v>209</v>
      </c>
      <c r="J3729" s="5" t="s">
        <v>210</v>
      </c>
      <c r="K3729" s="5" t="s">
        <v>198</v>
      </c>
      <c r="L3729" s="6">
        <v>45691</v>
      </c>
      <c r="M3729" s="6">
        <v>45688</v>
      </c>
      <c r="N3729" s="6" t="s">
        <v>811</v>
      </c>
      <c r="O3729" s="5" t="str">
        <f ca="1">IF(P3729&lt;&gt;"EXPEDIÇÃO","Expedido",IF(NETWORKDAYS(C3729,TODAY())&gt;=5,"Risco Alto",IF(NETWORKDAYS(C3729,TODAY())&gt;=3,IF(NETWORKDAYS(C3729,TODAY())&lt;5,"Risco Médio",""),IF(NETWORKDAYS(C3729,TODAY())&lt;=2,"Risco Baixo",""))))</f>
        <v>Expedido</v>
      </c>
      <c r="P3729" s="5" t="s">
        <v>617</v>
      </c>
      <c r="S3729" s="7">
        <f>IF(ISBLANK(M3729),"Aguardando Previsão/Data",NETWORKDAYS(L3729,M3729)-1)</f>
        <v>-3</v>
      </c>
    </row>
    <row r="3730" spans="1:20" x14ac:dyDescent="0.35">
      <c r="A3730" s="5">
        <v>8100284242</v>
      </c>
      <c r="B3730" s="5">
        <v>7397</v>
      </c>
      <c r="C3730" s="6">
        <v>45684</v>
      </c>
      <c r="D3730" s="5" t="s">
        <v>194</v>
      </c>
      <c r="E3730" s="5" t="s">
        <v>195</v>
      </c>
      <c r="F3730" s="5" t="s">
        <v>199</v>
      </c>
      <c r="G3730" s="5" t="s">
        <v>200</v>
      </c>
      <c r="H3730" s="5" t="s">
        <v>108</v>
      </c>
      <c r="I3730" s="5" t="s">
        <v>1292</v>
      </c>
      <c r="J3730" s="5" t="s">
        <v>690</v>
      </c>
      <c r="K3730" s="5" t="s">
        <v>198</v>
      </c>
      <c r="L3730" s="6">
        <v>45692</v>
      </c>
      <c r="M3730" s="6">
        <v>45691</v>
      </c>
      <c r="N3730" s="6" t="s">
        <v>811</v>
      </c>
      <c r="O3730" s="5" t="str">
        <f ca="1">IF(P3730&lt;&gt;"EXPEDIÇÃO","Expedido",IF(NETWORKDAYS(C3730,TODAY())&gt;=5,"Risco Alto",IF(NETWORKDAYS(C3730,TODAY())&gt;=3,IF(NETWORKDAYS(C3730,TODAY())&lt;5,"Risco Médio",""),IF(NETWORKDAYS(C3730,TODAY())&lt;=2,"Risco Baixo",""))))</f>
        <v>Risco Alto</v>
      </c>
      <c r="P3730" s="5" t="s">
        <v>726</v>
      </c>
      <c r="S3730" s="7">
        <f>IF(ISBLANK(M3730),"Aguardando Previsão/Data",NETWORKDAYS(L3730,M3730)-1)</f>
        <v>-3</v>
      </c>
    </row>
    <row r="3731" spans="1:20" x14ac:dyDescent="0.35">
      <c r="A3731" s="5">
        <v>8100284243</v>
      </c>
      <c r="B3731" s="5">
        <v>7400</v>
      </c>
      <c r="C3731" s="6">
        <v>45684</v>
      </c>
      <c r="D3731" s="5" t="s">
        <v>194</v>
      </c>
      <c r="E3731" s="5" t="s">
        <v>195</v>
      </c>
      <c r="F3731" s="5" t="s">
        <v>58</v>
      </c>
      <c r="G3731" s="5" t="s">
        <v>59</v>
      </c>
      <c r="H3731" s="5" t="s">
        <v>108</v>
      </c>
      <c r="I3731" s="5" t="s">
        <v>532</v>
      </c>
      <c r="J3731" s="5" t="s">
        <v>336</v>
      </c>
      <c r="K3731" s="5" t="s">
        <v>198</v>
      </c>
      <c r="L3731" s="6">
        <v>45691</v>
      </c>
      <c r="M3731" s="6">
        <v>45688</v>
      </c>
      <c r="N3731" s="6" t="s">
        <v>811</v>
      </c>
      <c r="O3731" s="5" t="str">
        <f ca="1">IF(P3731&lt;&gt;"EXPEDIÇÃO","Expedido",IF(NETWORKDAYS(C3731,TODAY())&gt;=5,"Risco Alto",IF(NETWORKDAYS(C3731,TODAY())&gt;=3,IF(NETWORKDAYS(C3731,TODAY())&lt;5,"Risco Médio",""),IF(NETWORKDAYS(C3731,TODAY())&lt;=2,"Risco Baixo",""))))</f>
        <v>Risco Alto</v>
      </c>
      <c r="P3731" s="5" t="s">
        <v>726</v>
      </c>
      <c r="S3731" s="7">
        <f>IF(ISBLANK(M3731),"Aguardando Previsão/Data",NETWORKDAYS(L3731,M3731)-1)</f>
        <v>-3</v>
      </c>
    </row>
    <row r="3732" spans="1:20" x14ac:dyDescent="0.35">
      <c r="A3732" s="5">
        <v>8100284244</v>
      </c>
      <c r="B3732" s="5">
        <v>7401</v>
      </c>
      <c r="C3732" s="6">
        <v>45684</v>
      </c>
      <c r="D3732" s="5" t="s">
        <v>194</v>
      </c>
      <c r="E3732" s="5" t="s">
        <v>195</v>
      </c>
      <c r="F3732" s="5" t="s">
        <v>199</v>
      </c>
      <c r="G3732" s="5" t="s">
        <v>200</v>
      </c>
      <c r="H3732" s="5" t="s">
        <v>108</v>
      </c>
      <c r="I3732" s="5" t="s">
        <v>731</v>
      </c>
      <c r="J3732" s="5" t="s">
        <v>200</v>
      </c>
      <c r="K3732" s="5" t="s">
        <v>198</v>
      </c>
      <c r="L3732" s="6">
        <v>45691</v>
      </c>
      <c r="M3732" s="6">
        <v>45688</v>
      </c>
      <c r="N3732" s="6" t="s">
        <v>811</v>
      </c>
      <c r="O3732" s="5" t="str">
        <f ca="1">IF(P3732&lt;&gt;"EXPEDIÇÃO","Expedido",IF(NETWORKDAYS(C3732,TODAY())&gt;=5,"Risco Alto",IF(NETWORKDAYS(C3732,TODAY())&gt;=3,IF(NETWORKDAYS(C3732,TODAY())&lt;5,"Risco Médio",""),IF(NETWORKDAYS(C3732,TODAY())&lt;=2,"Risco Baixo",""))))</f>
        <v>Expedido</v>
      </c>
      <c r="P3732" s="5" t="s">
        <v>617</v>
      </c>
      <c r="Q3732" s="5" t="s">
        <v>1626</v>
      </c>
      <c r="S3732" s="7">
        <f>IF(ISBLANK(M3732),"Aguardando Previsão/Data",NETWORKDAYS(L3732,M3732)-1)</f>
        <v>-3</v>
      </c>
    </row>
    <row r="3733" spans="1:20" x14ac:dyDescent="0.35">
      <c r="A3733" s="5">
        <v>8100284245</v>
      </c>
      <c r="B3733" s="5">
        <v>7403</v>
      </c>
      <c r="C3733" s="6">
        <v>45684</v>
      </c>
      <c r="D3733" s="5" t="s">
        <v>194</v>
      </c>
      <c r="E3733" s="5" t="s">
        <v>195</v>
      </c>
      <c r="F3733" s="5" t="s">
        <v>199</v>
      </c>
      <c r="G3733" s="5" t="s">
        <v>200</v>
      </c>
      <c r="H3733" s="5" t="s">
        <v>108</v>
      </c>
      <c r="I3733" s="5" t="s">
        <v>331</v>
      </c>
      <c r="J3733" s="5" t="s">
        <v>628</v>
      </c>
      <c r="K3733" s="5" t="s">
        <v>198</v>
      </c>
      <c r="L3733" s="6">
        <v>45692</v>
      </c>
      <c r="M3733" s="6">
        <v>45689</v>
      </c>
      <c r="N3733" s="6" t="s">
        <v>811</v>
      </c>
      <c r="O3733" s="5" t="str">
        <f ca="1">IF(P3733&lt;&gt;"EXPEDIÇÃO","Expedido",IF(NETWORKDAYS(C3733,TODAY())&gt;=5,"Risco Alto",IF(NETWORKDAYS(C3733,TODAY())&gt;=3,IF(NETWORKDAYS(C3733,TODAY())&lt;5,"Risco Médio",""),IF(NETWORKDAYS(C3733,TODAY())&lt;=2,"Risco Baixo",""))))</f>
        <v>Expedido</v>
      </c>
      <c r="P3733" s="5" t="s">
        <v>617</v>
      </c>
      <c r="S3733" s="7">
        <f>IF(ISBLANK(M3733),"Aguardando Previsão/Data",NETWORKDAYS(L3733,M3733)-1)</f>
        <v>-3</v>
      </c>
    </row>
    <row r="3734" spans="1:20" x14ac:dyDescent="0.35">
      <c r="A3734" s="5">
        <v>8100284246</v>
      </c>
      <c r="B3734" s="5">
        <v>7396</v>
      </c>
      <c r="C3734" s="6">
        <v>45684</v>
      </c>
      <c r="D3734" s="5" t="s">
        <v>194</v>
      </c>
      <c r="E3734" s="5" t="s">
        <v>195</v>
      </c>
      <c r="F3734" s="5" t="s">
        <v>406</v>
      </c>
      <c r="G3734" s="5" t="s">
        <v>407</v>
      </c>
      <c r="H3734" s="5" t="s">
        <v>108</v>
      </c>
      <c r="I3734" s="5" t="s">
        <v>788</v>
      </c>
      <c r="J3734" s="5" t="s">
        <v>407</v>
      </c>
      <c r="K3734" s="5" t="s">
        <v>198</v>
      </c>
      <c r="L3734" s="6">
        <v>45688</v>
      </c>
      <c r="M3734" s="6">
        <v>45687</v>
      </c>
      <c r="N3734" s="6" t="s">
        <v>811</v>
      </c>
      <c r="O3734" s="5" t="str">
        <f ca="1">IF(P3734&lt;&gt;"EXPEDIÇÃO","Expedido",IF(NETWORKDAYS(C3734,TODAY())&gt;=5,"Risco Alto",IF(NETWORKDAYS(C3734,TODAY())&gt;=3,IF(NETWORKDAYS(C3734,TODAY())&lt;5,"Risco Médio",""),IF(NETWORKDAYS(C3734,TODAY())&lt;=2,"Risco Baixo",""))))</f>
        <v>Expedido</v>
      </c>
      <c r="P3734" s="5" t="s">
        <v>617</v>
      </c>
      <c r="S3734" s="7">
        <f>IF(ISBLANK(M3734),"Aguardando Previsão/Data",NETWORKDAYS(L3734,M3734)-1)</f>
        <v>-3</v>
      </c>
    </row>
    <row r="3735" spans="1:20" x14ac:dyDescent="0.35">
      <c r="A3735" s="5">
        <v>8100284249</v>
      </c>
      <c r="B3735" s="5">
        <v>7398</v>
      </c>
      <c r="C3735" s="6">
        <v>45684</v>
      </c>
      <c r="D3735" s="5" t="s">
        <v>194</v>
      </c>
      <c r="E3735" s="5" t="s">
        <v>195</v>
      </c>
      <c r="F3735" s="5" t="s">
        <v>69</v>
      </c>
      <c r="G3735" s="5" t="s">
        <v>70</v>
      </c>
      <c r="H3735" s="5" t="s">
        <v>108</v>
      </c>
      <c r="I3735" s="5" t="s">
        <v>509</v>
      </c>
      <c r="J3735" s="5" t="s">
        <v>291</v>
      </c>
      <c r="K3735" s="5" t="s">
        <v>198</v>
      </c>
      <c r="L3735" s="6">
        <v>45691</v>
      </c>
      <c r="M3735" s="6">
        <v>45686</v>
      </c>
      <c r="N3735" s="6" t="s">
        <v>811</v>
      </c>
      <c r="O3735" s="5" t="str">
        <f ca="1">IF(P3735&lt;&gt;"EXPEDIÇÃO","Expedido",IF(NETWORKDAYS(C3735,TODAY())&gt;=5,"Risco Alto",IF(NETWORKDAYS(C3735,TODAY())&gt;=3,IF(NETWORKDAYS(C3735,TODAY())&lt;5,"Risco Médio",""),IF(NETWORKDAYS(C3735,TODAY())&lt;=2,"Risco Baixo",""))))</f>
        <v>Expedido</v>
      </c>
      <c r="P3735" s="5" t="s">
        <v>25</v>
      </c>
      <c r="S3735" s="7">
        <f>IF(ISBLANK(M3735),"Aguardando Previsão/Data",NETWORKDAYS(L3735,M3735)-1)</f>
        <v>-5</v>
      </c>
      <c r="T3735" s="5" t="s">
        <v>942</v>
      </c>
    </row>
    <row r="3736" spans="1:20" x14ac:dyDescent="0.35">
      <c r="A3736" s="5">
        <v>8100284250</v>
      </c>
      <c r="B3736" s="5">
        <v>7404</v>
      </c>
      <c r="C3736" s="6">
        <v>45684</v>
      </c>
      <c r="D3736" s="5" t="s">
        <v>194</v>
      </c>
      <c r="E3736" s="5" t="s">
        <v>195</v>
      </c>
      <c r="F3736" s="5" t="s">
        <v>199</v>
      </c>
      <c r="G3736" s="5" t="s">
        <v>200</v>
      </c>
      <c r="H3736" s="5" t="s">
        <v>108</v>
      </c>
      <c r="I3736" s="5" t="s">
        <v>331</v>
      </c>
      <c r="J3736" s="5" t="s">
        <v>628</v>
      </c>
      <c r="K3736" s="5" t="s">
        <v>198</v>
      </c>
      <c r="L3736" s="6">
        <v>45692</v>
      </c>
      <c r="M3736" s="6">
        <v>45689</v>
      </c>
      <c r="N3736" s="6" t="s">
        <v>811</v>
      </c>
      <c r="O3736" s="5" t="str">
        <f ca="1">IF(P3736&lt;&gt;"EXPEDIÇÃO","Expedido",IF(NETWORKDAYS(C3736,TODAY())&gt;=5,"Risco Alto",IF(NETWORKDAYS(C3736,TODAY())&gt;=3,IF(NETWORKDAYS(C3736,TODAY())&lt;5,"Risco Médio",""),IF(NETWORKDAYS(C3736,TODAY())&lt;=2,"Risco Baixo",""))))</f>
        <v>Expedido</v>
      </c>
      <c r="P3736" s="5" t="s">
        <v>617</v>
      </c>
      <c r="S3736" s="7">
        <f>IF(ISBLANK(M3736),"Aguardando Previsão/Data",NETWORKDAYS(L3736,M3736)-1)</f>
        <v>-3</v>
      </c>
    </row>
    <row r="3737" spans="1:20" x14ac:dyDescent="0.35">
      <c r="A3737" s="5">
        <v>8100284268</v>
      </c>
      <c r="B3737" s="5">
        <v>7390</v>
      </c>
      <c r="C3737" s="6">
        <v>45684</v>
      </c>
      <c r="D3737" s="5" t="s">
        <v>723</v>
      </c>
      <c r="E3737" s="5" t="s">
        <v>195</v>
      </c>
      <c r="F3737" s="5" t="s">
        <v>724</v>
      </c>
      <c r="G3737" s="5" t="s">
        <v>725</v>
      </c>
      <c r="H3737" s="5" t="s">
        <v>108</v>
      </c>
      <c r="I3737" s="5" t="s">
        <v>1564</v>
      </c>
      <c r="J3737" s="5" t="s">
        <v>407</v>
      </c>
      <c r="K3737" s="5" t="s">
        <v>198</v>
      </c>
      <c r="L3737" s="6">
        <v>45688</v>
      </c>
      <c r="M3737" s="6">
        <v>45685</v>
      </c>
      <c r="N3737" s="6" t="s">
        <v>811</v>
      </c>
      <c r="O3737" s="5" t="str">
        <f ca="1">IF(P3737&lt;&gt;"EXPEDIÇÃO","Expedido",IF(NETWORKDAYS(C3737,TODAY())&gt;=5,"Risco Alto",IF(NETWORKDAYS(C3737,TODAY())&gt;=3,IF(NETWORKDAYS(C3737,TODAY())&lt;5,"Risco Médio",""),IF(NETWORKDAYS(C3737,TODAY())&lt;=2,"Risco Baixo",""))))</f>
        <v>Expedido</v>
      </c>
      <c r="P3737" s="5" t="s">
        <v>25</v>
      </c>
      <c r="Q3737" s="5" t="s">
        <v>899</v>
      </c>
      <c r="S3737" s="7">
        <f>IF(ISBLANK(M3737),"Aguardando Previsão/Data",NETWORKDAYS(L3737,M3737)-1)</f>
        <v>-5</v>
      </c>
      <c r="T3737" s="5" t="s">
        <v>942</v>
      </c>
    </row>
    <row r="3738" spans="1:20" x14ac:dyDescent="0.35">
      <c r="A3738" s="5">
        <v>8100284290</v>
      </c>
      <c r="B3738" s="5">
        <v>7405</v>
      </c>
      <c r="C3738" s="6">
        <v>45684</v>
      </c>
      <c r="D3738" s="5" t="s">
        <v>194</v>
      </c>
      <c r="E3738" s="5" t="s">
        <v>195</v>
      </c>
      <c r="F3738" s="5" t="s">
        <v>406</v>
      </c>
      <c r="G3738" s="5" t="s">
        <v>407</v>
      </c>
      <c r="H3738" s="5" t="s">
        <v>108</v>
      </c>
      <c r="I3738" s="5" t="s">
        <v>1194</v>
      </c>
      <c r="J3738" s="5" t="s">
        <v>588</v>
      </c>
      <c r="K3738" s="5" t="s">
        <v>198</v>
      </c>
      <c r="L3738" s="6">
        <v>45691</v>
      </c>
      <c r="M3738" s="6">
        <v>45688</v>
      </c>
      <c r="N3738" s="6" t="s">
        <v>811</v>
      </c>
      <c r="O3738" s="5" t="str">
        <f ca="1">IF(P3738&lt;&gt;"EXPEDIÇÃO","Expedido",IF(NETWORKDAYS(C3738,TODAY())&gt;=5,"Risco Alto",IF(NETWORKDAYS(C3738,TODAY())&gt;=3,IF(NETWORKDAYS(C3738,TODAY())&lt;5,"Risco Médio",""),IF(NETWORKDAYS(C3738,TODAY())&lt;=2,"Risco Baixo",""))))</f>
        <v>Expedido</v>
      </c>
      <c r="P3738" s="5" t="s">
        <v>617</v>
      </c>
      <c r="S3738" s="7">
        <f>IF(ISBLANK(M3738),"Aguardando Previsão/Data",NETWORKDAYS(L3738,M3738)-1)</f>
        <v>-3</v>
      </c>
    </row>
    <row r="3739" spans="1:20" x14ac:dyDescent="0.35">
      <c r="A3739" s="5">
        <v>8100284407</v>
      </c>
      <c r="B3739" s="5">
        <v>7392</v>
      </c>
      <c r="C3739" s="6">
        <v>45684</v>
      </c>
      <c r="D3739" s="5" t="s">
        <v>723</v>
      </c>
      <c r="E3739" s="5" t="s">
        <v>195</v>
      </c>
      <c r="F3739" s="5" t="s">
        <v>724</v>
      </c>
      <c r="G3739" s="5" t="s">
        <v>725</v>
      </c>
      <c r="H3739" s="5" t="s">
        <v>108</v>
      </c>
      <c r="I3739" s="5" t="s">
        <v>1567</v>
      </c>
      <c r="J3739" s="5" t="s">
        <v>671</v>
      </c>
      <c r="K3739" s="5" t="s">
        <v>198</v>
      </c>
      <c r="L3739" s="6">
        <v>45691</v>
      </c>
      <c r="M3739" s="6">
        <v>45684</v>
      </c>
      <c r="N3739" s="6" t="s">
        <v>811</v>
      </c>
      <c r="O3739" s="5" t="str">
        <f ca="1">IF(P3739&lt;&gt;"EXPEDIÇÃO","Expedido",IF(NETWORKDAYS(C3739,TODAY())&gt;=5,"Risco Alto",IF(NETWORKDAYS(C3739,TODAY())&gt;=3,IF(NETWORKDAYS(C3739,TODAY())&lt;5,"Risco Médio",""),IF(NETWORKDAYS(C3739,TODAY())&lt;=2,"Risco Baixo",""))))</f>
        <v>Expedido</v>
      </c>
      <c r="P3739" s="5" t="s">
        <v>25</v>
      </c>
      <c r="S3739" s="7">
        <f>IF(ISBLANK(M3739),"Aguardando Previsão/Data",NETWORKDAYS(L3739,M3739)-1)</f>
        <v>-7</v>
      </c>
      <c r="T3739" s="5" t="s">
        <v>942</v>
      </c>
    </row>
    <row r="3740" spans="1:20" x14ac:dyDescent="0.35">
      <c r="A3740" s="5">
        <v>8100284418</v>
      </c>
      <c r="B3740" s="5">
        <v>7393</v>
      </c>
      <c r="C3740" s="6">
        <v>45684</v>
      </c>
      <c r="D3740" s="5" t="s">
        <v>723</v>
      </c>
      <c r="E3740" s="5" t="s">
        <v>195</v>
      </c>
      <c r="F3740" s="5" t="s">
        <v>724</v>
      </c>
      <c r="G3740" s="5" t="s">
        <v>725</v>
      </c>
      <c r="H3740" s="5" t="s">
        <v>108</v>
      </c>
      <c r="I3740" s="5" t="s">
        <v>1567</v>
      </c>
      <c r="J3740" s="5" t="s">
        <v>671</v>
      </c>
      <c r="K3740" s="5" t="s">
        <v>198</v>
      </c>
      <c r="L3740" s="6">
        <v>45691</v>
      </c>
      <c r="M3740" s="6">
        <v>45684</v>
      </c>
      <c r="N3740" s="6" t="s">
        <v>811</v>
      </c>
      <c r="O3740" s="5" t="str">
        <f ca="1">IF(P3740&lt;&gt;"EXPEDIÇÃO","Expedido",IF(NETWORKDAYS(C3740,TODAY())&gt;=5,"Risco Alto",IF(NETWORKDAYS(C3740,TODAY())&gt;=3,IF(NETWORKDAYS(C3740,TODAY())&lt;5,"Risco Médio",""),IF(NETWORKDAYS(C3740,TODAY())&lt;=2,"Risco Baixo",""))))</f>
        <v>Expedido</v>
      </c>
      <c r="P3740" s="5" t="s">
        <v>25</v>
      </c>
      <c r="S3740" s="7">
        <f>IF(ISBLANK(M3740),"Aguardando Previsão/Data",NETWORKDAYS(L3740,M3740)-1)</f>
        <v>-7</v>
      </c>
      <c r="T3740" s="5" t="s">
        <v>942</v>
      </c>
    </row>
    <row r="3741" spans="1:20" x14ac:dyDescent="0.35">
      <c r="A3741" s="5">
        <v>8100284464</v>
      </c>
      <c r="B3741" s="5">
        <v>7406</v>
      </c>
      <c r="C3741" s="6">
        <v>45684</v>
      </c>
      <c r="D3741" s="5" t="s">
        <v>194</v>
      </c>
      <c r="E3741" s="5" t="s">
        <v>195</v>
      </c>
      <c r="F3741" s="5" t="s">
        <v>406</v>
      </c>
      <c r="G3741" s="5" t="s">
        <v>407</v>
      </c>
      <c r="H3741" s="5" t="s">
        <v>108</v>
      </c>
      <c r="I3741" s="5" t="s">
        <v>1568</v>
      </c>
      <c r="J3741" s="5" t="s">
        <v>1569</v>
      </c>
      <c r="K3741" s="5" t="s">
        <v>198</v>
      </c>
      <c r="L3741" s="6">
        <v>45691</v>
      </c>
      <c r="M3741" s="6">
        <v>45688</v>
      </c>
      <c r="N3741" s="6" t="s">
        <v>811</v>
      </c>
      <c r="O3741" s="5" t="str">
        <f ca="1">IF(P3741&lt;&gt;"EXPEDIÇÃO","Expedido",IF(NETWORKDAYS(C3741,TODAY())&gt;=5,"Risco Alto",IF(NETWORKDAYS(C3741,TODAY())&gt;=3,IF(NETWORKDAYS(C3741,TODAY())&lt;5,"Risco Médio",""),IF(NETWORKDAYS(C3741,TODAY())&lt;=2,"Risco Baixo",""))))</f>
        <v>Risco Alto</v>
      </c>
      <c r="P3741" s="5" t="s">
        <v>726</v>
      </c>
      <c r="S3741" s="7">
        <f>IF(ISBLANK(M3741),"Aguardando Previsão/Data",NETWORKDAYS(L3741,M3741)-1)</f>
        <v>-3</v>
      </c>
    </row>
    <row r="3742" spans="1:20" x14ac:dyDescent="0.35">
      <c r="A3742" s="5">
        <v>8100284537</v>
      </c>
      <c r="B3742" s="5">
        <v>7407</v>
      </c>
      <c r="C3742" s="6">
        <v>45684</v>
      </c>
      <c r="D3742" s="5" t="s">
        <v>194</v>
      </c>
      <c r="E3742" s="5" t="s">
        <v>195</v>
      </c>
      <c r="F3742" s="5" t="s">
        <v>199</v>
      </c>
      <c r="G3742" s="5" t="s">
        <v>200</v>
      </c>
      <c r="H3742" s="5" t="s">
        <v>108</v>
      </c>
      <c r="I3742" s="5" t="s">
        <v>731</v>
      </c>
      <c r="J3742" s="5" t="s">
        <v>200</v>
      </c>
      <c r="K3742" s="5" t="s">
        <v>198</v>
      </c>
      <c r="L3742" s="6">
        <v>45691</v>
      </c>
      <c r="M3742" s="6">
        <v>45688</v>
      </c>
      <c r="N3742" s="6" t="s">
        <v>811</v>
      </c>
      <c r="O3742" s="5" t="str">
        <f ca="1">IF(P3742&lt;&gt;"EXPEDIÇÃO","Expedido",IF(NETWORKDAYS(C3742,TODAY())&gt;=5,"Risco Alto",IF(NETWORKDAYS(C3742,TODAY())&gt;=3,IF(NETWORKDAYS(C3742,TODAY())&lt;5,"Risco Médio",""),IF(NETWORKDAYS(C3742,TODAY())&lt;=2,"Risco Baixo",""))))</f>
        <v>Expedido</v>
      </c>
      <c r="P3742" s="5" t="s">
        <v>617</v>
      </c>
      <c r="Q3742" s="5" t="s">
        <v>1626</v>
      </c>
      <c r="S3742" s="7">
        <f>IF(ISBLANK(M3742),"Aguardando Previsão/Data",NETWORKDAYS(L3742,M3742)-1)</f>
        <v>-3</v>
      </c>
    </row>
    <row r="3743" spans="1:20" x14ac:dyDescent="0.35">
      <c r="A3743" s="5">
        <v>8100284538</v>
      </c>
      <c r="B3743" s="5">
        <v>7408</v>
      </c>
      <c r="C3743" s="6">
        <v>45684</v>
      </c>
      <c r="D3743" s="5" t="s">
        <v>194</v>
      </c>
      <c r="E3743" s="5" t="s">
        <v>195</v>
      </c>
      <c r="F3743" s="5" t="s">
        <v>199</v>
      </c>
      <c r="G3743" s="5" t="s">
        <v>200</v>
      </c>
      <c r="H3743" s="5" t="s">
        <v>108</v>
      </c>
      <c r="I3743" s="5" t="s">
        <v>731</v>
      </c>
      <c r="J3743" s="5" t="s">
        <v>200</v>
      </c>
      <c r="K3743" s="5" t="s">
        <v>198</v>
      </c>
      <c r="L3743" s="6">
        <v>45691</v>
      </c>
      <c r="M3743" s="6">
        <v>45688</v>
      </c>
      <c r="N3743" s="6" t="s">
        <v>811</v>
      </c>
      <c r="O3743" s="5" t="str">
        <f ca="1">IF(P3743&lt;&gt;"EXPEDIÇÃO","Expedido",IF(NETWORKDAYS(C3743,TODAY())&gt;=5,"Risco Alto",IF(NETWORKDAYS(C3743,TODAY())&gt;=3,IF(NETWORKDAYS(C3743,TODAY())&lt;5,"Risco Médio",""),IF(NETWORKDAYS(C3743,TODAY())&lt;=2,"Risco Baixo",""))))</f>
        <v>Expedido</v>
      </c>
      <c r="P3743" s="5" t="s">
        <v>617</v>
      </c>
      <c r="Q3743" s="5" t="s">
        <v>1626</v>
      </c>
      <c r="S3743" s="7">
        <f>IF(ISBLANK(M3743),"Aguardando Previsão/Data",NETWORKDAYS(L3743,M3743)-1)</f>
        <v>-3</v>
      </c>
    </row>
    <row r="3744" spans="1:20" x14ac:dyDescent="0.35">
      <c r="A3744" s="5">
        <v>8100284624</v>
      </c>
      <c r="B3744" s="5">
        <v>7409</v>
      </c>
      <c r="C3744" s="6">
        <v>45684</v>
      </c>
      <c r="D3744" s="5" t="s">
        <v>723</v>
      </c>
      <c r="E3744" s="5" t="s">
        <v>195</v>
      </c>
      <c r="F3744" s="5" t="s">
        <v>724</v>
      </c>
      <c r="G3744" s="5" t="s">
        <v>725</v>
      </c>
      <c r="H3744" s="5" t="s">
        <v>108</v>
      </c>
      <c r="I3744" s="5" t="s">
        <v>838</v>
      </c>
      <c r="J3744" s="5" t="s">
        <v>407</v>
      </c>
      <c r="K3744" s="5" t="s">
        <v>198</v>
      </c>
      <c r="L3744" s="6">
        <v>45688</v>
      </c>
      <c r="M3744" s="6">
        <v>45684</v>
      </c>
      <c r="N3744" s="6" t="s">
        <v>811</v>
      </c>
      <c r="O3744" s="5" t="str">
        <f ca="1">IF(P3744&lt;&gt;"EXPEDIÇÃO","Expedido",IF(NETWORKDAYS(C3744,TODAY())&gt;=5,"Risco Alto",IF(NETWORKDAYS(C3744,TODAY())&gt;=3,IF(NETWORKDAYS(C3744,TODAY())&lt;5,"Risco Médio",""),IF(NETWORKDAYS(C3744,TODAY())&lt;=2,"Risco Baixo",""))))</f>
        <v>Expedido</v>
      </c>
      <c r="P3744" s="5" t="s">
        <v>25</v>
      </c>
      <c r="S3744" s="7">
        <f>IF(ISBLANK(M3744),"Aguardando Previsão/Data",NETWORKDAYS(L3744,M3744)-1)</f>
        <v>-6</v>
      </c>
      <c r="T3744" s="5" t="s">
        <v>942</v>
      </c>
    </row>
    <row r="3745" spans="1:20" x14ac:dyDescent="0.35">
      <c r="A3745" s="5">
        <v>8100284628</v>
      </c>
      <c r="B3745" s="5">
        <v>7410</v>
      </c>
      <c r="C3745" s="6">
        <v>45684</v>
      </c>
      <c r="D3745" s="5" t="s">
        <v>723</v>
      </c>
      <c r="E3745" s="5" t="s">
        <v>195</v>
      </c>
      <c r="F3745" s="5" t="s">
        <v>724</v>
      </c>
      <c r="G3745" s="5" t="s">
        <v>725</v>
      </c>
      <c r="H3745" s="5" t="s">
        <v>108</v>
      </c>
      <c r="I3745" s="5" t="s">
        <v>807</v>
      </c>
      <c r="J3745" s="5" t="s">
        <v>407</v>
      </c>
      <c r="K3745" s="5" t="s">
        <v>198</v>
      </c>
      <c r="L3745" s="6">
        <v>45688</v>
      </c>
      <c r="M3745" s="6">
        <v>45684</v>
      </c>
      <c r="N3745" s="6" t="s">
        <v>811</v>
      </c>
      <c r="O3745" s="5" t="str">
        <f ca="1">IF(P3745&lt;&gt;"EXPEDIÇÃO","Expedido",IF(NETWORKDAYS(C3745,TODAY())&gt;=5,"Risco Alto",IF(NETWORKDAYS(C3745,TODAY())&gt;=3,IF(NETWORKDAYS(C3745,TODAY())&lt;5,"Risco Médio",""),IF(NETWORKDAYS(C3745,TODAY())&lt;=2,"Risco Baixo",""))))</f>
        <v>Expedido</v>
      </c>
      <c r="P3745" s="5" t="s">
        <v>25</v>
      </c>
      <c r="S3745" s="7">
        <f>IF(ISBLANK(M3745),"Aguardando Previsão/Data",NETWORKDAYS(L3745,M3745)-1)</f>
        <v>-6</v>
      </c>
      <c r="T3745" s="5" t="s">
        <v>942</v>
      </c>
    </row>
    <row r="3746" spans="1:20" x14ac:dyDescent="0.35">
      <c r="A3746" s="5">
        <v>8100284629</v>
      </c>
      <c r="B3746" s="5">
        <v>7411</v>
      </c>
      <c r="C3746" s="6">
        <v>45684</v>
      </c>
      <c r="D3746" s="5" t="s">
        <v>723</v>
      </c>
      <c r="E3746" s="5" t="s">
        <v>195</v>
      </c>
      <c r="F3746" s="5" t="s">
        <v>724</v>
      </c>
      <c r="G3746" s="5" t="s">
        <v>725</v>
      </c>
      <c r="H3746" s="5" t="s">
        <v>108</v>
      </c>
      <c r="I3746" s="5" t="s">
        <v>807</v>
      </c>
      <c r="J3746" s="5" t="s">
        <v>407</v>
      </c>
      <c r="K3746" s="5" t="s">
        <v>198</v>
      </c>
      <c r="L3746" s="6">
        <v>45688</v>
      </c>
      <c r="M3746" s="6">
        <v>45684</v>
      </c>
      <c r="N3746" s="6" t="s">
        <v>811</v>
      </c>
      <c r="O3746" s="5" t="str">
        <f ca="1">IF(P3746&lt;&gt;"EXPEDIÇÃO","Expedido",IF(NETWORKDAYS(C3746,TODAY())&gt;=5,"Risco Alto",IF(NETWORKDAYS(C3746,TODAY())&gt;=3,IF(NETWORKDAYS(C3746,TODAY())&lt;5,"Risco Médio",""),IF(NETWORKDAYS(C3746,TODAY())&lt;=2,"Risco Baixo",""))))</f>
        <v>Expedido</v>
      </c>
      <c r="P3746" s="5" t="s">
        <v>25</v>
      </c>
      <c r="S3746" s="7">
        <f>IF(ISBLANK(M3746),"Aguardando Previsão/Data",NETWORKDAYS(L3746,M3746)-1)</f>
        <v>-6</v>
      </c>
      <c r="T3746" s="5" t="s">
        <v>942</v>
      </c>
    </row>
    <row r="3747" spans="1:20" x14ac:dyDescent="0.35">
      <c r="A3747" s="5">
        <v>8100282357</v>
      </c>
      <c r="B3747" s="5">
        <v>14690</v>
      </c>
      <c r="C3747" s="6">
        <v>45684</v>
      </c>
      <c r="D3747" s="5" t="s">
        <v>211</v>
      </c>
      <c r="E3747" s="5" t="s">
        <v>212</v>
      </c>
      <c r="F3747" s="5" t="s">
        <v>171</v>
      </c>
      <c r="G3747" s="5" t="s">
        <v>172</v>
      </c>
      <c r="H3747" s="5" t="s">
        <v>108</v>
      </c>
      <c r="I3747" s="5" t="s">
        <v>182</v>
      </c>
      <c r="J3747" s="5" t="s">
        <v>314</v>
      </c>
      <c r="K3747" s="5" t="s">
        <v>170</v>
      </c>
      <c r="L3747" s="6">
        <v>45694</v>
      </c>
      <c r="M3747" s="6">
        <v>45694</v>
      </c>
      <c r="N3747" s="6" t="s">
        <v>811</v>
      </c>
      <c r="O3747" s="5" t="str">
        <f ca="1">IF(P3747&lt;&gt;"EXPEDIÇÃO","Expedido",IF(NETWORKDAYS(C3747,TODAY())&gt;=5,"Risco Alto",IF(NETWORKDAYS(C3747,TODAY())&gt;=3,IF(NETWORKDAYS(C3747,TODAY())&lt;5,"Risco Médio",""),IF(NETWORKDAYS(C3747,TODAY())&lt;=2,"Risco Baixo",""))))</f>
        <v>Expedido</v>
      </c>
      <c r="P3747" s="5" t="s">
        <v>617</v>
      </c>
      <c r="S3747" s="7">
        <f>IF(ISBLANK(M3747),"Aguardando Previsão/Data",NETWORKDAYS(L3747,M3747)-1)</f>
        <v>0</v>
      </c>
    </row>
    <row r="3748" spans="1:20" x14ac:dyDescent="0.35">
      <c r="A3748" s="5">
        <v>8100282762</v>
      </c>
      <c r="B3748" s="5">
        <v>14691</v>
      </c>
      <c r="C3748" s="6">
        <v>45684</v>
      </c>
      <c r="D3748" s="5" t="s">
        <v>211</v>
      </c>
      <c r="E3748" s="5" t="s">
        <v>212</v>
      </c>
      <c r="F3748" s="5" t="s">
        <v>167</v>
      </c>
      <c r="G3748" s="5" t="s">
        <v>168</v>
      </c>
      <c r="H3748" s="5" t="s">
        <v>108</v>
      </c>
      <c r="I3748" s="5" t="s">
        <v>182</v>
      </c>
      <c r="J3748" s="5" t="s">
        <v>314</v>
      </c>
      <c r="K3748" s="5" t="s">
        <v>170</v>
      </c>
      <c r="L3748" s="6">
        <v>45694</v>
      </c>
      <c r="M3748" s="6">
        <v>45694</v>
      </c>
      <c r="N3748" s="6" t="s">
        <v>811</v>
      </c>
      <c r="O3748" s="5" t="str">
        <f ca="1">IF(P3748&lt;&gt;"EXPEDIÇÃO","Expedido",IF(NETWORKDAYS(C3748,TODAY())&gt;=5,"Risco Alto",IF(NETWORKDAYS(C3748,TODAY())&gt;=3,IF(NETWORKDAYS(C3748,TODAY())&lt;5,"Risco Médio",""),IF(NETWORKDAYS(C3748,TODAY())&lt;=2,"Risco Baixo",""))))</f>
        <v>Expedido</v>
      </c>
      <c r="P3748" s="5" t="s">
        <v>617</v>
      </c>
      <c r="S3748" s="7">
        <f>IF(ISBLANK(M3748),"Aguardando Previsão/Data",NETWORKDAYS(L3748,M3748)-1)</f>
        <v>0</v>
      </c>
    </row>
    <row r="3749" spans="1:20" x14ac:dyDescent="0.35">
      <c r="A3749" s="5">
        <v>8100284134</v>
      </c>
      <c r="B3749" s="5">
        <v>14698</v>
      </c>
      <c r="C3749" s="6">
        <v>45684</v>
      </c>
      <c r="D3749" s="5" t="s">
        <v>211</v>
      </c>
      <c r="E3749" s="5" t="s">
        <v>212</v>
      </c>
      <c r="F3749" s="5" t="s">
        <v>58</v>
      </c>
      <c r="G3749" s="5" t="s">
        <v>59</v>
      </c>
      <c r="H3749" s="5" t="s">
        <v>108</v>
      </c>
      <c r="I3749" s="5" t="s">
        <v>1141</v>
      </c>
      <c r="J3749" s="5" t="s">
        <v>1197</v>
      </c>
      <c r="K3749" s="5" t="s">
        <v>119</v>
      </c>
      <c r="L3749" s="6">
        <v>45691</v>
      </c>
      <c r="M3749" s="6">
        <v>45691</v>
      </c>
      <c r="N3749" s="6" t="s">
        <v>811</v>
      </c>
      <c r="O3749" s="5" t="str">
        <f ca="1">IF(P3749&lt;&gt;"EXPEDIÇÃO","Expedido",IF(NETWORKDAYS(C3749,TODAY())&gt;=5,"Risco Alto",IF(NETWORKDAYS(C3749,TODAY())&gt;=3,IF(NETWORKDAYS(C3749,TODAY())&lt;5,"Risco Médio",""),IF(NETWORKDAYS(C3749,TODAY())&lt;=2,"Risco Baixo",""))))</f>
        <v>Expedido</v>
      </c>
      <c r="P3749" s="5" t="s">
        <v>617</v>
      </c>
      <c r="S3749" s="7">
        <f>IF(ISBLANK(M3749),"Aguardando Previsão/Data",NETWORKDAYS(L3749,M3749)-1)</f>
        <v>0</v>
      </c>
    </row>
    <row r="3750" spans="1:20" x14ac:dyDescent="0.35">
      <c r="A3750" s="5">
        <v>8100284419</v>
      </c>
      <c r="B3750" s="5">
        <v>14696</v>
      </c>
      <c r="C3750" s="6">
        <v>45684</v>
      </c>
      <c r="D3750" s="5" t="s">
        <v>211</v>
      </c>
      <c r="E3750" s="5" t="s">
        <v>212</v>
      </c>
      <c r="F3750" s="5" t="s">
        <v>66</v>
      </c>
      <c r="G3750" s="5" t="s">
        <v>67</v>
      </c>
      <c r="H3750" s="5" t="s">
        <v>108</v>
      </c>
      <c r="I3750" s="5" t="s">
        <v>269</v>
      </c>
      <c r="J3750" s="5" t="s">
        <v>316</v>
      </c>
      <c r="K3750" s="5" t="s">
        <v>156</v>
      </c>
      <c r="L3750" s="6">
        <v>45694</v>
      </c>
      <c r="M3750" s="6">
        <v>45694</v>
      </c>
      <c r="N3750" s="6" t="s">
        <v>811</v>
      </c>
      <c r="O3750" s="5" t="str">
        <f ca="1">IF(P3750&lt;&gt;"EXPEDIÇÃO","Expedido",IF(NETWORKDAYS(C3750,TODAY())&gt;=5,"Risco Alto",IF(NETWORKDAYS(C3750,TODAY())&gt;=3,IF(NETWORKDAYS(C3750,TODAY())&lt;5,"Risco Médio",""),IF(NETWORKDAYS(C3750,TODAY())&lt;=2,"Risco Baixo",""))))</f>
        <v>Expedido</v>
      </c>
      <c r="P3750" s="5" t="s">
        <v>617</v>
      </c>
      <c r="S3750" s="7">
        <f>IF(ISBLANK(M3750),"Aguardando Previsão/Data",NETWORKDAYS(L3750,M3750)-1)</f>
        <v>0</v>
      </c>
    </row>
    <row r="3751" spans="1:20" x14ac:dyDescent="0.35">
      <c r="A3751" s="5">
        <v>8100284420</v>
      </c>
      <c r="B3751" s="5">
        <v>14695</v>
      </c>
      <c r="C3751" s="6">
        <v>45684</v>
      </c>
      <c r="D3751" s="5" t="s">
        <v>211</v>
      </c>
      <c r="E3751" s="5" t="s">
        <v>212</v>
      </c>
      <c r="F3751" s="5" t="s">
        <v>66</v>
      </c>
      <c r="G3751" s="5" t="s">
        <v>67</v>
      </c>
      <c r="H3751" s="5" t="s">
        <v>108</v>
      </c>
      <c r="I3751" s="5" t="s">
        <v>1389</v>
      </c>
      <c r="J3751" s="5" t="s">
        <v>399</v>
      </c>
      <c r="K3751" s="5" t="s">
        <v>156</v>
      </c>
      <c r="L3751" s="6">
        <v>45694</v>
      </c>
      <c r="M3751" s="6">
        <v>45694</v>
      </c>
      <c r="N3751" s="6" t="s">
        <v>811</v>
      </c>
      <c r="O3751" s="5" t="str">
        <f ca="1">IF(P3751&lt;&gt;"EXPEDIÇÃO","Expedido",IF(NETWORKDAYS(C3751,TODAY())&gt;=5,"Risco Alto",IF(NETWORKDAYS(C3751,TODAY())&gt;=3,IF(NETWORKDAYS(C3751,TODAY())&lt;5,"Risco Médio",""),IF(NETWORKDAYS(C3751,TODAY())&lt;=2,"Risco Baixo",""))))</f>
        <v>Expedido</v>
      </c>
      <c r="P3751" s="5" t="s">
        <v>617</v>
      </c>
      <c r="S3751" s="7">
        <f>IF(ISBLANK(M3751),"Aguardando Previsão/Data",NETWORKDAYS(L3751,M3751)-1)</f>
        <v>0</v>
      </c>
    </row>
    <row r="3752" spans="1:20" x14ac:dyDescent="0.35">
      <c r="A3752" s="5">
        <v>8100284421</v>
      </c>
      <c r="B3752" s="5">
        <v>14697</v>
      </c>
      <c r="C3752" s="6">
        <v>45684</v>
      </c>
      <c r="D3752" s="5" t="s">
        <v>211</v>
      </c>
      <c r="E3752" s="5" t="s">
        <v>212</v>
      </c>
      <c r="F3752" s="5" t="s">
        <v>66</v>
      </c>
      <c r="G3752" s="5" t="s">
        <v>67</v>
      </c>
      <c r="H3752" s="5" t="s">
        <v>108</v>
      </c>
      <c r="I3752" s="5" t="s">
        <v>398</v>
      </c>
      <c r="J3752" s="5" t="s">
        <v>399</v>
      </c>
      <c r="K3752" s="5" t="s">
        <v>156</v>
      </c>
      <c r="L3752" s="6">
        <v>45694</v>
      </c>
      <c r="M3752" s="6">
        <v>45694</v>
      </c>
      <c r="N3752" s="6" t="s">
        <v>811</v>
      </c>
      <c r="O3752" s="5" t="str">
        <f ca="1">IF(P3752&lt;&gt;"EXPEDIÇÃO","Expedido",IF(NETWORKDAYS(C3752,TODAY())&gt;=5,"Risco Alto",IF(NETWORKDAYS(C3752,TODAY())&gt;=3,IF(NETWORKDAYS(C3752,TODAY())&lt;5,"Risco Médio",""),IF(NETWORKDAYS(C3752,TODAY())&lt;=2,"Risco Baixo",""))))</f>
        <v>Expedido</v>
      </c>
      <c r="P3752" s="5" t="s">
        <v>617</v>
      </c>
      <c r="S3752" s="7">
        <f>IF(ISBLANK(M3752),"Aguardando Previsão/Data",NETWORKDAYS(L3752,M3752)-1)</f>
        <v>0</v>
      </c>
    </row>
    <row r="3753" spans="1:20" x14ac:dyDescent="0.35">
      <c r="A3753" s="5">
        <v>8100282558</v>
      </c>
      <c r="B3753" s="5">
        <v>12498</v>
      </c>
      <c r="C3753" s="6">
        <v>45684</v>
      </c>
      <c r="D3753" s="5" t="s">
        <v>158</v>
      </c>
      <c r="E3753" s="5" t="s">
        <v>159</v>
      </c>
      <c r="F3753" s="5" t="s">
        <v>167</v>
      </c>
      <c r="G3753" s="5" t="s">
        <v>168</v>
      </c>
      <c r="H3753" s="5" t="s">
        <v>108</v>
      </c>
      <c r="I3753" s="5" t="s">
        <v>164</v>
      </c>
      <c r="J3753" s="5" t="s">
        <v>193</v>
      </c>
      <c r="K3753" s="5" t="s">
        <v>170</v>
      </c>
      <c r="L3753" s="6">
        <v>45691</v>
      </c>
      <c r="M3753" s="6">
        <v>45691</v>
      </c>
      <c r="N3753" s="6" t="s">
        <v>811</v>
      </c>
      <c r="O3753" s="5" t="str">
        <f ca="1">IF(P3753&lt;&gt;"EXPEDIÇÃO","Expedido",IF(NETWORKDAYS(C3753,TODAY())&gt;=5,"Risco Alto",IF(NETWORKDAYS(C3753,TODAY())&gt;=3,IF(NETWORKDAYS(C3753,TODAY())&lt;5,"Risco Médio",""),IF(NETWORKDAYS(C3753,TODAY())&lt;=2,"Risco Baixo",""))))</f>
        <v>Risco Alto</v>
      </c>
      <c r="P3753" s="5" t="s">
        <v>726</v>
      </c>
      <c r="Q3753" s="5" t="s">
        <v>897</v>
      </c>
      <c r="S3753" s="7">
        <f>IF(ISBLANK(M3753),"Aguardando Previsão/Data",NETWORKDAYS(L3753,M3753)-1)</f>
        <v>0</v>
      </c>
    </row>
    <row r="3754" spans="1:20" x14ac:dyDescent="0.35">
      <c r="A3754" s="5">
        <v>8100282565</v>
      </c>
      <c r="B3754" s="5">
        <v>12499</v>
      </c>
      <c r="C3754" s="6">
        <v>45684</v>
      </c>
      <c r="D3754" s="5" t="s">
        <v>158</v>
      </c>
      <c r="E3754" s="5" t="s">
        <v>159</v>
      </c>
      <c r="F3754" s="5" t="s">
        <v>167</v>
      </c>
      <c r="G3754" s="5" t="s">
        <v>168</v>
      </c>
      <c r="H3754" s="5" t="s">
        <v>108</v>
      </c>
      <c r="I3754" s="5" t="s">
        <v>164</v>
      </c>
      <c r="J3754" s="5" t="s">
        <v>193</v>
      </c>
      <c r="K3754" s="5" t="s">
        <v>170</v>
      </c>
      <c r="L3754" s="6">
        <v>45691</v>
      </c>
      <c r="M3754" s="6">
        <v>45691</v>
      </c>
      <c r="N3754" s="6" t="s">
        <v>811</v>
      </c>
      <c r="O3754" s="5" t="str">
        <f ca="1">IF(P3754&lt;&gt;"EXPEDIÇÃO","Expedido",IF(NETWORKDAYS(C3754,TODAY())&gt;=5,"Risco Alto",IF(NETWORKDAYS(C3754,TODAY())&gt;=3,IF(NETWORKDAYS(C3754,TODAY())&lt;5,"Risco Médio",""),IF(NETWORKDAYS(C3754,TODAY())&lt;=2,"Risco Baixo",""))))</f>
        <v>Risco Alto</v>
      </c>
      <c r="P3754" s="5" t="s">
        <v>726</v>
      </c>
      <c r="Q3754" s="5" t="s">
        <v>897</v>
      </c>
      <c r="S3754" s="7">
        <f>IF(ISBLANK(M3754),"Aguardando Previsão/Data",NETWORKDAYS(L3754,M3754)-1)</f>
        <v>0</v>
      </c>
    </row>
    <row r="3755" spans="1:20" x14ac:dyDescent="0.35">
      <c r="A3755" s="5">
        <v>8100282569</v>
      </c>
      <c r="B3755" s="5">
        <v>12497</v>
      </c>
      <c r="C3755" s="6">
        <v>45684</v>
      </c>
      <c r="D3755" s="5" t="s">
        <v>158</v>
      </c>
      <c r="E3755" s="5" t="s">
        <v>159</v>
      </c>
      <c r="F3755" s="5" t="s">
        <v>167</v>
      </c>
      <c r="G3755" s="5" t="s">
        <v>168</v>
      </c>
      <c r="H3755" s="5" t="s">
        <v>108</v>
      </c>
      <c r="I3755" s="5" t="s">
        <v>164</v>
      </c>
      <c r="J3755" s="5" t="s">
        <v>1558</v>
      </c>
      <c r="K3755" s="5" t="s">
        <v>170</v>
      </c>
      <c r="L3755" s="6">
        <v>45691</v>
      </c>
      <c r="M3755" s="6">
        <v>45686</v>
      </c>
      <c r="N3755" s="6" t="s">
        <v>811</v>
      </c>
      <c r="O3755" s="5" t="str">
        <f ca="1">IF(P3755&lt;&gt;"EXPEDIÇÃO","Expedido",IF(NETWORKDAYS(C3755,TODAY())&gt;=5,"Risco Alto",IF(NETWORKDAYS(C3755,TODAY())&gt;=3,IF(NETWORKDAYS(C3755,TODAY())&lt;5,"Risco Médio",""),IF(NETWORKDAYS(C3755,TODAY())&lt;=2,"Risco Baixo",""))))</f>
        <v>Expedido</v>
      </c>
      <c r="P3755" s="5" t="s">
        <v>25</v>
      </c>
      <c r="S3755" s="7">
        <f>IF(ISBLANK(M3755),"Aguardando Previsão/Data",NETWORKDAYS(L3755,M3755)-1)</f>
        <v>-5</v>
      </c>
      <c r="T3755" s="5" t="s">
        <v>942</v>
      </c>
    </row>
    <row r="3756" spans="1:20" x14ac:dyDescent="0.35">
      <c r="A3756" s="5">
        <v>8100284160</v>
      </c>
      <c r="B3756" s="5">
        <v>12484</v>
      </c>
      <c r="C3756" s="6">
        <v>45684</v>
      </c>
      <c r="D3756" s="5" t="s">
        <v>158</v>
      </c>
      <c r="E3756" s="5" t="s">
        <v>159</v>
      </c>
      <c r="F3756" s="5" t="s">
        <v>136</v>
      </c>
      <c r="G3756" s="5" t="s">
        <v>137</v>
      </c>
      <c r="H3756" s="5" t="s">
        <v>108</v>
      </c>
      <c r="I3756" s="5" t="s">
        <v>614</v>
      </c>
      <c r="J3756" s="5" t="s">
        <v>215</v>
      </c>
      <c r="K3756" s="5" t="s">
        <v>170</v>
      </c>
      <c r="L3756" s="6">
        <v>45691</v>
      </c>
      <c r="M3756" s="6">
        <v>45687</v>
      </c>
      <c r="N3756" s="6" t="s">
        <v>811</v>
      </c>
      <c r="O3756" s="5" t="str">
        <f ca="1">IF(P3756&lt;&gt;"EXPEDIÇÃO","Expedido",IF(NETWORKDAYS(C3756,TODAY())&gt;=5,"Risco Alto",IF(NETWORKDAYS(C3756,TODAY())&gt;=3,IF(NETWORKDAYS(C3756,TODAY())&lt;5,"Risco Médio",""),IF(NETWORKDAYS(C3756,TODAY())&lt;=2,"Risco Baixo",""))))</f>
        <v>Expedido</v>
      </c>
      <c r="P3756" s="5" t="s">
        <v>25</v>
      </c>
      <c r="S3756" s="7">
        <f>IF(ISBLANK(M3756),"Aguardando Previsão/Data",NETWORKDAYS(L3756,M3756)-1)</f>
        <v>-4</v>
      </c>
      <c r="T3756" s="5" t="s">
        <v>942</v>
      </c>
    </row>
    <row r="3757" spans="1:20" x14ac:dyDescent="0.35">
      <c r="A3757" s="5">
        <v>8100284174</v>
      </c>
      <c r="B3757" s="5">
        <v>12485</v>
      </c>
      <c r="C3757" s="6">
        <v>45684</v>
      </c>
      <c r="D3757" s="5" t="s">
        <v>158</v>
      </c>
      <c r="E3757" s="5" t="s">
        <v>159</v>
      </c>
      <c r="F3757" s="5" t="s">
        <v>136</v>
      </c>
      <c r="G3757" s="5" t="s">
        <v>137</v>
      </c>
      <c r="H3757" s="5" t="s">
        <v>108</v>
      </c>
      <c r="I3757" s="5" t="s">
        <v>614</v>
      </c>
      <c r="J3757" s="5" t="s">
        <v>215</v>
      </c>
      <c r="K3757" s="5" t="s">
        <v>170</v>
      </c>
      <c r="L3757" s="6">
        <v>45691</v>
      </c>
      <c r="M3757" s="6">
        <v>45687</v>
      </c>
      <c r="N3757" s="6" t="s">
        <v>811</v>
      </c>
      <c r="O3757" s="5" t="str">
        <f ca="1">IF(P3757&lt;&gt;"EXPEDIÇÃO","Expedido",IF(NETWORKDAYS(C3757,TODAY())&gt;=5,"Risco Alto",IF(NETWORKDAYS(C3757,TODAY())&gt;=3,IF(NETWORKDAYS(C3757,TODAY())&lt;5,"Risco Médio",""),IF(NETWORKDAYS(C3757,TODAY())&lt;=2,"Risco Baixo",""))))</f>
        <v>Expedido</v>
      </c>
      <c r="P3757" s="5" t="s">
        <v>25</v>
      </c>
      <c r="S3757" s="7">
        <f>IF(ISBLANK(M3757),"Aguardando Previsão/Data",NETWORKDAYS(L3757,M3757)-1)</f>
        <v>-4</v>
      </c>
      <c r="T3757" s="5" t="s">
        <v>942</v>
      </c>
    </row>
    <row r="3758" spans="1:20" x14ac:dyDescent="0.35">
      <c r="A3758" s="5">
        <v>8100284272</v>
      </c>
      <c r="B3758" s="5">
        <v>12489</v>
      </c>
      <c r="C3758" s="6">
        <v>45684</v>
      </c>
      <c r="D3758" s="5" t="s">
        <v>158</v>
      </c>
      <c r="E3758" s="5" t="s">
        <v>159</v>
      </c>
      <c r="F3758" s="5" t="s">
        <v>79</v>
      </c>
      <c r="G3758" s="5" t="s">
        <v>80</v>
      </c>
      <c r="H3758" s="5" t="s">
        <v>108</v>
      </c>
      <c r="I3758" s="5" t="s">
        <v>180</v>
      </c>
      <c r="J3758" s="5" t="s">
        <v>181</v>
      </c>
      <c r="K3758" s="5" t="s">
        <v>80</v>
      </c>
      <c r="L3758" s="6">
        <v>45692</v>
      </c>
      <c r="M3758" s="6">
        <v>45691</v>
      </c>
      <c r="N3758" s="6" t="s">
        <v>811</v>
      </c>
      <c r="O3758" s="5" t="str">
        <f ca="1">IF(P3758&lt;&gt;"EXPEDIÇÃO","Expedido",IF(NETWORKDAYS(C3758,TODAY())&gt;=5,"Risco Alto",IF(NETWORKDAYS(C3758,TODAY())&gt;=3,IF(NETWORKDAYS(C3758,TODAY())&lt;5,"Risco Médio",""),IF(NETWORKDAYS(C3758,TODAY())&lt;=2,"Risco Baixo",""))))</f>
        <v>Risco Alto</v>
      </c>
      <c r="P3758" s="5" t="s">
        <v>726</v>
      </c>
      <c r="S3758" s="7">
        <f>IF(ISBLANK(M3758),"Aguardando Previsão/Data",NETWORKDAYS(L3758,M3758)-1)</f>
        <v>-3</v>
      </c>
    </row>
    <row r="3759" spans="1:20" x14ac:dyDescent="0.35">
      <c r="A3759" s="5">
        <v>8100284279</v>
      </c>
      <c r="B3759" s="5">
        <v>12493</v>
      </c>
      <c r="C3759" s="6">
        <v>45684</v>
      </c>
      <c r="D3759" s="5" t="s">
        <v>158</v>
      </c>
      <c r="E3759" s="5" t="s">
        <v>159</v>
      </c>
      <c r="F3759" s="5" t="s">
        <v>171</v>
      </c>
      <c r="G3759" s="5" t="s">
        <v>172</v>
      </c>
      <c r="H3759" s="5" t="s">
        <v>108</v>
      </c>
      <c r="I3759" s="5" t="s">
        <v>164</v>
      </c>
      <c r="J3759" s="5" t="s">
        <v>454</v>
      </c>
      <c r="K3759" s="5" t="s">
        <v>170</v>
      </c>
      <c r="L3759" s="6">
        <v>45691</v>
      </c>
      <c r="M3759" s="6">
        <v>45688</v>
      </c>
      <c r="N3759" s="6" t="s">
        <v>811</v>
      </c>
      <c r="O3759" s="5" t="str">
        <f ca="1">IF(P3759&lt;&gt;"EXPEDIÇÃO","Expedido",IF(NETWORKDAYS(C3759,TODAY())&gt;=5,"Risco Alto",IF(NETWORKDAYS(C3759,TODAY())&gt;=3,IF(NETWORKDAYS(C3759,TODAY())&lt;5,"Risco Médio",""),IF(NETWORKDAYS(C3759,TODAY())&lt;=2,"Risco Baixo",""))))</f>
        <v>Expedido</v>
      </c>
      <c r="P3759" s="5" t="s">
        <v>617</v>
      </c>
      <c r="S3759" s="7">
        <f>IF(ISBLANK(M3759),"Aguardando Previsão/Data",NETWORKDAYS(L3759,M3759)-1)</f>
        <v>-3</v>
      </c>
    </row>
    <row r="3760" spans="1:20" x14ac:dyDescent="0.35">
      <c r="A3760" s="5">
        <v>8100284280</v>
      </c>
      <c r="B3760" s="5">
        <v>12486</v>
      </c>
      <c r="C3760" s="6">
        <v>45684</v>
      </c>
      <c r="D3760" s="5" t="s">
        <v>158</v>
      </c>
      <c r="E3760" s="5" t="s">
        <v>159</v>
      </c>
      <c r="F3760" s="5" t="s">
        <v>171</v>
      </c>
      <c r="G3760" s="5" t="s">
        <v>172</v>
      </c>
      <c r="H3760" s="5" t="s">
        <v>108</v>
      </c>
      <c r="I3760" s="5" t="s">
        <v>164</v>
      </c>
      <c r="J3760" s="5" t="s">
        <v>400</v>
      </c>
      <c r="K3760" s="5" t="s">
        <v>170</v>
      </c>
      <c r="L3760" s="6">
        <v>45691</v>
      </c>
      <c r="M3760" s="6">
        <v>45686</v>
      </c>
      <c r="N3760" s="6" t="s">
        <v>811</v>
      </c>
      <c r="O3760" s="5" t="str">
        <f ca="1">IF(P3760&lt;&gt;"EXPEDIÇÃO","Expedido",IF(NETWORKDAYS(C3760,TODAY())&gt;=5,"Risco Alto",IF(NETWORKDAYS(C3760,TODAY())&gt;=3,IF(NETWORKDAYS(C3760,TODAY())&lt;5,"Risco Médio",""),IF(NETWORKDAYS(C3760,TODAY())&lt;=2,"Risco Baixo",""))))</f>
        <v>Expedido</v>
      </c>
      <c r="P3760" s="5" t="s">
        <v>25</v>
      </c>
      <c r="S3760" s="7">
        <f>IF(ISBLANK(M3760),"Aguardando Previsão/Data",NETWORKDAYS(L3760,M3760)-1)</f>
        <v>-5</v>
      </c>
      <c r="T3760" s="5" t="s">
        <v>942</v>
      </c>
    </row>
    <row r="3761" spans="1:20" x14ac:dyDescent="0.35">
      <c r="A3761" s="5">
        <v>8100284281</v>
      </c>
      <c r="B3761" s="5">
        <v>12487</v>
      </c>
      <c r="C3761" s="6">
        <v>45684</v>
      </c>
      <c r="D3761" s="5" t="s">
        <v>158</v>
      </c>
      <c r="E3761" s="5" t="s">
        <v>159</v>
      </c>
      <c r="F3761" s="5" t="s">
        <v>171</v>
      </c>
      <c r="G3761" s="5" t="s">
        <v>172</v>
      </c>
      <c r="H3761" s="5" t="s">
        <v>108</v>
      </c>
      <c r="I3761" s="5" t="s">
        <v>164</v>
      </c>
      <c r="J3761" s="5" t="s">
        <v>400</v>
      </c>
      <c r="K3761" s="5" t="s">
        <v>170</v>
      </c>
      <c r="L3761" s="6">
        <v>45691</v>
      </c>
      <c r="M3761" s="6">
        <v>45686</v>
      </c>
      <c r="N3761" s="6" t="s">
        <v>811</v>
      </c>
      <c r="O3761" s="5" t="str">
        <f ca="1">IF(P3761&lt;&gt;"EXPEDIÇÃO","Expedido",IF(NETWORKDAYS(C3761,TODAY())&gt;=5,"Risco Alto",IF(NETWORKDAYS(C3761,TODAY())&gt;=3,IF(NETWORKDAYS(C3761,TODAY())&lt;5,"Risco Médio",""),IF(NETWORKDAYS(C3761,TODAY())&lt;=2,"Risco Baixo",""))))</f>
        <v>Expedido</v>
      </c>
      <c r="P3761" s="5" t="s">
        <v>25</v>
      </c>
      <c r="S3761" s="7">
        <f>IF(ISBLANK(M3761),"Aguardando Previsão/Data",NETWORKDAYS(L3761,M3761)-1)</f>
        <v>-5</v>
      </c>
      <c r="T3761" s="5" t="s">
        <v>942</v>
      </c>
    </row>
    <row r="3762" spans="1:20" x14ac:dyDescent="0.35">
      <c r="A3762" s="5">
        <v>8100284282</v>
      </c>
      <c r="B3762" s="5">
        <v>12492</v>
      </c>
      <c r="C3762" s="6">
        <v>45684</v>
      </c>
      <c r="D3762" s="5" t="s">
        <v>158</v>
      </c>
      <c r="E3762" s="5" t="s">
        <v>159</v>
      </c>
      <c r="F3762" s="5" t="s">
        <v>160</v>
      </c>
      <c r="G3762" s="5" t="s">
        <v>161</v>
      </c>
      <c r="H3762" s="5" t="s">
        <v>108</v>
      </c>
      <c r="I3762" s="5" t="s">
        <v>347</v>
      </c>
      <c r="J3762" s="5" t="s">
        <v>310</v>
      </c>
      <c r="K3762" s="5" t="s">
        <v>175</v>
      </c>
      <c r="L3762" s="6">
        <v>45693</v>
      </c>
      <c r="M3762" s="6">
        <v>45691</v>
      </c>
      <c r="N3762" s="6" t="s">
        <v>811</v>
      </c>
      <c r="O3762" s="5" t="str">
        <f ca="1">IF(P3762&lt;&gt;"EXPEDIÇÃO","Expedido",IF(NETWORKDAYS(C3762,TODAY())&gt;=5,"Risco Alto",IF(NETWORKDAYS(C3762,TODAY())&gt;=3,IF(NETWORKDAYS(C3762,TODAY())&lt;5,"Risco Médio",""),IF(NETWORKDAYS(C3762,TODAY())&lt;=2,"Risco Baixo",""))))</f>
        <v>Risco Alto</v>
      </c>
      <c r="P3762" s="5" t="s">
        <v>726</v>
      </c>
      <c r="S3762" s="7">
        <f>IF(ISBLANK(M3762),"Aguardando Previsão/Data",NETWORKDAYS(L3762,M3762)-1)</f>
        <v>-4</v>
      </c>
    </row>
    <row r="3763" spans="1:20" x14ac:dyDescent="0.35">
      <c r="A3763" s="5">
        <v>8100284340</v>
      </c>
      <c r="B3763" s="5">
        <v>12494</v>
      </c>
      <c r="C3763" s="6">
        <v>45684</v>
      </c>
      <c r="D3763" s="5" t="s">
        <v>158</v>
      </c>
      <c r="E3763" s="5" t="s">
        <v>159</v>
      </c>
      <c r="F3763" s="5" t="s">
        <v>167</v>
      </c>
      <c r="G3763" s="5" t="s">
        <v>168</v>
      </c>
      <c r="H3763" s="5" t="s">
        <v>108</v>
      </c>
      <c r="I3763" s="5" t="s">
        <v>184</v>
      </c>
      <c r="J3763" s="5" t="s">
        <v>185</v>
      </c>
      <c r="K3763" s="5" t="s">
        <v>170</v>
      </c>
      <c r="L3763" s="6">
        <v>45688</v>
      </c>
      <c r="M3763" s="6">
        <v>45686</v>
      </c>
      <c r="N3763" s="6" t="s">
        <v>811</v>
      </c>
      <c r="O3763" s="5" t="str">
        <f ca="1">IF(P3763&lt;&gt;"EXPEDIÇÃO","Expedido",IF(NETWORKDAYS(C3763,TODAY())&gt;=5,"Risco Alto",IF(NETWORKDAYS(C3763,TODAY())&gt;=3,IF(NETWORKDAYS(C3763,TODAY())&lt;5,"Risco Médio",""),IF(NETWORKDAYS(C3763,TODAY())&lt;=2,"Risco Baixo",""))))</f>
        <v>Expedido</v>
      </c>
      <c r="P3763" s="5" t="s">
        <v>25</v>
      </c>
      <c r="S3763" s="7">
        <f>IF(ISBLANK(M3763),"Aguardando Previsão/Data",NETWORKDAYS(L3763,M3763)-1)</f>
        <v>-4</v>
      </c>
      <c r="T3763" s="5" t="s">
        <v>942</v>
      </c>
    </row>
    <row r="3764" spans="1:20" x14ac:dyDescent="0.35">
      <c r="A3764" s="5">
        <v>8100284341</v>
      </c>
      <c r="B3764" s="5">
        <v>12488</v>
      </c>
      <c r="C3764" s="6">
        <v>45684</v>
      </c>
      <c r="D3764" s="5" t="s">
        <v>158</v>
      </c>
      <c r="E3764" s="5" t="s">
        <v>159</v>
      </c>
      <c r="F3764" s="5" t="s">
        <v>176</v>
      </c>
      <c r="G3764" s="5" t="s">
        <v>177</v>
      </c>
      <c r="H3764" s="5" t="s">
        <v>108</v>
      </c>
      <c r="I3764" s="5" t="s">
        <v>187</v>
      </c>
      <c r="J3764" s="5" t="s">
        <v>188</v>
      </c>
      <c r="K3764" s="5" t="s">
        <v>175</v>
      </c>
      <c r="L3764" s="6">
        <v>45693</v>
      </c>
      <c r="M3764" s="6">
        <v>45691</v>
      </c>
      <c r="N3764" s="6" t="s">
        <v>811</v>
      </c>
      <c r="O3764" s="5" t="str">
        <f ca="1">IF(P3764&lt;&gt;"EXPEDIÇÃO","Expedido",IF(NETWORKDAYS(C3764,TODAY())&gt;=5,"Risco Alto",IF(NETWORKDAYS(C3764,TODAY())&gt;=3,IF(NETWORKDAYS(C3764,TODAY())&lt;5,"Risco Médio",""),IF(NETWORKDAYS(C3764,TODAY())&lt;=2,"Risco Baixo",""))))</f>
        <v>Risco Alto</v>
      </c>
      <c r="P3764" s="5" t="s">
        <v>726</v>
      </c>
      <c r="S3764" s="7">
        <f>IF(ISBLANK(M3764),"Aguardando Previsão/Data",NETWORKDAYS(L3764,M3764)-1)</f>
        <v>-4</v>
      </c>
    </row>
    <row r="3765" spans="1:20" x14ac:dyDescent="0.35">
      <c r="A3765" s="5">
        <v>8100284342</v>
      </c>
      <c r="B3765" s="5">
        <v>12490</v>
      </c>
      <c r="C3765" s="6">
        <v>45684</v>
      </c>
      <c r="D3765" s="5" t="s">
        <v>158</v>
      </c>
      <c r="E3765" s="5" t="s">
        <v>159</v>
      </c>
      <c r="F3765" s="5" t="s">
        <v>176</v>
      </c>
      <c r="G3765" s="5" t="s">
        <v>177</v>
      </c>
      <c r="H3765" s="5" t="s">
        <v>108</v>
      </c>
      <c r="I3765" s="5" t="s">
        <v>187</v>
      </c>
      <c r="J3765" s="5" t="s">
        <v>301</v>
      </c>
      <c r="K3765" s="5" t="s">
        <v>175</v>
      </c>
      <c r="L3765" s="6">
        <v>45692</v>
      </c>
      <c r="M3765" s="6">
        <v>45691</v>
      </c>
      <c r="N3765" s="6" t="s">
        <v>811</v>
      </c>
      <c r="O3765" s="5" t="str">
        <f ca="1">IF(P3765&lt;&gt;"EXPEDIÇÃO","Expedido",IF(NETWORKDAYS(C3765,TODAY())&gt;=5,"Risco Alto",IF(NETWORKDAYS(C3765,TODAY())&gt;=3,IF(NETWORKDAYS(C3765,TODAY())&lt;5,"Risco Médio",""),IF(NETWORKDAYS(C3765,TODAY())&lt;=2,"Risco Baixo",""))))</f>
        <v>Risco Alto</v>
      </c>
      <c r="P3765" s="5" t="s">
        <v>726</v>
      </c>
      <c r="S3765" s="7">
        <f>IF(ISBLANK(M3765),"Aguardando Previsão/Data",NETWORKDAYS(L3765,M3765)-1)</f>
        <v>-3</v>
      </c>
    </row>
    <row r="3766" spans="1:20" x14ac:dyDescent="0.35">
      <c r="A3766" s="5">
        <v>8100284344</v>
      </c>
      <c r="B3766" s="5">
        <v>12495</v>
      </c>
      <c r="C3766" s="6">
        <v>45684</v>
      </c>
      <c r="D3766" s="5" t="s">
        <v>158</v>
      </c>
      <c r="E3766" s="5" t="s">
        <v>159</v>
      </c>
      <c r="F3766" s="5" t="s">
        <v>167</v>
      </c>
      <c r="G3766" s="5" t="s">
        <v>168</v>
      </c>
      <c r="H3766" s="5" t="s">
        <v>108</v>
      </c>
      <c r="I3766" s="5" t="s">
        <v>184</v>
      </c>
      <c r="J3766" s="5" t="s">
        <v>185</v>
      </c>
      <c r="K3766" s="5" t="s">
        <v>170</v>
      </c>
      <c r="L3766" s="6">
        <v>45688</v>
      </c>
      <c r="M3766" s="6">
        <v>45686</v>
      </c>
      <c r="N3766" s="6" t="s">
        <v>811</v>
      </c>
      <c r="O3766" s="5" t="str">
        <f ca="1">IF(P3766&lt;&gt;"EXPEDIÇÃO","Expedido",IF(NETWORKDAYS(C3766,TODAY())&gt;=5,"Risco Alto",IF(NETWORKDAYS(C3766,TODAY())&gt;=3,IF(NETWORKDAYS(C3766,TODAY())&lt;5,"Risco Médio",""),IF(NETWORKDAYS(C3766,TODAY())&lt;=2,"Risco Baixo",""))))</f>
        <v>Expedido</v>
      </c>
      <c r="P3766" s="5" t="s">
        <v>25</v>
      </c>
      <c r="S3766" s="7">
        <f>IF(ISBLANK(M3766),"Aguardando Previsão/Data",NETWORKDAYS(L3766,M3766)-1)</f>
        <v>-4</v>
      </c>
      <c r="T3766" s="5" t="s">
        <v>942</v>
      </c>
    </row>
    <row r="3767" spans="1:20" x14ac:dyDescent="0.35">
      <c r="A3767" s="5">
        <v>8100284345</v>
      </c>
      <c r="B3767" s="5">
        <v>12491</v>
      </c>
      <c r="C3767" s="6">
        <v>45684</v>
      </c>
      <c r="D3767" s="5" t="s">
        <v>158</v>
      </c>
      <c r="E3767" s="5" t="s">
        <v>159</v>
      </c>
      <c r="F3767" s="5" t="s">
        <v>136</v>
      </c>
      <c r="G3767" s="5" t="s">
        <v>137</v>
      </c>
      <c r="H3767" s="5" t="s">
        <v>108</v>
      </c>
      <c r="I3767" s="5" t="s">
        <v>164</v>
      </c>
      <c r="J3767" s="5" t="s">
        <v>215</v>
      </c>
      <c r="K3767" s="5" t="s">
        <v>170</v>
      </c>
      <c r="L3767" s="6">
        <v>45691</v>
      </c>
      <c r="M3767" s="6">
        <v>45687</v>
      </c>
      <c r="N3767" s="6" t="s">
        <v>811</v>
      </c>
      <c r="O3767" s="5" t="str">
        <f ca="1">IF(P3767&lt;&gt;"EXPEDIÇÃO","Expedido",IF(NETWORKDAYS(C3767,TODAY())&gt;=5,"Risco Alto",IF(NETWORKDAYS(C3767,TODAY())&gt;=3,IF(NETWORKDAYS(C3767,TODAY())&lt;5,"Risco Médio",""),IF(NETWORKDAYS(C3767,TODAY())&lt;=2,"Risco Baixo",""))))</f>
        <v>Expedido</v>
      </c>
      <c r="P3767" s="5" t="s">
        <v>25</v>
      </c>
      <c r="S3767" s="7">
        <f>IF(ISBLANK(M3767),"Aguardando Previsão/Data",NETWORKDAYS(L3767,M3767)-1)</f>
        <v>-4</v>
      </c>
      <c r="T3767" s="5" t="s">
        <v>942</v>
      </c>
    </row>
    <row r="3768" spans="1:20" x14ac:dyDescent="0.35">
      <c r="A3768" s="5">
        <v>8100284562</v>
      </c>
      <c r="B3768" s="5">
        <v>12496</v>
      </c>
      <c r="C3768" s="6">
        <v>45684</v>
      </c>
      <c r="D3768" s="5" t="s">
        <v>158</v>
      </c>
      <c r="E3768" s="5" t="s">
        <v>159</v>
      </c>
      <c r="F3768" s="5" t="s">
        <v>176</v>
      </c>
      <c r="G3768" s="5" t="s">
        <v>177</v>
      </c>
      <c r="H3768" s="5" t="s">
        <v>108</v>
      </c>
      <c r="I3768" s="5" t="s">
        <v>187</v>
      </c>
      <c r="J3768" s="5" t="s">
        <v>308</v>
      </c>
      <c r="K3768" s="5" t="s">
        <v>175</v>
      </c>
      <c r="L3768" s="6">
        <v>45693</v>
      </c>
      <c r="M3768" s="6">
        <v>45691</v>
      </c>
      <c r="N3768" s="6" t="s">
        <v>811</v>
      </c>
      <c r="O3768" s="5" t="str">
        <f ca="1">IF(P3768&lt;&gt;"EXPEDIÇÃO","Expedido",IF(NETWORKDAYS(C3768,TODAY())&gt;=5,"Risco Alto",IF(NETWORKDAYS(C3768,TODAY())&gt;=3,IF(NETWORKDAYS(C3768,TODAY())&lt;5,"Risco Médio",""),IF(NETWORKDAYS(C3768,TODAY())&lt;=2,"Risco Baixo",""))))</f>
        <v>Risco Alto</v>
      </c>
      <c r="P3768" s="5" t="s">
        <v>726</v>
      </c>
      <c r="S3768" s="7">
        <f>IF(ISBLANK(M3768),"Aguardando Previsão/Data",NETWORKDAYS(L3768,M3768)-1)</f>
        <v>-4</v>
      </c>
    </row>
    <row r="3769" spans="1:20" x14ac:dyDescent="0.35">
      <c r="A3769" s="5">
        <v>8100284567</v>
      </c>
      <c r="B3769" s="5">
        <v>12500</v>
      </c>
      <c r="C3769" s="6">
        <v>45684</v>
      </c>
      <c r="D3769" s="5" t="s">
        <v>158</v>
      </c>
      <c r="E3769" s="5" t="s">
        <v>159</v>
      </c>
      <c r="F3769" s="5" t="s">
        <v>176</v>
      </c>
      <c r="G3769" s="5" t="s">
        <v>177</v>
      </c>
      <c r="H3769" s="5" t="s">
        <v>108</v>
      </c>
      <c r="I3769" s="5" t="s">
        <v>162</v>
      </c>
      <c r="J3769" s="5" t="s">
        <v>348</v>
      </c>
      <c r="K3769" s="5" t="s">
        <v>175</v>
      </c>
      <c r="L3769" s="6">
        <v>45692</v>
      </c>
      <c r="M3769" s="6">
        <v>45687</v>
      </c>
      <c r="N3769" s="6" t="s">
        <v>811</v>
      </c>
      <c r="O3769" s="5" t="str">
        <f ca="1">IF(P3769&lt;&gt;"EXPEDIÇÃO","Expedido",IF(NETWORKDAYS(C3769,TODAY())&gt;=5,"Risco Alto",IF(NETWORKDAYS(C3769,TODAY())&gt;=3,IF(NETWORKDAYS(C3769,TODAY())&lt;5,"Risco Médio",""),IF(NETWORKDAYS(C3769,TODAY())&lt;=2,"Risco Baixo",""))))</f>
        <v>Expedido</v>
      </c>
      <c r="P3769" s="5" t="s">
        <v>25</v>
      </c>
      <c r="S3769" s="7">
        <f>IF(ISBLANK(M3769),"Aguardando Previsão/Data",NETWORKDAYS(L3769,M3769)-1)</f>
        <v>-5</v>
      </c>
      <c r="T3769" s="5" t="s">
        <v>942</v>
      </c>
    </row>
    <row r="3770" spans="1:20" x14ac:dyDescent="0.35">
      <c r="A3770" s="5">
        <v>8100284568</v>
      </c>
      <c r="B3770" s="5">
        <v>12501</v>
      </c>
      <c r="C3770" s="6">
        <v>45684</v>
      </c>
      <c r="D3770" s="5" t="s">
        <v>158</v>
      </c>
      <c r="E3770" s="5" t="s">
        <v>159</v>
      </c>
      <c r="F3770" s="5" t="s">
        <v>176</v>
      </c>
      <c r="G3770" s="5" t="s">
        <v>177</v>
      </c>
      <c r="H3770" s="5" t="s">
        <v>108</v>
      </c>
      <c r="I3770" s="5" t="s">
        <v>162</v>
      </c>
      <c r="J3770" s="5" t="s">
        <v>348</v>
      </c>
      <c r="K3770" s="5" t="s">
        <v>175</v>
      </c>
      <c r="L3770" s="6">
        <v>45692</v>
      </c>
      <c r="M3770" s="6">
        <v>45687</v>
      </c>
      <c r="N3770" s="6" t="s">
        <v>811</v>
      </c>
      <c r="O3770" s="5" t="str">
        <f ca="1">IF(P3770&lt;&gt;"EXPEDIÇÃO","Expedido",IF(NETWORKDAYS(C3770,TODAY())&gt;=5,"Risco Alto",IF(NETWORKDAYS(C3770,TODAY())&gt;=3,IF(NETWORKDAYS(C3770,TODAY())&lt;5,"Risco Médio",""),IF(NETWORKDAYS(C3770,TODAY())&lt;=2,"Risco Baixo",""))))</f>
        <v>Expedido</v>
      </c>
      <c r="P3770" s="5" t="s">
        <v>25</v>
      </c>
      <c r="S3770" s="7">
        <f>IF(ISBLANK(M3770),"Aguardando Previsão/Data",NETWORKDAYS(L3770,M3770)-1)</f>
        <v>-5</v>
      </c>
      <c r="T3770" s="5" t="s">
        <v>942</v>
      </c>
    </row>
    <row r="3771" spans="1:20" x14ac:dyDescent="0.35">
      <c r="A3771" s="5">
        <v>8100282870</v>
      </c>
      <c r="B3771" s="5">
        <v>17667</v>
      </c>
      <c r="C3771" s="6">
        <v>45685</v>
      </c>
      <c r="D3771" s="5" t="s">
        <v>382</v>
      </c>
      <c r="E3771" s="5" t="s">
        <v>52</v>
      </c>
      <c r="F3771" s="5" t="s">
        <v>84</v>
      </c>
      <c r="G3771" s="5" t="s">
        <v>85</v>
      </c>
      <c r="H3771" s="5" t="s">
        <v>21</v>
      </c>
      <c r="I3771" s="5" t="s">
        <v>944</v>
      </c>
      <c r="J3771" s="5" t="s">
        <v>945</v>
      </c>
      <c r="K3771" s="5" t="s">
        <v>80</v>
      </c>
      <c r="L3771" s="6">
        <v>45693</v>
      </c>
      <c r="M3771" s="6">
        <v>45692</v>
      </c>
      <c r="N3771" s="6" t="s">
        <v>811</v>
      </c>
      <c r="O3771" s="5" t="str">
        <f ca="1">IF(P3771&lt;&gt;"EXPEDIÇÃO","Expedido",IF(NETWORKDAYS(C3771,TODAY())&gt;=5,"Risco Alto",IF(NETWORKDAYS(C3771,TODAY())&gt;=3,IF(NETWORKDAYS(C3771,TODAY())&lt;5,"Risco Médio",""),IF(NETWORKDAYS(C3771,TODAY())&lt;=2,"Risco Baixo",""))))</f>
        <v>Risco Médio</v>
      </c>
      <c r="P3771" s="5" t="s">
        <v>726</v>
      </c>
      <c r="S3771" s="7">
        <f>IF(ISBLANK(M3771),"Aguardando Previsão/Data",NETWORKDAYS(L3771,M3771)-1)</f>
        <v>-3</v>
      </c>
    </row>
    <row r="3772" spans="1:20" x14ac:dyDescent="0.35">
      <c r="A3772" s="5">
        <v>8100284633</v>
      </c>
      <c r="B3772" s="5">
        <v>17662</v>
      </c>
      <c r="C3772" s="6">
        <v>45685</v>
      </c>
      <c r="D3772" s="5" t="s">
        <v>51</v>
      </c>
      <c r="E3772" s="5" t="s">
        <v>52</v>
      </c>
      <c r="F3772" s="5" t="s">
        <v>66</v>
      </c>
      <c r="G3772" s="5" t="s">
        <v>67</v>
      </c>
      <c r="H3772" s="5" t="s">
        <v>21</v>
      </c>
      <c r="I3772" s="5" t="s">
        <v>434</v>
      </c>
      <c r="J3772" s="5" t="s">
        <v>435</v>
      </c>
      <c r="K3772" s="5" t="s">
        <v>57</v>
      </c>
      <c r="L3772" s="6">
        <v>45692</v>
      </c>
      <c r="M3772" s="6">
        <v>45691</v>
      </c>
      <c r="N3772" s="6" t="s">
        <v>811</v>
      </c>
      <c r="O3772" s="5" t="str">
        <f ca="1">IF(P3772&lt;&gt;"EXPEDIÇÃO","Expedido",IF(NETWORKDAYS(C3772,TODAY())&gt;=5,"Risco Alto",IF(NETWORKDAYS(C3772,TODAY())&gt;=3,IF(NETWORKDAYS(C3772,TODAY())&lt;5,"Risco Médio",""),IF(NETWORKDAYS(C3772,TODAY())&lt;=2,"Risco Baixo",""))))</f>
        <v>Risco Médio</v>
      </c>
      <c r="P3772" s="5" t="s">
        <v>726</v>
      </c>
      <c r="S3772" s="7">
        <f>IF(ISBLANK(M3772),"Aguardando Previsão/Data",NETWORKDAYS(L3772,M3772)-1)</f>
        <v>-3</v>
      </c>
    </row>
    <row r="3773" spans="1:20" x14ac:dyDescent="0.35">
      <c r="A3773" s="5">
        <v>8100284824</v>
      </c>
      <c r="B3773" s="5">
        <v>17666</v>
      </c>
      <c r="C3773" s="6">
        <v>45685</v>
      </c>
      <c r="D3773" s="5" t="s">
        <v>51</v>
      </c>
      <c r="E3773" s="5" t="s">
        <v>52</v>
      </c>
      <c r="F3773" s="5" t="s">
        <v>66</v>
      </c>
      <c r="G3773" s="5" t="s">
        <v>67</v>
      </c>
      <c r="H3773" s="5" t="s">
        <v>21</v>
      </c>
      <c r="I3773" s="5" t="s">
        <v>440</v>
      </c>
      <c r="J3773" s="5" t="s">
        <v>441</v>
      </c>
      <c r="K3773" s="5" t="s">
        <v>57</v>
      </c>
      <c r="L3773" s="6">
        <v>45693</v>
      </c>
      <c r="M3773" s="6">
        <v>45692</v>
      </c>
      <c r="N3773" s="6" t="s">
        <v>811</v>
      </c>
      <c r="O3773" s="5" t="str">
        <f ca="1">IF(P3773&lt;&gt;"EXPEDIÇÃO","Expedido",IF(NETWORKDAYS(C3773,TODAY())&gt;=5,"Risco Alto",IF(NETWORKDAYS(C3773,TODAY())&gt;=3,IF(NETWORKDAYS(C3773,TODAY())&lt;5,"Risco Médio",""),IF(NETWORKDAYS(C3773,TODAY())&lt;=2,"Risco Baixo",""))))</f>
        <v>Risco Médio</v>
      </c>
      <c r="P3773" s="5" t="s">
        <v>726</v>
      </c>
      <c r="S3773" s="7">
        <f>IF(ISBLANK(M3773),"Aguardando Previsão/Data",NETWORKDAYS(L3773,M3773)-1)</f>
        <v>-3</v>
      </c>
    </row>
    <row r="3774" spans="1:20" x14ac:dyDescent="0.35">
      <c r="A3774" s="5">
        <v>8100284919</v>
      </c>
      <c r="B3774" s="5">
        <v>17668</v>
      </c>
      <c r="C3774" s="6">
        <v>45685</v>
      </c>
      <c r="D3774" s="5" t="s">
        <v>51</v>
      </c>
      <c r="E3774" s="5" t="s">
        <v>52</v>
      </c>
      <c r="F3774" s="5" t="s">
        <v>58</v>
      </c>
      <c r="G3774" s="5" t="s">
        <v>59</v>
      </c>
      <c r="H3774" s="5" t="s">
        <v>21</v>
      </c>
      <c r="I3774" s="5" t="s">
        <v>555</v>
      </c>
      <c r="J3774" s="5" t="s">
        <v>556</v>
      </c>
      <c r="K3774" s="5" t="s">
        <v>57</v>
      </c>
      <c r="L3774" s="6">
        <v>45693</v>
      </c>
      <c r="M3774" s="6">
        <v>45692</v>
      </c>
      <c r="N3774" s="6" t="s">
        <v>811</v>
      </c>
      <c r="O3774" s="5" t="str">
        <f ca="1">IF(P3774&lt;&gt;"EXPEDIÇÃO","Expedido",IF(NETWORKDAYS(C3774,TODAY())&gt;=5,"Risco Alto",IF(NETWORKDAYS(C3774,TODAY())&gt;=3,IF(NETWORKDAYS(C3774,TODAY())&lt;5,"Risco Médio",""),IF(NETWORKDAYS(C3774,TODAY())&lt;=2,"Risco Baixo",""))))</f>
        <v>Risco Médio</v>
      </c>
      <c r="P3774" s="5" t="s">
        <v>726</v>
      </c>
      <c r="S3774" s="7">
        <f>IF(ISBLANK(M3774),"Aguardando Previsão/Data",NETWORKDAYS(L3774,M3774)-1)</f>
        <v>-3</v>
      </c>
    </row>
    <row r="3775" spans="1:20" x14ac:dyDescent="0.35">
      <c r="A3775" s="5">
        <v>8100284920</v>
      </c>
      <c r="B3775" s="5">
        <v>17664</v>
      </c>
      <c r="C3775" s="6">
        <v>45685</v>
      </c>
      <c r="D3775" s="5" t="s">
        <v>51</v>
      </c>
      <c r="E3775" s="5" t="s">
        <v>52</v>
      </c>
      <c r="F3775" s="5" t="s">
        <v>329</v>
      </c>
      <c r="G3775" s="5" t="s">
        <v>330</v>
      </c>
      <c r="H3775" s="5" t="s">
        <v>21</v>
      </c>
      <c r="I3775" s="5" t="s">
        <v>22</v>
      </c>
      <c r="J3775" s="5" t="s">
        <v>65</v>
      </c>
      <c r="K3775" s="5" t="s">
        <v>57</v>
      </c>
      <c r="L3775" s="6">
        <v>45688</v>
      </c>
      <c r="M3775" s="6">
        <v>45685</v>
      </c>
      <c r="N3775" s="6" t="s">
        <v>811</v>
      </c>
      <c r="O3775" s="5" t="str">
        <f ca="1">IF(P3775&lt;&gt;"EXPEDIÇÃO","Expedido",IF(NETWORKDAYS(C3775,TODAY())&gt;=5,"Risco Alto",IF(NETWORKDAYS(C3775,TODAY())&gt;=3,IF(NETWORKDAYS(C3775,TODAY())&lt;5,"Risco Médio",""),IF(NETWORKDAYS(C3775,TODAY())&lt;=2,"Risco Baixo",""))))</f>
        <v>Expedido</v>
      </c>
      <c r="P3775" s="5" t="s">
        <v>25</v>
      </c>
      <c r="Q3775" s="5" t="s">
        <v>900</v>
      </c>
      <c r="S3775" s="7">
        <f>IF(ISBLANK(M3775),"Aguardando Previsão/Data",NETWORKDAYS(L3775,M3775)-1)</f>
        <v>-5</v>
      </c>
      <c r="T3775" s="5" t="s">
        <v>942</v>
      </c>
    </row>
    <row r="3776" spans="1:20" x14ac:dyDescent="0.35">
      <c r="A3776" s="5">
        <v>8100284921</v>
      </c>
      <c r="B3776" s="5">
        <v>17665</v>
      </c>
      <c r="C3776" s="6">
        <v>45685</v>
      </c>
      <c r="D3776" s="5" t="s">
        <v>51</v>
      </c>
      <c r="E3776" s="5" t="s">
        <v>52</v>
      </c>
      <c r="F3776" s="5" t="s">
        <v>329</v>
      </c>
      <c r="G3776" s="5" t="s">
        <v>330</v>
      </c>
      <c r="H3776" s="5" t="s">
        <v>21</v>
      </c>
      <c r="I3776" s="5" t="s">
        <v>610</v>
      </c>
      <c r="J3776" s="5" t="s">
        <v>611</v>
      </c>
      <c r="K3776" s="5" t="s">
        <v>57</v>
      </c>
      <c r="L3776" s="6">
        <v>45691</v>
      </c>
      <c r="M3776" s="6">
        <v>45688</v>
      </c>
      <c r="N3776" s="6" t="s">
        <v>811</v>
      </c>
      <c r="O3776" s="5" t="str">
        <f ca="1">IF(P3776&lt;&gt;"EXPEDIÇÃO","Expedido",IF(NETWORKDAYS(C3776,TODAY())&gt;=5,"Risco Alto",IF(NETWORKDAYS(C3776,TODAY())&gt;=3,IF(NETWORKDAYS(C3776,TODAY())&lt;5,"Risco Médio",""),IF(NETWORKDAYS(C3776,TODAY())&lt;=2,"Risco Baixo",""))))</f>
        <v>Expedido</v>
      </c>
      <c r="P3776" s="5" t="s">
        <v>617</v>
      </c>
      <c r="S3776" s="7">
        <f>IF(ISBLANK(M3776),"Aguardando Previsão/Data",NETWORKDAYS(L3776,M3776)-1)</f>
        <v>-3</v>
      </c>
    </row>
    <row r="3777" spans="1:19" x14ac:dyDescent="0.35">
      <c r="A3777" s="5">
        <v>8100284923</v>
      </c>
      <c r="B3777" s="5">
        <v>17663</v>
      </c>
      <c r="C3777" s="6">
        <v>45685</v>
      </c>
      <c r="D3777" s="5" t="s">
        <v>51</v>
      </c>
      <c r="E3777" s="5" t="s">
        <v>52</v>
      </c>
      <c r="F3777" s="5" t="s">
        <v>58</v>
      </c>
      <c r="G3777" s="5" t="s">
        <v>59</v>
      </c>
      <c r="H3777" s="5" t="s">
        <v>21</v>
      </c>
      <c r="I3777" s="5" t="s">
        <v>748</v>
      </c>
      <c r="J3777" s="5" t="s">
        <v>620</v>
      </c>
      <c r="K3777" s="5" t="s">
        <v>57</v>
      </c>
      <c r="L3777" s="6">
        <v>45693</v>
      </c>
      <c r="M3777" s="6">
        <v>45692</v>
      </c>
      <c r="N3777" s="6" t="s">
        <v>811</v>
      </c>
      <c r="O3777" s="5" t="str">
        <f ca="1">IF(P3777&lt;&gt;"EXPEDIÇÃO","Expedido",IF(NETWORKDAYS(C3777,TODAY())&gt;=5,"Risco Alto",IF(NETWORKDAYS(C3777,TODAY())&gt;=3,IF(NETWORKDAYS(C3777,TODAY())&lt;5,"Risco Médio",""),IF(NETWORKDAYS(C3777,TODAY())&lt;=2,"Risco Baixo",""))))</f>
        <v>Risco Médio</v>
      </c>
      <c r="P3777" s="5" t="s">
        <v>726</v>
      </c>
      <c r="S3777" s="7">
        <f>IF(ISBLANK(M3777),"Aguardando Previsão/Data",NETWORKDAYS(L3777,M3777)-1)</f>
        <v>-3</v>
      </c>
    </row>
    <row r="3778" spans="1:19" x14ac:dyDescent="0.35">
      <c r="A3778" s="5">
        <v>8100285165</v>
      </c>
      <c r="B3778" s="5">
        <v>17669</v>
      </c>
      <c r="C3778" s="6">
        <v>45685</v>
      </c>
      <c r="D3778" s="5" t="s">
        <v>382</v>
      </c>
      <c r="E3778" s="5" t="s">
        <v>52</v>
      </c>
      <c r="F3778" s="5" t="s">
        <v>199</v>
      </c>
      <c r="G3778" s="5" t="s">
        <v>200</v>
      </c>
      <c r="H3778" s="5" t="s">
        <v>21</v>
      </c>
      <c r="I3778" s="5" t="s">
        <v>1597</v>
      </c>
      <c r="J3778" s="5" t="s">
        <v>378</v>
      </c>
      <c r="K3778" s="5" t="s">
        <v>57</v>
      </c>
      <c r="L3778" s="6">
        <v>45692</v>
      </c>
      <c r="M3778" s="6">
        <v>45691</v>
      </c>
      <c r="N3778" s="6" t="s">
        <v>811</v>
      </c>
      <c r="O3778" s="5" t="str">
        <f ca="1">IF(P3778&lt;&gt;"EXPEDIÇÃO","Expedido",IF(NETWORKDAYS(C3778,TODAY())&gt;=5,"Risco Alto",IF(NETWORKDAYS(C3778,TODAY())&gt;=3,IF(NETWORKDAYS(C3778,TODAY())&lt;5,"Risco Médio",""),IF(NETWORKDAYS(C3778,TODAY())&lt;=2,"Risco Baixo",""))))</f>
        <v>Risco Médio</v>
      </c>
      <c r="P3778" s="5" t="s">
        <v>726</v>
      </c>
      <c r="S3778" s="7">
        <f>IF(ISBLANK(M3778),"Aguardando Previsão/Data",NETWORKDAYS(L3778,M3778)-1)</f>
        <v>-3</v>
      </c>
    </row>
    <row r="3779" spans="1:19" x14ac:dyDescent="0.35">
      <c r="A3779" s="5">
        <v>8100285343</v>
      </c>
      <c r="B3779" s="5">
        <v>17670</v>
      </c>
      <c r="C3779" s="6">
        <v>45685</v>
      </c>
      <c r="D3779" s="5" t="s">
        <v>382</v>
      </c>
      <c r="E3779" s="5" t="s">
        <v>52</v>
      </c>
      <c r="F3779" s="5" t="s">
        <v>199</v>
      </c>
      <c r="G3779" s="5" t="s">
        <v>200</v>
      </c>
      <c r="H3779" s="5" t="s">
        <v>21</v>
      </c>
      <c r="I3779" s="5" t="s">
        <v>554</v>
      </c>
      <c r="J3779" s="5" t="s">
        <v>568</v>
      </c>
      <c r="K3779" s="5" t="s">
        <v>57</v>
      </c>
      <c r="L3779" s="6">
        <v>45692</v>
      </c>
      <c r="M3779" s="6">
        <v>45691</v>
      </c>
      <c r="N3779" s="6" t="s">
        <v>811</v>
      </c>
      <c r="O3779" s="5" t="str">
        <f ca="1">IF(P3779&lt;&gt;"EXPEDIÇÃO","Expedido",IF(NETWORKDAYS(C3779,TODAY())&gt;=5,"Risco Alto",IF(NETWORKDAYS(C3779,TODAY())&gt;=3,IF(NETWORKDAYS(C3779,TODAY())&lt;5,"Risco Médio",""),IF(NETWORKDAYS(C3779,TODAY())&lt;=2,"Risco Baixo",""))))</f>
        <v>Risco Médio</v>
      </c>
      <c r="P3779" s="5" t="s">
        <v>726</v>
      </c>
      <c r="S3779" s="7">
        <f>IF(ISBLANK(M3779),"Aguardando Previsão/Data",NETWORKDAYS(L3779,M3779)-1)</f>
        <v>-3</v>
      </c>
    </row>
    <row r="3780" spans="1:19" x14ac:dyDescent="0.35">
      <c r="A3780" s="5">
        <v>8100284218</v>
      </c>
      <c r="B3780" s="5">
        <v>21733</v>
      </c>
      <c r="C3780" s="6">
        <v>45685</v>
      </c>
      <c r="D3780" s="5" t="s">
        <v>17</v>
      </c>
      <c r="E3780" s="5" t="s">
        <v>18</v>
      </c>
      <c r="F3780" s="5" t="s">
        <v>84</v>
      </c>
      <c r="G3780" s="5" t="s">
        <v>85</v>
      </c>
      <c r="H3780" s="5" t="s">
        <v>21</v>
      </c>
      <c r="I3780" s="5" t="s">
        <v>881</v>
      </c>
      <c r="J3780" s="5" t="s">
        <v>713</v>
      </c>
      <c r="K3780" s="5" t="s">
        <v>24</v>
      </c>
      <c r="L3780" s="6">
        <v>45692</v>
      </c>
      <c r="M3780" s="6">
        <v>45691</v>
      </c>
      <c r="N3780" s="6" t="s">
        <v>811</v>
      </c>
      <c r="O3780" s="5" t="str">
        <f ca="1">IF(P3780&lt;&gt;"EXPEDIÇÃO","Expedido",IF(NETWORKDAYS(C3780,TODAY())&gt;=5,"Risco Alto",IF(NETWORKDAYS(C3780,TODAY())&gt;=3,IF(NETWORKDAYS(C3780,TODAY())&lt;5,"Risco Médio",""),IF(NETWORKDAYS(C3780,TODAY())&lt;=2,"Risco Baixo",""))))</f>
        <v>Risco Médio</v>
      </c>
      <c r="P3780" s="5" t="s">
        <v>726</v>
      </c>
      <c r="S3780" s="7">
        <f>IF(ISBLANK(M3780),"Aguardando Previsão/Data",NETWORKDAYS(L3780,M3780)-1)</f>
        <v>-3</v>
      </c>
    </row>
    <row r="3781" spans="1:19" x14ac:dyDescent="0.35">
      <c r="A3781" s="5">
        <v>8100284222</v>
      </c>
      <c r="B3781" s="5">
        <v>21734</v>
      </c>
      <c r="C3781" s="6">
        <v>45685</v>
      </c>
      <c r="D3781" s="5" t="s">
        <v>17</v>
      </c>
      <c r="E3781" s="5" t="s">
        <v>18</v>
      </c>
      <c r="F3781" s="5" t="s">
        <v>84</v>
      </c>
      <c r="G3781" s="5" t="s">
        <v>85</v>
      </c>
      <c r="H3781" s="5" t="s">
        <v>21</v>
      </c>
      <c r="I3781" s="5" t="s">
        <v>881</v>
      </c>
      <c r="J3781" s="5" t="s">
        <v>713</v>
      </c>
      <c r="K3781" s="5" t="s">
        <v>24</v>
      </c>
      <c r="L3781" s="6">
        <v>45692</v>
      </c>
      <c r="M3781" s="6">
        <v>45691</v>
      </c>
      <c r="N3781" s="6" t="s">
        <v>811</v>
      </c>
      <c r="O3781" s="5" t="str">
        <f ca="1">IF(P3781&lt;&gt;"EXPEDIÇÃO","Expedido",IF(NETWORKDAYS(C3781,TODAY())&gt;=5,"Risco Alto",IF(NETWORKDAYS(C3781,TODAY())&gt;=3,IF(NETWORKDAYS(C3781,TODAY())&lt;5,"Risco Médio",""),IF(NETWORKDAYS(C3781,TODAY())&lt;=2,"Risco Baixo",""))))</f>
        <v>Risco Médio</v>
      </c>
      <c r="P3781" s="5" t="s">
        <v>726</v>
      </c>
      <c r="S3781" s="7">
        <f>IF(ISBLANK(M3781),"Aguardando Previsão/Data",NETWORKDAYS(L3781,M3781)-1)</f>
        <v>-3</v>
      </c>
    </row>
    <row r="3782" spans="1:19" x14ac:dyDescent="0.35">
      <c r="A3782" s="5">
        <v>8100284478</v>
      </c>
      <c r="B3782" s="5">
        <v>21725</v>
      </c>
      <c r="C3782" s="6">
        <v>45685</v>
      </c>
      <c r="D3782" s="5" t="s">
        <v>17</v>
      </c>
      <c r="E3782" s="5" t="s">
        <v>18</v>
      </c>
      <c r="F3782" s="5" t="s">
        <v>44</v>
      </c>
      <c r="G3782" s="5" t="s">
        <v>45</v>
      </c>
      <c r="H3782" s="5" t="s">
        <v>21</v>
      </c>
      <c r="I3782" s="5" t="s">
        <v>597</v>
      </c>
      <c r="J3782" s="5" t="s">
        <v>45</v>
      </c>
      <c r="K3782" s="5" t="s">
        <v>24</v>
      </c>
      <c r="L3782" s="6">
        <v>45692</v>
      </c>
      <c r="M3782" s="6">
        <v>45691</v>
      </c>
      <c r="N3782" s="6" t="s">
        <v>811</v>
      </c>
      <c r="O3782" s="5" t="str">
        <f ca="1">IF(P3782&lt;&gt;"EXPEDIÇÃO","Expedido",IF(NETWORKDAYS(C3782,TODAY())&gt;=5,"Risco Alto",IF(NETWORKDAYS(C3782,TODAY())&gt;=3,IF(NETWORKDAYS(C3782,TODAY())&lt;5,"Risco Médio",""),IF(NETWORKDAYS(C3782,TODAY())&lt;=2,"Risco Baixo",""))))</f>
        <v>Risco Médio</v>
      </c>
      <c r="P3782" s="5" t="s">
        <v>726</v>
      </c>
      <c r="S3782" s="7">
        <f>IF(ISBLANK(M3782),"Aguardando Previsão/Data",NETWORKDAYS(L3782,M3782)-1)</f>
        <v>-3</v>
      </c>
    </row>
    <row r="3783" spans="1:19" x14ac:dyDescent="0.35">
      <c r="A3783" s="5">
        <v>8100284630</v>
      </c>
      <c r="B3783" s="5">
        <v>21731</v>
      </c>
      <c r="C3783" s="6">
        <v>45685</v>
      </c>
      <c r="D3783" s="5" t="s">
        <v>17</v>
      </c>
      <c r="E3783" s="5" t="s">
        <v>18</v>
      </c>
      <c r="F3783" s="5" t="s">
        <v>19</v>
      </c>
      <c r="G3783" s="5" t="s">
        <v>20</v>
      </c>
      <c r="H3783" s="5" t="s">
        <v>21</v>
      </c>
      <c r="I3783" s="5" t="s">
        <v>719</v>
      </c>
      <c r="J3783" s="5" t="s">
        <v>368</v>
      </c>
      <c r="K3783" s="5" t="s">
        <v>24</v>
      </c>
      <c r="L3783" s="6">
        <v>45693</v>
      </c>
      <c r="M3783" s="6">
        <v>45692</v>
      </c>
      <c r="N3783" s="6" t="s">
        <v>811</v>
      </c>
      <c r="O3783" s="5" t="str">
        <f ca="1">IF(P3783&lt;&gt;"EXPEDIÇÃO","Expedido",IF(NETWORKDAYS(C3783,TODAY())&gt;=5,"Risco Alto",IF(NETWORKDAYS(C3783,TODAY())&gt;=3,IF(NETWORKDAYS(C3783,TODAY())&lt;5,"Risco Médio",""),IF(NETWORKDAYS(C3783,TODAY())&lt;=2,"Risco Baixo",""))))</f>
        <v>Risco Médio</v>
      </c>
      <c r="P3783" s="5" t="s">
        <v>726</v>
      </c>
      <c r="S3783" s="7">
        <f>IF(ISBLANK(M3783),"Aguardando Previsão/Data",NETWORKDAYS(L3783,M3783)-1)</f>
        <v>-3</v>
      </c>
    </row>
    <row r="3784" spans="1:19" x14ac:dyDescent="0.35">
      <c r="A3784" s="5">
        <v>8100284646</v>
      </c>
      <c r="B3784" s="5">
        <v>21728</v>
      </c>
      <c r="C3784" s="6">
        <v>45685</v>
      </c>
      <c r="D3784" s="5" t="s">
        <v>17</v>
      </c>
      <c r="E3784" s="5" t="s">
        <v>18</v>
      </c>
      <c r="F3784" s="5" t="s">
        <v>19</v>
      </c>
      <c r="G3784" s="5" t="s">
        <v>20</v>
      </c>
      <c r="H3784" s="5" t="s">
        <v>21</v>
      </c>
      <c r="I3784" s="5" t="s">
        <v>1131</v>
      </c>
      <c r="J3784" s="5" t="s">
        <v>362</v>
      </c>
      <c r="K3784" s="5" t="s">
        <v>24</v>
      </c>
      <c r="L3784" s="6">
        <v>45692</v>
      </c>
      <c r="M3784" s="6">
        <v>45691</v>
      </c>
      <c r="N3784" s="6" t="s">
        <v>811</v>
      </c>
      <c r="O3784" s="5" t="str">
        <f ca="1">IF(P3784&lt;&gt;"EXPEDIÇÃO","Expedido",IF(NETWORKDAYS(C3784,TODAY())&gt;=5,"Risco Alto",IF(NETWORKDAYS(C3784,TODAY())&gt;=3,IF(NETWORKDAYS(C3784,TODAY())&lt;5,"Risco Médio",""),IF(NETWORKDAYS(C3784,TODAY())&lt;=2,"Risco Baixo",""))))</f>
        <v>Expedido</v>
      </c>
      <c r="P3784" s="5" t="s">
        <v>617</v>
      </c>
      <c r="S3784" s="7">
        <f>IF(ISBLANK(M3784),"Aguardando Previsão/Data",NETWORKDAYS(L3784,M3784)-1)</f>
        <v>-3</v>
      </c>
    </row>
    <row r="3785" spans="1:19" x14ac:dyDescent="0.35">
      <c r="A3785" s="5">
        <v>8100284647</v>
      </c>
      <c r="B3785" s="5">
        <v>21729</v>
      </c>
      <c r="C3785" s="6">
        <v>45685</v>
      </c>
      <c r="D3785" s="5" t="s">
        <v>17</v>
      </c>
      <c r="E3785" s="5" t="s">
        <v>18</v>
      </c>
      <c r="F3785" s="5" t="s">
        <v>19</v>
      </c>
      <c r="G3785" s="5" t="s">
        <v>20</v>
      </c>
      <c r="H3785" s="5" t="s">
        <v>21</v>
      </c>
      <c r="I3785" s="5" t="s">
        <v>1131</v>
      </c>
      <c r="J3785" s="5" t="s">
        <v>362</v>
      </c>
      <c r="K3785" s="5" t="s">
        <v>24</v>
      </c>
      <c r="L3785" s="6">
        <v>45692</v>
      </c>
      <c r="M3785" s="6">
        <v>45691</v>
      </c>
      <c r="N3785" s="6" t="s">
        <v>811</v>
      </c>
      <c r="O3785" s="5" t="str">
        <f ca="1">IF(P3785&lt;&gt;"EXPEDIÇÃO","Expedido",IF(NETWORKDAYS(C3785,TODAY())&gt;=5,"Risco Alto",IF(NETWORKDAYS(C3785,TODAY())&gt;=3,IF(NETWORKDAYS(C3785,TODAY())&lt;5,"Risco Médio",""),IF(NETWORKDAYS(C3785,TODAY())&lt;=2,"Risco Baixo",""))))</f>
        <v>Expedido</v>
      </c>
      <c r="P3785" s="5" t="s">
        <v>617</v>
      </c>
      <c r="S3785" s="7">
        <f>IF(ISBLANK(M3785),"Aguardando Previsão/Data",NETWORKDAYS(L3785,M3785)-1)</f>
        <v>-3</v>
      </c>
    </row>
    <row r="3786" spans="1:19" x14ac:dyDescent="0.35">
      <c r="A3786" s="5">
        <v>8100284648</v>
      </c>
      <c r="B3786" s="5">
        <v>21730</v>
      </c>
      <c r="C3786" s="6">
        <v>45685</v>
      </c>
      <c r="D3786" s="5" t="s">
        <v>17</v>
      </c>
      <c r="E3786" s="5" t="s">
        <v>18</v>
      </c>
      <c r="F3786" s="5" t="s">
        <v>19</v>
      </c>
      <c r="G3786" s="5" t="s">
        <v>20</v>
      </c>
      <c r="H3786" s="5" t="s">
        <v>21</v>
      </c>
      <c r="I3786" s="5" t="s">
        <v>1131</v>
      </c>
      <c r="J3786" s="5" t="s">
        <v>362</v>
      </c>
      <c r="K3786" s="5" t="s">
        <v>24</v>
      </c>
      <c r="L3786" s="6">
        <v>45692</v>
      </c>
      <c r="M3786" s="6">
        <v>45691</v>
      </c>
      <c r="N3786" s="6" t="s">
        <v>811</v>
      </c>
      <c r="O3786" s="5" t="str">
        <f ca="1">IF(P3786&lt;&gt;"EXPEDIÇÃO","Expedido",IF(NETWORKDAYS(C3786,TODAY())&gt;=5,"Risco Alto",IF(NETWORKDAYS(C3786,TODAY())&gt;=3,IF(NETWORKDAYS(C3786,TODAY())&lt;5,"Risco Médio",""),IF(NETWORKDAYS(C3786,TODAY())&lt;=2,"Risco Baixo",""))))</f>
        <v>Expedido</v>
      </c>
      <c r="P3786" s="5" t="s">
        <v>617</v>
      </c>
      <c r="S3786" s="7">
        <f>IF(ISBLANK(M3786),"Aguardando Previsão/Data",NETWORKDAYS(L3786,M3786)-1)</f>
        <v>-3</v>
      </c>
    </row>
    <row r="3787" spans="1:19" x14ac:dyDescent="0.35">
      <c r="A3787" s="5">
        <v>8100284818</v>
      </c>
      <c r="B3787" s="5">
        <v>21732</v>
      </c>
      <c r="C3787" s="6">
        <v>45685</v>
      </c>
      <c r="D3787" s="5" t="s">
        <v>17</v>
      </c>
      <c r="E3787" s="5" t="s">
        <v>18</v>
      </c>
      <c r="F3787" s="5" t="s">
        <v>44</v>
      </c>
      <c r="G3787" s="5" t="s">
        <v>45</v>
      </c>
      <c r="H3787" s="5" t="s">
        <v>21</v>
      </c>
      <c r="I3787" s="5" t="s">
        <v>371</v>
      </c>
      <c r="J3787" s="5" t="s">
        <v>372</v>
      </c>
      <c r="K3787" s="5" t="s">
        <v>24</v>
      </c>
      <c r="L3787" s="6">
        <v>45693</v>
      </c>
      <c r="M3787" s="6">
        <v>45692</v>
      </c>
      <c r="N3787" s="6" t="s">
        <v>811</v>
      </c>
      <c r="O3787" s="5" t="str">
        <f ca="1">IF(P3787&lt;&gt;"EXPEDIÇÃO","Expedido",IF(NETWORKDAYS(C3787,TODAY())&gt;=5,"Risco Alto",IF(NETWORKDAYS(C3787,TODAY())&gt;=3,IF(NETWORKDAYS(C3787,TODAY())&lt;5,"Risco Médio",""),IF(NETWORKDAYS(C3787,TODAY())&lt;=2,"Risco Baixo",""))))</f>
        <v>Risco Médio</v>
      </c>
      <c r="P3787" s="5" t="s">
        <v>726</v>
      </c>
      <c r="S3787" s="7">
        <f>IF(ISBLANK(M3787),"Aguardando Previsão/Data",NETWORKDAYS(L3787,M3787)-1)</f>
        <v>-3</v>
      </c>
    </row>
    <row r="3788" spans="1:19" x14ac:dyDescent="0.35">
      <c r="A3788" s="5">
        <v>8100284819</v>
      </c>
      <c r="B3788" s="5">
        <v>21735</v>
      </c>
      <c r="C3788" s="6">
        <v>45685</v>
      </c>
      <c r="D3788" s="5" t="s">
        <v>17</v>
      </c>
      <c r="E3788" s="5" t="s">
        <v>18</v>
      </c>
      <c r="F3788" s="5" t="s">
        <v>32</v>
      </c>
      <c r="G3788" s="5" t="s">
        <v>33</v>
      </c>
      <c r="H3788" s="5" t="s">
        <v>21</v>
      </c>
      <c r="I3788" s="5" t="s">
        <v>916</v>
      </c>
      <c r="J3788" s="5" t="s">
        <v>368</v>
      </c>
      <c r="K3788" s="5" t="s">
        <v>24</v>
      </c>
      <c r="L3788" s="6">
        <v>45693</v>
      </c>
      <c r="M3788" s="6">
        <v>45692</v>
      </c>
      <c r="N3788" s="6" t="s">
        <v>811</v>
      </c>
      <c r="O3788" s="5" t="str">
        <f ca="1">IF(P3788&lt;&gt;"EXPEDIÇÃO","Expedido",IF(NETWORKDAYS(C3788,TODAY())&gt;=5,"Risco Alto",IF(NETWORKDAYS(C3788,TODAY())&gt;=3,IF(NETWORKDAYS(C3788,TODAY())&lt;5,"Risco Médio",""),IF(NETWORKDAYS(C3788,TODAY())&lt;=2,"Risco Baixo",""))))</f>
        <v>Risco Médio</v>
      </c>
      <c r="P3788" s="5" t="s">
        <v>726</v>
      </c>
      <c r="S3788" s="7">
        <f>IF(ISBLANK(M3788),"Aguardando Previsão/Data",NETWORKDAYS(L3788,M3788)-1)</f>
        <v>-3</v>
      </c>
    </row>
    <row r="3789" spans="1:19" x14ac:dyDescent="0.35">
      <c r="A3789" s="5">
        <v>8100284820</v>
      </c>
      <c r="B3789" s="5">
        <v>21737</v>
      </c>
      <c r="C3789" s="6">
        <v>45685</v>
      </c>
      <c r="D3789" s="5" t="s">
        <v>17</v>
      </c>
      <c r="E3789" s="5" t="s">
        <v>18</v>
      </c>
      <c r="F3789" s="5" t="s">
        <v>44</v>
      </c>
      <c r="G3789" s="5" t="s">
        <v>45</v>
      </c>
      <c r="H3789" s="5" t="s">
        <v>21</v>
      </c>
      <c r="I3789" s="5" t="s">
        <v>643</v>
      </c>
      <c r="J3789" s="5" t="s">
        <v>48</v>
      </c>
      <c r="K3789" s="5" t="s">
        <v>24</v>
      </c>
      <c r="L3789" s="6">
        <v>45693</v>
      </c>
      <c r="M3789" s="6">
        <v>45692</v>
      </c>
      <c r="N3789" s="6" t="s">
        <v>811</v>
      </c>
      <c r="O3789" s="5" t="str">
        <f ca="1">IF(P3789&lt;&gt;"EXPEDIÇÃO","Expedido",IF(NETWORKDAYS(C3789,TODAY())&gt;=5,"Risco Alto",IF(NETWORKDAYS(C3789,TODAY())&gt;=3,IF(NETWORKDAYS(C3789,TODAY())&lt;5,"Risco Médio",""),IF(NETWORKDAYS(C3789,TODAY())&lt;=2,"Risco Baixo",""))))</f>
        <v>Risco Médio</v>
      </c>
      <c r="P3789" s="5" t="s">
        <v>726</v>
      </c>
      <c r="S3789" s="7">
        <f>IF(ISBLANK(M3789),"Aguardando Previsão/Data",NETWORKDAYS(L3789,M3789)-1)</f>
        <v>-3</v>
      </c>
    </row>
    <row r="3790" spans="1:19" x14ac:dyDescent="0.35">
      <c r="A3790" s="5">
        <v>8100284821</v>
      </c>
      <c r="B3790" s="5">
        <v>21726</v>
      </c>
      <c r="C3790" s="6">
        <v>45685</v>
      </c>
      <c r="D3790" s="5" t="s">
        <v>17</v>
      </c>
      <c r="E3790" s="5" t="s">
        <v>18</v>
      </c>
      <c r="F3790" s="5" t="s">
        <v>39</v>
      </c>
      <c r="G3790" s="5" t="s">
        <v>40</v>
      </c>
      <c r="H3790" s="5" t="s">
        <v>21</v>
      </c>
      <c r="I3790" s="5" t="s">
        <v>782</v>
      </c>
      <c r="J3790" s="5" t="s">
        <v>420</v>
      </c>
      <c r="K3790" s="5" t="s">
        <v>24</v>
      </c>
      <c r="L3790" s="6">
        <v>45698</v>
      </c>
      <c r="M3790" s="6">
        <v>45695</v>
      </c>
      <c r="N3790" s="6" t="s">
        <v>811</v>
      </c>
      <c r="O3790" s="5" t="str">
        <f ca="1">IF(P3790&lt;&gt;"EXPEDIÇÃO","Expedido",IF(NETWORKDAYS(C3790,TODAY())&gt;=5,"Risco Alto",IF(NETWORKDAYS(C3790,TODAY())&gt;=3,IF(NETWORKDAYS(C3790,TODAY())&lt;5,"Risco Médio",""),IF(NETWORKDAYS(C3790,TODAY())&lt;=2,"Risco Baixo",""))))</f>
        <v>Risco Médio</v>
      </c>
      <c r="P3790" s="5" t="s">
        <v>726</v>
      </c>
      <c r="S3790" s="7">
        <f>IF(ISBLANK(M3790),"Aguardando Previsão/Data",NETWORKDAYS(L3790,M3790)-1)</f>
        <v>-3</v>
      </c>
    </row>
    <row r="3791" spans="1:19" x14ac:dyDescent="0.35">
      <c r="A3791" s="5">
        <v>8100284822</v>
      </c>
      <c r="B3791" s="5">
        <v>21727</v>
      </c>
      <c r="C3791" s="6">
        <v>45685</v>
      </c>
      <c r="D3791" s="5" t="s">
        <v>17</v>
      </c>
      <c r="E3791" s="5" t="s">
        <v>18</v>
      </c>
      <c r="F3791" s="5" t="s">
        <v>39</v>
      </c>
      <c r="G3791" s="5" t="s">
        <v>40</v>
      </c>
      <c r="H3791" s="5" t="s">
        <v>21</v>
      </c>
      <c r="I3791" s="5" t="s">
        <v>782</v>
      </c>
      <c r="J3791" s="5" t="s">
        <v>420</v>
      </c>
      <c r="K3791" s="5" t="s">
        <v>24</v>
      </c>
      <c r="L3791" s="6">
        <v>45698</v>
      </c>
      <c r="M3791" s="6">
        <v>45695</v>
      </c>
      <c r="N3791" s="6" t="s">
        <v>811</v>
      </c>
      <c r="O3791" s="5" t="str">
        <f ca="1">IF(P3791&lt;&gt;"EXPEDIÇÃO","Expedido",IF(NETWORKDAYS(C3791,TODAY())&gt;=5,"Risco Alto",IF(NETWORKDAYS(C3791,TODAY())&gt;=3,IF(NETWORKDAYS(C3791,TODAY())&lt;5,"Risco Médio",""),IF(NETWORKDAYS(C3791,TODAY())&lt;=2,"Risco Baixo",""))))</f>
        <v>Risco Médio</v>
      </c>
      <c r="P3791" s="5" t="s">
        <v>726</v>
      </c>
      <c r="S3791" s="7">
        <f>IF(ISBLANK(M3791),"Aguardando Previsão/Data",NETWORKDAYS(L3791,M3791)-1)</f>
        <v>-3</v>
      </c>
    </row>
    <row r="3792" spans="1:19" x14ac:dyDescent="0.35">
      <c r="A3792" s="5">
        <v>8100284915</v>
      </c>
      <c r="B3792" s="5">
        <v>21746</v>
      </c>
      <c r="C3792" s="6">
        <v>45685</v>
      </c>
      <c r="D3792" s="5" t="s">
        <v>17</v>
      </c>
      <c r="E3792" s="5" t="s">
        <v>18</v>
      </c>
      <c r="F3792" s="5" t="s">
        <v>32</v>
      </c>
      <c r="G3792" s="5" t="s">
        <v>33</v>
      </c>
      <c r="H3792" s="5" t="s">
        <v>21</v>
      </c>
      <c r="I3792" s="5" t="s">
        <v>916</v>
      </c>
      <c r="J3792" s="5" t="s">
        <v>368</v>
      </c>
      <c r="K3792" s="5" t="s">
        <v>24</v>
      </c>
      <c r="L3792" s="6">
        <v>45693</v>
      </c>
      <c r="M3792" s="6">
        <v>45692</v>
      </c>
      <c r="N3792" s="6" t="s">
        <v>811</v>
      </c>
      <c r="O3792" s="5" t="str">
        <f ca="1">IF(P3792&lt;&gt;"EXPEDIÇÃO","Expedido",IF(NETWORKDAYS(C3792,TODAY())&gt;=5,"Risco Alto",IF(NETWORKDAYS(C3792,TODAY())&gt;=3,IF(NETWORKDAYS(C3792,TODAY())&lt;5,"Risco Médio",""),IF(NETWORKDAYS(C3792,TODAY())&lt;=2,"Risco Baixo",""))))</f>
        <v>Risco Médio</v>
      </c>
      <c r="P3792" s="5" t="s">
        <v>726</v>
      </c>
      <c r="S3792" s="7">
        <f>IF(ISBLANK(M3792),"Aguardando Previsão/Data",NETWORKDAYS(L3792,M3792)-1)</f>
        <v>-3</v>
      </c>
    </row>
    <row r="3793" spans="1:20" x14ac:dyDescent="0.35">
      <c r="A3793" s="5">
        <v>8100284917</v>
      </c>
      <c r="B3793" s="5">
        <v>21736</v>
      </c>
      <c r="C3793" s="6">
        <v>45685</v>
      </c>
      <c r="D3793" s="5" t="s">
        <v>17</v>
      </c>
      <c r="E3793" s="5" t="s">
        <v>18</v>
      </c>
      <c r="F3793" s="5" t="s">
        <v>32</v>
      </c>
      <c r="G3793" s="5" t="s">
        <v>33</v>
      </c>
      <c r="H3793" s="5" t="s">
        <v>21</v>
      </c>
      <c r="I3793" s="5" t="s">
        <v>916</v>
      </c>
      <c r="J3793" s="5" t="s">
        <v>368</v>
      </c>
      <c r="K3793" s="5" t="s">
        <v>24</v>
      </c>
      <c r="L3793" s="6">
        <v>45693</v>
      </c>
      <c r="M3793" s="6">
        <v>45692</v>
      </c>
      <c r="N3793" s="6" t="s">
        <v>811</v>
      </c>
      <c r="O3793" s="5" t="str">
        <f ca="1">IF(P3793&lt;&gt;"EXPEDIÇÃO","Expedido",IF(NETWORKDAYS(C3793,TODAY())&gt;=5,"Risco Alto",IF(NETWORKDAYS(C3793,TODAY())&gt;=3,IF(NETWORKDAYS(C3793,TODAY())&lt;5,"Risco Médio",""),IF(NETWORKDAYS(C3793,TODAY())&lt;=2,"Risco Baixo",""))))</f>
        <v>Risco Médio</v>
      </c>
      <c r="P3793" s="5" t="s">
        <v>726</v>
      </c>
      <c r="S3793" s="7">
        <f>IF(ISBLANK(M3793),"Aguardando Previsão/Data",NETWORKDAYS(L3793,M3793)-1)</f>
        <v>-3</v>
      </c>
    </row>
    <row r="3794" spans="1:20" x14ac:dyDescent="0.35">
      <c r="A3794" s="5">
        <v>8100284991</v>
      </c>
      <c r="B3794" s="5">
        <v>21747</v>
      </c>
      <c r="C3794" s="6">
        <v>45685</v>
      </c>
      <c r="D3794" s="5" t="s">
        <v>17</v>
      </c>
      <c r="E3794" s="5" t="s">
        <v>18</v>
      </c>
      <c r="F3794" s="5" t="s">
        <v>32</v>
      </c>
      <c r="G3794" s="5" t="s">
        <v>33</v>
      </c>
      <c r="H3794" s="5" t="s">
        <v>21</v>
      </c>
      <c r="I3794" s="5" t="s">
        <v>1093</v>
      </c>
      <c r="J3794" s="5" t="s">
        <v>38</v>
      </c>
      <c r="K3794" s="5" t="s">
        <v>24</v>
      </c>
      <c r="L3794" s="6">
        <v>45693</v>
      </c>
      <c r="M3794" s="6">
        <v>45692</v>
      </c>
      <c r="N3794" s="6" t="s">
        <v>811</v>
      </c>
      <c r="O3794" s="5" t="str">
        <f ca="1">IF(P3794&lt;&gt;"EXPEDIÇÃO","Expedido",IF(NETWORKDAYS(C3794,TODAY())&gt;=5,"Risco Alto",IF(NETWORKDAYS(C3794,TODAY())&gt;=3,IF(NETWORKDAYS(C3794,TODAY())&lt;5,"Risco Médio",""),IF(NETWORKDAYS(C3794,TODAY())&lt;=2,"Risco Baixo",""))))</f>
        <v>Risco Médio</v>
      </c>
      <c r="P3794" s="5" t="s">
        <v>726</v>
      </c>
      <c r="S3794" s="7">
        <f>IF(ISBLANK(M3794),"Aguardando Previsão/Data",NETWORKDAYS(L3794,M3794)-1)</f>
        <v>-3</v>
      </c>
    </row>
    <row r="3795" spans="1:20" x14ac:dyDescent="0.35">
      <c r="A3795" s="5">
        <v>8100285010</v>
      </c>
      <c r="B3795" s="5">
        <v>21745</v>
      </c>
      <c r="C3795" s="6">
        <v>45685</v>
      </c>
      <c r="D3795" s="5" t="s">
        <v>17</v>
      </c>
      <c r="E3795" s="5" t="s">
        <v>18</v>
      </c>
      <c r="F3795" s="5" t="s">
        <v>27</v>
      </c>
      <c r="G3795" s="5" t="s">
        <v>28</v>
      </c>
      <c r="H3795" s="5" t="s">
        <v>21</v>
      </c>
      <c r="I3795" s="5" t="s">
        <v>493</v>
      </c>
      <c r="J3795" s="5" t="s">
        <v>28</v>
      </c>
      <c r="K3795" s="5" t="s">
        <v>24</v>
      </c>
      <c r="L3795" s="6">
        <v>45692</v>
      </c>
      <c r="M3795" s="6">
        <v>45691</v>
      </c>
      <c r="N3795" s="6" t="s">
        <v>811</v>
      </c>
      <c r="O3795" s="5" t="str">
        <f ca="1">IF(P3795&lt;&gt;"EXPEDIÇÃO","Expedido",IF(NETWORKDAYS(C3795,TODAY())&gt;=5,"Risco Alto",IF(NETWORKDAYS(C3795,TODAY())&gt;=3,IF(NETWORKDAYS(C3795,TODAY())&lt;5,"Risco Médio",""),IF(NETWORKDAYS(C3795,TODAY())&lt;=2,"Risco Baixo",""))))</f>
        <v>Risco Médio</v>
      </c>
      <c r="P3795" s="5" t="s">
        <v>726</v>
      </c>
      <c r="S3795" s="7">
        <f>IF(ISBLANK(M3795),"Aguardando Previsão/Data",NETWORKDAYS(L3795,M3795)-1)</f>
        <v>-3</v>
      </c>
    </row>
    <row r="3796" spans="1:20" x14ac:dyDescent="0.35">
      <c r="A3796" s="5">
        <v>8100285011</v>
      </c>
      <c r="B3796" s="5">
        <v>21743</v>
      </c>
      <c r="C3796" s="6">
        <v>45685</v>
      </c>
      <c r="D3796" s="5" t="s">
        <v>17</v>
      </c>
      <c r="E3796" s="5" t="s">
        <v>18</v>
      </c>
      <c r="F3796" s="5" t="s">
        <v>27</v>
      </c>
      <c r="G3796" s="5" t="s">
        <v>28</v>
      </c>
      <c r="H3796" s="5" t="s">
        <v>21</v>
      </c>
      <c r="I3796" s="5" t="s">
        <v>493</v>
      </c>
      <c r="J3796" s="5" t="s">
        <v>28</v>
      </c>
      <c r="K3796" s="5" t="s">
        <v>24</v>
      </c>
      <c r="L3796" s="6">
        <v>45692</v>
      </c>
      <c r="M3796" s="6">
        <v>45691</v>
      </c>
      <c r="N3796" s="6" t="s">
        <v>811</v>
      </c>
      <c r="O3796" s="5" t="str">
        <f ca="1">IF(P3796&lt;&gt;"EXPEDIÇÃO","Expedido",IF(NETWORKDAYS(C3796,TODAY())&gt;=5,"Risco Alto",IF(NETWORKDAYS(C3796,TODAY())&gt;=3,IF(NETWORKDAYS(C3796,TODAY())&lt;5,"Risco Médio",""),IF(NETWORKDAYS(C3796,TODAY())&lt;=2,"Risco Baixo",""))))</f>
        <v>Risco Médio</v>
      </c>
      <c r="P3796" s="5" t="s">
        <v>726</v>
      </c>
      <c r="S3796" s="7">
        <f>IF(ISBLANK(M3796),"Aguardando Previsão/Data",NETWORKDAYS(L3796,M3796)-1)</f>
        <v>-3</v>
      </c>
    </row>
    <row r="3797" spans="1:20" x14ac:dyDescent="0.35">
      <c r="A3797" s="5">
        <v>8100285013</v>
      </c>
      <c r="B3797" s="5">
        <v>21744</v>
      </c>
      <c r="C3797" s="6">
        <v>45685</v>
      </c>
      <c r="D3797" s="5" t="s">
        <v>17</v>
      </c>
      <c r="E3797" s="5" t="s">
        <v>18</v>
      </c>
      <c r="F3797" s="5" t="s">
        <v>27</v>
      </c>
      <c r="G3797" s="5" t="s">
        <v>28</v>
      </c>
      <c r="H3797" s="5" t="s">
        <v>21</v>
      </c>
      <c r="I3797" s="5" t="s">
        <v>493</v>
      </c>
      <c r="J3797" s="5" t="s">
        <v>28</v>
      </c>
      <c r="K3797" s="5" t="s">
        <v>24</v>
      </c>
      <c r="L3797" s="6">
        <v>45692</v>
      </c>
      <c r="M3797" s="6">
        <v>45691</v>
      </c>
      <c r="N3797" s="6" t="s">
        <v>811</v>
      </c>
      <c r="O3797" s="5" t="str">
        <f ca="1">IF(P3797&lt;&gt;"EXPEDIÇÃO","Expedido",IF(NETWORKDAYS(C3797,TODAY())&gt;=5,"Risco Alto",IF(NETWORKDAYS(C3797,TODAY())&gt;=3,IF(NETWORKDAYS(C3797,TODAY())&lt;5,"Risco Médio",""),IF(NETWORKDAYS(C3797,TODAY())&lt;=2,"Risco Baixo",""))))</f>
        <v>Risco Médio</v>
      </c>
      <c r="P3797" s="5" t="s">
        <v>726</v>
      </c>
      <c r="S3797" s="7">
        <f>IF(ISBLANK(M3797),"Aguardando Previsão/Data",NETWORKDAYS(L3797,M3797)-1)</f>
        <v>-3</v>
      </c>
    </row>
    <row r="3798" spans="1:20" x14ac:dyDescent="0.35">
      <c r="A3798" s="5">
        <v>8100285014</v>
      </c>
      <c r="B3798" s="5">
        <v>21773</v>
      </c>
      <c r="C3798" s="6">
        <v>45685</v>
      </c>
      <c r="D3798" s="5" t="s">
        <v>17</v>
      </c>
      <c r="E3798" s="5" t="s">
        <v>18</v>
      </c>
      <c r="F3798" s="5" t="s">
        <v>44</v>
      </c>
      <c r="G3798" s="5" t="s">
        <v>45</v>
      </c>
      <c r="H3798" s="5" t="s">
        <v>21</v>
      </c>
      <c r="I3798" s="5" t="s">
        <v>494</v>
      </c>
      <c r="J3798" s="5" t="s">
        <v>370</v>
      </c>
      <c r="K3798" s="5" t="s">
        <v>24</v>
      </c>
      <c r="L3798" s="6">
        <v>45695</v>
      </c>
      <c r="M3798" s="6">
        <v>45686</v>
      </c>
      <c r="N3798" s="6" t="s">
        <v>811</v>
      </c>
      <c r="O3798" s="5" t="str">
        <f ca="1">IF(P3798&lt;&gt;"EXPEDIÇÃO","Expedido",IF(NETWORKDAYS(C3798,TODAY())&gt;=5,"Risco Alto",IF(NETWORKDAYS(C3798,TODAY())&gt;=3,IF(NETWORKDAYS(C3798,TODAY())&lt;5,"Risco Médio",""),IF(NETWORKDAYS(C3798,TODAY())&lt;=2,"Risco Baixo",""))))</f>
        <v>Expedido</v>
      </c>
      <c r="P3798" s="5" t="s">
        <v>25</v>
      </c>
      <c r="Q3798" s="5" t="s">
        <v>824</v>
      </c>
      <c r="S3798" s="7">
        <f>IF(ISBLANK(M3798),"Aguardando Previsão/Data",NETWORKDAYS(L3798,M3798)-1)</f>
        <v>-9</v>
      </c>
      <c r="T3798" s="5" t="s">
        <v>942</v>
      </c>
    </row>
    <row r="3799" spans="1:20" x14ac:dyDescent="0.35">
      <c r="A3799" s="5">
        <v>8100285125</v>
      </c>
      <c r="B3799" s="5">
        <v>21759</v>
      </c>
      <c r="C3799" s="6">
        <v>45685</v>
      </c>
      <c r="D3799" s="5" t="s">
        <v>17</v>
      </c>
      <c r="E3799" s="5" t="s">
        <v>18</v>
      </c>
      <c r="F3799" s="5" t="s">
        <v>44</v>
      </c>
      <c r="G3799" s="5" t="s">
        <v>45</v>
      </c>
      <c r="H3799" s="5" t="s">
        <v>21</v>
      </c>
      <c r="I3799" s="5" t="s">
        <v>1595</v>
      </c>
      <c r="J3799" s="5" t="s">
        <v>47</v>
      </c>
      <c r="K3799" s="5" t="s">
        <v>24</v>
      </c>
      <c r="L3799" s="6">
        <v>45692</v>
      </c>
      <c r="M3799" s="6">
        <v>45691</v>
      </c>
      <c r="N3799" s="6" t="s">
        <v>811</v>
      </c>
      <c r="O3799" s="5" t="str">
        <f ca="1">IF(P3799&lt;&gt;"EXPEDIÇÃO","Expedido",IF(NETWORKDAYS(C3799,TODAY())&gt;=5,"Risco Alto",IF(NETWORKDAYS(C3799,TODAY())&gt;=3,IF(NETWORKDAYS(C3799,TODAY())&lt;5,"Risco Médio",""),IF(NETWORKDAYS(C3799,TODAY())&lt;=2,"Risco Baixo",""))))</f>
        <v>Risco Médio</v>
      </c>
      <c r="P3799" s="5" t="s">
        <v>726</v>
      </c>
      <c r="S3799" s="7">
        <f>IF(ISBLANK(M3799),"Aguardando Previsão/Data",NETWORKDAYS(L3799,M3799)-1)</f>
        <v>-3</v>
      </c>
    </row>
    <row r="3800" spans="1:20" x14ac:dyDescent="0.35">
      <c r="A3800" s="5">
        <v>8100285126</v>
      </c>
      <c r="B3800" s="5">
        <v>21771</v>
      </c>
      <c r="C3800" s="6">
        <v>45685</v>
      </c>
      <c r="D3800" s="5" t="s">
        <v>17</v>
      </c>
      <c r="E3800" s="5" t="s">
        <v>18</v>
      </c>
      <c r="F3800" s="5" t="s">
        <v>44</v>
      </c>
      <c r="G3800" s="5" t="s">
        <v>45</v>
      </c>
      <c r="H3800" s="5" t="s">
        <v>21</v>
      </c>
      <c r="I3800" s="5" t="s">
        <v>327</v>
      </c>
      <c r="J3800" s="5" t="s">
        <v>45</v>
      </c>
      <c r="K3800" s="5" t="s">
        <v>24</v>
      </c>
      <c r="L3800" s="6">
        <v>45692</v>
      </c>
      <c r="M3800" s="6">
        <v>45691</v>
      </c>
      <c r="N3800" s="6" t="s">
        <v>811</v>
      </c>
      <c r="O3800" s="5" t="str">
        <f ca="1">IF(P3800&lt;&gt;"EXPEDIÇÃO","Expedido",IF(NETWORKDAYS(C3800,TODAY())&gt;=5,"Risco Alto",IF(NETWORKDAYS(C3800,TODAY())&gt;=3,IF(NETWORKDAYS(C3800,TODAY())&lt;5,"Risco Médio",""),IF(NETWORKDAYS(C3800,TODAY())&lt;=2,"Risco Baixo",""))))</f>
        <v>Risco Médio</v>
      </c>
      <c r="P3800" s="5" t="s">
        <v>726</v>
      </c>
      <c r="S3800" s="7">
        <f>IF(ISBLANK(M3800),"Aguardando Previsão/Data",NETWORKDAYS(L3800,M3800)-1)</f>
        <v>-3</v>
      </c>
    </row>
    <row r="3801" spans="1:20" x14ac:dyDescent="0.35">
      <c r="A3801" s="5">
        <v>8100285127</v>
      </c>
      <c r="B3801" s="5">
        <v>21751</v>
      </c>
      <c r="C3801" s="6">
        <v>45685</v>
      </c>
      <c r="D3801" s="5" t="s">
        <v>17</v>
      </c>
      <c r="E3801" s="5" t="s">
        <v>18</v>
      </c>
      <c r="F3801" s="5" t="s">
        <v>27</v>
      </c>
      <c r="G3801" s="5" t="s">
        <v>28</v>
      </c>
      <c r="H3801" s="5" t="s">
        <v>21</v>
      </c>
      <c r="I3801" s="5" t="s">
        <v>22</v>
      </c>
      <c r="J3801" s="5" t="s">
        <v>23</v>
      </c>
      <c r="K3801" s="5" t="s">
        <v>24</v>
      </c>
      <c r="L3801" s="6">
        <v>45691</v>
      </c>
      <c r="M3801" s="6">
        <v>45685</v>
      </c>
      <c r="N3801" s="6" t="s">
        <v>811</v>
      </c>
      <c r="O3801" s="5" t="str">
        <f ca="1">IF(P3801&lt;&gt;"EXPEDIÇÃO","Expedido",IF(NETWORKDAYS(C3801,TODAY())&gt;=5,"Risco Alto",IF(NETWORKDAYS(C3801,TODAY())&gt;=3,IF(NETWORKDAYS(C3801,TODAY())&lt;5,"Risco Médio",""),IF(NETWORKDAYS(C3801,TODAY())&lt;=2,"Risco Baixo",""))))</f>
        <v>Expedido</v>
      </c>
      <c r="P3801" s="5" t="s">
        <v>25</v>
      </c>
      <c r="Q3801" s="5" t="s">
        <v>900</v>
      </c>
      <c r="S3801" s="7">
        <f>IF(ISBLANK(M3801),"Aguardando Previsão/Data",NETWORKDAYS(L3801,M3801)-1)</f>
        <v>-6</v>
      </c>
      <c r="T3801" s="5" t="s">
        <v>942</v>
      </c>
    </row>
    <row r="3802" spans="1:20" x14ac:dyDescent="0.35">
      <c r="A3802" s="5">
        <v>8100285128</v>
      </c>
      <c r="B3802" s="5">
        <v>21766</v>
      </c>
      <c r="C3802" s="6">
        <v>45685</v>
      </c>
      <c r="D3802" s="5" t="s">
        <v>17</v>
      </c>
      <c r="E3802" s="5" t="s">
        <v>18</v>
      </c>
      <c r="F3802" s="5" t="s">
        <v>44</v>
      </c>
      <c r="G3802" s="5" t="s">
        <v>45</v>
      </c>
      <c r="H3802" s="5" t="s">
        <v>21</v>
      </c>
      <c r="I3802" s="5" t="s">
        <v>1106</v>
      </c>
      <c r="J3802" s="5" t="s">
        <v>48</v>
      </c>
      <c r="K3802" s="5" t="s">
        <v>24</v>
      </c>
      <c r="L3802" s="6">
        <v>45693</v>
      </c>
      <c r="M3802" s="6">
        <v>45692</v>
      </c>
      <c r="N3802" s="6" t="s">
        <v>811</v>
      </c>
      <c r="O3802" s="5" t="str">
        <f ca="1">IF(P3802&lt;&gt;"EXPEDIÇÃO","Expedido",IF(NETWORKDAYS(C3802,TODAY())&gt;=5,"Risco Alto",IF(NETWORKDAYS(C3802,TODAY())&gt;=3,IF(NETWORKDAYS(C3802,TODAY())&lt;5,"Risco Médio",""),IF(NETWORKDAYS(C3802,TODAY())&lt;=2,"Risco Baixo",""))))</f>
        <v>Expedido</v>
      </c>
      <c r="P3802" s="5" t="s">
        <v>617</v>
      </c>
      <c r="S3802" s="7">
        <f>IF(ISBLANK(M3802),"Aguardando Previsão/Data",NETWORKDAYS(L3802,M3802)-1)</f>
        <v>-3</v>
      </c>
    </row>
    <row r="3803" spans="1:20" x14ac:dyDescent="0.35">
      <c r="A3803" s="5">
        <v>8100285129</v>
      </c>
      <c r="B3803" s="5">
        <v>21770</v>
      </c>
      <c r="C3803" s="6">
        <v>45685</v>
      </c>
      <c r="D3803" s="5" t="s">
        <v>17</v>
      </c>
      <c r="E3803" s="5" t="s">
        <v>18</v>
      </c>
      <c r="F3803" s="5" t="s">
        <v>27</v>
      </c>
      <c r="G3803" s="5" t="s">
        <v>28</v>
      </c>
      <c r="H3803" s="5" t="s">
        <v>21</v>
      </c>
      <c r="I3803" s="5" t="s">
        <v>986</v>
      </c>
      <c r="J3803" s="5" t="s">
        <v>591</v>
      </c>
      <c r="K3803" s="5" t="s">
        <v>24</v>
      </c>
      <c r="L3803" s="6">
        <v>45692</v>
      </c>
      <c r="M3803" s="6">
        <v>45691</v>
      </c>
      <c r="N3803" s="6" t="s">
        <v>811</v>
      </c>
      <c r="O3803" s="5" t="str">
        <f ca="1">IF(P3803&lt;&gt;"EXPEDIÇÃO","Expedido",IF(NETWORKDAYS(C3803,TODAY())&gt;=5,"Risco Alto",IF(NETWORKDAYS(C3803,TODAY())&gt;=3,IF(NETWORKDAYS(C3803,TODAY())&lt;5,"Risco Médio",""),IF(NETWORKDAYS(C3803,TODAY())&lt;=2,"Risco Baixo",""))))</f>
        <v>Risco Médio</v>
      </c>
      <c r="P3803" s="5" t="s">
        <v>726</v>
      </c>
      <c r="S3803" s="7">
        <f>IF(ISBLANK(M3803),"Aguardando Previsão/Data",NETWORKDAYS(L3803,M3803)-1)</f>
        <v>-3</v>
      </c>
    </row>
    <row r="3804" spans="1:20" x14ac:dyDescent="0.35">
      <c r="A3804" s="5">
        <v>8100285130</v>
      </c>
      <c r="B3804" s="5">
        <v>21768</v>
      </c>
      <c r="C3804" s="6">
        <v>45685</v>
      </c>
      <c r="D3804" s="5" t="s">
        <v>17</v>
      </c>
      <c r="E3804" s="5" t="s">
        <v>18</v>
      </c>
      <c r="F3804" s="5" t="s">
        <v>32</v>
      </c>
      <c r="G3804" s="5" t="s">
        <v>33</v>
      </c>
      <c r="H3804" s="5" t="s">
        <v>21</v>
      </c>
      <c r="I3804" s="5" t="s">
        <v>999</v>
      </c>
      <c r="J3804" s="5" t="s">
        <v>604</v>
      </c>
      <c r="K3804" s="5" t="s">
        <v>24</v>
      </c>
      <c r="L3804" s="6">
        <v>45693</v>
      </c>
      <c r="M3804" s="6">
        <v>45692</v>
      </c>
      <c r="N3804" s="6" t="s">
        <v>811</v>
      </c>
      <c r="O3804" s="5" t="str">
        <f ca="1">IF(P3804&lt;&gt;"EXPEDIÇÃO","Expedido",IF(NETWORKDAYS(C3804,TODAY())&gt;=5,"Risco Alto",IF(NETWORKDAYS(C3804,TODAY())&gt;=3,IF(NETWORKDAYS(C3804,TODAY())&lt;5,"Risco Médio",""),IF(NETWORKDAYS(C3804,TODAY())&lt;=2,"Risco Baixo",""))))</f>
        <v>Risco Médio</v>
      </c>
      <c r="P3804" s="5" t="s">
        <v>726</v>
      </c>
      <c r="S3804" s="7">
        <f>IF(ISBLANK(M3804),"Aguardando Previsão/Data",NETWORKDAYS(L3804,M3804)-1)</f>
        <v>-3</v>
      </c>
    </row>
    <row r="3805" spans="1:20" x14ac:dyDescent="0.35">
      <c r="A3805" s="5">
        <v>8100285131</v>
      </c>
      <c r="B3805" s="5">
        <v>21752</v>
      </c>
      <c r="C3805" s="6">
        <v>45685</v>
      </c>
      <c r="D3805" s="5" t="s">
        <v>17</v>
      </c>
      <c r="E3805" s="5" t="s">
        <v>18</v>
      </c>
      <c r="F3805" s="5" t="s">
        <v>147</v>
      </c>
      <c r="G3805" s="5" t="s">
        <v>148</v>
      </c>
      <c r="H3805" s="5" t="s">
        <v>21</v>
      </c>
      <c r="I3805" s="5" t="s">
        <v>263</v>
      </c>
      <c r="J3805" s="5" t="s">
        <v>264</v>
      </c>
      <c r="K3805" s="5" t="s">
        <v>24</v>
      </c>
      <c r="L3805" s="6">
        <v>45692</v>
      </c>
      <c r="M3805" s="6">
        <v>45691</v>
      </c>
      <c r="N3805" s="6" t="s">
        <v>811</v>
      </c>
      <c r="O3805" s="5" t="str">
        <f ca="1">IF(P3805&lt;&gt;"EXPEDIÇÃO","Expedido",IF(NETWORKDAYS(C3805,TODAY())&gt;=5,"Risco Alto",IF(NETWORKDAYS(C3805,TODAY())&gt;=3,IF(NETWORKDAYS(C3805,TODAY())&lt;5,"Risco Médio",""),IF(NETWORKDAYS(C3805,TODAY())&lt;=2,"Risco Baixo",""))))</f>
        <v>Expedido</v>
      </c>
      <c r="P3805" s="5" t="s">
        <v>617</v>
      </c>
      <c r="S3805" s="7">
        <f>IF(ISBLANK(M3805),"Aguardando Previsão/Data",NETWORKDAYS(L3805,M3805)-1)</f>
        <v>-3</v>
      </c>
    </row>
    <row r="3806" spans="1:20" x14ac:dyDescent="0.35">
      <c r="A3806" s="5">
        <v>8100285132</v>
      </c>
      <c r="B3806" s="5">
        <v>21769</v>
      </c>
      <c r="C3806" s="6">
        <v>45685</v>
      </c>
      <c r="D3806" s="5" t="s">
        <v>17</v>
      </c>
      <c r="E3806" s="5" t="s">
        <v>18</v>
      </c>
      <c r="F3806" s="5" t="s">
        <v>27</v>
      </c>
      <c r="G3806" s="5" t="s">
        <v>28</v>
      </c>
      <c r="H3806" s="5" t="s">
        <v>21</v>
      </c>
      <c r="I3806" s="5" t="s">
        <v>1113</v>
      </c>
      <c r="J3806" s="5" t="s">
        <v>566</v>
      </c>
      <c r="K3806" s="5" t="s">
        <v>24</v>
      </c>
      <c r="L3806" s="6">
        <v>45693</v>
      </c>
      <c r="M3806" s="6">
        <v>45692</v>
      </c>
      <c r="N3806" s="6" t="s">
        <v>811</v>
      </c>
      <c r="O3806" s="5" t="str">
        <f ca="1">IF(P3806&lt;&gt;"EXPEDIÇÃO","Expedido",IF(NETWORKDAYS(C3806,TODAY())&gt;=5,"Risco Alto",IF(NETWORKDAYS(C3806,TODAY())&gt;=3,IF(NETWORKDAYS(C3806,TODAY())&lt;5,"Risco Médio",""),IF(NETWORKDAYS(C3806,TODAY())&lt;=2,"Risco Baixo",""))))</f>
        <v>Risco Médio</v>
      </c>
      <c r="P3806" s="5" t="s">
        <v>726</v>
      </c>
      <c r="S3806" s="7">
        <f>IF(ISBLANK(M3806),"Aguardando Previsão/Data",NETWORKDAYS(L3806,M3806)-1)</f>
        <v>-3</v>
      </c>
    </row>
    <row r="3807" spans="1:20" x14ac:dyDescent="0.35">
      <c r="A3807" s="5">
        <v>8100285133</v>
      </c>
      <c r="B3807" s="5">
        <v>21765</v>
      </c>
      <c r="C3807" s="6">
        <v>45685</v>
      </c>
      <c r="D3807" s="5" t="s">
        <v>17</v>
      </c>
      <c r="E3807" s="5" t="s">
        <v>18</v>
      </c>
      <c r="F3807" s="5" t="s">
        <v>44</v>
      </c>
      <c r="G3807" s="5" t="s">
        <v>45</v>
      </c>
      <c r="H3807" s="5" t="s">
        <v>21</v>
      </c>
      <c r="I3807" s="5" t="s">
        <v>635</v>
      </c>
      <c r="J3807" s="5" t="s">
        <v>47</v>
      </c>
      <c r="K3807" s="5" t="s">
        <v>24</v>
      </c>
      <c r="L3807" s="6">
        <v>45692</v>
      </c>
      <c r="M3807" s="6">
        <v>45691</v>
      </c>
      <c r="N3807" s="6" t="s">
        <v>811</v>
      </c>
      <c r="O3807" s="5" t="str">
        <f ca="1">IF(P3807&lt;&gt;"EXPEDIÇÃO","Expedido",IF(NETWORKDAYS(C3807,TODAY())&gt;=5,"Risco Alto",IF(NETWORKDAYS(C3807,TODAY())&gt;=3,IF(NETWORKDAYS(C3807,TODAY())&lt;5,"Risco Médio",""),IF(NETWORKDAYS(C3807,TODAY())&lt;=2,"Risco Baixo",""))))</f>
        <v>Expedido</v>
      </c>
      <c r="P3807" s="5" t="s">
        <v>617</v>
      </c>
      <c r="S3807" s="7">
        <f>IF(ISBLANK(M3807),"Aguardando Previsão/Data",NETWORKDAYS(L3807,M3807)-1)</f>
        <v>-3</v>
      </c>
    </row>
    <row r="3808" spans="1:20" x14ac:dyDescent="0.35">
      <c r="A3808" s="5">
        <v>8100285134</v>
      </c>
      <c r="B3808" s="5">
        <v>21767</v>
      </c>
      <c r="C3808" s="6">
        <v>45685</v>
      </c>
      <c r="D3808" s="5" t="s">
        <v>17</v>
      </c>
      <c r="E3808" s="5" t="s">
        <v>18</v>
      </c>
      <c r="F3808" s="5" t="s">
        <v>27</v>
      </c>
      <c r="G3808" s="5" t="s">
        <v>28</v>
      </c>
      <c r="H3808" s="5" t="s">
        <v>21</v>
      </c>
      <c r="I3808" s="5" t="s">
        <v>1596</v>
      </c>
      <c r="J3808" s="5" t="s">
        <v>42</v>
      </c>
      <c r="K3808" s="5" t="s">
        <v>24</v>
      </c>
      <c r="L3808" s="6">
        <v>45693</v>
      </c>
      <c r="M3808" s="6">
        <v>45692</v>
      </c>
      <c r="N3808" s="6" t="s">
        <v>811</v>
      </c>
      <c r="O3808" s="5" t="str">
        <f ca="1">IF(P3808&lt;&gt;"EXPEDIÇÃO","Expedido",IF(NETWORKDAYS(C3808,TODAY())&gt;=5,"Risco Alto",IF(NETWORKDAYS(C3808,TODAY())&gt;=3,IF(NETWORKDAYS(C3808,TODAY())&lt;5,"Risco Médio",""),IF(NETWORKDAYS(C3808,TODAY())&lt;=2,"Risco Baixo",""))))</f>
        <v>Risco Médio</v>
      </c>
      <c r="P3808" s="5" t="s">
        <v>726</v>
      </c>
      <c r="S3808" s="7">
        <f>IF(ISBLANK(M3808),"Aguardando Previsão/Data",NETWORKDAYS(L3808,M3808)-1)</f>
        <v>-3</v>
      </c>
    </row>
    <row r="3809" spans="1:20" x14ac:dyDescent="0.35">
      <c r="A3809" s="5">
        <v>8100285135</v>
      </c>
      <c r="B3809" s="5">
        <v>21748</v>
      </c>
      <c r="C3809" s="6">
        <v>45685</v>
      </c>
      <c r="D3809" s="5" t="s">
        <v>17</v>
      </c>
      <c r="E3809" s="5" t="s">
        <v>18</v>
      </c>
      <c r="F3809" s="5" t="s">
        <v>32</v>
      </c>
      <c r="G3809" s="5" t="s">
        <v>33</v>
      </c>
      <c r="H3809" s="5" t="s">
        <v>21</v>
      </c>
      <c r="I3809" s="5" t="s">
        <v>22</v>
      </c>
      <c r="J3809" s="5" t="s">
        <v>23</v>
      </c>
      <c r="K3809" s="5" t="s">
        <v>24</v>
      </c>
      <c r="L3809" s="6">
        <v>45691</v>
      </c>
      <c r="M3809" s="6">
        <v>45685</v>
      </c>
      <c r="N3809" s="6" t="s">
        <v>811</v>
      </c>
      <c r="O3809" s="5" t="str">
        <f ca="1">IF(P3809&lt;&gt;"EXPEDIÇÃO","Expedido",IF(NETWORKDAYS(C3809,TODAY())&gt;=5,"Risco Alto",IF(NETWORKDAYS(C3809,TODAY())&gt;=3,IF(NETWORKDAYS(C3809,TODAY())&lt;5,"Risco Médio",""),IF(NETWORKDAYS(C3809,TODAY())&lt;=2,"Risco Baixo",""))))</f>
        <v>Expedido</v>
      </c>
      <c r="P3809" s="5" t="s">
        <v>25</v>
      </c>
      <c r="Q3809" s="5" t="s">
        <v>900</v>
      </c>
      <c r="S3809" s="7">
        <f>IF(ISBLANK(M3809),"Aguardando Previsão/Data",NETWORKDAYS(L3809,M3809)-1)</f>
        <v>-6</v>
      </c>
      <c r="T3809" s="5" t="s">
        <v>942</v>
      </c>
    </row>
    <row r="3810" spans="1:20" x14ac:dyDescent="0.35">
      <c r="A3810" s="5">
        <v>8100285136</v>
      </c>
      <c r="B3810" s="5">
        <v>21760</v>
      </c>
      <c r="C3810" s="6">
        <v>45685</v>
      </c>
      <c r="D3810" s="5" t="s">
        <v>17</v>
      </c>
      <c r="E3810" s="5" t="s">
        <v>18</v>
      </c>
      <c r="F3810" s="5" t="s">
        <v>32</v>
      </c>
      <c r="G3810" s="5" t="s">
        <v>33</v>
      </c>
      <c r="H3810" s="5" t="s">
        <v>21</v>
      </c>
      <c r="I3810" s="5" t="s">
        <v>916</v>
      </c>
      <c r="J3810" s="5" t="s">
        <v>368</v>
      </c>
      <c r="K3810" s="5" t="s">
        <v>24</v>
      </c>
      <c r="L3810" s="6">
        <v>45693</v>
      </c>
      <c r="M3810" s="6">
        <v>45692</v>
      </c>
      <c r="N3810" s="6" t="s">
        <v>811</v>
      </c>
      <c r="O3810" s="5" t="str">
        <f ca="1">IF(P3810&lt;&gt;"EXPEDIÇÃO","Expedido",IF(NETWORKDAYS(C3810,TODAY())&gt;=5,"Risco Alto",IF(NETWORKDAYS(C3810,TODAY())&gt;=3,IF(NETWORKDAYS(C3810,TODAY())&lt;5,"Risco Médio",""),IF(NETWORKDAYS(C3810,TODAY())&lt;=2,"Risco Baixo",""))))</f>
        <v>Expedido</v>
      </c>
      <c r="P3810" s="5" t="s">
        <v>617</v>
      </c>
      <c r="S3810" s="7">
        <f>IF(ISBLANK(M3810),"Aguardando Previsão/Data",NETWORKDAYS(L3810,M3810)-1)</f>
        <v>-3</v>
      </c>
    </row>
    <row r="3811" spans="1:20" x14ac:dyDescent="0.35">
      <c r="A3811" s="5">
        <v>8100285137</v>
      </c>
      <c r="B3811" s="5">
        <v>21754</v>
      </c>
      <c r="C3811" s="6">
        <v>45685</v>
      </c>
      <c r="D3811" s="5" t="s">
        <v>17</v>
      </c>
      <c r="E3811" s="5" t="s">
        <v>18</v>
      </c>
      <c r="F3811" s="5" t="s">
        <v>44</v>
      </c>
      <c r="G3811" s="5" t="s">
        <v>45</v>
      </c>
      <c r="H3811" s="5" t="s">
        <v>21</v>
      </c>
      <c r="I3811" s="5" t="s">
        <v>257</v>
      </c>
      <c r="J3811" s="5" t="s">
        <v>45</v>
      </c>
      <c r="K3811" s="5" t="s">
        <v>24</v>
      </c>
      <c r="L3811" s="6">
        <v>45692</v>
      </c>
      <c r="M3811" s="6">
        <v>45691</v>
      </c>
      <c r="N3811" s="6" t="s">
        <v>811</v>
      </c>
      <c r="O3811" s="5" t="str">
        <f ca="1">IF(P3811&lt;&gt;"EXPEDIÇÃO","Expedido",IF(NETWORKDAYS(C3811,TODAY())&gt;=5,"Risco Alto",IF(NETWORKDAYS(C3811,TODAY())&gt;=3,IF(NETWORKDAYS(C3811,TODAY())&lt;5,"Risco Médio",""),IF(NETWORKDAYS(C3811,TODAY())&lt;=2,"Risco Baixo",""))))</f>
        <v>Expedido</v>
      </c>
      <c r="P3811" s="5" t="s">
        <v>617</v>
      </c>
      <c r="S3811" s="7">
        <f>IF(ISBLANK(M3811),"Aguardando Previsão/Data",NETWORKDAYS(L3811,M3811)-1)</f>
        <v>-3</v>
      </c>
    </row>
    <row r="3812" spans="1:20" x14ac:dyDescent="0.35">
      <c r="A3812" s="5">
        <v>8100285138</v>
      </c>
      <c r="B3812" s="5">
        <v>21753</v>
      </c>
      <c r="C3812" s="6">
        <v>45685</v>
      </c>
      <c r="D3812" s="5" t="s">
        <v>17</v>
      </c>
      <c r="E3812" s="5" t="s">
        <v>18</v>
      </c>
      <c r="F3812" s="5" t="s">
        <v>147</v>
      </c>
      <c r="G3812" s="5" t="s">
        <v>148</v>
      </c>
      <c r="H3812" s="5" t="s">
        <v>21</v>
      </c>
      <c r="I3812" s="5" t="s">
        <v>263</v>
      </c>
      <c r="J3812" s="5" t="s">
        <v>264</v>
      </c>
      <c r="K3812" s="5" t="s">
        <v>24</v>
      </c>
      <c r="L3812" s="6">
        <v>45692</v>
      </c>
      <c r="M3812" s="6">
        <v>45691</v>
      </c>
      <c r="N3812" s="6" t="s">
        <v>811</v>
      </c>
      <c r="O3812" s="5" t="str">
        <f ca="1">IF(P3812&lt;&gt;"EXPEDIÇÃO","Expedido",IF(NETWORKDAYS(C3812,TODAY())&gt;=5,"Risco Alto",IF(NETWORKDAYS(C3812,TODAY())&gt;=3,IF(NETWORKDAYS(C3812,TODAY())&lt;5,"Risco Médio",""),IF(NETWORKDAYS(C3812,TODAY())&lt;=2,"Risco Baixo",""))))</f>
        <v>Expedido</v>
      </c>
      <c r="P3812" s="5" t="s">
        <v>617</v>
      </c>
      <c r="S3812" s="7">
        <f>IF(ISBLANK(M3812),"Aguardando Previsão/Data",NETWORKDAYS(L3812,M3812)-1)</f>
        <v>-3</v>
      </c>
    </row>
    <row r="3813" spans="1:20" x14ac:dyDescent="0.35">
      <c r="A3813" s="5">
        <v>8100285139</v>
      </c>
      <c r="B3813" s="5">
        <v>21755</v>
      </c>
      <c r="C3813" s="6">
        <v>45685</v>
      </c>
      <c r="D3813" s="5" t="s">
        <v>17</v>
      </c>
      <c r="E3813" s="5" t="s">
        <v>18</v>
      </c>
      <c r="F3813" s="5" t="s">
        <v>44</v>
      </c>
      <c r="G3813" s="5" t="s">
        <v>45</v>
      </c>
      <c r="H3813" s="5" t="s">
        <v>21</v>
      </c>
      <c r="I3813" s="5" t="s">
        <v>257</v>
      </c>
      <c r="J3813" s="5" t="s">
        <v>45</v>
      </c>
      <c r="K3813" s="5" t="s">
        <v>24</v>
      </c>
      <c r="L3813" s="6">
        <v>45692</v>
      </c>
      <c r="M3813" s="6">
        <v>45691</v>
      </c>
      <c r="N3813" s="6" t="s">
        <v>811</v>
      </c>
      <c r="O3813" s="5" t="str">
        <f ca="1">IF(P3813&lt;&gt;"EXPEDIÇÃO","Expedido",IF(NETWORKDAYS(C3813,TODAY())&gt;=5,"Risco Alto",IF(NETWORKDAYS(C3813,TODAY())&gt;=3,IF(NETWORKDAYS(C3813,TODAY())&lt;5,"Risco Médio",""),IF(NETWORKDAYS(C3813,TODAY())&lt;=2,"Risco Baixo",""))))</f>
        <v>Expedido</v>
      </c>
      <c r="P3813" s="5" t="s">
        <v>617</v>
      </c>
      <c r="S3813" s="7">
        <f>IF(ISBLANK(M3813),"Aguardando Previsão/Data",NETWORKDAYS(L3813,M3813)-1)</f>
        <v>-3</v>
      </c>
    </row>
    <row r="3814" spans="1:20" x14ac:dyDescent="0.35">
      <c r="A3814" s="5">
        <v>8100285145</v>
      </c>
      <c r="B3814" s="5">
        <v>21761</v>
      </c>
      <c r="C3814" s="6">
        <v>45685</v>
      </c>
      <c r="D3814" s="5" t="s">
        <v>17</v>
      </c>
      <c r="E3814" s="5" t="s">
        <v>18</v>
      </c>
      <c r="F3814" s="5" t="s">
        <v>32</v>
      </c>
      <c r="G3814" s="5" t="s">
        <v>33</v>
      </c>
      <c r="H3814" s="5" t="s">
        <v>21</v>
      </c>
      <c r="I3814" s="5" t="s">
        <v>916</v>
      </c>
      <c r="J3814" s="5" t="s">
        <v>368</v>
      </c>
      <c r="K3814" s="5" t="s">
        <v>24</v>
      </c>
      <c r="L3814" s="6">
        <v>45693</v>
      </c>
      <c r="M3814" s="6">
        <v>45692</v>
      </c>
      <c r="N3814" s="6" t="s">
        <v>811</v>
      </c>
      <c r="O3814" s="5" t="str">
        <f ca="1">IF(P3814&lt;&gt;"EXPEDIÇÃO","Expedido",IF(NETWORKDAYS(C3814,TODAY())&gt;=5,"Risco Alto",IF(NETWORKDAYS(C3814,TODAY())&gt;=3,IF(NETWORKDAYS(C3814,TODAY())&lt;5,"Risco Médio",""),IF(NETWORKDAYS(C3814,TODAY())&lt;=2,"Risco Baixo",""))))</f>
        <v>Risco Médio</v>
      </c>
      <c r="P3814" s="5" t="s">
        <v>726</v>
      </c>
      <c r="S3814" s="7">
        <f>IF(ISBLANK(M3814),"Aguardando Previsão/Data",NETWORKDAYS(L3814,M3814)-1)</f>
        <v>-3</v>
      </c>
    </row>
    <row r="3815" spans="1:20" x14ac:dyDescent="0.35">
      <c r="A3815" s="5">
        <v>8100285160</v>
      </c>
      <c r="B3815" s="5">
        <v>21749</v>
      </c>
      <c r="C3815" s="6">
        <v>45685</v>
      </c>
      <c r="D3815" s="5" t="s">
        <v>17</v>
      </c>
      <c r="E3815" s="5" t="s">
        <v>18</v>
      </c>
      <c r="F3815" s="5" t="s">
        <v>32</v>
      </c>
      <c r="G3815" s="5" t="s">
        <v>33</v>
      </c>
      <c r="H3815" s="5" t="s">
        <v>21</v>
      </c>
      <c r="I3815" s="5" t="s">
        <v>22</v>
      </c>
      <c r="J3815" s="5" t="s">
        <v>23</v>
      </c>
      <c r="K3815" s="5" t="s">
        <v>24</v>
      </c>
      <c r="L3815" s="6">
        <v>45691</v>
      </c>
      <c r="M3815" s="6">
        <v>45685</v>
      </c>
      <c r="N3815" s="6" t="s">
        <v>811</v>
      </c>
      <c r="O3815" s="5" t="str">
        <f ca="1">IF(P3815&lt;&gt;"EXPEDIÇÃO","Expedido",IF(NETWORKDAYS(C3815,TODAY())&gt;=5,"Risco Alto",IF(NETWORKDAYS(C3815,TODAY())&gt;=3,IF(NETWORKDAYS(C3815,TODAY())&lt;5,"Risco Médio",""),IF(NETWORKDAYS(C3815,TODAY())&lt;=2,"Risco Baixo",""))))</f>
        <v>Expedido</v>
      </c>
      <c r="P3815" s="5" t="s">
        <v>25</v>
      </c>
      <c r="Q3815" s="5" t="s">
        <v>900</v>
      </c>
      <c r="S3815" s="7">
        <f>IF(ISBLANK(M3815),"Aguardando Previsão/Data",NETWORKDAYS(L3815,M3815)-1)</f>
        <v>-6</v>
      </c>
      <c r="T3815" s="5" t="s">
        <v>942</v>
      </c>
    </row>
    <row r="3816" spans="1:20" x14ac:dyDescent="0.35">
      <c r="A3816" s="5">
        <v>8100285161</v>
      </c>
      <c r="B3816" s="5">
        <v>21762</v>
      </c>
      <c r="C3816" s="6">
        <v>45685</v>
      </c>
      <c r="D3816" s="5" t="s">
        <v>17</v>
      </c>
      <c r="E3816" s="5" t="s">
        <v>18</v>
      </c>
      <c r="F3816" s="5" t="s">
        <v>32</v>
      </c>
      <c r="G3816" s="5" t="s">
        <v>33</v>
      </c>
      <c r="H3816" s="5" t="s">
        <v>21</v>
      </c>
      <c r="I3816" s="5" t="s">
        <v>916</v>
      </c>
      <c r="J3816" s="5" t="s">
        <v>368</v>
      </c>
      <c r="K3816" s="5" t="s">
        <v>24</v>
      </c>
      <c r="L3816" s="6">
        <v>45693</v>
      </c>
      <c r="M3816" s="6">
        <v>45692</v>
      </c>
      <c r="N3816" s="6" t="s">
        <v>811</v>
      </c>
      <c r="O3816" s="5" t="str">
        <f ca="1">IF(P3816&lt;&gt;"EXPEDIÇÃO","Expedido",IF(NETWORKDAYS(C3816,TODAY())&gt;=5,"Risco Alto",IF(NETWORKDAYS(C3816,TODAY())&gt;=3,IF(NETWORKDAYS(C3816,TODAY())&lt;5,"Risco Médio",""),IF(NETWORKDAYS(C3816,TODAY())&lt;=2,"Risco Baixo",""))))</f>
        <v>Risco Médio</v>
      </c>
      <c r="P3816" s="5" t="s">
        <v>726</v>
      </c>
      <c r="S3816" s="7">
        <f>IF(ISBLANK(M3816),"Aguardando Previsão/Data",NETWORKDAYS(L3816,M3816)-1)</f>
        <v>-3</v>
      </c>
    </row>
    <row r="3817" spans="1:20" x14ac:dyDescent="0.35">
      <c r="A3817" s="5">
        <v>8100285163</v>
      </c>
      <c r="B3817" s="5">
        <v>21750</v>
      </c>
      <c r="C3817" s="6">
        <v>45685</v>
      </c>
      <c r="D3817" s="5" t="s">
        <v>17</v>
      </c>
      <c r="E3817" s="5" t="s">
        <v>18</v>
      </c>
      <c r="F3817" s="5" t="s">
        <v>32</v>
      </c>
      <c r="G3817" s="5" t="s">
        <v>33</v>
      </c>
      <c r="H3817" s="5" t="s">
        <v>21</v>
      </c>
      <c r="I3817" s="5" t="s">
        <v>22</v>
      </c>
      <c r="J3817" s="5" t="s">
        <v>23</v>
      </c>
      <c r="K3817" s="5" t="s">
        <v>24</v>
      </c>
      <c r="L3817" s="6">
        <v>45691</v>
      </c>
      <c r="M3817" s="6">
        <v>45685</v>
      </c>
      <c r="N3817" s="6" t="s">
        <v>811</v>
      </c>
      <c r="O3817" s="5" t="str">
        <f ca="1">IF(P3817&lt;&gt;"EXPEDIÇÃO","Expedido",IF(NETWORKDAYS(C3817,TODAY())&gt;=5,"Risco Alto",IF(NETWORKDAYS(C3817,TODAY())&gt;=3,IF(NETWORKDAYS(C3817,TODAY())&lt;5,"Risco Médio",""),IF(NETWORKDAYS(C3817,TODAY())&lt;=2,"Risco Baixo",""))))</f>
        <v>Expedido</v>
      </c>
      <c r="P3817" s="5" t="s">
        <v>25</v>
      </c>
      <c r="Q3817" s="5" t="s">
        <v>900</v>
      </c>
      <c r="S3817" s="7">
        <f>IF(ISBLANK(M3817),"Aguardando Previsão/Data",NETWORKDAYS(L3817,M3817)-1)</f>
        <v>-6</v>
      </c>
      <c r="T3817" s="5" t="s">
        <v>942</v>
      </c>
    </row>
    <row r="3818" spans="1:20" x14ac:dyDescent="0.35">
      <c r="A3818" s="5">
        <v>8100285164</v>
      </c>
      <c r="B3818" s="5">
        <v>21763</v>
      </c>
      <c r="C3818" s="6">
        <v>45685</v>
      </c>
      <c r="D3818" s="5" t="s">
        <v>17</v>
      </c>
      <c r="E3818" s="5" t="s">
        <v>18</v>
      </c>
      <c r="F3818" s="5" t="s">
        <v>32</v>
      </c>
      <c r="G3818" s="5" t="s">
        <v>33</v>
      </c>
      <c r="H3818" s="5" t="s">
        <v>21</v>
      </c>
      <c r="I3818" s="5" t="s">
        <v>916</v>
      </c>
      <c r="J3818" s="5" t="s">
        <v>368</v>
      </c>
      <c r="K3818" s="5" t="s">
        <v>24</v>
      </c>
      <c r="L3818" s="6">
        <v>45693</v>
      </c>
      <c r="M3818" s="6">
        <v>45692</v>
      </c>
      <c r="N3818" s="6" t="s">
        <v>811</v>
      </c>
      <c r="O3818" s="5" t="str">
        <f ca="1">IF(P3818&lt;&gt;"EXPEDIÇÃO","Expedido",IF(NETWORKDAYS(C3818,TODAY())&gt;=5,"Risco Alto",IF(NETWORKDAYS(C3818,TODAY())&gt;=3,IF(NETWORKDAYS(C3818,TODAY())&lt;5,"Risco Médio",""),IF(NETWORKDAYS(C3818,TODAY())&lt;=2,"Risco Baixo",""))))</f>
        <v>Expedido</v>
      </c>
      <c r="P3818" s="5" t="s">
        <v>617</v>
      </c>
      <c r="S3818" s="7">
        <f>IF(ISBLANK(M3818),"Aguardando Previsão/Data",NETWORKDAYS(L3818,M3818)-1)</f>
        <v>-3</v>
      </c>
    </row>
    <row r="3819" spans="1:20" x14ac:dyDescent="0.35">
      <c r="A3819" s="5">
        <v>8100285207</v>
      </c>
      <c r="B3819" s="5">
        <v>21764</v>
      </c>
      <c r="C3819" s="6">
        <v>45685</v>
      </c>
      <c r="D3819" s="5" t="s">
        <v>17</v>
      </c>
      <c r="E3819" s="5" t="s">
        <v>18</v>
      </c>
      <c r="F3819" s="5" t="s">
        <v>32</v>
      </c>
      <c r="G3819" s="5" t="s">
        <v>33</v>
      </c>
      <c r="H3819" s="5" t="s">
        <v>21</v>
      </c>
      <c r="I3819" s="5" t="s">
        <v>916</v>
      </c>
      <c r="J3819" s="5" t="s">
        <v>368</v>
      </c>
      <c r="K3819" s="5" t="s">
        <v>24</v>
      </c>
      <c r="L3819" s="6">
        <v>45693</v>
      </c>
      <c r="M3819" s="6">
        <v>45692</v>
      </c>
      <c r="N3819" s="6" t="s">
        <v>811</v>
      </c>
      <c r="O3819" s="5" t="str">
        <f ca="1">IF(P3819&lt;&gt;"EXPEDIÇÃO","Expedido",IF(NETWORKDAYS(C3819,TODAY())&gt;=5,"Risco Alto",IF(NETWORKDAYS(C3819,TODAY())&gt;=3,IF(NETWORKDAYS(C3819,TODAY())&lt;5,"Risco Médio",""),IF(NETWORKDAYS(C3819,TODAY())&lt;=2,"Risco Baixo",""))))</f>
        <v>Expedido</v>
      </c>
      <c r="P3819" s="5" t="s">
        <v>617</v>
      </c>
      <c r="S3819" s="7">
        <f>IF(ISBLANK(M3819),"Aguardando Previsão/Data",NETWORKDAYS(L3819,M3819)-1)</f>
        <v>-3</v>
      </c>
    </row>
    <row r="3820" spans="1:20" x14ac:dyDescent="0.35">
      <c r="A3820" s="5">
        <v>8100285208</v>
      </c>
      <c r="B3820" s="5">
        <v>21756</v>
      </c>
      <c r="C3820" s="6">
        <v>45685</v>
      </c>
      <c r="D3820" s="5" t="s">
        <v>17</v>
      </c>
      <c r="E3820" s="5" t="s">
        <v>18</v>
      </c>
      <c r="F3820" s="5" t="s">
        <v>44</v>
      </c>
      <c r="G3820" s="5" t="s">
        <v>45</v>
      </c>
      <c r="H3820" s="5" t="s">
        <v>21</v>
      </c>
      <c r="I3820" s="5" t="s">
        <v>257</v>
      </c>
      <c r="J3820" s="5" t="s">
        <v>45</v>
      </c>
      <c r="K3820" s="5" t="s">
        <v>24</v>
      </c>
      <c r="L3820" s="6">
        <v>45692</v>
      </c>
      <c r="M3820" s="6">
        <v>45691</v>
      </c>
      <c r="N3820" s="6" t="s">
        <v>811</v>
      </c>
      <c r="O3820" s="5" t="str">
        <f ca="1">IF(P3820&lt;&gt;"EXPEDIÇÃO","Expedido",IF(NETWORKDAYS(C3820,TODAY())&gt;=5,"Risco Alto",IF(NETWORKDAYS(C3820,TODAY())&gt;=3,IF(NETWORKDAYS(C3820,TODAY())&lt;5,"Risco Médio",""),IF(NETWORKDAYS(C3820,TODAY())&lt;=2,"Risco Baixo",""))))</f>
        <v>Expedido</v>
      </c>
      <c r="P3820" s="5" t="s">
        <v>617</v>
      </c>
      <c r="S3820" s="7">
        <f>IF(ISBLANK(M3820),"Aguardando Previsão/Data",NETWORKDAYS(L3820,M3820)-1)</f>
        <v>-3</v>
      </c>
    </row>
    <row r="3821" spans="1:20" x14ac:dyDescent="0.35">
      <c r="A3821" s="5">
        <v>8100285209</v>
      </c>
      <c r="B3821" s="5">
        <v>21757</v>
      </c>
      <c r="C3821" s="6">
        <v>45685</v>
      </c>
      <c r="D3821" s="5" t="s">
        <v>17</v>
      </c>
      <c r="E3821" s="5" t="s">
        <v>18</v>
      </c>
      <c r="F3821" s="5" t="s">
        <v>44</v>
      </c>
      <c r="G3821" s="5" t="s">
        <v>45</v>
      </c>
      <c r="H3821" s="5" t="s">
        <v>21</v>
      </c>
      <c r="I3821" s="5" t="s">
        <v>257</v>
      </c>
      <c r="J3821" s="5" t="s">
        <v>45</v>
      </c>
      <c r="K3821" s="5" t="s">
        <v>24</v>
      </c>
      <c r="L3821" s="6">
        <v>45692</v>
      </c>
      <c r="M3821" s="6">
        <v>45691</v>
      </c>
      <c r="N3821" s="6" t="s">
        <v>811</v>
      </c>
      <c r="O3821" s="5" t="str">
        <f ca="1">IF(P3821&lt;&gt;"EXPEDIÇÃO","Expedido",IF(NETWORKDAYS(C3821,TODAY())&gt;=5,"Risco Alto",IF(NETWORKDAYS(C3821,TODAY())&gt;=3,IF(NETWORKDAYS(C3821,TODAY())&lt;5,"Risco Médio",""),IF(NETWORKDAYS(C3821,TODAY())&lt;=2,"Risco Baixo",""))))</f>
        <v>Expedido</v>
      </c>
      <c r="P3821" s="5" t="s">
        <v>617</v>
      </c>
      <c r="S3821" s="7">
        <f>IF(ISBLANK(M3821),"Aguardando Previsão/Data",NETWORKDAYS(L3821,M3821)-1)</f>
        <v>-3</v>
      </c>
    </row>
    <row r="3822" spans="1:20" x14ac:dyDescent="0.35">
      <c r="A3822" s="5">
        <v>8100285234</v>
      </c>
      <c r="B3822" s="5">
        <v>21758</v>
      </c>
      <c r="C3822" s="6">
        <v>45685</v>
      </c>
      <c r="D3822" s="5" t="s">
        <v>17</v>
      </c>
      <c r="E3822" s="5" t="s">
        <v>18</v>
      </c>
      <c r="F3822" s="5" t="s">
        <v>44</v>
      </c>
      <c r="G3822" s="5" t="s">
        <v>45</v>
      </c>
      <c r="H3822" s="5" t="s">
        <v>21</v>
      </c>
      <c r="I3822" s="5" t="s">
        <v>257</v>
      </c>
      <c r="J3822" s="5" t="s">
        <v>45</v>
      </c>
      <c r="K3822" s="5" t="s">
        <v>24</v>
      </c>
      <c r="L3822" s="6">
        <v>45692</v>
      </c>
      <c r="M3822" s="6">
        <v>45691</v>
      </c>
      <c r="N3822" s="6" t="s">
        <v>811</v>
      </c>
      <c r="O3822" s="5" t="str">
        <f ca="1">IF(P3822&lt;&gt;"EXPEDIÇÃO","Expedido",IF(NETWORKDAYS(C3822,TODAY())&gt;=5,"Risco Alto",IF(NETWORKDAYS(C3822,TODAY())&gt;=3,IF(NETWORKDAYS(C3822,TODAY())&lt;5,"Risco Médio",""),IF(NETWORKDAYS(C3822,TODAY())&lt;=2,"Risco Baixo",""))))</f>
        <v>Expedido</v>
      </c>
      <c r="P3822" s="5" t="s">
        <v>617</v>
      </c>
      <c r="S3822" s="7">
        <f>IF(ISBLANK(M3822),"Aguardando Previsão/Data",NETWORKDAYS(L3822,M3822)-1)</f>
        <v>-3</v>
      </c>
    </row>
    <row r="3823" spans="1:20" x14ac:dyDescent="0.35">
      <c r="A3823" s="5">
        <v>8100284018</v>
      </c>
      <c r="B3823" s="5">
        <v>13517</v>
      </c>
      <c r="C3823" s="6">
        <v>45685</v>
      </c>
      <c r="D3823" s="5" t="s">
        <v>91</v>
      </c>
      <c r="E3823" s="5" t="s">
        <v>92</v>
      </c>
      <c r="F3823" s="5" t="s">
        <v>103</v>
      </c>
      <c r="G3823" s="5" t="s">
        <v>104</v>
      </c>
      <c r="H3823" s="5" t="s">
        <v>21</v>
      </c>
      <c r="I3823" s="5" t="s">
        <v>1583</v>
      </c>
      <c r="J3823" s="5" t="s">
        <v>637</v>
      </c>
      <c r="K3823" s="5" t="s">
        <v>423</v>
      </c>
      <c r="L3823" s="6">
        <v>45694</v>
      </c>
      <c r="M3823" s="6">
        <v>45693</v>
      </c>
      <c r="N3823" s="6" t="s">
        <v>811</v>
      </c>
      <c r="O3823" s="5" t="str">
        <f ca="1">IF(P3823&lt;&gt;"EXPEDIÇÃO","Expedido",IF(NETWORKDAYS(C3823,TODAY())&gt;=5,"Risco Alto",IF(NETWORKDAYS(C3823,TODAY())&gt;=3,IF(NETWORKDAYS(C3823,TODAY())&lt;5,"Risco Médio",""),IF(NETWORKDAYS(C3823,TODAY())&lt;=2,"Risco Baixo",""))))</f>
        <v>Risco Médio</v>
      </c>
      <c r="P3823" s="5" t="s">
        <v>726</v>
      </c>
      <c r="S3823" s="7">
        <f>IF(ISBLANK(M3823),"Aguardando Previsão/Data",NETWORKDAYS(L3823,M3823)-1)</f>
        <v>-3</v>
      </c>
    </row>
    <row r="3824" spans="1:20" x14ac:dyDescent="0.35">
      <c r="A3824" s="5">
        <v>8100284067</v>
      </c>
      <c r="B3824" s="5">
        <v>13533</v>
      </c>
      <c r="C3824" s="6">
        <v>45685</v>
      </c>
      <c r="D3824" s="5" t="s">
        <v>91</v>
      </c>
      <c r="E3824" s="5" t="s">
        <v>92</v>
      </c>
      <c r="F3824" s="5" t="s">
        <v>103</v>
      </c>
      <c r="G3824" s="5" t="s">
        <v>104</v>
      </c>
      <c r="H3824" s="5" t="s">
        <v>21</v>
      </c>
      <c r="I3824" s="5" t="s">
        <v>753</v>
      </c>
      <c r="J3824" s="5" t="s">
        <v>754</v>
      </c>
      <c r="K3824" s="5" t="s">
        <v>423</v>
      </c>
      <c r="L3824" s="6">
        <v>45695</v>
      </c>
      <c r="M3824" s="6">
        <v>45694</v>
      </c>
      <c r="N3824" s="6" t="s">
        <v>811</v>
      </c>
      <c r="O3824" s="5" t="str">
        <f ca="1">IF(P3824&lt;&gt;"EXPEDIÇÃO","Expedido",IF(NETWORKDAYS(C3824,TODAY())&gt;=5,"Risco Alto",IF(NETWORKDAYS(C3824,TODAY())&gt;=3,IF(NETWORKDAYS(C3824,TODAY())&lt;5,"Risco Médio",""),IF(NETWORKDAYS(C3824,TODAY())&lt;=2,"Risco Baixo",""))))</f>
        <v>Risco Médio</v>
      </c>
      <c r="P3824" s="5" t="s">
        <v>726</v>
      </c>
      <c r="S3824" s="7">
        <f>IF(ISBLANK(M3824),"Aguardando Previsão/Data",NETWORKDAYS(L3824,M3824)-1)</f>
        <v>-3</v>
      </c>
    </row>
    <row r="3825" spans="1:20" x14ac:dyDescent="0.35">
      <c r="A3825" s="5">
        <v>8100284431</v>
      </c>
      <c r="B3825" s="5">
        <v>13519</v>
      </c>
      <c r="C3825" s="6">
        <v>45685</v>
      </c>
      <c r="D3825" s="5" t="s">
        <v>91</v>
      </c>
      <c r="E3825" s="5" t="s">
        <v>92</v>
      </c>
      <c r="F3825" s="5" t="s">
        <v>66</v>
      </c>
      <c r="G3825" s="5" t="s">
        <v>67</v>
      </c>
      <c r="H3825" s="5" t="s">
        <v>21</v>
      </c>
      <c r="I3825" s="5" t="s">
        <v>935</v>
      </c>
      <c r="J3825" s="5" t="s">
        <v>389</v>
      </c>
      <c r="K3825" s="5" t="s">
        <v>95</v>
      </c>
      <c r="L3825" s="6">
        <v>45698</v>
      </c>
      <c r="M3825" s="6">
        <v>45695</v>
      </c>
      <c r="N3825" s="6" t="s">
        <v>811</v>
      </c>
      <c r="O3825" s="5" t="str">
        <f ca="1">IF(P3825&lt;&gt;"EXPEDIÇÃO","Expedido",IF(NETWORKDAYS(C3825,TODAY())&gt;=5,"Risco Alto",IF(NETWORKDAYS(C3825,TODAY())&gt;=3,IF(NETWORKDAYS(C3825,TODAY())&lt;5,"Risco Médio",""),IF(NETWORKDAYS(C3825,TODAY())&lt;=2,"Risco Baixo",""))))</f>
        <v>Risco Médio</v>
      </c>
      <c r="P3825" s="5" t="s">
        <v>726</v>
      </c>
      <c r="S3825" s="7">
        <f>IF(ISBLANK(M3825),"Aguardando Previsão/Data",NETWORKDAYS(L3825,M3825)-1)</f>
        <v>-3</v>
      </c>
    </row>
    <row r="3826" spans="1:20" x14ac:dyDescent="0.35">
      <c r="A3826" s="5">
        <v>8100284432</v>
      </c>
      <c r="B3826" s="5">
        <v>13531</v>
      </c>
      <c r="C3826" s="6">
        <v>45685</v>
      </c>
      <c r="D3826" s="5" t="s">
        <v>91</v>
      </c>
      <c r="E3826" s="5" t="s">
        <v>92</v>
      </c>
      <c r="F3826" s="5" t="s">
        <v>96</v>
      </c>
      <c r="G3826" s="5" t="s">
        <v>97</v>
      </c>
      <c r="H3826" s="5" t="s">
        <v>21</v>
      </c>
      <c r="I3826" s="5" t="s">
        <v>1589</v>
      </c>
      <c r="J3826" s="5" t="s">
        <v>500</v>
      </c>
      <c r="K3826" s="5" t="s">
        <v>95</v>
      </c>
      <c r="L3826" s="6">
        <v>45693</v>
      </c>
      <c r="M3826" s="6">
        <v>45692</v>
      </c>
      <c r="N3826" s="6" t="s">
        <v>811</v>
      </c>
      <c r="O3826" s="5" t="str">
        <f ca="1">IF(P3826&lt;&gt;"EXPEDIÇÃO","Expedido",IF(NETWORKDAYS(C3826,TODAY())&gt;=5,"Risco Alto",IF(NETWORKDAYS(C3826,TODAY())&gt;=3,IF(NETWORKDAYS(C3826,TODAY())&lt;5,"Risco Médio",""),IF(NETWORKDAYS(C3826,TODAY())&lt;=2,"Risco Baixo",""))))</f>
        <v>Risco Médio</v>
      </c>
      <c r="P3826" s="5" t="s">
        <v>726</v>
      </c>
      <c r="S3826" s="7">
        <f>IF(ISBLANK(M3826),"Aguardando Previsão/Data",NETWORKDAYS(L3826,M3826)-1)</f>
        <v>-3</v>
      </c>
    </row>
    <row r="3827" spans="1:20" x14ac:dyDescent="0.35">
      <c r="A3827" s="5">
        <v>8100284433</v>
      </c>
      <c r="B3827" s="5">
        <v>13525</v>
      </c>
      <c r="C3827" s="6">
        <v>45685</v>
      </c>
      <c r="D3827" s="5" t="s">
        <v>91</v>
      </c>
      <c r="E3827" s="5" t="s">
        <v>92</v>
      </c>
      <c r="F3827" s="5" t="s">
        <v>96</v>
      </c>
      <c r="G3827" s="5" t="s">
        <v>97</v>
      </c>
      <c r="H3827" s="5" t="s">
        <v>21</v>
      </c>
      <c r="I3827" s="5" t="s">
        <v>818</v>
      </c>
      <c r="J3827" s="5" t="s">
        <v>636</v>
      </c>
      <c r="K3827" s="5" t="s">
        <v>95</v>
      </c>
      <c r="L3827" s="6">
        <v>45692</v>
      </c>
      <c r="M3827" s="6">
        <v>45691</v>
      </c>
      <c r="N3827" s="6" t="s">
        <v>811</v>
      </c>
      <c r="O3827" s="5" t="str">
        <f ca="1">IF(P3827&lt;&gt;"EXPEDIÇÃO","Expedido",IF(NETWORKDAYS(C3827,TODAY())&gt;=5,"Risco Alto",IF(NETWORKDAYS(C3827,TODAY())&gt;=3,IF(NETWORKDAYS(C3827,TODAY())&lt;5,"Risco Médio",""),IF(NETWORKDAYS(C3827,TODAY())&lt;=2,"Risco Baixo",""))))</f>
        <v>Expedido</v>
      </c>
      <c r="P3827" s="5" t="s">
        <v>617</v>
      </c>
      <c r="S3827" s="7">
        <f>IF(ISBLANK(M3827),"Aguardando Previsão/Data",NETWORKDAYS(L3827,M3827)-1)</f>
        <v>-3</v>
      </c>
    </row>
    <row r="3828" spans="1:20" x14ac:dyDescent="0.35">
      <c r="A3828" s="5">
        <v>8100284487</v>
      </c>
      <c r="B3828" s="5">
        <v>13534</v>
      </c>
      <c r="C3828" s="6">
        <v>45685</v>
      </c>
      <c r="D3828" s="5" t="s">
        <v>91</v>
      </c>
      <c r="E3828" s="5" t="s">
        <v>92</v>
      </c>
      <c r="F3828" s="5" t="s">
        <v>96</v>
      </c>
      <c r="G3828" s="5" t="s">
        <v>97</v>
      </c>
      <c r="H3828" s="5" t="s">
        <v>21</v>
      </c>
      <c r="I3828" s="5" t="s">
        <v>692</v>
      </c>
      <c r="J3828" s="5" t="s">
        <v>102</v>
      </c>
      <c r="K3828" s="5" t="s">
        <v>101</v>
      </c>
      <c r="L3828" s="6">
        <v>45695</v>
      </c>
      <c r="M3828" s="6">
        <v>45694</v>
      </c>
      <c r="N3828" s="6" t="s">
        <v>811</v>
      </c>
      <c r="O3828" s="5" t="str">
        <f ca="1">IF(P3828&lt;&gt;"EXPEDIÇÃO","Expedido",IF(NETWORKDAYS(C3828,TODAY())&gt;=5,"Risco Alto",IF(NETWORKDAYS(C3828,TODAY())&gt;=3,IF(NETWORKDAYS(C3828,TODAY())&lt;5,"Risco Médio",""),IF(NETWORKDAYS(C3828,TODAY())&lt;=2,"Risco Baixo",""))))</f>
        <v>Risco Médio</v>
      </c>
      <c r="P3828" s="5" t="s">
        <v>726</v>
      </c>
      <c r="S3828" s="7">
        <f>IF(ISBLANK(M3828),"Aguardando Previsão/Data",NETWORKDAYS(L3828,M3828)-1)</f>
        <v>-3</v>
      </c>
    </row>
    <row r="3829" spans="1:20" x14ac:dyDescent="0.35">
      <c r="A3829" s="5">
        <v>8100284563</v>
      </c>
      <c r="B3829" s="5">
        <v>13526</v>
      </c>
      <c r="C3829" s="6">
        <v>45685</v>
      </c>
      <c r="D3829" s="5" t="s">
        <v>91</v>
      </c>
      <c r="E3829" s="5" t="s">
        <v>92</v>
      </c>
      <c r="F3829" s="5" t="s">
        <v>103</v>
      </c>
      <c r="G3829" s="5" t="s">
        <v>104</v>
      </c>
      <c r="H3829" s="5" t="s">
        <v>21</v>
      </c>
      <c r="I3829" s="5" t="s">
        <v>753</v>
      </c>
      <c r="J3829" s="5" t="s">
        <v>754</v>
      </c>
      <c r="K3829" s="5" t="s">
        <v>423</v>
      </c>
      <c r="L3829" s="6">
        <v>45695</v>
      </c>
      <c r="M3829" s="6">
        <v>45694</v>
      </c>
      <c r="N3829" s="6" t="s">
        <v>811</v>
      </c>
      <c r="O3829" s="5" t="str">
        <f ca="1">IF(P3829&lt;&gt;"EXPEDIÇÃO","Expedido",IF(NETWORKDAYS(C3829,TODAY())&gt;=5,"Risco Alto",IF(NETWORKDAYS(C3829,TODAY())&gt;=3,IF(NETWORKDAYS(C3829,TODAY())&lt;5,"Risco Médio",""),IF(NETWORKDAYS(C3829,TODAY())&lt;=2,"Risco Baixo",""))))</f>
        <v>Risco Médio</v>
      </c>
      <c r="P3829" s="5" t="s">
        <v>726</v>
      </c>
      <c r="S3829" s="7">
        <f>IF(ISBLANK(M3829),"Aguardando Previsão/Data",NETWORKDAYS(L3829,M3829)-1)</f>
        <v>-3</v>
      </c>
    </row>
    <row r="3830" spans="1:20" x14ac:dyDescent="0.35">
      <c r="A3830" s="5">
        <v>8100284565</v>
      </c>
      <c r="B3830" s="5">
        <v>13527</v>
      </c>
      <c r="C3830" s="6">
        <v>45685</v>
      </c>
      <c r="D3830" s="5" t="s">
        <v>91</v>
      </c>
      <c r="E3830" s="5" t="s">
        <v>92</v>
      </c>
      <c r="F3830" s="5" t="s">
        <v>103</v>
      </c>
      <c r="G3830" s="5" t="s">
        <v>104</v>
      </c>
      <c r="H3830" s="5" t="s">
        <v>21</v>
      </c>
      <c r="I3830" s="5" t="s">
        <v>801</v>
      </c>
      <c r="J3830" s="5" t="s">
        <v>637</v>
      </c>
      <c r="K3830" s="5" t="s">
        <v>423</v>
      </c>
      <c r="L3830" s="6">
        <v>45694</v>
      </c>
      <c r="M3830" s="6">
        <v>45693</v>
      </c>
      <c r="N3830" s="6" t="s">
        <v>811</v>
      </c>
      <c r="O3830" s="5" t="str">
        <f ca="1">IF(P3830&lt;&gt;"EXPEDIÇÃO","Expedido",IF(NETWORKDAYS(C3830,TODAY())&gt;=5,"Risco Alto",IF(NETWORKDAYS(C3830,TODAY())&gt;=3,IF(NETWORKDAYS(C3830,TODAY())&lt;5,"Risco Médio",""),IF(NETWORKDAYS(C3830,TODAY())&lt;=2,"Risco Baixo",""))))</f>
        <v>Risco Médio</v>
      </c>
      <c r="P3830" s="5" t="s">
        <v>726</v>
      </c>
      <c r="S3830" s="7">
        <f>IF(ISBLANK(M3830),"Aguardando Previsão/Data",NETWORKDAYS(L3830,M3830)-1)</f>
        <v>-3</v>
      </c>
    </row>
    <row r="3831" spans="1:20" x14ac:dyDescent="0.35">
      <c r="A3831" s="5">
        <v>8100284566</v>
      </c>
      <c r="B3831" s="5">
        <v>13516</v>
      </c>
      <c r="C3831" s="6">
        <v>45685</v>
      </c>
      <c r="D3831" s="5" t="s">
        <v>91</v>
      </c>
      <c r="E3831" s="5" t="s">
        <v>92</v>
      </c>
      <c r="F3831" s="5" t="s">
        <v>103</v>
      </c>
      <c r="G3831" s="5" t="s">
        <v>104</v>
      </c>
      <c r="H3831" s="5" t="s">
        <v>21</v>
      </c>
      <c r="I3831" s="5" t="s">
        <v>778</v>
      </c>
      <c r="J3831" s="5" t="s">
        <v>637</v>
      </c>
      <c r="K3831" s="5" t="s">
        <v>423</v>
      </c>
      <c r="L3831" s="6">
        <v>45694</v>
      </c>
      <c r="M3831" s="6">
        <v>45693</v>
      </c>
      <c r="N3831" s="6" t="s">
        <v>811</v>
      </c>
      <c r="O3831" s="5" t="str">
        <f ca="1">IF(P3831&lt;&gt;"EXPEDIÇÃO","Expedido",IF(NETWORKDAYS(C3831,TODAY())&gt;=5,"Risco Alto",IF(NETWORKDAYS(C3831,TODAY())&gt;=3,IF(NETWORKDAYS(C3831,TODAY())&lt;5,"Risco Médio",""),IF(NETWORKDAYS(C3831,TODAY())&lt;=2,"Risco Baixo",""))))</f>
        <v>Risco Médio</v>
      </c>
      <c r="P3831" s="5" t="s">
        <v>726</v>
      </c>
      <c r="S3831" s="7">
        <f>IF(ISBLANK(M3831),"Aguardando Previsão/Data",NETWORKDAYS(L3831,M3831)-1)</f>
        <v>-3</v>
      </c>
    </row>
    <row r="3832" spans="1:20" x14ac:dyDescent="0.35">
      <c r="A3832" s="5">
        <v>8100284620</v>
      </c>
      <c r="B3832" s="5">
        <v>13518</v>
      </c>
      <c r="C3832" s="6">
        <v>45685</v>
      </c>
      <c r="D3832" s="5" t="s">
        <v>91</v>
      </c>
      <c r="E3832" s="5" t="s">
        <v>92</v>
      </c>
      <c r="F3832" s="5" t="s">
        <v>103</v>
      </c>
      <c r="G3832" s="5" t="s">
        <v>104</v>
      </c>
      <c r="H3832" s="5" t="s">
        <v>21</v>
      </c>
      <c r="I3832" s="5" t="s">
        <v>1315</v>
      </c>
      <c r="J3832" s="5" t="s">
        <v>386</v>
      </c>
      <c r="K3832" s="5" t="s">
        <v>105</v>
      </c>
      <c r="L3832" s="6">
        <v>45699</v>
      </c>
      <c r="M3832" s="6">
        <v>45698</v>
      </c>
      <c r="N3832" s="6" t="s">
        <v>811</v>
      </c>
      <c r="O3832" s="5" t="str">
        <f ca="1">IF(P3832&lt;&gt;"EXPEDIÇÃO","Expedido",IF(NETWORKDAYS(C3832,TODAY())&gt;=5,"Risco Alto",IF(NETWORKDAYS(C3832,TODAY())&gt;=3,IF(NETWORKDAYS(C3832,TODAY())&lt;5,"Risco Médio",""),IF(NETWORKDAYS(C3832,TODAY())&lt;=2,"Risco Baixo",""))))</f>
        <v>Risco Médio</v>
      </c>
      <c r="P3832" s="5" t="s">
        <v>726</v>
      </c>
      <c r="S3832" s="7">
        <f>IF(ISBLANK(M3832),"Aguardando Previsão/Data",NETWORKDAYS(L3832,M3832)-1)</f>
        <v>-3</v>
      </c>
    </row>
    <row r="3833" spans="1:20" x14ac:dyDescent="0.35">
      <c r="A3833" s="5">
        <v>8100284627</v>
      </c>
      <c r="B3833" s="5">
        <v>13515</v>
      </c>
      <c r="C3833" s="6">
        <v>45685</v>
      </c>
      <c r="D3833" s="5" t="s">
        <v>91</v>
      </c>
      <c r="E3833" s="5" t="s">
        <v>92</v>
      </c>
      <c r="F3833" s="5" t="s">
        <v>96</v>
      </c>
      <c r="G3833" s="5" t="s">
        <v>97</v>
      </c>
      <c r="H3833" s="5" t="s">
        <v>21</v>
      </c>
      <c r="I3833" s="5" t="s">
        <v>1470</v>
      </c>
      <c r="J3833" s="5" t="s">
        <v>636</v>
      </c>
      <c r="K3833" s="5" t="s">
        <v>95</v>
      </c>
      <c r="L3833" s="6">
        <v>45692</v>
      </c>
      <c r="M3833" s="6">
        <v>45685</v>
      </c>
      <c r="N3833" s="6" t="s">
        <v>811</v>
      </c>
      <c r="O3833" s="5" t="str">
        <f ca="1">IF(P3833&lt;&gt;"EXPEDIÇÃO","Expedido",IF(NETWORKDAYS(C3833,TODAY())&gt;=5,"Risco Alto",IF(NETWORKDAYS(C3833,TODAY())&gt;=3,IF(NETWORKDAYS(C3833,TODAY())&lt;5,"Risco Médio",""),IF(NETWORKDAYS(C3833,TODAY())&lt;=2,"Risco Baixo",""))))</f>
        <v>Expedido</v>
      </c>
      <c r="P3833" s="5" t="s">
        <v>25</v>
      </c>
      <c r="Q3833" s="5" t="s">
        <v>824</v>
      </c>
      <c r="S3833" s="7">
        <f>IF(ISBLANK(M3833),"Aguardando Previsão/Data",NETWORKDAYS(L3833,M3833)-1)</f>
        <v>-7</v>
      </c>
      <c r="T3833" s="5" t="s">
        <v>942</v>
      </c>
    </row>
    <row r="3834" spans="1:20" x14ac:dyDescent="0.35">
      <c r="A3834" s="5">
        <v>8100284673</v>
      </c>
      <c r="B3834" s="5">
        <v>13514</v>
      </c>
      <c r="C3834" s="6">
        <v>45685</v>
      </c>
      <c r="D3834" s="5" t="s">
        <v>91</v>
      </c>
      <c r="E3834" s="5" t="s">
        <v>92</v>
      </c>
      <c r="F3834" s="5" t="s">
        <v>96</v>
      </c>
      <c r="G3834" s="5" t="s">
        <v>97</v>
      </c>
      <c r="H3834" s="5" t="s">
        <v>21</v>
      </c>
      <c r="I3834" s="5" t="s">
        <v>960</v>
      </c>
      <c r="J3834" s="5" t="s">
        <v>469</v>
      </c>
      <c r="K3834" s="5" t="s">
        <v>95</v>
      </c>
      <c r="L3834" s="6">
        <v>45692</v>
      </c>
      <c r="M3834" s="6">
        <v>45685</v>
      </c>
      <c r="N3834" s="6" t="s">
        <v>811</v>
      </c>
      <c r="O3834" s="5" t="str">
        <f ca="1">IF(P3834&lt;&gt;"EXPEDIÇÃO","Expedido",IF(NETWORKDAYS(C3834,TODAY())&gt;=5,"Risco Alto",IF(NETWORKDAYS(C3834,TODAY())&gt;=3,IF(NETWORKDAYS(C3834,TODAY())&lt;5,"Risco Médio",""),IF(NETWORKDAYS(C3834,TODAY())&lt;=2,"Risco Baixo",""))))</f>
        <v>Expedido</v>
      </c>
      <c r="P3834" s="5" t="s">
        <v>25</v>
      </c>
      <c r="Q3834" s="5" t="s">
        <v>824</v>
      </c>
      <c r="S3834" s="7">
        <f>IF(ISBLANK(M3834),"Aguardando Previsão/Data",NETWORKDAYS(L3834,M3834)-1)</f>
        <v>-7</v>
      </c>
      <c r="T3834" s="5" t="s">
        <v>942</v>
      </c>
    </row>
    <row r="3835" spans="1:20" x14ac:dyDescent="0.35">
      <c r="A3835" s="5">
        <v>8100284775</v>
      </c>
      <c r="B3835" s="5">
        <v>13523</v>
      </c>
      <c r="C3835" s="6">
        <v>45685</v>
      </c>
      <c r="D3835" s="5" t="s">
        <v>91</v>
      </c>
      <c r="E3835" s="5" t="s">
        <v>92</v>
      </c>
      <c r="F3835" s="5" t="s">
        <v>19</v>
      </c>
      <c r="G3835" s="5" t="s">
        <v>20</v>
      </c>
      <c r="H3835" s="5" t="s">
        <v>21</v>
      </c>
      <c r="I3835" s="5" t="s">
        <v>577</v>
      </c>
      <c r="J3835" s="5" t="s">
        <v>578</v>
      </c>
      <c r="K3835" s="5" t="s">
        <v>274</v>
      </c>
      <c r="L3835" s="6">
        <v>45694</v>
      </c>
      <c r="M3835" s="6">
        <v>45693</v>
      </c>
      <c r="N3835" s="6" t="s">
        <v>811</v>
      </c>
      <c r="O3835" s="5" t="str">
        <f ca="1">IF(P3835&lt;&gt;"EXPEDIÇÃO","Expedido",IF(NETWORKDAYS(C3835,TODAY())&gt;=5,"Risco Alto",IF(NETWORKDAYS(C3835,TODAY())&gt;=3,IF(NETWORKDAYS(C3835,TODAY())&lt;5,"Risco Médio",""),IF(NETWORKDAYS(C3835,TODAY())&lt;=2,"Risco Baixo",""))))</f>
        <v>Risco Médio</v>
      </c>
      <c r="P3835" s="5" t="s">
        <v>726</v>
      </c>
      <c r="S3835" s="7">
        <f>IF(ISBLANK(M3835),"Aguardando Previsão/Data",NETWORKDAYS(L3835,M3835)-1)</f>
        <v>-3</v>
      </c>
    </row>
    <row r="3836" spans="1:20" x14ac:dyDescent="0.35">
      <c r="A3836" s="5">
        <v>8100284776</v>
      </c>
      <c r="B3836" s="5">
        <v>13521</v>
      </c>
      <c r="C3836" s="6">
        <v>45685</v>
      </c>
      <c r="D3836" s="5" t="s">
        <v>91</v>
      </c>
      <c r="E3836" s="5" t="s">
        <v>92</v>
      </c>
      <c r="F3836" s="5" t="s">
        <v>19</v>
      </c>
      <c r="G3836" s="5" t="s">
        <v>20</v>
      </c>
      <c r="H3836" s="5" t="s">
        <v>21</v>
      </c>
      <c r="I3836" s="5" t="s">
        <v>808</v>
      </c>
      <c r="J3836" s="5" t="s">
        <v>273</v>
      </c>
      <c r="K3836" s="5" t="s">
        <v>274</v>
      </c>
      <c r="L3836" s="6">
        <v>45694</v>
      </c>
      <c r="M3836" s="6">
        <v>45693</v>
      </c>
      <c r="N3836" s="6" t="s">
        <v>811</v>
      </c>
      <c r="O3836" s="5" t="str">
        <f ca="1">IF(P3836&lt;&gt;"EXPEDIÇÃO","Expedido",IF(NETWORKDAYS(C3836,TODAY())&gt;=5,"Risco Alto",IF(NETWORKDAYS(C3836,TODAY())&gt;=3,IF(NETWORKDAYS(C3836,TODAY())&lt;5,"Risco Médio",""),IF(NETWORKDAYS(C3836,TODAY())&lt;=2,"Risco Baixo",""))))</f>
        <v>Expedido</v>
      </c>
      <c r="P3836" s="5" t="s">
        <v>617</v>
      </c>
      <c r="S3836" s="7">
        <f>IF(ISBLANK(M3836),"Aguardando Previsão/Data",NETWORKDAYS(L3836,M3836)-1)</f>
        <v>-3</v>
      </c>
    </row>
    <row r="3837" spans="1:20" x14ac:dyDescent="0.35">
      <c r="A3837" s="5">
        <v>8100284777</v>
      </c>
      <c r="B3837" s="5">
        <v>13520</v>
      </c>
      <c r="C3837" s="6">
        <v>45685</v>
      </c>
      <c r="D3837" s="5" t="s">
        <v>91</v>
      </c>
      <c r="E3837" s="5" t="s">
        <v>92</v>
      </c>
      <c r="F3837" s="5" t="s">
        <v>19</v>
      </c>
      <c r="G3837" s="5" t="s">
        <v>20</v>
      </c>
      <c r="H3837" s="5" t="s">
        <v>21</v>
      </c>
      <c r="I3837" s="5" t="s">
        <v>1171</v>
      </c>
      <c r="J3837" s="5" t="s">
        <v>273</v>
      </c>
      <c r="K3837" s="5" t="s">
        <v>274</v>
      </c>
      <c r="L3837" s="6">
        <v>45694</v>
      </c>
      <c r="M3837" s="6">
        <v>45693</v>
      </c>
      <c r="N3837" s="6" t="s">
        <v>811</v>
      </c>
      <c r="O3837" s="5" t="str">
        <f ca="1">IF(P3837&lt;&gt;"EXPEDIÇÃO","Expedido",IF(NETWORKDAYS(C3837,TODAY())&gt;=5,"Risco Alto",IF(NETWORKDAYS(C3837,TODAY())&gt;=3,IF(NETWORKDAYS(C3837,TODAY())&lt;5,"Risco Médio",""),IF(NETWORKDAYS(C3837,TODAY())&lt;=2,"Risco Baixo",""))))</f>
        <v>Expedido</v>
      </c>
      <c r="P3837" s="5" t="s">
        <v>617</v>
      </c>
      <c r="S3837" s="7">
        <f>IF(ISBLANK(M3837),"Aguardando Previsão/Data",NETWORKDAYS(L3837,M3837)-1)</f>
        <v>-3</v>
      </c>
    </row>
    <row r="3838" spans="1:20" x14ac:dyDescent="0.35">
      <c r="A3838" s="5">
        <v>8100284778</v>
      </c>
      <c r="B3838" s="5">
        <v>13530</v>
      </c>
      <c r="C3838" s="6">
        <v>45685</v>
      </c>
      <c r="D3838" s="5" t="s">
        <v>91</v>
      </c>
      <c r="E3838" s="5" t="s">
        <v>92</v>
      </c>
      <c r="F3838" s="5" t="s">
        <v>19</v>
      </c>
      <c r="G3838" s="5" t="s">
        <v>20</v>
      </c>
      <c r="H3838" s="5" t="s">
        <v>21</v>
      </c>
      <c r="I3838" s="5" t="s">
        <v>659</v>
      </c>
      <c r="J3838" s="5" t="s">
        <v>426</v>
      </c>
      <c r="K3838" s="5" t="s">
        <v>95</v>
      </c>
      <c r="L3838" s="6">
        <v>45692</v>
      </c>
      <c r="M3838" s="6">
        <v>45691</v>
      </c>
      <c r="N3838" s="6" t="s">
        <v>811</v>
      </c>
      <c r="O3838" s="5" t="str">
        <f ca="1">IF(P3838&lt;&gt;"EXPEDIÇÃO","Expedido",IF(NETWORKDAYS(C3838,TODAY())&gt;=5,"Risco Alto",IF(NETWORKDAYS(C3838,TODAY())&gt;=3,IF(NETWORKDAYS(C3838,TODAY())&lt;5,"Risco Médio",""),IF(NETWORKDAYS(C3838,TODAY())&lt;=2,"Risco Baixo",""))))</f>
        <v>Expedido</v>
      </c>
      <c r="P3838" s="5" t="s">
        <v>617</v>
      </c>
      <c r="S3838" s="7">
        <f>IF(ISBLANK(M3838),"Aguardando Previsão/Data",NETWORKDAYS(L3838,M3838)-1)</f>
        <v>-3</v>
      </c>
    </row>
    <row r="3839" spans="1:20" x14ac:dyDescent="0.35">
      <c r="A3839" s="5">
        <v>8100284779</v>
      </c>
      <c r="B3839" s="5">
        <v>13529</v>
      </c>
      <c r="C3839" s="6">
        <v>45685</v>
      </c>
      <c r="D3839" s="5" t="s">
        <v>91</v>
      </c>
      <c r="E3839" s="5" t="s">
        <v>92</v>
      </c>
      <c r="F3839" s="5" t="s">
        <v>19</v>
      </c>
      <c r="G3839" s="5" t="s">
        <v>20</v>
      </c>
      <c r="H3839" s="5" t="s">
        <v>21</v>
      </c>
      <c r="I3839" s="5" t="s">
        <v>659</v>
      </c>
      <c r="J3839" s="5" t="s">
        <v>426</v>
      </c>
      <c r="K3839" s="5" t="s">
        <v>95</v>
      </c>
      <c r="L3839" s="6">
        <v>45692</v>
      </c>
      <c r="M3839" s="6">
        <v>45691</v>
      </c>
      <c r="N3839" s="6" t="s">
        <v>811</v>
      </c>
      <c r="O3839" s="5" t="str">
        <f ca="1">IF(P3839&lt;&gt;"EXPEDIÇÃO","Expedido",IF(NETWORKDAYS(C3839,TODAY())&gt;=5,"Risco Alto",IF(NETWORKDAYS(C3839,TODAY())&gt;=3,IF(NETWORKDAYS(C3839,TODAY())&lt;5,"Risco Médio",""),IF(NETWORKDAYS(C3839,TODAY())&lt;=2,"Risco Baixo",""))))</f>
        <v>Expedido</v>
      </c>
      <c r="P3839" s="5" t="s">
        <v>617</v>
      </c>
      <c r="S3839" s="7">
        <f>IF(ISBLANK(M3839),"Aguardando Previsão/Data",NETWORKDAYS(L3839,M3839)-1)</f>
        <v>-3</v>
      </c>
    </row>
    <row r="3840" spans="1:20" x14ac:dyDescent="0.35">
      <c r="A3840" s="5">
        <v>8100284780</v>
      </c>
      <c r="B3840" s="5">
        <v>13528</v>
      </c>
      <c r="C3840" s="6">
        <v>45685</v>
      </c>
      <c r="D3840" s="5" t="s">
        <v>91</v>
      </c>
      <c r="E3840" s="5" t="s">
        <v>92</v>
      </c>
      <c r="F3840" s="5" t="s">
        <v>19</v>
      </c>
      <c r="G3840" s="5" t="s">
        <v>20</v>
      </c>
      <c r="H3840" s="5" t="s">
        <v>21</v>
      </c>
      <c r="I3840" s="5" t="s">
        <v>659</v>
      </c>
      <c r="J3840" s="5" t="s">
        <v>636</v>
      </c>
      <c r="K3840" s="5" t="s">
        <v>95</v>
      </c>
      <c r="L3840" s="6">
        <v>45692</v>
      </c>
      <c r="M3840" s="6">
        <v>45691</v>
      </c>
      <c r="N3840" s="6" t="s">
        <v>811</v>
      </c>
      <c r="O3840" s="5" t="str">
        <f ca="1">IF(P3840&lt;&gt;"EXPEDIÇÃO","Expedido",IF(NETWORKDAYS(C3840,TODAY())&gt;=5,"Risco Alto",IF(NETWORKDAYS(C3840,TODAY())&gt;=3,IF(NETWORKDAYS(C3840,TODAY())&lt;5,"Risco Médio",""),IF(NETWORKDAYS(C3840,TODAY())&lt;=2,"Risco Baixo",""))))</f>
        <v>Expedido</v>
      </c>
      <c r="P3840" s="5" t="s">
        <v>617</v>
      </c>
      <c r="S3840" s="7">
        <f>IF(ISBLANK(M3840),"Aguardando Previsão/Data",NETWORKDAYS(L3840,M3840)-1)</f>
        <v>-3</v>
      </c>
    </row>
    <row r="3841" spans="1:20" x14ac:dyDescent="0.35">
      <c r="A3841" s="5">
        <v>8100284781</v>
      </c>
      <c r="B3841" s="5">
        <v>13532</v>
      </c>
      <c r="C3841" s="6">
        <v>45685</v>
      </c>
      <c r="D3841" s="5" t="s">
        <v>91</v>
      </c>
      <c r="E3841" s="5" t="s">
        <v>92</v>
      </c>
      <c r="F3841" s="5" t="s">
        <v>96</v>
      </c>
      <c r="G3841" s="5" t="s">
        <v>97</v>
      </c>
      <c r="H3841" s="5" t="s">
        <v>21</v>
      </c>
      <c r="I3841" s="5" t="s">
        <v>201</v>
      </c>
      <c r="J3841" s="5" t="s">
        <v>387</v>
      </c>
      <c r="K3841" s="5" t="s">
        <v>101</v>
      </c>
      <c r="L3841" s="6">
        <v>45694</v>
      </c>
      <c r="M3841" s="6">
        <v>45693</v>
      </c>
      <c r="N3841" s="6" t="s">
        <v>811</v>
      </c>
      <c r="O3841" s="5" t="str">
        <f ca="1">IF(P3841&lt;&gt;"EXPEDIÇÃO","Expedido",IF(NETWORKDAYS(C3841,TODAY())&gt;=5,"Risco Alto",IF(NETWORKDAYS(C3841,TODAY())&gt;=3,IF(NETWORKDAYS(C3841,TODAY())&lt;5,"Risco Médio",""),IF(NETWORKDAYS(C3841,TODAY())&lt;=2,"Risco Baixo",""))))</f>
        <v>Risco Médio</v>
      </c>
      <c r="P3841" s="5" t="s">
        <v>726</v>
      </c>
      <c r="S3841" s="7">
        <f>IF(ISBLANK(M3841),"Aguardando Previsão/Data",NETWORKDAYS(L3841,M3841)-1)</f>
        <v>-3</v>
      </c>
    </row>
    <row r="3842" spans="1:20" x14ac:dyDescent="0.35">
      <c r="A3842" s="5">
        <v>8100284791</v>
      </c>
      <c r="B3842" s="5">
        <v>13522</v>
      </c>
      <c r="C3842" s="6">
        <v>45685</v>
      </c>
      <c r="D3842" s="5" t="s">
        <v>91</v>
      </c>
      <c r="E3842" s="5" t="s">
        <v>92</v>
      </c>
      <c r="F3842" s="5" t="s">
        <v>96</v>
      </c>
      <c r="G3842" s="5" t="s">
        <v>97</v>
      </c>
      <c r="H3842" s="5" t="s">
        <v>21</v>
      </c>
      <c r="I3842" s="5" t="s">
        <v>1272</v>
      </c>
      <c r="J3842" s="5" t="s">
        <v>470</v>
      </c>
      <c r="K3842" s="5" t="s">
        <v>101</v>
      </c>
      <c r="L3842" s="6">
        <v>45694</v>
      </c>
      <c r="M3842" s="6">
        <v>45693</v>
      </c>
      <c r="N3842" s="6" t="s">
        <v>811</v>
      </c>
      <c r="O3842" s="5" t="str">
        <f ca="1">IF(P3842&lt;&gt;"EXPEDIÇÃO","Expedido",IF(NETWORKDAYS(C3842,TODAY())&gt;=5,"Risco Alto",IF(NETWORKDAYS(C3842,TODAY())&gt;=3,IF(NETWORKDAYS(C3842,TODAY())&lt;5,"Risco Médio",""),IF(NETWORKDAYS(C3842,TODAY())&lt;=2,"Risco Baixo",""))))</f>
        <v>Risco Médio</v>
      </c>
      <c r="P3842" s="5" t="s">
        <v>726</v>
      </c>
      <c r="S3842" s="7">
        <f>IF(ISBLANK(M3842),"Aguardando Previsão/Data",NETWORKDAYS(L3842,M3842)-1)</f>
        <v>-3</v>
      </c>
    </row>
    <row r="3843" spans="1:20" x14ac:dyDescent="0.35">
      <c r="A3843" s="5">
        <v>8100284864</v>
      </c>
      <c r="B3843" s="5">
        <v>13524</v>
      </c>
      <c r="C3843" s="6">
        <v>45685</v>
      </c>
      <c r="D3843" s="5" t="s">
        <v>91</v>
      </c>
      <c r="E3843" s="5" t="s">
        <v>92</v>
      </c>
      <c r="F3843" s="5" t="s">
        <v>58</v>
      </c>
      <c r="G3843" s="5" t="s">
        <v>59</v>
      </c>
      <c r="H3843" s="5" t="s">
        <v>21</v>
      </c>
      <c r="I3843" s="5" t="s">
        <v>237</v>
      </c>
      <c r="J3843" s="5" t="s">
        <v>275</v>
      </c>
      <c r="K3843" s="5" t="s">
        <v>95</v>
      </c>
      <c r="L3843" s="6">
        <v>45698</v>
      </c>
      <c r="M3843" s="6">
        <v>45695</v>
      </c>
      <c r="N3843" s="6" t="s">
        <v>811</v>
      </c>
      <c r="O3843" s="5" t="str">
        <f ca="1">IF(P3843&lt;&gt;"EXPEDIÇÃO","Expedido",IF(NETWORKDAYS(C3843,TODAY())&gt;=5,"Risco Alto",IF(NETWORKDAYS(C3843,TODAY())&gt;=3,IF(NETWORKDAYS(C3843,TODAY())&lt;5,"Risco Médio",""),IF(NETWORKDAYS(C3843,TODAY())&lt;=2,"Risco Baixo",""))))</f>
        <v>Risco Médio</v>
      </c>
      <c r="P3843" s="5" t="s">
        <v>726</v>
      </c>
      <c r="S3843" s="7">
        <f>IF(ISBLANK(M3843),"Aguardando Previsão/Data",NETWORKDAYS(L3843,M3843)-1)</f>
        <v>-3</v>
      </c>
    </row>
    <row r="3844" spans="1:20" x14ac:dyDescent="0.35">
      <c r="A3844" s="5">
        <v>8100284866</v>
      </c>
      <c r="B3844" s="5">
        <v>13536</v>
      </c>
      <c r="C3844" s="6">
        <v>45685</v>
      </c>
      <c r="D3844" s="5" t="s">
        <v>91</v>
      </c>
      <c r="E3844" s="5" t="s">
        <v>92</v>
      </c>
      <c r="F3844" s="5" t="s">
        <v>66</v>
      </c>
      <c r="G3844" s="5" t="s">
        <v>67</v>
      </c>
      <c r="H3844" s="5" t="s">
        <v>21</v>
      </c>
      <c r="I3844" s="5" t="s">
        <v>388</v>
      </c>
      <c r="J3844" s="5" t="s">
        <v>389</v>
      </c>
      <c r="K3844" s="5" t="s">
        <v>95</v>
      </c>
      <c r="L3844" s="6">
        <v>45698</v>
      </c>
      <c r="M3844" s="6">
        <v>45695</v>
      </c>
      <c r="N3844" s="6" t="s">
        <v>811</v>
      </c>
      <c r="O3844" s="5" t="str">
        <f ca="1">IF(P3844&lt;&gt;"EXPEDIÇÃO","Expedido",IF(NETWORKDAYS(C3844,TODAY())&gt;=5,"Risco Alto",IF(NETWORKDAYS(C3844,TODAY())&gt;=3,IF(NETWORKDAYS(C3844,TODAY())&lt;5,"Risco Médio",""),IF(NETWORKDAYS(C3844,TODAY())&lt;=2,"Risco Baixo",""))))</f>
        <v>Risco Médio</v>
      </c>
      <c r="P3844" s="5" t="s">
        <v>726</v>
      </c>
      <c r="S3844" s="7">
        <f>IF(ISBLANK(M3844),"Aguardando Previsão/Data",NETWORKDAYS(L3844,M3844)-1)</f>
        <v>-3</v>
      </c>
    </row>
    <row r="3845" spans="1:20" x14ac:dyDescent="0.35">
      <c r="A3845" s="5">
        <v>8100284867</v>
      </c>
      <c r="B3845" s="5">
        <v>13537</v>
      </c>
      <c r="C3845" s="6">
        <v>45685</v>
      </c>
      <c r="D3845" s="5" t="s">
        <v>91</v>
      </c>
      <c r="E3845" s="5" t="s">
        <v>92</v>
      </c>
      <c r="F3845" s="5" t="s">
        <v>66</v>
      </c>
      <c r="G3845" s="5" t="s">
        <v>67</v>
      </c>
      <c r="H3845" s="5" t="s">
        <v>21</v>
      </c>
      <c r="I3845" s="5" t="s">
        <v>388</v>
      </c>
      <c r="J3845" s="5" t="s">
        <v>389</v>
      </c>
      <c r="K3845" s="5" t="s">
        <v>95</v>
      </c>
      <c r="L3845" s="6">
        <v>45698</v>
      </c>
      <c r="M3845" s="6">
        <v>45695</v>
      </c>
      <c r="N3845" s="6" t="s">
        <v>811</v>
      </c>
      <c r="O3845" s="5" t="str">
        <f ca="1">IF(P3845&lt;&gt;"EXPEDIÇÃO","Expedido",IF(NETWORKDAYS(C3845,TODAY())&gt;=5,"Risco Alto",IF(NETWORKDAYS(C3845,TODAY())&gt;=3,IF(NETWORKDAYS(C3845,TODAY())&lt;5,"Risco Médio",""),IF(NETWORKDAYS(C3845,TODAY())&lt;=2,"Risco Baixo",""))))</f>
        <v>Risco Médio</v>
      </c>
      <c r="P3845" s="5" t="s">
        <v>726</v>
      </c>
      <c r="S3845" s="7">
        <f>IF(ISBLANK(M3845),"Aguardando Previsão/Data",NETWORKDAYS(L3845,M3845)-1)</f>
        <v>-3</v>
      </c>
    </row>
    <row r="3846" spans="1:20" x14ac:dyDescent="0.35">
      <c r="A3846" s="5">
        <v>8100284969</v>
      </c>
      <c r="B3846" s="5">
        <v>13539</v>
      </c>
      <c r="C3846" s="6">
        <v>45685</v>
      </c>
      <c r="D3846" s="5" t="s">
        <v>91</v>
      </c>
      <c r="E3846" s="5" t="s">
        <v>92</v>
      </c>
      <c r="F3846" s="5" t="s">
        <v>96</v>
      </c>
      <c r="G3846" s="5" t="s">
        <v>97</v>
      </c>
      <c r="H3846" s="5" t="s">
        <v>21</v>
      </c>
      <c r="I3846" s="5" t="s">
        <v>750</v>
      </c>
      <c r="J3846" s="5" t="s">
        <v>426</v>
      </c>
      <c r="K3846" s="5" t="s">
        <v>95</v>
      </c>
      <c r="L3846" s="6">
        <v>45692</v>
      </c>
      <c r="M3846" s="6">
        <v>45691</v>
      </c>
      <c r="N3846" s="6" t="s">
        <v>811</v>
      </c>
      <c r="O3846" s="5" t="str">
        <f ca="1">IF(P3846&lt;&gt;"EXPEDIÇÃO","Expedido",IF(NETWORKDAYS(C3846,TODAY())&gt;=5,"Risco Alto",IF(NETWORKDAYS(C3846,TODAY())&gt;=3,IF(NETWORKDAYS(C3846,TODAY())&lt;5,"Risco Médio",""),IF(NETWORKDAYS(C3846,TODAY())&lt;=2,"Risco Baixo",""))))</f>
        <v>Expedido</v>
      </c>
      <c r="P3846" s="5" t="s">
        <v>617</v>
      </c>
      <c r="S3846" s="7">
        <f>IF(ISBLANK(M3846),"Aguardando Previsão/Data",NETWORKDAYS(L3846,M3846)-1)</f>
        <v>-3</v>
      </c>
    </row>
    <row r="3847" spans="1:20" x14ac:dyDescent="0.35">
      <c r="A3847" s="5">
        <v>8100284970</v>
      </c>
      <c r="B3847" s="5">
        <v>13543</v>
      </c>
      <c r="C3847" s="6">
        <v>45685</v>
      </c>
      <c r="D3847" s="5" t="s">
        <v>91</v>
      </c>
      <c r="E3847" s="5" t="s">
        <v>92</v>
      </c>
      <c r="F3847" s="5" t="s">
        <v>96</v>
      </c>
      <c r="G3847" s="5" t="s">
        <v>97</v>
      </c>
      <c r="H3847" s="5" t="s">
        <v>21</v>
      </c>
      <c r="I3847" s="5" t="s">
        <v>750</v>
      </c>
      <c r="J3847" s="5" t="s">
        <v>636</v>
      </c>
      <c r="K3847" s="5" t="s">
        <v>95</v>
      </c>
      <c r="L3847" s="6">
        <v>45692</v>
      </c>
      <c r="M3847" s="6">
        <v>45691</v>
      </c>
      <c r="N3847" s="6" t="s">
        <v>811</v>
      </c>
      <c r="O3847" s="5" t="str">
        <f ca="1">IF(P3847&lt;&gt;"EXPEDIÇÃO","Expedido",IF(NETWORKDAYS(C3847,TODAY())&gt;=5,"Risco Alto",IF(NETWORKDAYS(C3847,TODAY())&gt;=3,IF(NETWORKDAYS(C3847,TODAY())&lt;5,"Risco Médio",""),IF(NETWORKDAYS(C3847,TODAY())&lt;=2,"Risco Baixo",""))))</f>
        <v>Expedido</v>
      </c>
      <c r="P3847" s="5" t="s">
        <v>617</v>
      </c>
      <c r="S3847" s="7">
        <f>IF(ISBLANK(M3847),"Aguardando Previsão/Data",NETWORKDAYS(L3847,M3847)-1)</f>
        <v>-3</v>
      </c>
    </row>
    <row r="3848" spans="1:20" x14ac:dyDescent="0.35">
      <c r="A3848" s="5">
        <v>8100284971</v>
      </c>
      <c r="B3848" s="5">
        <v>13541</v>
      </c>
      <c r="C3848" s="6">
        <v>45685</v>
      </c>
      <c r="D3848" s="5" t="s">
        <v>91</v>
      </c>
      <c r="E3848" s="5" t="s">
        <v>92</v>
      </c>
      <c r="F3848" s="5" t="s">
        <v>96</v>
      </c>
      <c r="G3848" s="5" t="s">
        <v>97</v>
      </c>
      <c r="H3848" s="5" t="s">
        <v>21</v>
      </c>
      <c r="I3848" s="5" t="s">
        <v>910</v>
      </c>
      <c r="J3848" s="5" t="s">
        <v>636</v>
      </c>
      <c r="K3848" s="5" t="s">
        <v>95</v>
      </c>
      <c r="L3848" s="6">
        <v>45692</v>
      </c>
      <c r="M3848" s="6">
        <v>45691</v>
      </c>
      <c r="N3848" s="6" t="s">
        <v>811</v>
      </c>
      <c r="O3848" s="5" t="str">
        <f ca="1">IF(P3848&lt;&gt;"EXPEDIÇÃO","Expedido",IF(NETWORKDAYS(C3848,TODAY())&gt;=5,"Risco Alto",IF(NETWORKDAYS(C3848,TODAY())&gt;=3,IF(NETWORKDAYS(C3848,TODAY())&lt;5,"Risco Médio",""),IF(NETWORKDAYS(C3848,TODAY())&lt;=2,"Risco Baixo",""))))</f>
        <v>Expedido</v>
      </c>
      <c r="P3848" s="5" t="s">
        <v>617</v>
      </c>
      <c r="S3848" s="7">
        <f>IF(ISBLANK(M3848),"Aguardando Previsão/Data",NETWORKDAYS(L3848,M3848)-1)</f>
        <v>-3</v>
      </c>
    </row>
    <row r="3849" spans="1:20" x14ac:dyDescent="0.35">
      <c r="A3849" s="5">
        <v>8100284972</v>
      </c>
      <c r="B3849" s="5">
        <v>13542</v>
      </c>
      <c r="C3849" s="6">
        <v>45685</v>
      </c>
      <c r="D3849" s="5" t="s">
        <v>91</v>
      </c>
      <c r="E3849" s="5" t="s">
        <v>92</v>
      </c>
      <c r="F3849" s="5" t="s">
        <v>96</v>
      </c>
      <c r="G3849" s="5" t="s">
        <v>97</v>
      </c>
      <c r="H3849" s="5" t="s">
        <v>21</v>
      </c>
      <c r="I3849" s="5" t="s">
        <v>1025</v>
      </c>
      <c r="J3849" s="5" t="s">
        <v>636</v>
      </c>
      <c r="K3849" s="5" t="s">
        <v>95</v>
      </c>
      <c r="L3849" s="6">
        <v>45692</v>
      </c>
      <c r="M3849" s="6">
        <v>45691</v>
      </c>
      <c r="N3849" s="6" t="s">
        <v>811</v>
      </c>
      <c r="O3849" s="5" t="str">
        <f ca="1">IF(P3849&lt;&gt;"EXPEDIÇÃO","Expedido",IF(NETWORKDAYS(C3849,TODAY())&gt;=5,"Risco Alto",IF(NETWORKDAYS(C3849,TODAY())&gt;=3,IF(NETWORKDAYS(C3849,TODAY())&lt;5,"Risco Médio",""),IF(NETWORKDAYS(C3849,TODAY())&lt;=2,"Risco Baixo",""))))</f>
        <v>Expedido</v>
      </c>
      <c r="P3849" s="5" t="s">
        <v>617</v>
      </c>
      <c r="S3849" s="7">
        <f>IF(ISBLANK(M3849),"Aguardando Previsão/Data",NETWORKDAYS(L3849,M3849)-1)</f>
        <v>-3</v>
      </c>
    </row>
    <row r="3850" spans="1:20" x14ac:dyDescent="0.35">
      <c r="A3850" s="5">
        <v>8100285068</v>
      </c>
      <c r="B3850" s="5">
        <v>13540</v>
      </c>
      <c r="C3850" s="6">
        <v>45685</v>
      </c>
      <c r="D3850" s="5" t="s">
        <v>91</v>
      </c>
      <c r="E3850" s="5" t="s">
        <v>92</v>
      </c>
      <c r="F3850" s="5" t="s">
        <v>96</v>
      </c>
      <c r="G3850" s="5" t="s">
        <v>97</v>
      </c>
      <c r="H3850" s="5" t="s">
        <v>21</v>
      </c>
      <c r="I3850" s="5" t="s">
        <v>745</v>
      </c>
      <c r="J3850" s="5" t="s">
        <v>746</v>
      </c>
      <c r="K3850" s="5" t="s">
        <v>101</v>
      </c>
      <c r="L3850" s="6">
        <v>45695</v>
      </c>
      <c r="M3850" s="6">
        <v>45694</v>
      </c>
      <c r="N3850" s="6" t="s">
        <v>811</v>
      </c>
      <c r="O3850" s="5" t="str">
        <f ca="1">IF(P3850&lt;&gt;"EXPEDIÇÃO","Expedido",IF(NETWORKDAYS(C3850,TODAY())&gt;=5,"Risco Alto",IF(NETWORKDAYS(C3850,TODAY())&gt;=3,IF(NETWORKDAYS(C3850,TODAY())&lt;5,"Risco Médio",""),IF(NETWORKDAYS(C3850,TODAY())&lt;=2,"Risco Baixo",""))))</f>
        <v>Risco Médio</v>
      </c>
      <c r="P3850" s="5" t="s">
        <v>726</v>
      </c>
      <c r="S3850" s="7">
        <f>IF(ISBLANK(M3850),"Aguardando Previsão/Data",NETWORKDAYS(L3850,M3850)-1)</f>
        <v>-3</v>
      </c>
    </row>
    <row r="3851" spans="1:20" x14ac:dyDescent="0.35">
      <c r="A3851" s="5">
        <v>8100285069</v>
      </c>
      <c r="B3851" s="5">
        <v>13548</v>
      </c>
      <c r="C3851" s="6">
        <v>45685</v>
      </c>
      <c r="D3851" s="5" t="s">
        <v>91</v>
      </c>
      <c r="E3851" s="5" t="s">
        <v>92</v>
      </c>
      <c r="F3851" s="5" t="s">
        <v>96</v>
      </c>
      <c r="G3851" s="5" t="s">
        <v>97</v>
      </c>
      <c r="H3851" s="5" t="s">
        <v>21</v>
      </c>
      <c r="I3851" s="5" t="s">
        <v>22</v>
      </c>
      <c r="J3851" s="5" t="s">
        <v>99</v>
      </c>
      <c r="K3851" s="5" t="s">
        <v>95</v>
      </c>
      <c r="L3851" s="6">
        <v>45691</v>
      </c>
      <c r="M3851" s="6">
        <v>45685</v>
      </c>
      <c r="N3851" s="6" t="s">
        <v>811</v>
      </c>
      <c r="O3851" s="5" t="str">
        <f ca="1">IF(P3851&lt;&gt;"EXPEDIÇÃO","Expedido",IF(NETWORKDAYS(C3851,TODAY())&gt;=5,"Risco Alto",IF(NETWORKDAYS(C3851,TODAY())&gt;=3,IF(NETWORKDAYS(C3851,TODAY())&lt;5,"Risco Médio",""),IF(NETWORKDAYS(C3851,TODAY())&lt;=2,"Risco Baixo",""))))</f>
        <v>Expedido</v>
      </c>
      <c r="P3851" s="5" t="s">
        <v>25</v>
      </c>
      <c r="Q3851" s="5" t="s">
        <v>900</v>
      </c>
      <c r="S3851" s="7">
        <f>IF(ISBLANK(M3851),"Aguardando Previsão/Data",NETWORKDAYS(L3851,M3851)-1)</f>
        <v>-6</v>
      </c>
      <c r="T3851" s="5" t="s">
        <v>942</v>
      </c>
    </row>
    <row r="3852" spans="1:20" x14ac:dyDescent="0.35">
      <c r="A3852" s="5">
        <v>8100285070</v>
      </c>
      <c r="B3852" s="5">
        <v>13538</v>
      </c>
      <c r="C3852" s="6">
        <v>45685</v>
      </c>
      <c r="D3852" s="5" t="s">
        <v>91</v>
      </c>
      <c r="E3852" s="5" t="s">
        <v>92</v>
      </c>
      <c r="F3852" s="5" t="s">
        <v>66</v>
      </c>
      <c r="G3852" s="5" t="s">
        <v>67</v>
      </c>
      <c r="H3852" s="5" t="s">
        <v>21</v>
      </c>
      <c r="I3852" s="5" t="s">
        <v>935</v>
      </c>
      <c r="J3852" s="5" t="s">
        <v>389</v>
      </c>
      <c r="K3852" s="5" t="s">
        <v>95</v>
      </c>
      <c r="L3852" s="6">
        <v>45698</v>
      </c>
      <c r="M3852" s="6">
        <v>45695</v>
      </c>
      <c r="N3852" s="6" t="s">
        <v>811</v>
      </c>
      <c r="O3852" s="5" t="str">
        <f ca="1">IF(P3852&lt;&gt;"EXPEDIÇÃO","Expedido",IF(NETWORKDAYS(C3852,TODAY())&gt;=5,"Risco Alto",IF(NETWORKDAYS(C3852,TODAY())&gt;=3,IF(NETWORKDAYS(C3852,TODAY())&lt;5,"Risco Médio",""),IF(NETWORKDAYS(C3852,TODAY())&lt;=2,"Risco Baixo",""))))</f>
        <v>Risco Médio</v>
      </c>
      <c r="P3852" s="5" t="s">
        <v>726</v>
      </c>
      <c r="S3852" s="7">
        <f>IF(ISBLANK(M3852),"Aguardando Previsão/Data",NETWORKDAYS(L3852,M3852)-1)</f>
        <v>-3</v>
      </c>
    </row>
    <row r="3853" spans="1:20" x14ac:dyDescent="0.35">
      <c r="A3853" s="5">
        <v>8100285072</v>
      </c>
      <c r="B3853" s="5">
        <v>13544</v>
      </c>
      <c r="C3853" s="6">
        <v>45685</v>
      </c>
      <c r="D3853" s="5" t="s">
        <v>91</v>
      </c>
      <c r="E3853" s="5" t="s">
        <v>92</v>
      </c>
      <c r="F3853" s="5" t="s">
        <v>96</v>
      </c>
      <c r="G3853" s="5" t="s">
        <v>97</v>
      </c>
      <c r="H3853" s="5" t="s">
        <v>21</v>
      </c>
      <c r="I3853" s="5" t="s">
        <v>443</v>
      </c>
      <c r="J3853" s="5" t="s">
        <v>99</v>
      </c>
      <c r="K3853" s="5" t="s">
        <v>95</v>
      </c>
      <c r="L3853" s="6">
        <v>45691</v>
      </c>
      <c r="M3853" s="6">
        <v>45688</v>
      </c>
      <c r="N3853" s="6" t="s">
        <v>811</v>
      </c>
      <c r="O3853" s="5" t="str">
        <f ca="1">IF(P3853&lt;&gt;"EXPEDIÇÃO","Expedido",IF(NETWORKDAYS(C3853,TODAY())&gt;=5,"Risco Alto",IF(NETWORKDAYS(C3853,TODAY())&gt;=3,IF(NETWORKDAYS(C3853,TODAY())&lt;5,"Risco Médio",""),IF(NETWORKDAYS(C3853,TODAY())&lt;=2,"Risco Baixo",""))))</f>
        <v>Expedido</v>
      </c>
      <c r="P3853" s="5" t="s">
        <v>617</v>
      </c>
      <c r="S3853" s="7">
        <f>IF(ISBLANK(M3853),"Aguardando Previsão/Data",NETWORKDAYS(L3853,M3853)-1)</f>
        <v>-3</v>
      </c>
    </row>
    <row r="3854" spans="1:20" x14ac:dyDescent="0.35">
      <c r="A3854" s="5">
        <v>8100285073</v>
      </c>
      <c r="B3854" s="5">
        <v>13545</v>
      </c>
      <c r="C3854" s="6">
        <v>45685</v>
      </c>
      <c r="D3854" s="5" t="s">
        <v>91</v>
      </c>
      <c r="E3854" s="5" t="s">
        <v>92</v>
      </c>
      <c r="F3854" s="5" t="s">
        <v>96</v>
      </c>
      <c r="G3854" s="5" t="s">
        <v>97</v>
      </c>
      <c r="H3854" s="5" t="s">
        <v>21</v>
      </c>
      <c r="I3854" s="5" t="s">
        <v>443</v>
      </c>
      <c r="J3854" s="5" t="s">
        <v>99</v>
      </c>
      <c r="K3854" s="5" t="s">
        <v>95</v>
      </c>
      <c r="L3854" s="6">
        <v>45691</v>
      </c>
      <c r="M3854" s="6">
        <v>45688</v>
      </c>
      <c r="N3854" s="6" t="s">
        <v>811</v>
      </c>
      <c r="O3854" s="5" t="str">
        <f ca="1">IF(P3854&lt;&gt;"EXPEDIÇÃO","Expedido",IF(NETWORKDAYS(C3854,TODAY())&gt;=5,"Risco Alto",IF(NETWORKDAYS(C3854,TODAY())&gt;=3,IF(NETWORKDAYS(C3854,TODAY())&lt;5,"Risco Médio",""),IF(NETWORKDAYS(C3854,TODAY())&lt;=2,"Risco Baixo",""))))</f>
        <v>Expedido</v>
      </c>
      <c r="P3854" s="5" t="s">
        <v>617</v>
      </c>
      <c r="S3854" s="7">
        <f>IF(ISBLANK(M3854),"Aguardando Previsão/Data",NETWORKDAYS(L3854,M3854)-1)</f>
        <v>-3</v>
      </c>
    </row>
    <row r="3855" spans="1:20" x14ac:dyDescent="0.35">
      <c r="A3855" s="5">
        <v>8100285074</v>
      </c>
      <c r="B3855" s="5">
        <v>13546</v>
      </c>
      <c r="C3855" s="6">
        <v>45685</v>
      </c>
      <c r="D3855" s="5" t="s">
        <v>91</v>
      </c>
      <c r="E3855" s="5" t="s">
        <v>92</v>
      </c>
      <c r="F3855" s="5" t="s">
        <v>96</v>
      </c>
      <c r="G3855" s="5" t="s">
        <v>97</v>
      </c>
      <c r="H3855" s="5" t="s">
        <v>21</v>
      </c>
      <c r="I3855" s="5" t="s">
        <v>98</v>
      </c>
      <c r="J3855" s="5" t="s">
        <v>99</v>
      </c>
      <c r="K3855" s="5" t="s">
        <v>95</v>
      </c>
      <c r="L3855" s="6">
        <v>45691</v>
      </c>
      <c r="M3855" s="6">
        <v>45688</v>
      </c>
      <c r="N3855" s="6" t="s">
        <v>811</v>
      </c>
      <c r="O3855" s="5" t="str">
        <f ca="1">IF(P3855&lt;&gt;"EXPEDIÇÃO","Expedido",IF(NETWORKDAYS(C3855,TODAY())&gt;=5,"Risco Alto",IF(NETWORKDAYS(C3855,TODAY())&gt;=3,IF(NETWORKDAYS(C3855,TODAY())&lt;5,"Risco Médio",""),IF(NETWORKDAYS(C3855,TODAY())&lt;=2,"Risco Baixo",""))))</f>
        <v>Expedido</v>
      </c>
      <c r="P3855" s="5" t="s">
        <v>617</v>
      </c>
      <c r="S3855" s="7">
        <f>IF(ISBLANK(M3855),"Aguardando Previsão/Data",NETWORKDAYS(L3855,M3855)-1)</f>
        <v>-3</v>
      </c>
    </row>
    <row r="3856" spans="1:20" x14ac:dyDescent="0.35">
      <c r="A3856" s="5">
        <v>8100285075</v>
      </c>
      <c r="B3856" s="5">
        <v>13547</v>
      </c>
      <c r="C3856" s="6">
        <v>45685</v>
      </c>
      <c r="D3856" s="5" t="s">
        <v>91</v>
      </c>
      <c r="E3856" s="5" t="s">
        <v>92</v>
      </c>
      <c r="F3856" s="5" t="s">
        <v>96</v>
      </c>
      <c r="G3856" s="5" t="s">
        <v>97</v>
      </c>
      <c r="H3856" s="5" t="s">
        <v>21</v>
      </c>
      <c r="I3856" s="5" t="s">
        <v>98</v>
      </c>
      <c r="J3856" s="5" t="s">
        <v>99</v>
      </c>
      <c r="K3856" s="5" t="s">
        <v>95</v>
      </c>
      <c r="L3856" s="6">
        <v>45691</v>
      </c>
      <c r="M3856" s="6">
        <v>45688</v>
      </c>
      <c r="N3856" s="6" t="s">
        <v>811</v>
      </c>
      <c r="O3856" s="5" t="str">
        <f ca="1">IF(P3856&lt;&gt;"EXPEDIÇÃO","Expedido",IF(NETWORKDAYS(C3856,TODAY())&gt;=5,"Risco Alto",IF(NETWORKDAYS(C3856,TODAY())&gt;=3,IF(NETWORKDAYS(C3856,TODAY())&lt;5,"Risco Médio",""),IF(NETWORKDAYS(C3856,TODAY())&lt;=2,"Risco Baixo",""))))</f>
        <v>Expedido</v>
      </c>
      <c r="P3856" s="5" t="s">
        <v>617</v>
      </c>
      <c r="S3856" s="7">
        <f>IF(ISBLANK(M3856),"Aguardando Previsão/Data",NETWORKDAYS(L3856,M3856)-1)</f>
        <v>-3</v>
      </c>
    </row>
    <row r="3857" spans="1:20" x14ac:dyDescent="0.35">
      <c r="A3857" s="5">
        <v>8100285076</v>
      </c>
      <c r="B3857" s="5">
        <v>13549</v>
      </c>
      <c r="C3857" s="6">
        <v>45685</v>
      </c>
      <c r="D3857" s="5" t="s">
        <v>91</v>
      </c>
      <c r="E3857" s="5" t="s">
        <v>92</v>
      </c>
      <c r="F3857" s="5" t="s">
        <v>96</v>
      </c>
      <c r="G3857" s="5" t="s">
        <v>97</v>
      </c>
      <c r="H3857" s="5" t="s">
        <v>21</v>
      </c>
      <c r="I3857" s="5" t="s">
        <v>745</v>
      </c>
      <c r="J3857" s="5" t="s">
        <v>746</v>
      </c>
      <c r="K3857" s="5" t="s">
        <v>101</v>
      </c>
      <c r="L3857" s="6">
        <v>45695</v>
      </c>
      <c r="M3857" s="6">
        <v>45694</v>
      </c>
      <c r="N3857" s="6" t="s">
        <v>811</v>
      </c>
      <c r="O3857" s="5" t="str">
        <f ca="1">IF(P3857&lt;&gt;"EXPEDIÇÃO","Expedido",IF(NETWORKDAYS(C3857,TODAY())&gt;=5,"Risco Alto",IF(NETWORKDAYS(C3857,TODAY())&gt;=3,IF(NETWORKDAYS(C3857,TODAY())&lt;5,"Risco Médio",""),IF(NETWORKDAYS(C3857,TODAY())&lt;=2,"Risco Baixo",""))))</f>
        <v>Risco Médio</v>
      </c>
      <c r="P3857" s="5" t="s">
        <v>726</v>
      </c>
      <c r="S3857" s="7">
        <f>IF(ISBLANK(M3857),"Aguardando Previsão/Data",NETWORKDAYS(L3857,M3857)-1)</f>
        <v>-3</v>
      </c>
    </row>
    <row r="3858" spans="1:20" x14ac:dyDescent="0.35">
      <c r="A3858" s="5">
        <v>8100284438</v>
      </c>
      <c r="B3858" s="5">
        <v>21724</v>
      </c>
      <c r="C3858" s="6">
        <v>45685</v>
      </c>
      <c r="D3858" s="5" t="s">
        <v>836</v>
      </c>
      <c r="E3858" s="5" t="s">
        <v>837</v>
      </c>
      <c r="F3858" s="5" t="s">
        <v>84</v>
      </c>
      <c r="G3858" s="5" t="s">
        <v>85</v>
      </c>
      <c r="H3858" s="5" t="s">
        <v>21</v>
      </c>
      <c r="I3858" s="5" t="s">
        <v>822</v>
      </c>
      <c r="J3858" s="5" t="s">
        <v>698</v>
      </c>
      <c r="K3858" s="5" t="s">
        <v>24</v>
      </c>
      <c r="L3858" s="6">
        <v>45694</v>
      </c>
      <c r="M3858" s="6">
        <v>45693</v>
      </c>
      <c r="N3858" s="6" t="s">
        <v>811</v>
      </c>
      <c r="O3858" s="5" t="str">
        <f ca="1">IF(P3858&lt;&gt;"EXPEDIÇÃO","Expedido",IF(NETWORKDAYS(C3858,TODAY())&gt;=5,"Risco Alto",IF(NETWORKDAYS(C3858,TODAY())&gt;=3,IF(NETWORKDAYS(C3858,TODAY())&lt;5,"Risco Médio",""),IF(NETWORKDAYS(C3858,TODAY())&lt;=2,"Risco Baixo",""))))</f>
        <v>Expedido</v>
      </c>
      <c r="P3858" s="5" t="s">
        <v>617</v>
      </c>
      <c r="S3858" s="7">
        <f>IF(ISBLANK(M3858),"Aguardando Previsão/Data",NETWORKDAYS(L3858,M3858)-1)</f>
        <v>-3</v>
      </c>
    </row>
    <row r="3859" spans="1:20" x14ac:dyDescent="0.35">
      <c r="A3859" s="5">
        <v>8100284116</v>
      </c>
      <c r="B3859" s="5">
        <v>11016</v>
      </c>
      <c r="C3859" s="6">
        <v>45685</v>
      </c>
      <c r="D3859" s="5" t="s">
        <v>239</v>
      </c>
      <c r="E3859" s="5" t="s">
        <v>240</v>
      </c>
      <c r="F3859" s="5" t="s">
        <v>160</v>
      </c>
      <c r="G3859" s="5" t="s">
        <v>161</v>
      </c>
      <c r="H3859" s="5" t="s">
        <v>218</v>
      </c>
      <c r="I3859" s="5" t="s">
        <v>685</v>
      </c>
      <c r="J3859" s="5" t="s">
        <v>521</v>
      </c>
      <c r="K3859" s="5" t="s">
        <v>241</v>
      </c>
      <c r="L3859" s="6">
        <v>45691</v>
      </c>
      <c r="M3859" s="6">
        <v>45687</v>
      </c>
      <c r="N3859" s="6" t="s">
        <v>811</v>
      </c>
      <c r="O3859" s="5" t="str">
        <f ca="1">IF(P3859&lt;&gt;"EXPEDIÇÃO","Expedido",IF(NETWORKDAYS(C3859,TODAY())&gt;=5,"Risco Alto",IF(NETWORKDAYS(C3859,TODAY())&gt;=3,IF(NETWORKDAYS(C3859,TODAY())&lt;5,"Risco Médio",""),IF(NETWORKDAYS(C3859,TODAY())&lt;=2,"Risco Baixo",""))))</f>
        <v>Expedido</v>
      </c>
      <c r="P3859" s="5" t="s">
        <v>25</v>
      </c>
      <c r="Q3859" s="5" t="s">
        <v>793</v>
      </c>
      <c r="S3859" s="7">
        <f>IF(ISBLANK(M3859),"Aguardando Previsão/Data",NETWORKDAYS(L3859,M3859)-1)</f>
        <v>-4</v>
      </c>
      <c r="T3859" s="5" t="s">
        <v>942</v>
      </c>
    </row>
    <row r="3860" spans="1:20" x14ac:dyDescent="0.35">
      <c r="A3860" s="5">
        <v>8100284841</v>
      </c>
      <c r="B3860" s="5">
        <v>11013</v>
      </c>
      <c r="C3860" s="6">
        <v>45685</v>
      </c>
      <c r="D3860" s="5" t="s">
        <v>239</v>
      </c>
      <c r="E3860" s="5" t="s">
        <v>240</v>
      </c>
      <c r="F3860" s="5" t="s">
        <v>160</v>
      </c>
      <c r="G3860" s="5" t="s">
        <v>161</v>
      </c>
      <c r="H3860" s="5" t="s">
        <v>218</v>
      </c>
      <c r="I3860" s="5" t="s">
        <v>354</v>
      </c>
      <c r="J3860" s="5" t="s">
        <v>355</v>
      </c>
      <c r="K3860" s="5" t="s">
        <v>241</v>
      </c>
      <c r="L3860" s="6">
        <v>45691</v>
      </c>
      <c r="M3860" s="6">
        <v>45687</v>
      </c>
      <c r="N3860" s="6" t="s">
        <v>811</v>
      </c>
      <c r="O3860" s="5" t="str">
        <f ca="1">IF(P3860&lt;&gt;"EXPEDIÇÃO","Expedido",IF(NETWORKDAYS(C3860,TODAY())&gt;=5,"Risco Alto",IF(NETWORKDAYS(C3860,TODAY())&gt;=3,IF(NETWORKDAYS(C3860,TODAY())&lt;5,"Risco Médio",""),IF(NETWORKDAYS(C3860,TODAY())&lt;=2,"Risco Baixo",""))))</f>
        <v>Expedido</v>
      </c>
      <c r="P3860" s="5" t="s">
        <v>25</v>
      </c>
      <c r="Q3860" s="5" t="s">
        <v>793</v>
      </c>
      <c r="S3860" s="7">
        <f>IF(ISBLANK(M3860),"Aguardando Previsão/Data",NETWORKDAYS(L3860,M3860)-1)</f>
        <v>-4</v>
      </c>
      <c r="T3860" s="5" t="s">
        <v>942</v>
      </c>
    </row>
    <row r="3861" spans="1:20" x14ac:dyDescent="0.35">
      <c r="A3861" s="5">
        <v>8100284842</v>
      </c>
      <c r="B3861" s="5">
        <v>11014</v>
      </c>
      <c r="C3861" s="6">
        <v>45685</v>
      </c>
      <c r="D3861" s="5" t="s">
        <v>239</v>
      </c>
      <c r="E3861" s="5" t="s">
        <v>240</v>
      </c>
      <c r="F3861" s="5" t="s">
        <v>160</v>
      </c>
      <c r="G3861" s="5" t="s">
        <v>161</v>
      </c>
      <c r="H3861" s="5" t="s">
        <v>218</v>
      </c>
      <c r="I3861" s="5" t="s">
        <v>354</v>
      </c>
      <c r="J3861" s="5" t="s">
        <v>355</v>
      </c>
      <c r="K3861" s="5" t="s">
        <v>241</v>
      </c>
      <c r="L3861" s="6">
        <v>45691</v>
      </c>
      <c r="M3861" s="6">
        <v>45687</v>
      </c>
      <c r="N3861" s="6" t="s">
        <v>811</v>
      </c>
      <c r="O3861" s="5" t="str">
        <f ca="1">IF(P3861&lt;&gt;"EXPEDIÇÃO","Expedido",IF(NETWORKDAYS(C3861,TODAY())&gt;=5,"Risco Alto",IF(NETWORKDAYS(C3861,TODAY())&gt;=3,IF(NETWORKDAYS(C3861,TODAY())&lt;5,"Risco Médio",""),IF(NETWORKDAYS(C3861,TODAY())&lt;=2,"Risco Baixo",""))))</f>
        <v>Expedido</v>
      </c>
      <c r="P3861" s="5" t="s">
        <v>25</v>
      </c>
      <c r="Q3861" s="5" t="s">
        <v>793</v>
      </c>
      <c r="S3861" s="7">
        <f>IF(ISBLANK(M3861),"Aguardando Previsão/Data",NETWORKDAYS(L3861,M3861)-1)</f>
        <v>-4</v>
      </c>
      <c r="T3861" s="5" t="s">
        <v>942</v>
      </c>
    </row>
    <row r="3862" spans="1:20" x14ac:dyDescent="0.35">
      <c r="A3862" s="5">
        <v>8100284843</v>
      </c>
      <c r="B3862" s="5">
        <v>11015</v>
      </c>
      <c r="C3862" s="6">
        <v>45685</v>
      </c>
      <c r="D3862" s="5" t="s">
        <v>239</v>
      </c>
      <c r="E3862" s="5" t="s">
        <v>240</v>
      </c>
      <c r="F3862" s="5" t="s">
        <v>242</v>
      </c>
      <c r="G3862" s="5" t="s">
        <v>243</v>
      </c>
      <c r="H3862" s="5" t="s">
        <v>218</v>
      </c>
      <c r="I3862" s="5" t="s">
        <v>354</v>
      </c>
      <c r="J3862" s="5" t="s">
        <v>355</v>
      </c>
      <c r="K3862" s="5" t="s">
        <v>241</v>
      </c>
      <c r="L3862" s="6">
        <v>45691</v>
      </c>
      <c r="M3862" s="6">
        <v>45687</v>
      </c>
      <c r="N3862" s="6" t="s">
        <v>811</v>
      </c>
      <c r="O3862" s="5" t="str">
        <f ca="1">IF(P3862&lt;&gt;"EXPEDIÇÃO","Expedido",IF(NETWORKDAYS(C3862,TODAY())&gt;=5,"Risco Alto",IF(NETWORKDAYS(C3862,TODAY())&gt;=3,IF(NETWORKDAYS(C3862,TODAY())&lt;5,"Risco Médio",""),IF(NETWORKDAYS(C3862,TODAY())&lt;=2,"Risco Baixo",""))))</f>
        <v>Expedido</v>
      </c>
      <c r="P3862" s="5" t="s">
        <v>25</v>
      </c>
      <c r="Q3862" s="5" t="s">
        <v>793</v>
      </c>
      <c r="S3862" s="7">
        <f>IF(ISBLANK(M3862),"Aguardando Previsão/Data",NETWORKDAYS(L3862,M3862)-1)</f>
        <v>-4</v>
      </c>
      <c r="T3862" s="5" t="s">
        <v>942</v>
      </c>
    </row>
    <row r="3863" spans="1:20" x14ac:dyDescent="0.35">
      <c r="A3863" s="5">
        <v>8100284844</v>
      </c>
      <c r="B3863" s="5">
        <v>11012</v>
      </c>
      <c r="C3863" s="6">
        <v>45685</v>
      </c>
      <c r="D3863" s="5" t="s">
        <v>239</v>
      </c>
      <c r="E3863" s="5" t="s">
        <v>240</v>
      </c>
      <c r="F3863" s="5" t="s">
        <v>160</v>
      </c>
      <c r="G3863" s="5" t="s">
        <v>161</v>
      </c>
      <c r="H3863" s="5" t="s">
        <v>218</v>
      </c>
      <c r="I3863" s="5" t="s">
        <v>354</v>
      </c>
      <c r="J3863" s="5" t="s">
        <v>641</v>
      </c>
      <c r="K3863" s="5" t="s">
        <v>241</v>
      </c>
      <c r="L3863" s="6">
        <v>45691</v>
      </c>
      <c r="M3863" s="6">
        <v>45687</v>
      </c>
      <c r="N3863" s="6" t="s">
        <v>811</v>
      </c>
      <c r="O3863" s="5" t="str">
        <f ca="1">IF(P3863&lt;&gt;"EXPEDIÇÃO","Expedido",IF(NETWORKDAYS(C3863,TODAY())&gt;=5,"Risco Alto",IF(NETWORKDAYS(C3863,TODAY())&gt;=3,IF(NETWORKDAYS(C3863,TODAY())&lt;5,"Risco Médio",""),IF(NETWORKDAYS(C3863,TODAY())&lt;=2,"Risco Baixo",""))))</f>
        <v>Expedido</v>
      </c>
      <c r="P3863" s="5" t="s">
        <v>25</v>
      </c>
      <c r="Q3863" s="5" t="s">
        <v>793</v>
      </c>
      <c r="S3863" s="7">
        <f>IF(ISBLANK(M3863),"Aguardando Previsão/Data",NETWORKDAYS(L3863,M3863)-1)</f>
        <v>-4</v>
      </c>
      <c r="T3863" s="5" t="s">
        <v>942</v>
      </c>
    </row>
    <row r="3864" spans="1:20" x14ac:dyDescent="0.35">
      <c r="A3864" s="5">
        <v>8100284901</v>
      </c>
      <c r="B3864" s="5">
        <v>11011</v>
      </c>
      <c r="C3864" s="6">
        <v>45685</v>
      </c>
      <c r="D3864" s="5" t="s">
        <v>239</v>
      </c>
      <c r="E3864" s="5" t="s">
        <v>240</v>
      </c>
      <c r="F3864" s="5" t="s">
        <v>176</v>
      </c>
      <c r="G3864" s="5" t="s">
        <v>177</v>
      </c>
      <c r="H3864" s="5" t="s">
        <v>218</v>
      </c>
      <c r="I3864" s="5" t="s">
        <v>1128</v>
      </c>
      <c r="J3864" s="5" t="s">
        <v>797</v>
      </c>
      <c r="K3864" s="5" t="s">
        <v>241</v>
      </c>
      <c r="L3864" s="6">
        <v>45692</v>
      </c>
      <c r="M3864" s="6">
        <v>45687</v>
      </c>
      <c r="N3864" s="6" t="s">
        <v>811</v>
      </c>
      <c r="O3864" s="5" t="str">
        <f ca="1">IF(P3864&lt;&gt;"EXPEDIÇÃO","Expedido",IF(NETWORKDAYS(C3864,TODAY())&gt;=5,"Risco Alto",IF(NETWORKDAYS(C3864,TODAY())&gt;=3,IF(NETWORKDAYS(C3864,TODAY())&lt;5,"Risco Médio",""),IF(NETWORKDAYS(C3864,TODAY())&lt;=2,"Risco Baixo",""))))</f>
        <v>Expedido</v>
      </c>
      <c r="P3864" s="5" t="s">
        <v>25</v>
      </c>
      <c r="Q3864" s="5" t="s">
        <v>793</v>
      </c>
      <c r="S3864" s="7">
        <f>IF(ISBLANK(M3864),"Aguardando Previsão/Data",NETWORKDAYS(L3864,M3864)-1)</f>
        <v>-5</v>
      </c>
      <c r="T3864" s="5" t="s">
        <v>942</v>
      </c>
    </row>
    <row r="3865" spans="1:20" x14ac:dyDescent="0.35">
      <c r="A3865" s="5">
        <v>8100284949</v>
      </c>
      <c r="B3865" s="5">
        <v>11018</v>
      </c>
      <c r="C3865" s="6">
        <v>45685</v>
      </c>
      <c r="D3865" s="5" t="s">
        <v>239</v>
      </c>
      <c r="E3865" s="5" t="s">
        <v>240</v>
      </c>
      <c r="F3865" s="5" t="s">
        <v>242</v>
      </c>
      <c r="G3865" s="5" t="s">
        <v>243</v>
      </c>
      <c r="H3865" s="5" t="s">
        <v>218</v>
      </c>
      <c r="I3865" s="5" t="s">
        <v>564</v>
      </c>
      <c r="J3865" s="5" t="s">
        <v>565</v>
      </c>
      <c r="K3865" s="5" t="s">
        <v>241</v>
      </c>
      <c r="L3865" s="6">
        <v>45692</v>
      </c>
      <c r="M3865" s="6">
        <v>45687</v>
      </c>
      <c r="N3865" s="6" t="s">
        <v>811</v>
      </c>
      <c r="O3865" s="5" t="str">
        <f ca="1">IF(P3865&lt;&gt;"EXPEDIÇÃO","Expedido",IF(NETWORKDAYS(C3865,TODAY())&gt;=5,"Risco Alto",IF(NETWORKDAYS(C3865,TODAY())&gt;=3,IF(NETWORKDAYS(C3865,TODAY())&lt;5,"Risco Médio",""),IF(NETWORKDAYS(C3865,TODAY())&lt;=2,"Risco Baixo",""))))</f>
        <v>Expedido</v>
      </c>
      <c r="P3865" s="5" t="s">
        <v>617</v>
      </c>
      <c r="Q3865" s="5" t="s">
        <v>793</v>
      </c>
      <c r="S3865" s="7">
        <f>IF(ISBLANK(M3865),"Aguardando Previsão/Data",NETWORKDAYS(L3865,M3865)-1)</f>
        <v>-5</v>
      </c>
    </row>
    <row r="3866" spans="1:20" x14ac:dyDescent="0.35">
      <c r="A3866" s="5">
        <v>8100284981</v>
      </c>
      <c r="B3866" s="5">
        <v>11019</v>
      </c>
      <c r="C3866" s="6">
        <v>45685</v>
      </c>
      <c r="D3866" s="5" t="s">
        <v>239</v>
      </c>
      <c r="E3866" s="5" t="s">
        <v>240</v>
      </c>
      <c r="F3866" s="5" t="s">
        <v>242</v>
      </c>
      <c r="G3866" s="5" t="s">
        <v>243</v>
      </c>
      <c r="H3866" s="5" t="s">
        <v>218</v>
      </c>
      <c r="I3866" s="5" t="s">
        <v>253</v>
      </c>
      <c r="J3866" s="5" t="s">
        <v>254</v>
      </c>
      <c r="K3866" s="5" t="s">
        <v>241</v>
      </c>
      <c r="L3866" s="6">
        <v>45691</v>
      </c>
      <c r="M3866" s="6">
        <v>45687</v>
      </c>
      <c r="N3866" s="6" t="s">
        <v>811</v>
      </c>
      <c r="O3866" s="5" t="str">
        <f ca="1">IF(P3866&lt;&gt;"EXPEDIÇÃO","Expedido",IF(NETWORKDAYS(C3866,TODAY())&gt;=5,"Risco Alto",IF(NETWORKDAYS(C3866,TODAY())&gt;=3,IF(NETWORKDAYS(C3866,TODAY())&lt;5,"Risco Médio",""),IF(NETWORKDAYS(C3866,TODAY())&lt;=2,"Risco Baixo",""))))</f>
        <v>Expedido</v>
      </c>
      <c r="P3866" s="5" t="s">
        <v>25</v>
      </c>
      <c r="Q3866" s="5" t="s">
        <v>793</v>
      </c>
      <c r="S3866" s="7">
        <f>IF(ISBLANK(M3866),"Aguardando Previsão/Data",NETWORKDAYS(L3866,M3866)-1)</f>
        <v>-4</v>
      </c>
      <c r="T3866" s="5" t="s">
        <v>942</v>
      </c>
    </row>
    <row r="3867" spans="1:20" x14ac:dyDescent="0.35">
      <c r="A3867" s="5">
        <v>8100284983</v>
      </c>
      <c r="B3867" s="5">
        <v>11020</v>
      </c>
      <c r="C3867" s="6">
        <v>45685</v>
      </c>
      <c r="D3867" s="5" t="s">
        <v>239</v>
      </c>
      <c r="E3867" s="5" t="s">
        <v>240</v>
      </c>
      <c r="F3867" s="5" t="s">
        <v>242</v>
      </c>
      <c r="G3867" s="5" t="s">
        <v>243</v>
      </c>
      <c r="H3867" s="5" t="s">
        <v>218</v>
      </c>
      <c r="I3867" s="5" t="s">
        <v>253</v>
      </c>
      <c r="J3867" s="5" t="s">
        <v>254</v>
      </c>
      <c r="K3867" s="5" t="s">
        <v>241</v>
      </c>
      <c r="L3867" s="6">
        <v>45691</v>
      </c>
      <c r="M3867" s="6">
        <v>45687</v>
      </c>
      <c r="N3867" s="6" t="s">
        <v>811</v>
      </c>
      <c r="O3867" s="5" t="str">
        <f ca="1">IF(P3867&lt;&gt;"EXPEDIÇÃO","Expedido",IF(NETWORKDAYS(C3867,TODAY())&gt;=5,"Risco Alto",IF(NETWORKDAYS(C3867,TODAY())&gt;=3,IF(NETWORKDAYS(C3867,TODAY())&lt;5,"Risco Médio",""),IF(NETWORKDAYS(C3867,TODAY())&lt;=2,"Risco Baixo",""))))</f>
        <v>Expedido</v>
      </c>
      <c r="P3867" s="5" t="s">
        <v>25</v>
      </c>
      <c r="Q3867" s="5" t="s">
        <v>793</v>
      </c>
      <c r="S3867" s="7">
        <f>IF(ISBLANK(M3867),"Aguardando Previsão/Data",NETWORKDAYS(L3867,M3867)-1)</f>
        <v>-4</v>
      </c>
      <c r="T3867" s="5" t="s">
        <v>942</v>
      </c>
    </row>
    <row r="3868" spans="1:20" x14ac:dyDescent="0.35">
      <c r="A3868" s="5">
        <v>8100284987</v>
      </c>
      <c r="B3868" s="5">
        <v>11021</v>
      </c>
      <c r="C3868" s="6">
        <v>45685</v>
      </c>
      <c r="D3868" s="5" t="s">
        <v>239</v>
      </c>
      <c r="E3868" s="5" t="s">
        <v>240</v>
      </c>
      <c r="F3868" s="5" t="s">
        <v>242</v>
      </c>
      <c r="G3868" s="5" t="s">
        <v>243</v>
      </c>
      <c r="H3868" s="5" t="s">
        <v>218</v>
      </c>
      <c r="I3868" s="5" t="s">
        <v>253</v>
      </c>
      <c r="J3868" s="5" t="s">
        <v>254</v>
      </c>
      <c r="K3868" s="5" t="s">
        <v>241</v>
      </c>
      <c r="L3868" s="6">
        <v>45691</v>
      </c>
      <c r="M3868" s="6">
        <v>45687</v>
      </c>
      <c r="N3868" s="6" t="s">
        <v>811</v>
      </c>
      <c r="O3868" s="5" t="str">
        <f ca="1">IF(P3868&lt;&gt;"EXPEDIÇÃO","Expedido",IF(NETWORKDAYS(C3868,TODAY())&gt;=5,"Risco Alto",IF(NETWORKDAYS(C3868,TODAY())&gt;=3,IF(NETWORKDAYS(C3868,TODAY())&lt;5,"Risco Médio",""),IF(NETWORKDAYS(C3868,TODAY())&lt;=2,"Risco Baixo",""))))</f>
        <v>Expedido</v>
      </c>
      <c r="P3868" s="5" t="s">
        <v>25</v>
      </c>
      <c r="Q3868" s="5" t="s">
        <v>793</v>
      </c>
      <c r="S3868" s="7">
        <f>IF(ISBLANK(M3868),"Aguardando Previsão/Data",NETWORKDAYS(L3868,M3868)-1)</f>
        <v>-4</v>
      </c>
      <c r="T3868" s="5" t="s">
        <v>942</v>
      </c>
    </row>
    <row r="3869" spans="1:20" x14ac:dyDescent="0.35">
      <c r="A3869" s="5">
        <v>8100284988</v>
      </c>
      <c r="B3869" s="5">
        <v>11022</v>
      </c>
      <c r="C3869" s="6">
        <v>45685</v>
      </c>
      <c r="D3869" s="5" t="s">
        <v>239</v>
      </c>
      <c r="E3869" s="5" t="s">
        <v>240</v>
      </c>
      <c r="F3869" s="5" t="s">
        <v>242</v>
      </c>
      <c r="G3869" s="5" t="s">
        <v>243</v>
      </c>
      <c r="H3869" s="5" t="s">
        <v>218</v>
      </c>
      <c r="I3869" s="5" t="s">
        <v>253</v>
      </c>
      <c r="J3869" s="5" t="s">
        <v>254</v>
      </c>
      <c r="K3869" s="5" t="s">
        <v>241</v>
      </c>
      <c r="L3869" s="6">
        <v>45691</v>
      </c>
      <c r="M3869" s="6">
        <v>45687</v>
      </c>
      <c r="N3869" s="6" t="s">
        <v>811</v>
      </c>
      <c r="O3869" s="5" t="str">
        <f ca="1">IF(P3869&lt;&gt;"EXPEDIÇÃO","Expedido",IF(NETWORKDAYS(C3869,TODAY())&gt;=5,"Risco Alto",IF(NETWORKDAYS(C3869,TODAY())&gt;=3,IF(NETWORKDAYS(C3869,TODAY())&lt;5,"Risco Médio",""),IF(NETWORKDAYS(C3869,TODAY())&lt;=2,"Risco Baixo",""))))</f>
        <v>Expedido</v>
      </c>
      <c r="P3869" s="5" t="s">
        <v>25</v>
      </c>
      <c r="Q3869" s="5" t="s">
        <v>793</v>
      </c>
      <c r="S3869" s="7">
        <f>IF(ISBLANK(M3869),"Aguardando Previsão/Data",NETWORKDAYS(L3869,M3869)-1)</f>
        <v>-4</v>
      </c>
      <c r="T3869" s="5" t="s">
        <v>942</v>
      </c>
    </row>
    <row r="3870" spans="1:20" x14ac:dyDescent="0.35">
      <c r="A3870" s="5">
        <v>8100284989</v>
      </c>
      <c r="B3870" s="5">
        <v>11023</v>
      </c>
      <c r="C3870" s="6">
        <v>45685</v>
      </c>
      <c r="D3870" s="5" t="s">
        <v>239</v>
      </c>
      <c r="E3870" s="5" t="s">
        <v>240</v>
      </c>
      <c r="F3870" s="5" t="s">
        <v>242</v>
      </c>
      <c r="G3870" s="5" t="s">
        <v>243</v>
      </c>
      <c r="H3870" s="5" t="s">
        <v>218</v>
      </c>
      <c r="I3870" s="5" t="s">
        <v>253</v>
      </c>
      <c r="J3870" s="5" t="s">
        <v>254</v>
      </c>
      <c r="K3870" s="5" t="s">
        <v>241</v>
      </c>
      <c r="L3870" s="6">
        <v>45691</v>
      </c>
      <c r="M3870" s="6">
        <v>45687</v>
      </c>
      <c r="N3870" s="6" t="s">
        <v>811</v>
      </c>
      <c r="O3870" s="5" t="str">
        <f ca="1">IF(P3870&lt;&gt;"EXPEDIÇÃO","Expedido",IF(NETWORKDAYS(C3870,TODAY())&gt;=5,"Risco Alto",IF(NETWORKDAYS(C3870,TODAY())&gt;=3,IF(NETWORKDAYS(C3870,TODAY())&lt;5,"Risco Médio",""),IF(NETWORKDAYS(C3870,TODAY())&lt;=2,"Risco Baixo",""))))</f>
        <v>Expedido</v>
      </c>
      <c r="P3870" s="5" t="s">
        <v>25</v>
      </c>
      <c r="Q3870" s="5" t="s">
        <v>793</v>
      </c>
      <c r="S3870" s="7">
        <f>IF(ISBLANK(M3870),"Aguardando Previsão/Data",NETWORKDAYS(L3870,M3870)-1)</f>
        <v>-4</v>
      </c>
      <c r="T3870" s="5" t="s">
        <v>942</v>
      </c>
    </row>
    <row r="3871" spans="1:20" x14ac:dyDescent="0.35">
      <c r="A3871" s="5">
        <v>8100285110</v>
      </c>
      <c r="B3871" s="5">
        <v>11028</v>
      </c>
      <c r="C3871" s="6">
        <v>45685</v>
      </c>
      <c r="D3871" s="5" t="s">
        <v>239</v>
      </c>
      <c r="E3871" s="5" t="s">
        <v>240</v>
      </c>
      <c r="F3871" s="5" t="s">
        <v>160</v>
      </c>
      <c r="G3871" s="5" t="s">
        <v>161</v>
      </c>
      <c r="H3871" s="5" t="s">
        <v>218</v>
      </c>
      <c r="I3871" s="5" t="s">
        <v>356</v>
      </c>
      <c r="J3871" s="5" t="s">
        <v>357</v>
      </c>
      <c r="K3871" s="5" t="s">
        <v>241</v>
      </c>
      <c r="L3871" s="6">
        <v>45691</v>
      </c>
      <c r="M3871" s="6">
        <v>45688</v>
      </c>
      <c r="N3871" s="6" t="s">
        <v>811</v>
      </c>
      <c r="O3871" s="5" t="str">
        <f ca="1">IF(P3871&lt;&gt;"EXPEDIÇÃO","Expedido",IF(NETWORKDAYS(C3871,TODAY())&gt;=5,"Risco Alto",IF(NETWORKDAYS(C3871,TODAY())&gt;=3,IF(NETWORKDAYS(C3871,TODAY())&lt;5,"Risco Médio",""),IF(NETWORKDAYS(C3871,TODAY())&lt;=2,"Risco Baixo",""))))</f>
        <v>Expedido</v>
      </c>
      <c r="P3871" s="5" t="s">
        <v>617</v>
      </c>
      <c r="Q3871" s="5" t="s">
        <v>793</v>
      </c>
      <c r="S3871" s="7">
        <f>IF(ISBLANK(M3871),"Aguardando Previsão/Data",NETWORKDAYS(L3871,M3871)-1)</f>
        <v>-3</v>
      </c>
    </row>
    <row r="3872" spans="1:20" x14ac:dyDescent="0.35">
      <c r="A3872" s="5">
        <v>8100285111</v>
      </c>
      <c r="B3872" s="5">
        <v>11026</v>
      </c>
      <c r="C3872" s="6">
        <v>45685</v>
      </c>
      <c r="D3872" s="5" t="s">
        <v>239</v>
      </c>
      <c r="E3872" s="5" t="s">
        <v>240</v>
      </c>
      <c r="F3872" s="5" t="s">
        <v>242</v>
      </c>
      <c r="G3872" s="5" t="s">
        <v>243</v>
      </c>
      <c r="H3872" s="5" t="s">
        <v>218</v>
      </c>
      <c r="I3872" s="5" t="s">
        <v>245</v>
      </c>
      <c r="J3872" s="5" t="s">
        <v>246</v>
      </c>
      <c r="K3872" s="5" t="s">
        <v>241</v>
      </c>
      <c r="L3872" s="6">
        <v>45692</v>
      </c>
      <c r="M3872" s="6">
        <v>45687</v>
      </c>
      <c r="N3872" s="6" t="s">
        <v>811</v>
      </c>
      <c r="O3872" s="5" t="str">
        <f ca="1">IF(P3872&lt;&gt;"EXPEDIÇÃO","Expedido",IF(NETWORKDAYS(C3872,TODAY())&gt;=5,"Risco Alto",IF(NETWORKDAYS(C3872,TODAY())&gt;=3,IF(NETWORKDAYS(C3872,TODAY())&lt;5,"Risco Médio",""),IF(NETWORKDAYS(C3872,TODAY())&lt;=2,"Risco Baixo",""))))</f>
        <v>Expedido</v>
      </c>
      <c r="P3872" s="5" t="s">
        <v>617</v>
      </c>
      <c r="Q3872" s="5" t="s">
        <v>793</v>
      </c>
      <c r="S3872" s="7">
        <f>IF(ISBLANK(M3872),"Aguardando Previsão/Data",NETWORKDAYS(L3872,M3872)-1)</f>
        <v>-5</v>
      </c>
    </row>
    <row r="3873" spans="1:20" x14ac:dyDescent="0.35">
      <c r="A3873" s="5">
        <v>8100285112</v>
      </c>
      <c r="B3873" s="5">
        <v>11017</v>
      </c>
      <c r="C3873" s="6">
        <v>45685</v>
      </c>
      <c r="D3873" s="5" t="s">
        <v>239</v>
      </c>
      <c r="E3873" s="5" t="s">
        <v>240</v>
      </c>
      <c r="F3873" s="5" t="s">
        <v>176</v>
      </c>
      <c r="G3873" s="5" t="s">
        <v>177</v>
      </c>
      <c r="H3873" s="5" t="s">
        <v>218</v>
      </c>
      <c r="I3873" s="5" t="s">
        <v>324</v>
      </c>
      <c r="J3873" s="5" t="s">
        <v>325</v>
      </c>
      <c r="K3873" s="5" t="s">
        <v>241</v>
      </c>
      <c r="L3873" s="6">
        <v>45693</v>
      </c>
      <c r="M3873" s="6">
        <v>45687</v>
      </c>
      <c r="N3873" s="6" t="s">
        <v>811</v>
      </c>
      <c r="O3873" s="5" t="str">
        <f ca="1">IF(P3873&lt;&gt;"EXPEDIÇÃO","Expedido",IF(NETWORKDAYS(C3873,TODAY())&gt;=5,"Risco Alto",IF(NETWORKDAYS(C3873,TODAY())&gt;=3,IF(NETWORKDAYS(C3873,TODAY())&lt;5,"Risco Médio",""),IF(NETWORKDAYS(C3873,TODAY())&lt;=2,"Risco Baixo",""))))</f>
        <v>Expedido</v>
      </c>
      <c r="P3873" s="5" t="s">
        <v>617</v>
      </c>
      <c r="Q3873" s="5" t="s">
        <v>793</v>
      </c>
      <c r="S3873" s="7">
        <f>IF(ISBLANK(M3873),"Aguardando Previsão/Data",NETWORKDAYS(L3873,M3873)-1)</f>
        <v>-6</v>
      </c>
    </row>
    <row r="3874" spans="1:20" x14ac:dyDescent="0.35">
      <c r="A3874" s="5">
        <v>8100285113</v>
      </c>
      <c r="B3874" s="5">
        <v>11027</v>
      </c>
      <c r="C3874" s="6">
        <v>45685</v>
      </c>
      <c r="D3874" s="5" t="s">
        <v>239</v>
      </c>
      <c r="E3874" s="5" t="s">
        <v>240</v>
      </c>
      <c r="F3874" s="5" t="s">
        <v>242</v>
      </c>
      <c r="G3874" s="5" t="s">
        <v>243</v>
      </c>
      <c r="H3874" s="5" t="s">
        <v>218</v>
      </c>
      <c r="I3874" s="5" t="s">
        <v>245</v>
      </c>
      <c r="J3874" s="5" t="s">
        <v>246</v>
      </c>
      <c r="K3874" s="5" t="s">
        <v>241</v>
      </c>
      <c r="L3874" s="6">
        <v>45692</v>
      </c>
      <c r="M3874" s="6">
        <v>45687</v>
      </c>
      <c r="N3874" s="6" t="s">
        <v>811</v>
      </c>
      <c r="O3874" s="5" t="str">
        <f ca="1">IF(P3874&lt;&gt;"EXPEDIÇÃO","Expedido",IF(NETWORKDAYS(C3874,TODAY())&gt;=5,"Risco Alto",IF(NETWORKDAYS(C3874,TODAY())&gt;=3,IF(NETWORKDAYS(C3874,TODAY())&lt;5,"Risco Médio",""),IF(NETWORKDAYS(C3874,TODAY())&lt;=2,"Risco Baixo",""))))</f>
        <v>Expedido</v>
      </c>
      <c r="P3874" s="5" t="s">
        <v>617</v>
      </c>
      <c r="Q3874" s="5" t="s">
        <v>793</v>
      </c>
      <c r="S3874" s="7">
        <f>IF(ISBLANK(M3874),"Aguardando Previsão/Data",NETWORKDAYS(L3874,M3874)-1)</f>
        <v>-5</v>
      </c>
    </row>
    <row r="3875" spans="1:20" x14ac:dyDescent="0.35">
      <c r="A3875" s="5">
        <v>8100285149</v>
      </c>
      <c r="B3875" s="5">
        <v>11024</v>
      </c>
      <c r="C3875" s="6">
        <v>45685</v>
      </c>
      <c r="D3875" s="5" t="s">
        <v>239</v>
      </c>
      <c r="E3875" s="5" t="s">
        <v>240</v>
      </c>
      <c r="F3875" s="5" t="s">
        <v>176</v>
      </c>
      <c r="G3875" s="5" t="s">
        <v>177</v>
      </c>
      <c r="H3875" s="5" t="s">
        <v>218</v>
      </c>
      <c r="I3875" s="5" t="s">
        <v>322</v>
      </c>
      <c r="J3875" s="5" t="s">
        <v>323</v>
      </c>
      <c r="K3875" s="5" t="s">
        <v>241</v>
      </c>
      <c r="L3875" s="6">
        <v>45691</v>
      </c>
      <c r="M3875" s="6">
        <v>45688</v>
      </c>
      <c r="N3875" s="6" t="s">
        <v>811</v>
      </c>
      <c r="O3875" s="5" t="str">
        <f ca="1">IF(P3875&lt;&gt;"EXPEDIÇÃO","Expedido",IF(NETWORKDAYS(C3875,TODAY())&gt;=5,"Risco Alto",IF(NETWORKDAYS(C3875,TODAY())&gt;=3,IF(NETWORKDAYS(C3875,TODAY())&lt;5,"Risco Médio",""),IF(NETWORKDAYS(C3875,TODAY())&lt;=2,"Risco Baixo",""))))</f>
        <v>Expedido</v>
      </c>
      <c r="P3875" s="5" t="s">
        <v>617</v>
      </c>
      <c r="Q3875" s="5" t="s">
        <v>793</v>
      </c>
      <c r="S3875" s="7">
        <f>IF(ISBLANK(M3875),"Aguardando Previsão/Data",NETWORKDAYS(L3875,M3875)-1)</f>
        <v>-3</v>
      </c>
    </row>
    <row r="3876" spans="1:20" x14ac:dyDescent="0.35">
      <c r="A3876" s="5">
        <v>8100285193</v>
      </c>
      <c r="B3876" s="5">
        <v>11025</v>
      </c>
      <c r="C3876" s="6">
        <v>45685</v>
      </c>
      <c r="D3876" s="5" t="s">
        <v>239</v>
      </c>
      <c r="E3876" s="5" t="s">
        <v>240</v>
      </c>
      <c r="F3876" s="5" t="s">
        <v>176</v>
      </c>
      <c r="G3876" s="5" t="s">
        <v>177</v>
      </c>
      <c r="H3876" s="5" t="s">
        <v>218</v>
      </c>
      <c r="I3876" s="5" t="s">
        <v>322</v>
      </c>
      <c r="J3876" s="5" t="s">
        <v>323</v>
      </c>
      <c r="K3876" s="5" t="s">
        <v>241</v>
      </c>
      <c r="L3876" s="6">
        <v>45691</v>
      </c>
      <c r="M3876" s="6">
        <v>45688</v>
      </c>
      <c r="N3876" s="6" t="s">
        <v>811</v>
      </c>
      <c r="O3876" s="5" t="str">
        <f ca="1">IF(P3876&lt;&gt;"EXPEDIÇÃO","Expedido",IF(NETWORKDAYS(C3876,TODAY())&gt;=5,"Risco Alto",IF(NETWORKDAYS(C3876,TODAY())&gt;=3,IF(NETWORKDAYS(C3876,TODAY())&lt;5,"Risco Médio",""),IF(NETWORKDAYS(C3876,TODAY())&lt;=2,"Risco Baixo",""))))</f>
        <v>Expedido</v>
      </c>
      <c r="P3876" s="5" t="s">
        <v>617</v>
      </c>
      <c r="Q3876" s="5" t="s">
        <v>793</v>
      </c>
      <c r="S3876" s="7">
        <f>IF(ISBLANK(M3876),"Aguardando Previsão/Data",NETWORKDAYS(L3876,M3876)-1)</f>
        <v>-3</v>
      </c>
    </row>
    <row r="3877" spans="1:20" x14ac:dyDescent="0.35">
      <c r="A3877" s="5">
        <v>8100285300</v>
      </c>
      <c r="B3877" s="5">
        <v>11029</v>
      </c>
      <c r="C3877" s="6">
        <v>45685</v>
      </c>
      <c r="D3877" s="5" t="s">
        <v>239</v>
      </c>
      <c r="E3877" s="5" t="s">
        <v>240</v>
      </c>
      <c r="F3877" s="5" t="s">
        <v>242</v>
      </c>
      <c r="G3877" s="5" t="s">
        <v>243</v>
      </c>
      <c r="H3877" s="5" t="s">
        <v>218</v>
      </c>
      <c r="I3877" s="5" t="s">
        <v>458</v>
      </c>
      <c r="J3877" s="5" t="s">
        <v>459</v>
      </c>
      <c r="K3877" s="5" t="s">
        <v>241</v>
      </c>
      <c r="L3877" s="6">
        <v>45691</v>
      </c>
      <c r="M3877" s="6">
        <v>45687</v>
      </c>
      <c r="N3877" s="6" t="s">
        <v>811</v>
      </c>
      <c r="O3877" s="5" t="str">
        <f ca="1">IF(P3877&lt;&gt;"EXPEDIÇÃO","Expedido",IF(NETWORKDAYS(C3877,TODAY())&gt;=5,"Risco Alto",IF(NETWORKDAYS(C3877,TODAY())&gt;=3,IF(NETWORKDAYS(C3877,TODAY())&lt;5,"Risco Médio",""),IF(NETWORKDAYS(C3877,TODAY())&lt;=2,"Risco Baixo",""))))</f>
        <v>Expedido</v>
      </c>
      <c r="P3877" s="5" t="s">
        <v>617</v>
      </c>
      <c r="Q3877" s="5" t="s">
        <v>793</v>
      </c>
      <c r="S3877" s="7">
        <f>IF(ISBLANK(M3877),"Aguardando Previsão/Data",NETWORKDAYS(L3877,M3877)-1)</f>
        <v>-4</v>
      </c>
    </row>
    <row r="3878" spans="1:20" x14ac:dyDescent="0.35">
      <c r="A3878" s="5">
        <v>8100283978</v>
      </c>
      <c r="B3878" s="5">
        <v>19776</v>
      </c>
      <c r="C3878" s="6">
        <v>45685</v>
      </c>
      <c r="D3878" s="5" t="s">
        <v>106</v>
      </c>
      <c r="E3878" s="5" t="s">
        <v>107</v>
      </c>
      <c r="F3878" s="5" t="s">
        <v>58</v>
      </c>
      <c r="G3878" s="5" t="s">
        <v>59</v>
      </c>
      <c r="H3878" s="5" t="s">
        <v>218</v>
      </c>
      <c r="I3878" s="5" t="s">
        <v>519</v>
      </c>
      <c r="J3878" s="5" t="s">
        <v>640</v>
      </c>
      <c r="K3878" s="5" t="s">
        <v>233</v>
      </c>
      <c r="L3878" s="6">
        <v>45702</v>
      </c>
      <c r="N3878" s="6" t="s">
        <v>811</v>
      </c>
      <c r="O3878" s="5" t="str">
        <f ca="1">IF(P3878&lt;&gt;"EXPEDIÇÃO","Expedido",IF(NETWORKDAYS(C3878,TODAY())&gt;=5,"Risco Alto",IF(NETWORKDAYS(C3878,TODAY())&gt;=3,IF(NETWORKDAYS(C3878,TODAY())&lt;5,"Risco Médio",""),IF(NETWORKDAYS(C3878,TODAY())&lt;=2,"Risco Baixo",""))))</f>
        <v>Risco Médio</v>
      </c>
      <c r="P3878" s="5" t="s">
        <v>726</v>
      </c>
      <c r="R3878" s="5" t="s">
        <v>1618</v>
      </c>
      <c r="S3878" s="7" t="str">
        <f>IF(ISBLANK(M3878),"Aguardando Previsão/Data",NETWORKDAYS(L3878,M3878)-1)</f>
        <v>Aguardando Previsão/Data</v>
      </c>
    </row>
    <row r="3879" spans="1:20" x14ac:dyDescent="0.35">
      <c r="A3879" s="5">
        <v>8100283981</v>
      </c>
      <c r="B3879" s="5">
        <v>19777</v>
      </c>
      <c r="C3879" s="6">
        <v>45685</v>
      </c>
      <c r="D3879" s="5" t="s">
        <v>106</v>
      </c>
      <c r="E3879" s="5" t="s">
        <v>107</v>
      </c>
      <c r="F3879" s="5" t="s">
        <v>58</v>
      </c>
      <c r="G3879" s="5" t="s">
        <v>59</v>
      </c>
      <c r="H3879" s="5" t="s">
        <v>218</v>
      </c>
      <c r="I3879" s="5" t="s">
        <v>519</v>
      </c>
      <c r="J3879" s="5" t="s">
        <v>640</v>
      </c>
      <c r="K3879" s="5" t="s">
        <v>233</v>
      </c>
      <c r="L3879" s="6">
        <v>45702</v>
      </c>
      <c r="N3879" s="6" t="s">
        <v>811</v>
      </c>
      <c r="O3879" s="5" t="str">
        <f ca="1">IF(P3879&lt;&gt;"EXPEDIÇÃO","Expedido",IF(NETWORKDAYS(C3879,TODAY())&gt;=5,"Risco Alto",IF(NETWORKDAYS(C3879,TODAY())&gt;=3,IF(NETWORKDAYS(C3879,TODAY())&lt;5,"Risco Médio",""),IF(NETWORKDAYS(C3879,TODAY())&lt;=2,"Risco Baixo",""))))</f>
        <v>Risco Médio</v>
      </c>
      <c r="P3879" s="5" t="s">
        <v>726</v>
      </c>
      <c r="R3879" s="5" t="s">
        <v>1618</v>
      </c>
      <c r="S3879" s="7" t="str">
        <f>IF(ISBLANK(M3879),"Aguardando Previsão/Data",NETWORKDAYS(L3879,M3879)-1)</f>
        <v>Aguardando Previsão/Data</v>
      </c>
    </row>
    <row r="3880" spans="1:20" x14ac:dyDescent="0.35">
      <c r="A3880" s="5">
        <v>8100284643</v>
      </c>
      <c r="B3880" s="5">
        <v>19745</v>
      </c>
      <c r="C3880" s="6">
        <v>45685</v>
      </c>
      <c r="D3880" s="5" t="s">
        <v>106</v>
      </c>
      <c r="E3880" s="5" t="s">
        <v>107</v>
      </c>
      <c r="F3880" s="5" t="s">
        <v>199</v>
      </c>
      <c r="G3880" s="5" t="s">
        <v>200</v>
      </c>
      <c r="H3880" s="5" t="s">
        <v>218</v>
      </c>
      <c r="I3880" s="5" t="s">
        <v>720</v>
      </c>
      <c r="J3880" s="5" t="s">
        <v>721</v>
      </c>
      <c r="K3880" s="5" t="s">
        <v>722</v>
      </c>
      <c r="L3880" s="6">
        <v>45726</v>
      </c>
      <c r="M3880" s="6">
        <v>45726</v>
      </c>
      <c r="N3880" s="6" t="s">
        <v>811</v>
      </c>
      <c r="O3880" s="5" t="str">
        <f ca="1">IF(P3880&lt;&gt;"EXPEDIÇÃO","Expedido",IF(NETWORKDAYS(C3880,TODAY())&gt;=5,"Risco Alto",IF(NETWORKDAYS(C3880,TODAY())&gt;=3,IF(NETWORKDAYS(C3880,TODAY())&lt;5,"Risco Médio",""),IF(NETWORKDAYS(C3880,TODAY())&lt;=2,"Risco Baixo",""))))</f>
        <v>Risco Médio</v>
      </c>
      <c r="P3880" s="5" t="s">
        <v>726</v>
      </c>
      <c r="S3880" s="7">
        <f>IF(ISBLANK(M3880),"Aguardando Previsão/Data",NETWORKDAYS(L3880,M3880)-1)</f>
        <v>0</v>
      </c>
    </row>
    <row r="3881" spans="1:20" x14ac:dyDescent="0.35">
      <c r="A3881" s="5">
        <v>8100284826</v>
      </c>
      <c r="B3881" s="5">
        <v>19774</v>
      </c>
      <c r="C3881" s="6">
        <v>45685</v>
      </c>
      <c r="D3881" s="5" t="s">
        <v>106</v>
      </c>
      <c r="E3881" s="5" t="s">
        <v>107</v>
      </c>
      <c r="F3881" s="5" t="s">
        <v>58</v>
      </c>
      <c r="G3881" s="5" t="s">
        <v>59</v>
      </c>
      <c r="H3881" s="5" t="s">
        <v>218</v>
      </c>
      <c r="I3881" s="5" t="s">
        <v>317</v>
      </c>
      <c r="J3881" s="5" t="s">
        <v>1099</v>
      </c>
      <c r="K3881" s="5" t="s">
        <v>233</v>
      </c>
      <c r="L3881" s="6">
        <v>45702</v>
      </c>
      <c r="N3881" s="6" t="s">
        <v>811</v>
      </c>
      <c r="O3881" s="5" t="str">
        <f ca="1">IF(P3881&lt;&gt;"EXPEDIÇÃO","Expedido",IF(NETWORKDAYS(C3881,TODAY())&gt;=5,"Risco Alto",IF(NETWORKDAYS(C3881,TODAY())&gt;=3,IF(NETWORKDAYS(C3881,TODAY())&lt;5,"Risco Médio",""),IF(NETWORKDAYS(C3881,TODAY())&lt;=2,"Risco Baixo",""))))</f>
        <v>Risco Médio</v>
      </c>
      <c r="P3881" s="5" t="s">
        <v>726</v>
      </c>
      <c r="R3881" s="5" t="s">
        <v>1618</v>
      </c>
      <c r="S3881" s="7" t="str">
        <f>IF(ISBLANK(M3881),"Aguardando Previsão/Data",NETWORKDAYS(L3881,M3881)-1)</f>
        <v>Aguardando Previsão/Data</v>
      </c>
    </row>
    <row r="3882" spans="1:20" x14ac:dyDescent="0.35">
      <c r="A3882" s="5">
        <v>8100284827</v>
      </c>
      <c r="B3882" s="5">
        <v>19775</v>
      </c>
      <c r="C3882" s="6">
        <v>45685</v>
      </c>
      <c r="D3882" s="5" t="s">
        <v>106</v>
      </c>
      <c r="E3882" s="5" t="s">
        <v>107</v>
      </c>
      <c r="F3882" s="5" t="s">
        <v>58</v>
      </c>
      <c r="G3882" s="5" t="s">
        <v>59</v>
      </c>
      <c r="H3882" s="5" t="s">
        <v>218</v>
      </c>
      <c r="I3882" s="5" t="s">
        <v>317</v>
      </c>
      <c r="J3882" s="5" t="s">
        <v>1099</v>
      </c>
      <c r="K3882" s="5" t="s">
        <v>233</v>
      </c>
      <c r="L3882" s="6">
        <v>45702</v>
      </c>
      <c r="N3882" s="6" t="s">
        <v>811</v>
      </c>
      <c r="O3882" s="5" t="str">
        <f ca="1">IF(P3882&lt;&gt;"EXPEDIÇÃO","Expedido",IF(NETWORKDAYS(C3882,TODAY())&gt;=5,"Risco Alto",IF(NETWORKDAYS(C3882,TODAY())&gt;=3,IF(NETWORKDAYS(C3882,TODAY())&lt;5,"Risco Médio",""),IF(NETWORKDAYS(C3882,TODAY())&lt;=2,"Risco Baixo",""))))</f>
        <v>Risco Médio</v>
      </c>
      <c r="P3882" s="5" t="s">
        <v>726</v>
      </c>
      <c r="R3882" s="5" t="s">
        <v>1618</v>
      </c>
      <c r="S3882" s="7" t="str">
        <f>IF(ISBLANK(M3882),"Aguardando Previsão/Data",NETWORKDAYS(L3882,M3882)-1)</f>
        <v>Aguardando Previsão/Data</v>
      </c>
    </row>
    <row r="3883" spans="1:20" x14ac:dyDescent="0.35">
      <c r="A3883" s="5">
        <v>8100284614</v>
      </c>
      <c r="B3883" s="5">
        <v>19743</v>
      </c>
      <c r="C3883" s="6">
        <v>45685</v>
      </c>
      <c r="D3883" s="5" t="s">
        <v>106</v>
      </c>
      <c r="E3883" s="5" t="s">
        <v>107</v>
      </c>
      <c r="F3883" s="5" t="s">
        <v>58</v>
      </c>
      <c r="G3883" s="5" t="s">
        <v>59</v>
      </c>
      <c r="H3883" s="5" t="s">
        <v>108</v>
      </c>
      <c r="I3883" s="5" t="s">
        <v>504</v>
      </c>
      <c r="J3883" s="5" t="s">
        <v>340</v>
      </c>
      <c r="K3883" s="5" t="s">
        <v>110</v>
      </c>
      <c r="L3883" s="6">
        <v>45691</v>
      </c>
      <c r="M3883" s="6">
        <v>45687</v>
      </c>
      <c r="N3883" s="6" t="s">
        <v>811</v>
      </c>
      <c r="O3883" s="5" t="str">
        <f ca="1">IF(P3883&lt;&gt;"EXPEDIÇÃO","Expedido",IF(NETWORKDAYS(C3883,TODAY())&gt;=5,"Risco Alto",IF(NETWORKDAYS(C3883,TODAY())&gt;=3,IF(NETWORKDAYS(C3883,TODAY())&lt;5,"Risco Médio",""),IF(NETWORKDAYS(C3883,TODAY())&lt;=2,"Risco Baixo",""))))</f>
        <v>Expedido</v>
      </c>
      <c r="P3883" s="5" t="s">
        <v>25</v>
      </c>
      <c r="S3883" s="7">
        <f>IF(ISBLANK(M3883),"Aguardando Previsão/Data",NETWORKDAYS(L3883,M3883)-1)</f>
        <v>-4</v>
      </c>
      <c r="T3883" s="5" t="s">
        <v>942</v>
      </c>
    </row>
    <row r="3884" spans="1:20" x14ac:dyDescent="0.35">
      <c r="A3884" s="5">
        <v>8100284641</v>
      </c>
      <c r="B3884" s="5">
        <v>19746</v>
      </c>
      <c r="C3884" s="6">
        <v>45685</v>
      </c>
      <c r="D3884" s="5" t="s">
        <v>106</v>
      </c>
      <c r="E3884" s="5" t="s">
        <v>107</v>
      </c>
      <c r="F3884" s="5" t="s">
        <v>58</v>
      </c>
      <c r="G3884" s="5" t="s">
        <v>59</v>
      </c>
      <c r="H3884" s="5" t="s">
        <v>108</v>
      </c>
      <c r="I3884" s="5" t="s">
        <v>140</v>
      </c>
      <c r="J3884" s="5" t="s">
        <v>141</v>
      </c>
      <c r="K3884" s="5" t="s">
        <v>110</v>
      </c>
      <c r="L3884" s="6">
        <v>45691</v>
      </c>
      <c r="M3884" s="6">
        <v>45685</v>
      </c>
      <c r="N3884" s="6" t="s">
        <v>811</v>
      </c>
      <c r="O3884" s="5" t="str">
        <f ca="1">IF(P3884&lt;&gt;"EXPEDIÇÃO","Expedido",IF(NETWORKDAYS(C3884,TODAY())&gt;=5,"Risco Alto",IF(NETWORKDAYS(C3884,TODAY())&gt;=3,IF(NETWORKDAYS(C3884,TODAY())&lt;5,"Risco Médio",""),IF(NETWORKDAYS(C3884,TODAY())&lt;=2,"Risco Baixo",""))))</f>
        <v>Expedido</v>
      </c>
      <c r="P3884" s="5" t="s">
        <v>25</v>
      </c>
      <c r="Q3884" s="5" t="s">
        <v>900</v>
      </c>
      <c r="S3884" s="7">
        <f>IF(ISBLANK(M3884),"Aguardando Previsão/Data",NETWORKDAYS(L3884,M3884)-1)</f>
        <v>-6</v>
      </c>
      <c r="T3884" s="5" t="s">
        <v>942</v>
      </c>
    </row>
    <row r="3885" spans="1:20" x14ac:dyDescent="0.35">
      <c r="A3885" s="5">
        <v>8100284642</v>
      </c>
      <c r="B3885" s="5">
        <v>19747</v>
      </c>
      <c r="C3885" s="6">
        <v>45685</v>
      </c>
      <c r="D3885" s="5" t="s">
        <v>106</v>
      </c>
      <c r="E3885" s="5" t="s">
        <v>107</v>
      </c>
      <c r="F3885" s="5" t="s">
        <v>58</v>
      </c>
      <c r="G3885" s="5" t="s">
        <v>59</v>
      </c>
      <c r="H3885" s="5" t="s">
        <v>108</v>
      </c>
      <c r="I3885" s="5" t="s">
        <v>140</v>
      </c>
      <c r="J3885" s="5" t="s">
        <v>141</v>
      </c>
      <c r="K3885" s="5" t="s">
        <v>110</v>
      </c>
      <c r="L3885" s="6">
        <v>45691</v>
      </c>
      <c r="M3885" s="6">
        <v>45685</v>
      </c>
      <c r="N3885" s="6" t="s">
        <v>811</v>
      </c>
      <c r="O3885" s="5" t="str">
        <f ca="1">IF(P3885&lt;&gt;"EXPEDIÇÃO","Expedido",IF(NETWORKDAYS(C3885,TODAY())&gt;=5,"Risco Alto",IF(NETWORKDAYS(C3885,TODAY())&gt;=3,IF(NETWORKDAYS(C3885,TODAY())&lt;5,"Risco Médio",""),IF(NETWORKDAYS(C3885,TODAY())&lt;=2,"Risco Baixo",""))))</f>
        <v>Expedido</v>
      </c>
      <c r="P3885" s="5" t="s">
        <v>25</v>
      </c>
      <c r="Q3885" s="5" t="s">
        <v>900</v>
      </c>
      <c r="S3885" s="7">
        <f>IF(ISBLANK(M3885),"Aguardando Previsão/Data",NETWORKDAYS(L3885,M3885)-1)</f>
        <v>-6</v>
      </c>
      <c r="T3885" s="5" t="s">
        <v>942</v>
      </c>
    </row>
    <row r="3886" spans="1:20" x14ac:dyDescent="0.35">
      <c r="A3886" s="5">
        <v>8100284644</v>
      </c>
      <c r="B3886" s="5">
        <v>19744</v>
      </c>
      <c r="C3886" s="6">
        <v>45685</v>
      </c>
      <c r="D3886" s="5" t="s">
        <v>106</v>
      </c>
      <c r="E3886" s="5" t="s">
        <v>107</v>
      </c>
      <c r="F3886" s="5" t="s">
        <v>53</v>
      </c>
      <c r="G3886" s="5" t="s">
        <v>54</v>
      </c>
      <c r="H3886" s="5" t="s">
        <v>108</v>
      </c>
      <c r="I3886" s="5" t="s">
        <v>782</v>
      </c>
      <c r="J3886" s="5" t="s">
        <v>1529</v>
      </c>
      <c r="K3886" s="5" t="s">
        <v>110</v>
      </c>
      <c r="L3886" s="6">
        <v>45693</v>
      </c>
      <c r="M3886" s="6">
        <v>45688</v>
      </c>
      <c r="N3886" s="6" t="s">
        <v>811</v>
      </c>
      <c r="O3886" s="5" t="str">
        <f ca="1">IF(P3886&lt;&gt;"EXPEDIÇÃO","Expedido",IF(NETWORKDAYS(C3886,TODAY())&gt;=5,"Risco Alto",IF(NETWORKDAYS(C3886,TODAY())&gt;=3,IF(NETWORKDAYS(C3886,TODAY())&lt;5,"Risco Médio",""),IF(NETWORKDAYS(C3886,TODAY())&lt;=2,"Risco Baixo",""))))</f>
        <v>Expedido</v>
      </c>
      <c r="P3886" s="5" t="s">
        <v>617</v>
      </c>
      <c r="S3886" s="7">
        <f>IF(ISBLANK(M3886),"Aguardando Previsão/Data",NETWORKDAYS(L3886,M3886)-1)</f>
        <v>-5</v>
      </c>
    </row>
    <row r="3887" spans="1:20" x14ac:dyDescent="0.35">
      <c r="A3887" s="5">
        <v>8100284828</v>
      </c>
      <c r="B3887" s="5">
        <v>19772</v>
      </c>
      <c r="C3887" s="6">
        <v>45685</v>
      </c>
      <c r="D3887" s="5" t="s">
        <v>106</v>
      </c>
      <c r="E3887" s="5" t="s">
        <v>107</v>
      </c>
      <c r="F3887" s="5" t="s">
        <v>171</v>
      </c>
      <c r="G3887" s="5" t="s">
        <v>172</v>
      </c>
      <c r="H3887" s="5" t="s">
        <v>108</v>
      </c>
      <c r="I3887" s="5" t="s">
        <v>456</v>
      </c>
      <c r="J3887" s="5" t="s">
        <v>172</v>
      </c>
      <c r="K3887" s="5" t="s">
        <v>170</v>
      </c>
      <c r="L3887" s="6">
        <v>45694</v>
      </c>
      <c r="M3887" s="6">
        <v>45694</v>
      </c>
      <c r="N3887" s="6" t="s">
        <v>811</v>
      </c>
      <c r="O3887" s="5" t="str">
        <f ca="1">IF(P3887&lt;&gt;"EXPEDIÇÃO","Expedido",IF(NETWORKDAYS(C3887,TODAY())&gt;=5,"Risco Alto",IF(NETWORKDAYS(C3887,TODAY())&gt;=3,IF(NETWORKDAYS(C3887,TODAY())&lt;5,"Risco Médio",""),IF(NETWORKDAYS(C3887,TODAY())&lt;=2,"Risco Baixo",""))))</f>
        <v>Expedido</v>
      </c>
      <c r="P3887" s="5" t="s">
        <v>617</v>
      </c>
      <c r="Q3887" s="5" t="s">
        <v>1627</v>
      </c>
      <c r="S3887" s="7">
        <f>IF(ISBLANK(M3887),"Aguardando Previsão/Data",NETWORKDAYS(L3887,M3887)-1)</f>
        <v>0</v>
      </c>
    </row>
    <row r="3888" spans="1:20" x14ac:dyDescent="0.35">
      <c r="A3888" s="5">
        <v>8100284829</v>
      </c>
      <c r="B3888" s="5">
        <v>19773</v>
      </c>
      <c r="C3888" s="6">
        <v>45685</v>
      </c>
      <c r="D3888" s="5" t="s">
        <v>106</v>
      </c>
      <c r="E3888" s="5" t="s">
        <v>107</v>
      </c>
      <c r="F3888" s="5" t="s">
        <v>111</v>
      </c>
      <c r="G3888" s="5" t="s">
        <v>112</v>
      </c>
      <c r="H3888" s="5" t="s">
        <v>108</v>
      </c>
      <c r="I3888" s="5" t="s">
        <v>1591</v>
      </c>
      <c r="J3888" s="5" t="s">
        <v>1592</v>
      </c>
      <c r="K3888" s="5" t="s">
        <v>110</v>
      </c>
      <c r="L3888" s="6">
        <v>45692</v>
      </c>
      <c r="M3888" s="6">
        <v>45687</v>
      </c>
      <c r="N3888" s="6" t="s">
        <v>811</v>
      </c>
      <c r="O3888" s="5" t="str">
        <f ca="1">IF(P3888&lt;&gt;"EXPEDIÇÃO","Expedido",IF(NETWORKDAYS(C3888,TODAY())&gt;=5,"Risco Alto",IF(NETWORKDAYS(C3888,TODAY())&gt;=3,IF(NETWORKDAYS(C3888,TODAY())&lt;5,"Risco Médio",""),IF(NETWORKDAYS(C3888,TODAY())&lt;=2,"Risco Baixo",""))))</f>
        <v>Expedido</v>
      </c>
      <c r="P3888" s="5" t="s">
        <v>25</v>
      </c>
      <c r="S3888" s="7">
        <f>IF(ISBLANK(M3888),"Aguardando Previsão/Data",NETWORKDAYS(L3888,M3888)-1)</f>
        <v>-5</v>
      </c>
      <c r="T3888" s="5" t="s">
        <v>942</v>
      </c>
    </row>
    <row r="3889" spans="1:20" x14ac:dyDescent="0.35">
      <c r="A3889" s="5">
        <v>8100284936</v>
      </c>
      <c r="B3889" s="5">
        <v>19778</v>
      </c>
      <c r="C3889" s="6">
        <v>45685</v>
      </c>
      <c r="D3889" s="5" t="s">
        <v>106</v>
      </c>
      <c r="E3889" s="5" t="s">
        <v>107</v>
      </c>
      <c r="F3889" s="5" t="s">
        <v>69</v>
      </c>
      <c r="G3889" s="5" t="s">
        <v>70</v>
      </c>
      <c r="H3889" s="5" t="s">
        <v>108</v>
      </c>
      <c r="I3889" s="5" t="s">
        <v>284</v>
      </c>
      <c r="J3889" s="5" t="s">
        <v>285</v>
      </c>
      <c r="K3889" s="5" t="s">
        <v>110</v>
      </c>
      <c r="L3889" s="6">
        <v>45692</v>
      </c>
      <c r="N3889" s="6" t="s">
        <v>811</v>
      </c>
      <c r="O3889" s="5" t="str">
        <f ca="1">IF(P3889&lt;&gt;"EXPEDIÇÃO","Expedido",IF(NETWORKDAYS(C3889,TODAY())&gt;=5,"Risco Alto",IF(NETWORKDAYS(C3889,TODAY())&gt;=3,IF(NETWORKDAYS(C3889,TODAY())&lt;5,"Risco Médio",""),IF(NETWORKDAYS(C3889,TODAY())&lt;=2,"Risco Baixo",""))))</f>
        <v>Risco Médio</v>
      </c>
      <c r="P3889" s="5" t="s">
        <v>726</v>
      </c>
      <c r="Q3889" s="5" t="s">
        <v>990</v>
      </c>
      <c r="S3889" s="7" t="str">
        <f>IF(ISBLANK(M3889),"Aguardando Previsão/Data",NETWORKDAYS(L3889,M3889)-1)</f>
        <v>Aguardando Previsão/Data</v>
      </c>
    </row>
    <row r="3890" spans="1:20" x14ac:dyDescent="0.35">
      <c r="A3890" s="5">
        <v>8100284937</v>
      </c>
      <c r="B3890" s="5">
        <v>19770</v>
      </c>
      <c r="C3890" s="6">
        <v>45685</v>
      </c>
      <c r="D3890" s="5" t="s">
        <v>106</v>
      </c>
      <c r="E3890" s="5" t="s">
        <v>107</v>
      </c>
      <c r="F3890" s="5" t="s">
        <v>58</v>
      </c>
      <c r="G3890" s="5" t="s">
        <v>59</v>
      </c>
      <c r="H3890" s="5" t="s">
        <v>108</v>
      </c>
      <c r="I3890" s="5" t="s">
        <v>394</v>
      </c>
      <c r="J3890" s="5" t="s">
        <v>395</v>
      </c>
      <c r="K3890" s="5" t="s">
        <v>110</v>
      </c>
      <c r="L3890" s="6">
        <v>45692</v>
      </c>
      <c r="M3890" s="6">
        <v>45687</v>
      </c>
      <c r="N3890" s="6" t="s">
        <v>811</v>
      </c>
      <c r="O3890" s="5" t="str">
        <f ca="1">IF(P3890&lt;&gt;"EXPEDIÇÃO","Expedido",IF(NETWORKDAYS(C3890,TODAY())&gt;=5,"Risco Alto",IF(NETWORKDAYS(C3890,TODAY())&gt;=3,IF(NETWORKDAYS(C3890,TODAY())&lt;5,"Risco Médio",""),IF(NETWORKDAYS(C3890,TODAY())&lt;=2,"Risco Baixo",""))))</f>
        <v>Expedido</v>
      </c>
      <c r="P3890" s="5" t="s">
        <v>25</v>
      </c>
      <c r="S3890" s="7">
        <f>IF(ISBLANK(M3890),"Aguardando Previsão/Data",NETWORKDAYS(L3890,M3890)-1)</f>
        <v>-5</v>
      </c>
      <c r="T3890" s="5" t="s">
        <v>942</v>
      </c>
    </row>
    <row r="3891" spans="1:20" x14ac:dyDescent="0.35">
      <c r="A3891" s="5">
        <v>8100284938</v>
      </c>
      <c r="B3891" s="5">
        <v>19771</v>
      </c>
      <c r="C3891" s="6">
        <v>45685</v>
      </c>
      <c r="D3891" s="5" t="s">
        <v>106</v>
      </c>
      <c r="E3891" s="5" t="s">
        <v>107</v>
      </c>
      <c r="F3891" s="5" t="s">
        <v>58</v>
      </c>
      <c r="G3891" s="5" t="s">
        <v>59</v>
      </c>
      <c r="H3891" s="5" t="s">
        <v>108</v>
      </c>
      <c r="I3891" s="5" t="s">
        <v>394</v>
      </c>
      <c r="J3891" s="5" t="s">
        <v>395</v>
      </c>
      <c r="K3891" s="5" t="s">
        <v>110</v>
      </c>
      <c r="L3891" s="6">
        <v>45692</v>
      </c>
      <c r="M3891" s="6">
        <v>45687</v>
      </c>
      <c r="N3891" s="6" t="s">
        <v>811</v>
      </c>
      <c r="O3891" s="5" t="str">
        <f ca="1">IF(P3891&lt;&gt;"EXPEDIÇÃO","Expedido",IF(NETWORKDAYS(C3891,TODAY())&gt;=5,"Risco Alto",IF(NETWORKDAYS(C3891,TODAY())&gt;=3,IF(NETWORKDAYS(C3891,TODAY())&lt;5,"Risco Médio",""),IF(NETWORKDAYS(C3891,TODAY())&lt;=2,"Risco Baixo",""))))</f>
        <v>Expedido</v>
      </c>
      <c r="P3891" s="5" t="s">
        <v>25</v>
      </c>
      <c r="S3891" s="7">
        <f>IF(ISBLANK(M3891),"Aguardando Previsão/Data",NETWORKDAYS(L3891,M3891)-1)</f>
        <v>-5</v>
      </c>
      <c r="T3891" s="5" t="s">
        <v>942</v>
      </c>
    </row>
    <row r="3892" spans="1:20" x14ac:dyDescent="0.35">
      <c r="A3892" s="5">
        <v>8100284998</v>
      </c>
      <c r="B3892" s="5">
        <v>19779</v>
      </c>
      <c r="C3892" s="6">
        <v>45685</v>
      </c>
      <c r="D3892" s="5" t="s">
        <v>106</v>
      </c>
      <c r="E3892" s="5" t="s">
        <v>107</v>
      </c>
      <c r="F3892" s="5" t="s">
        <v>66</v>
      </c>
      <c r="G3892" s="5" t="s">
        <v>67</v>
      </c>
      <c r="H3892" s="5" t="s">
        <v>108</v>
      </c>
      <c r="I3892" s="5" t="s">
        <v>154</v>
      </c>
      <c r="J3892" s="5" t="s">
        <v>155</v>
      </c>
      <c r="K3892" s="5" t="s">
        <v>156</v>
      </c>
      <c r="L3892" s="6">
        <v>45695</v>
      </c>
      <c r="M3892" s="6">
        <v>45695</v>
      </c>
      <c r="N3892" s="6" t="s">
        <v>811</v>
      </c>
      <c r="O3892" s="5" t="str">
        <f ca="1">IF(P3892&lt;&gt;"EXPEDIÇÃO","Expedido",IF(NETWORKDAYS(C3892,TODAY())&gt;=5,"Risco Alto",IF(NETWORKDAYS(C3892,TODAY())&gt;=3,IF(NETWORKDAYS(C3892,TODAY())&lt;5,"Risco Médio",""),IF(NETWORKDAYS(C3892,TODAY())&lt;=2,"Risco Baixo",""))))</f>
        <v>Expedido</v>
      </c>
      <c r="P3892" s="5" t="s">
        <v>617</v>
      </c>
      <c r="Q3892" s="5" t="s">
        <v>1619</v>
      </c>
      <c r="S3892" s="7">
        <f>IF(ISBLANK(M3892),"Aguardando Previsão/Data",NETWORKDAYS(L3892,M3892)-1)</f>
        <v>0</v>
      </c>
    </row>
    <row r="3893" spans="1:20" x14ac:dyDescent="0.35">
      <c r="A3893" s="5">
        <v>8100285017</v>
      </c>
      <c r="B3893" s="5">
        <v>19780</v>
      </c>
      <c r="C3893" s="6">
        <v>45685</v>
      </c>
      <c r="D3893" s="5" t="s">
        <v>106</v>
      </c>
      <c r="E3893" s="5" t="s">
        <v>107</v>
      </c>
      <c r="F3893" s="5" t="s">
        <v>58</v>
      </c>
      <c r="G3893" s="5" t="s">
        <v>59</v>
      </c>
      <c r="H3893" s="5" t="s">
        <v>108</v>
      </c>
      <c r="I3893" s="5" t="s">
        <v>140</v>
      </c>
      <c r="J3893" s="5" t="s">
        <v>141</v>
      </c>
      <c r="K3893" s="5" t="s">
        <v>110</v>
      </c>
      <c r="L3893" s="6">
        <v>45691</v>
      </c>
      <c r="M3893" s="6">
        <v>45685</v>
      </c>
      <c r="N3893" s="6" t="s">
        <v>811</v>
      </c>
      <c r="O3893" s="5" t="str">
        <f ca="1">IF(P3893&lt;&gt;"EXPEDIÇÃO","Expedido",IF(NETWORKDAYS(C3893,TODAY())&gt;=5,"Risco Alto",IF(NETWORKDAYS(C3893,TODAY())&gt;=3,IF(NETWORKDAYS(C3893,TODAY())&lt;5,"Risco Médio",""),IF(NETWORKDAYS(C3893,TODAY())&lt;=2,"Risco Baixo",""))))</f>
        <v>Expedido</v>
      </c>
      <c r="P3893" s="5" t="s">
        <v>25</v>
      </c>
      <c r="Q3893" s="5" t="s">
        <v>900</v>
      </c>
      <c r="S3893" s="7">
        <f>IF(ISBLANK(M3893),"Aguardando Previsão/Data",NETWORKDAYS(L3893,M3893)-1)</f>
        <v>-6</v>
      </c>
      <c r="T3893" s="5" t="s">
        <v>942</v>
      </c>
    </row>
    <row r="3894" spans="1:20" x14ac:dyDescent="0.35">
      <c r="A3894" s="5">
        <v>8100285018</v>
      </c>
      <c r="B3894" s="5">
        <v>19781</v>
      </c>
      <c r="C3894" s="6">
        <v>45685</v>
      </c>
      <c r="D3894" s="5" t="s">
        <v>106</v>
      </c>
      <c r="E3894" s="5" t="s">
        <v>107</v>
      </c>
      <c r="F3894" s="5" t="s">
        <v>58</v>
      </c>
      <c r="G3894" s="5" t="s">
        <v>59</v>
      </c>
      <c r="H3894" s="5" t="s">
        <v>108</v>
      </c>
      <c r="I3894" s="5" t="s">
        <v>140</v>
      </c>
      <c r="J3894" s="5" t="s">
        <v>141</v>
      </c>
      <c r="K3894" s="5" t="s">
        <v>110</v>
      </c>
      <c r="L3894" s="6">
        <v>45691</v>
      </c>
      <c r="M3894" s="6">
        <v>45685</v>
      </c>
      <c r="N3894" s="6" t="s">
        <v>811</v>
      </c>
      <c r="O3894" s="5" t="str">
        <f ca="1">IF(P3894&lt;&gt;"EXPEDIÇÃO","Expedido",IF(NETWORKDAYS(C3894,TODAY())&gt;=5,"Risco Alto",IF(NETWORKDAYS(C3894,TODAY())&gt;=3,IF(NETWORKDAYS(C3894,TODAY())&lt;5,"Risco Médio",""),IF(NETWORKDAYS(C3894,TODAY())&lt;=2,"Risco Baixo",""))))</f>
        <v>Expedido</v>
      </c>
      <c r="P3894" s="5" t="s">
        <v>25</v>
      </c>
      <c r="Q3894" s="5" t="s">
        <v>900</v>
      </c>
      <c r="S3894" s="7">
        <f>IF(ISBLANK(M3894),"Aguardando Previsão/Data",NETWORKDAYS(L3894,M3894)-1)</f>
        <v>-6</v>
      </c>
      <c r="T3894" s="5" t="s">
        <v>942</v>
      </c>
    </row>
    <row r="3895" spans="1:20" x14ac:dyDescent="0.35">
      <c r="A3895" s="5">
        <v>8100285186</v>
      </c>
      <c r="B3895" s="5">
        <v>19782</v>
      </c>
      <c r="C3895" s="6">
        <v>45685</v>
      </c>
      <c r="D3895" s="5" t="s">
        <v>106</v>
      </c>
      <c r="E3895" s="5" t="s">
        <v>107</v>
      </c>
      <c r="F3895" s="5" t="s">
        <v>111</v>
      </c>
      <c r="G3895" s="5" t="s">
        <v>112</v>
      </c>
      <c r="H3895" s="5" t="s">
        <v>108</v>
      </c>
      <c r="I3895" s="5" t="s">
        <v>115</v>
      </c>
      <c r="J3895" s="5" t="s">
        <v>125</v>
      </c>
      <c r="K3895" s="5" t="s">
        <v>110</v>
      </c>
      <c r="L3895" s="6">
        <v>45691</v>
      </c>
      <c r="M3895" s="6">
        <v>45687</v>
      </c>
      <c r="N3895" s="6" t="s">
        <v>811</v>
      </c>
      <c r="O3895" s="5" t="str">
        <f ca="1">IF(P3895&lt;&gt;"EXPEDIÇÃO","Expedido",IF(NETWORKDAYS(C3895,TODAY())&gt;=5,"Risco Alto",IF(NETWORKDAYS(C3895,TODAY())&gt;=3,IF(NETWORKDAYS(C3895,TODAY())&lt;5,"Risco Médio",""),IF(NETWORKDAYS(C3895,TODAY())&lt;=2,"Risco Baixo",""))))</f>
        <v>Expedido</v>
      </c>
      <c r="P3895" s="5" t="s">
        <v>617</v>
      </c>
      <c r="S3895" s="7">
        <f>IF(ISBLANK(M3895),"Aguardando Previsão/Data",NETWORKDAYS(L3895,M3895)-1)</f>
        <v>-4</v>
      </c>
    </row>
    <row r="3896" spans="1:20" x14ac:dyDescent="0.35">
      <c r="A3896" s="5">
        <v>8100285187</v>
      </c>
      <c r="B3896" s="5">
        <v>19783</v>
      </c>
      <c r="C3896" s="6">
        <v>45685</v>
      </c>
      <c r="D3896" s="5" t="s">
        <v>106</v>
      </c>
      <c r="E3896" s="5" t="s">
        <v>107</v>
      </c>
      <c r="F3896" s="5" t="s">
        <v>111</v>
      </c>
      <c r="G3896" s="5" t="s">
        <v>112</v>
      </c>
      <c r="H3896" s="5" t="s">
        <v>108</v>
      </c>
      <c r="I3896" s="5" t="s">
        <v>115</v>
      </c>
      <c r="J3896" s="5" t="s">
        <v>133</v>
      </c>
      <c r="K3896" s="5" t="s">
        <v>110</v>
      </c>
      <c r="L3896" s="6">
        <v>45693</v>
      </c>
      <c r="M3896" s="6">
        <v>45688</v>
      </c>
      <c r="N3896" s="6" t="s">
        <v>811</v>
      </c>
      <c r="O3896" s="5" t="str">
        <f ca="1">IF(P3896&lt;&gt;"EXPEDIÇÃO","Expedido",IF(NETWORKDAYS(C3896,TODAY())&gt;=5,"Risco Alto",IF(NETWORKDAYS(C3896,TODAY())&gt;=3,IF(NETWORKDAYS(C3896,TODAY())&lt;5,"Risco Médio",""),IF(NETWORKDAYS(C3896,TODAY())&lt;=2,"Risco Baixo",""))))</f>
        <v>Expedido</v>
      </c>
      <c r="P3896" s="5" t="s">
        <v>617</v>
      </c>
      <c r="S3896" s="7">
        <f>IF(ISBLANK(M3896),"Aguardando Previsão/Data",NETWORKDAYS(L3896,M3896)-1)</f>
        <v>-5</v>
      </c>
    </row>
    <row r="3897" spans="1:20" x14ac:dyDescent="0.35">
      <c r="A3897" s="5">
        <v>8100282511</v>
      </c>
      <c r="B3897" s="5">
        <v>7431</v>
      </c>
      <c r="C3897" s="6">
        <v>45685</v>
      </c>
      <c r="D3897" s="5" t="s">
        <v>194</v>
      </c>
      <c r="E3897" s="5" t="s">
        <v>195</v>
      </c>
      <c r="F3897" s="5" t="s">
        <v>406</v>
      </c>
      <c r="G3897" s="5" t="s">
        <v>407</v>
      </c>
      <c r="H3897" s="5" t="s">
        <v>108</v>
      </c>
      <c r="I3897" s="5" t="s">
        <v>633</v>
      </c>
      <c r="J3897" s="5" t="s">
        <v>407</v>
      </c>
      <c r="K3897" s="5" t="s">
        <v>198</v>
      </c>
      <c r="L3897" s="6">
        <v>45691</v>
      </c>
      <c r="M3897" s="6">
        <v>45687</v>
      </c>
      <c r="N3897" s="6" t="s">
        <v>811</v>
      </c>
      <c r="O3897" s="5" t="str">
        <f ca="1">IF(P3897&lt;&gt;"EXPEDIÇÃO","Expedido",IF(NETWORKDAYS(C3897,TODAY())&gt;=5,"Risco Alto",IF(NETWORKDAYS(C3897,TODAY())&gt;=3,IF(NETWORKDAYS(C3897,TODAY())&lt;5,"Risco Médio",""),IF(NETWORKDAYS(C3897,TODAY())&lt;=2,"Risco Baixo",""))))</f>
        <v>Expedido</v>
      </c>
      <c r="P3897" s="5" t="s">
        <v>25</v>
      </c>
      <c r="S3897" s="7">
        <f>IF(ISBLANK(M3897),"Aguardando Previsão/Data",NETWORKDAYS(L3897,M3897)-1)</f>
        <v>-4</v>
      </c>
      <c r="T3897" s="5" t="s">
        <v>942</v>
      </c>
    </row>
    <row r="3898" spans="1:20" x14ac:dyDescent="0.35">
      <c r="A3898" s="5">
        <v>8100282517</v>
      </c>
      <c r="B3898" s="5">
        <v>7434</v>
      </c>
      <c r="C3898" s="6">
        <v>45685</v>
      </c>
      <c r="D3898" s="5" t="s">
        <v>194</v>
      </c>
      <c r="E3898" s="5" t="s">
        <v>195</v>
      </c>
      <c r="F3898" s="5" t="s">
        <v>406</v>
      </c>
      <c r="G3898" s="5" t="s">
        <v>407</v>
      </c>
      <c r="H3898" s="5" t="s">
        <v>108</v>
      </c>
      <c r="I3898" s="5" t="s">
        <v>633</v>
      </c>
      <c r="J3898" s="5" t="s">
        <v>407</v>
      </c>
      <c r="K3898" s="5" t="s">
        <v>198</v>
      </c>
      <c r="L3898" s="6">
        <v>45691</v>
      </c>
      <c r="M3898" s="6">
        <v>45687</v>
      </c>
      <c r="N3898" s="6" t="s">
        <v>811</v>
      </c>
      <c r="O3898" s="5" t="str">
        <f ca="1">IF(P3898&lt;&gt;"EXPEDIÇÃO","Expedido",IF(NETWORKDAYS(C3898,TODAY())&gt;=5,"Risco Alto",IF(NETWORKDAYS(C3898,TODAY())&gt;=3,IF(NETWORKDAYS(C3898,TODAY())&lt;5,"Risco Médio",""),IF(NETWORKDAYS(C3898,TODAY())&lt;=2,"Risco Baixo",""))))</f>
        <v>Expedido</v>
      </c>
      <c r="P3898" s="5" t="s">
        <v>25</v>
      </c>
      <c r="S3898" s="7">
        <f>IF(ISBLANK(M3898),"Aguardando Previsão/Data",NETWORKDAYS(L3898,M3898)-1)</f>
        <v>-4</v>
      </c>
      <c r="T3898" s="5" t="s">
        <v>942</v>
      </c>
    </row>
    <row r="3899" spans="1:20" x14ac:dyDescent="0.35">
      <c r="A3899" s="5">
        <v>8100282520</v>
      </c>
      <c r="B3899" s="5">
        <v>7430</v>
      </c>
      <c r="C3899" s="6">
        <v>45685</v>
      </c>
      <c r="D3899" s="5" t="s">
        <v>194</v>
      </c>
      <c r="E3899" s="5" t="s">
        <v>195</v>
      </c>
      <c r="F3899" s="5" t="s">
        <v>406</v>
      </c>
      <c r="G3899" s="5" t="s">
        <v>407</v>
      </c>
      <c r="H3899" s="5" t="s">
        <v>108</v>
      </c>
      <c r="I3899" s="5" t="s">
        <v>633</v>
      </c>
      <c r="J3899" s="5" t="s">
        <v>407</v>
      </c>
      <c r="K3899" s="5" t="s">
        <v>198</v>
      </c>
      <c r="L3899" s="6">
        <v>45691</v>
      </c>
      <c r="M3899" s="6">
        <v>45687</v>
      </c>
      <c r="N3899" s="6" t="s">
        <v>811</v>
      </c>
      <c r="O3899" s="5" t="str">
        <f ca="1">IF(P3899&lt;&gt;"EXPEDIÇÃO","Expedido",IF(NETWORKDAYS(C3899,TODAY())&gt;=5,"Risco Alto",IF(NETWORKDAYS(C3899,TODAY())&gt;=3,IF(NETWORKDAYS(C3899,TODAY())&lt;5,"Risco Médio",""),IF(NETWORKDAYS(C3899,TODAY())&lt;=2,"Risco Baixo",""))))</f>
        <v>Expedido</v>
      </c>
      <c r="P3899" s="5" t="s">
        <v>25</v>
      </c>
      <c r="S3899" s="7">
        <f>IF(ISBLANK(M3899),"Aguardando Previsão/Data",NETWORKDAYS(L3899,M3899)-1)</f>
        <v>-4</v>
      </c>
      <c r="T3899" s="5" t="s">
        <v>942</v>
      </c>
    </row>
    <row r="3900" spans="1:20" x14ac:dyDescent="0.35">
      <c r="A3900" s="5">
        <v>8100282522</v>
      </c>
      <c r="B3900" s="5">
        <v>7432</v>
      </c>
      <c r="C3900" s="6">
        <v>45685</v>
      </c>
      <c r="D3900" s="5" t="s">
        <v>194</v>
      </c>
      <c r="E3900" s="5" t="s">
        <v>195</v>
      </c>
      <c r="F3900" s="5" t="s">
        <v>406</v>
      </c>
      <c r="G3900" s="5" t="s">
        <v>407</v>
      </c>
      <c r="H3900" s="5" t="s">
        <v>108</v>
      </c>
      <c r="I3900" s="5" t="s">
        <v>1582</v>
      </c>
      <c r="J3900" s="5" t="s">
        <v>850</v>
      </c>
      <c r="K3900" s="5" t="s">
        <v>198</v>
      </c>
      <c r="L3900" s="6">
        <v>45691</v>
      </c>
      <c r="M3900" s="6">
        <v>45687</v>
      </c>
      <c r="N3900" s="6" t="s">
        <v>811</v>
      </c>
      <c r="O3900" s="5" t="str">
        <f ca="1">IF(P3900&lt;&gt;"EXPEDIÇÃO","Expedido",IF(NETWORKDAYS(C3900,TODAY())&gt;=5,"Risco Alto",IF(NETWORKDAYS(C3900,TODAY())&gt;=3,IF(NETWORKDAYS(C3900,TODAY())&lt;5,"Risco Médio",""),IF(NETWORKDAYS(C3900,TODAY())&lt;=2,"Risco Baixo",""))))</f>
        <v>Expedido</v>
      </c>
      <c r="P3900" s="5" t="s">
        <v>617</v>
      </c>
      <c r="S3900" s="7">
        <f>IF(ISBLANK(M3900),"Aguardando Previsão/Data",NETWORKDAYS(L3900,M3900)-1)</f>
        <v>-4</v>
      </c>
    </row>
    <row r="3901" spans="1:20" x14ac:dyDescent="0.35">
      <c r="A3901" s="5">
        <v>8100284152</v>
      </c>
      <c r="B3901" s="5">
        <v>7439</v>
      </c>
      <c r="C3901" s="6">
        <v>45685</v>
      </c>
      <c r="D3901" s="5" t="s">
        <v>194</v>
      </c>
      <c r="E3901" s="5" t="s">
        <v>195</v>
      </c>
      <c r="F3901" s="5" t="s">
        <v>196</v>
      </c>
      <c r="G3901" s="5" t="s">
        <v>197</v>
      </c>
      <c r="H3901" s="5" t="s">
        <v>108</v>
      </c>
      <c r="I3901" s="5" t="s">
        <v>1584</v>
      </c>
      <c r="J3901" s="5" t="s">
        <v>671</v>
      </c>
      <c r="K3901" s="5" t="s">
        <v>198</v>
      </c>
      <c r="L3901" s="6">
        <v>45692</v>
      </c>
      <c r="M3901" s="6">
        <v>45687</v>
      </c>
      <c r="N3901" s="6" t="s">
        <v>811</v>
      </c>
      <c r="O3901" s="5" t="str">
        <f ca="1">IF(P3901&lt;&gt;"EXPEDIÇÃO","Expedido",IF(NETWORKDAYS(C3901,TODAY())&gt;=5,"Risco Alto",IF(NETWORKDAYS(C3901,TODAY())&gt;=3,IF(NETWORKDAYS(C3901,TODAY())&lt;5,"Risco Médio",""),IF(NETWORKDAYS(C3901,TODAY())&lt;=2,"Risco Baixo",""))))</f>
        <v>Expedido</v>
      </c>
      <c r="P3901" s="5" t="s">
        <v>617</v>
      </c>
      <c r="S3901" s="7">
        <f>IF(ISBLANK(M3901),"Aguardando Previsão/Data",NETWORKDAYS(L3901,M3901)-1)</f>
        <v>-5</v>
      </c>
    </row>
    <row r="3902" spans="1:20" x14ac:dyDescent="0.35">
      <c r="A3902" s="5">
        <v>8100284153</v>
      </c>
      <c r="B3902" s="5">
        <v>7433</v>
      </c>
      <c r="C3902" s="6">
        <v>45685</v>
      </c>
      <c r="D3902" s="5" t="s">
        <v>194</v>
      </c>
      <c r="E3902" s="5" t="s">
        <v>195</v>
      </c>
      <c r="F3902" s="5" t="s">
        <v>406</v>
      </c>
      <c r="G3902" s="5" t="s">
        <v>407</v>
      </c>
      <c r="H3902" s="5" t="s">
        <v>108</v>
      </c>
      <c r="I3902" s="5" t="s">
        <v>1585</v>
      </c>
      <c r="J3902" s="5" t="s">
        <v>407</v>
      </c>
      <c r="K3902" s="5" t="s">
        <v>198</v>
      </c>
      <c r="L3902" s="6">
        <v>45691</v>
      </c>
      <c r="M3902" s="6">
        <v>45688</v>
      </c>
      <c r="N3902" s="6" t="s">
        <v>811</v>
      </c>
      <c r="O3902" s="5" t="str">
        <f ca="1">IF(P3902&lt;&gt;"EXPEDIÇÃO","Expedido",IF(NETWORKDAYS(C3902,TODAY())&gt;=5,"Risco Alto",IF(NETWORKDAYS(C3902,TODAY())&gt;=3,IF(NETWORKDAYS(C3902,TODAY())&lt;5,"Risco Médio",""),IF(NETWORKDAYS(C3902,TODAY())&lt;=2,"Risco Baixo",""))))</f>
        <v>Expedido</v>
      </c>
      <c r="P3902" s="5" t="s">
        <v>617</v>
      </c>
      <c r="S3902" s="7">
        <f>IF(ISBLANK(M3902),"Aguardando Previsão/Data",NETWORKDAYS(L3902,M3902)-1)</f>
        <v>-3</v>
      </c>
    </row>
    <row r="3903" spans="1:20" x14ac:dyDescent="0.35">
      <c r="A3903" s="5">
        <v>8100284247</v>
      </c>
      <c r="B3903" s="5">
        <v>7428</v>
      </c>
      <c r="C3903" s="6">
        <v>45685</v>
      </c>
      <c r="D3903" s="5" t="s">
        <v>194</v>
      </c>
      <c r="E3903" s="5" t="s">
        <v>195</v>
      </c>
      <c r="F3903" s="5" t="s">
        <v>199</v>
      </c>
      <c r="G3903" s="5" t="s">
        <v>200</v>
      </c>
      <c r="H3903" s="5" t="s">
        <v>108</v>
      </c>
      <c r="I3903" s="5" t="s">
        <v>589</v>
      </c>
      <c r="J3903" s="5" t="s">
        <v>205</v>
      </c>
      <c r="K3903" s="5" t="s">
        <v>198</v>
      </c>
      <c r="L3903" s="6">
        <v>45693</v>
      </c>
      <c r="M3903" s="6">
        <v>45688</v>
      </c>
      <c r="N3903" s="6" t="s">
        <v>811</v>
      </c>
      <c r="O3903" s="5" t="str">
        <f ca="1">IF(P3903&lt;&gt;"EXPEDIÇÃO","Expedido",IF(NETWORKDAYS(C3903,TODAY())&gt;=5,"Risco Alto",IF(NETWORKDAYS(C3903,TODAY())&gt;=3,IF(NETWORKDAYS(C3903,TODAY())&lt;5,"Risco Médio",""),IF(NETWORKDAYS(C3903,TODAY())&lt;=2,"Risco Baixo",""))))</f>
        <v>Expedido</v>
      </c>
      <c r="P3903" s="5" t="s">
        <v>617</v>
      </c>
      <c r="S3903" s="7">
        <f>IF(ISBLANK(M3903),"Aguardando Previsão/Data",NETWORKDAYS(L3903,M3903)-1)</f>
        <v>-5</v>
      </c>
    </row>
    <row r="3904" spans="1:20" x14ac:dyDescent="0.35">
      <c r="A3904" s="5">
        <v>8100284251</v>
      </c>
      <c r="B3904" s="5">
        <v>7416</v>
      </c>
      <c r="C3904" s="6">
        <v>45685</v>
      </c>
      <c r="D3904" s="5" t="s">
        <v>194</v>
      </c>
      <c r="E3904" s="5" t="s">
        <v>195</v>
      </c>
      <c r="F3904" s="5" t="s">
        <v>199</v>
      </c>
      <c r="G3904" s="5" t="s">
        <v>200</v>
      </c>
      <c r="H3904" s="5" t="s">
        <v>108</v>
      </c>
      <c r="I3904" s="5" t="s">
        <v>1586</v>
      </c>
      <c r="J3904" s="5" t="s">
        <v>1587</v>
      </c>
      <c r="K3904" s="5" t="s">
        <v>198</v>
      </c>
      <c r="L3904" s="6">
        <v>45693</v>
      </c>
      <c r="M3904" s="6">
        <v>45693</v>
      </c>
      <c r="N3904" s="6" t="s">
        <v>811</v>
      </c>
      <c r="O3904" s="5" t="str">
        <f ca="1">IF(P3904&lt;&gt;"EXPEDIÇÃO","Expedido",IF(NETWORKDAYS(C3904,TODAY())&gt;=5,"Risco Alto",IF(NETWORKDAYS(C3904,TODAY())&gt;=3,IF(NETWORKDAYS(C3904,TODAY())&lt;5,"Risco Médio",""),IF(NETWORKDAYS(C3904,TODAY())&lt;=2,"Risco Baixo",""))))</f>
        <v>Risco Médio</v>
      </c>
      <c r="P3904" s="5" t="s">
        <v>726</v>
      </c>
      <c r="S3904" s="7">
        <f>IF(ISBLANK(M3904),"Aguardando Previsão/Data",NETWORKDAYS(L3904,M3904)-1)</f>
        <v>0</v>
      </c>
    </row>
    <row r="3905" spans="1:20" x14ac:dyDescent="0.35">
      <c r="A3905" s="5">
        <v>8100284288</v>
      </c>
      <c r="B3905" s="5">
        <v>7422</v>
      </c>
      <c r="C3905" s="6">
        <v>45685</v>
      </c>
      <c r="D3905" s="5" t="s">
        <v>194</v>
      </c>
      <c r="E3905" s="5" t="s">
        <v>195</v>
      </c>
      <c r="F3905" s="5" t="s">
        <v>406</v>
      </c>
      <c r="G3905" s="5" t="s">
        <v>407</v>
      </c>
      <c r="H3905" s="5" t="s">
        <v>108</v>
      </c>
      <c r="I3905" s="5" t="s">
        <v>1588</v>
      </c>
      <c r="J3905" s="5" t="s">
        <v>588</v>
      </c>
      <c r="K3905" s="5" t="s">
        <v>198</v>
      </c>
      <c r="L3905" s="6">
        <v>45692</v>
      </c>
      <c r="M3905" s="6">
        <v>45688</v>
      </c>
      <c r="N3905" s="6" t="s">
        <v>811</v>
      </c>
      <c r="O3905" s="5" t="str">
        <f ca="1">IF(P3905&lt;&gt;"EXPEDIÇÃO","Expedido",IF(NETWORKDAYS(C3905,TODAY())&gt;=5,"Risco Alto",IF(NETWORKDAYS(C3905,TODAY())&gt;=3,IF(NETWORKDAYS(C3905,TODAY())&lt;5,"Risco Médio",""),IF(NETWORKDAYS(C3905,TODAY())&lt;=2,"Risco Baixo",""))))</f>
        <v>Expedido</v>
      </c>
      <c r="P3905" s="5" t="s">
        <v>617</v>
      </c>
      <c r="S3905" s="7">
        <f>IF(ISBLANK(M3905),"Aguardando Previsão/Data",NETWORKDAYS(L3905,M3905)-1)</f>
        <v>-4</v>
      </c>
    </row>
    <row r="3906" spans="1:20" x14ac:dyDescent="0.35">
      <c r="A3906" s="5">
        <v>8100284462</v>
      </c>
      <c r="B3906" s="5">
        <v>7418</v>
      </c>
      <c r="C3906" s="6">
        <v>45685</v>
      </c>
      <c r="D3906" s="5" t="s">
        <v>194</v>
      </c>
      <c r="E3906" s="5" t="s">
        <v>195</v>
      </c>
      <c r="F3906" s="5" t="s">
        <v>199</v>
      </c>
      <c r="G3906" s="5" t="s">
        <v>200</v>
      </c>
      <c r="H3906" s="5" t="s">
        <v>108</v>
      </c>
      <c r="I3906" s="5" t="s">
        <v>1590</v>
      </c>
      <c r="J3906" s="5" t="s">
        <v>858</v>
      </c>
      <c r="K3906" s="5" t="s">
        <v>198</v>
      </c>
      <c r="L3906" s="6">
        <v>45693</v>
      </c>
      <c r="M3906" s="6">
        <v>45688</v>
      </c>
      <c r="N3906" s="6" t="s">
        <v>811</v>
      </c>
      <c r="O3906" s="5" t="str">
        <f ca="1">IF(P3906&lt;&gt;"EXPEDIÇÃO","Expedido",IF(NETWORKDAYS(C3906,TODAY())&gt;=5,"Risco Alto",IF(NETWORKDAYS(C3906,TODAY())&gt;=3,IF(NETWORKDAYS(C3906,TODAY())&lt;5,"Risco Médio",""),IF(NETWORKDAYS(C3906,TODAY())&lt;=2,"Risco Baixo",""))))</f>
        <v>Expedido</v>
      </c>
      <c r="P3906" s="5" t="s">
        <v>617</v>
      </c>
      <c r="S3906" s="7">
        <f>IF(ISBLANK(M3906),"Aguardando Previsão/Data",NETWORKDAYS(L3906,M3906)-1)</f>
        <v>-5</v>
      </c>
    </row>
    <row r="3907" spans="1:20" x14ac:dyDescent="0.35">
      <c r="A3907" s="5">
        <v>8100284618</v>
      </c>
      <c r="B3907" s="5">
        <v>7412</v>
      </c>
      <c r="C3907" s="6">
        <v>45685</v>
      </c>
      <c r="D3907" s="5" t="s">
        <v>194</v>
      </c>
      <c r="E3907" s="5" t="s">
        <v>195</v>
      </c>
      <c r="F3907" s="5" t="s">
        <v>69</v>
      </c>
      <c r="G3907" s="5" t="s">
        <v>70</v>
      </c>
      <c r="H3907" s="5" t="s">
        <v>108</v>
      </c>
      <c r="I3907" s="5" t="s">
        <v>544</v>
      </c>
      <c r="J3907" s="5" t="s">
        <v>202</v>
      </c>
      <c r="K3907" s="5" t="s">
        <v>198</v>
      </c>
      <c r="L3907" s="6">
        <v>45692</v>
      </c>
      <c r="M3907" s="6">
        <v>45687</v>
      </c>
      <c r="N3907" s="6" t="s">
        <v>811</v>
      </c>
      <c r="O3907" s="5" t="str">
        <f ca="1">IF(P3907&lt;&gt;"EXPEDIÇÃO","Expedido",IF(NETWORKDAYS(C3907,TODAY())&gt;=5,"Risco Alto",IF(NETWORKDAYS(C3907,TODAY())&gt;=3,IF(NETWORKDAYS(C3907,TODAY())&lt;5,"Risco Médio",""),IF(NETWORKDAYS(C3907,TODAY())&lt;=2,"Risco Baixo",""))))</f>
        <v>Expedido</v>
      </c>
      <c r="P3907" s="5" t="s">
        <v>25</v>
      </c>
      <c r="S3907" s="7">
        <f>IF(ISBLANK(M3907),"Aguardando Previsão/Data",NETWORKDAYS(L3907,M3907)-1)</f>
        <v>-5</v>
      </c>
      <c r="T3907" s="5" t="s">
        <v>942</v>
      </c>
    </row>
    <row r="3908" spans="1:20" x14ac:dyDescent="0.35">
      <c r="A3908" s="5">
        <v>8100284768</v>
      </c>
      <c r="B3908" s="5">
        <v>7417</v>
      </c>
      <c r="C3908" s="6">
        <v>45685</v>
      </c>
      <c r="D3908" s="5" t="s">
        <v>194</v>
      </c>
      <c r="E3908" s="5" t="s">
        <v>195</v>
      </c>
      <c r="F3908" s="5" t="s">
        <v>406</v>
      </c>
      <c r="G3908" s="5" t="s">
        <v>407</v>
      </c>
      <c r="H3908" s="5" t="s">
        <v>108</v>
      </c>
      <c r="I3908" s="5" t="s">
        <v>788</v>
      </c>
      <c r="J3908" s="5" t="s">
        <v>407</v>
      </c>
      <c r="K3908" s="5" t="s">
        <v>198</v>
      </c>
      <c r="L3908" s="6">
        <v>45691</v>
      </c>
      <c r="M3908" s="6">
        <v>45687</v>
      </c>
      <c r="N3908" s="6" t="s">
        <v>811</v>
      </c>
      <c r="O3908" s="5" t="str">
        <f ca="1">IF(P3908&lt;&gt;"EXPEDIÇÃO","Expedido",IF(NETWORKDAYS(C3908,TODAY())&gt;=5,"Risco Alto",IF(NETWORKDAYS(C3908,TODAY())&gt;=3,IF(NETWORKDAYS(C3908,TODAY())&lt;5,"Risco Médio",""),IF(NETWORKDAYS(C3908,TODAY())&lt;=2,"Risco Baixo",""))))</f>
        <v>Expedido</v>
      </c>
      <c r="P3908" s="5" t="s">
        <v>617</v>
      </c>
      <c r="S3908" s="7">
        <f>IF(ISBLANK(M3908),"Aguardando Previsão/Data",NETWORKDAYS(L3908,M3908)-1)</f>
        <v>-4</v>
      </c>
    </row>
    <row r="3909" spans="1:20" x14ac:dyDescent="0.35">
      <c r="A3909" s="5">
        <v>8100284769</v>
      </c>
      <c r="B3909" s="5">
        <v>7413</v>
      </c>
      <c r="C3909" s="6">
        <v>45685</v>
      </c>
      <c r="D3909" s="5" t="s">
        <v>194</v>
      </c>
      <c r="E3909" s="5" t="s">
        <v>195</v>
      </c>
      <c r="F3909" s="5" t="s">
        <v>406</v>
      </c>
      <c r="G3909" s="5" t="s">
        <v>407</v>
      </c>
      <c r="H3909" s="5" t="s">
        <v>108</v>
      </c>
      <c r="I3909" s="5" t="s">
        <v>1461</v>
      </c>
      <c r="J3909" s="5" t="s">
        <v>1462</v>
      </c>
      <c r="K3909" s="5" t="s">
        <v>198</v>
      </c>
      <c r="L3909" s="6">
        <v>45692</v>
      </c>
      <c r="M3909" s="6">
        <v>45688</v>
      </c>
      <c r="N3909" s="6" t="s">
        <v>811</v>
      </c>
      <c r="O3909" s="5" t="str">
        <f ca="1">IF(P3909&lt;&gt;"EXPEDIÇÃO","Expedido",IF(NETWORKDAYS(C3909,TODAY())&gt;=5,"Risco Alto",IF(NETWORKDAYS(C3909,TODAY())&gt;=3,IF(NETWORKDAYS(C3909,TODAY())&lt;5,"Risco Médio",""),IF(NETWORKDAYS(C3909,TODAY())&lt;=2,"Risco Baixo",""))))</f>
        <v>Risco Médio</v>
      </c>
      <c r="P3909" s="5" t="s">
        <v>726</v>
      </c>
      <c r="S3909" s="7">
        <f>IF(ISBLANK(M3909),"Aguardando Previsão/Data",NETWORKDAYS(L3909,M3909)-1)</f>
        <v>-4</v>
      </c>
    </row>
    <row r="3910" spans="1:20" x14ac:dyDescent="0.35">
      <c r="A3910" s="5">
        <v>8100284770</v>
      </c>
      <c r="B3910" s="5">
        <v>7419</v>
      </c>
      <c r="C3910" s="6">
        <v>45685</v>
      </c>
      <c r="D3910" s="5" t="s">
        <v>194</v>
      </c>
      <c r="E3910" s="5" t="s">
        <v>195</v>
      </c>
      <c r="F3910" s="5" t="s">
        <v>199</v>
      </c>
      <c r="G3910" s="5" t="s">
        <v>200</v>
      </c>
      <c r="H3910" s="5" t="s">
        <v>108</v>
      </c>
      <c r="I3910" s="5" t="s">
        <v>1590</v>
      </c>
      <c r="J3910" s="5" t="s">
        <v>858</v>
      </c>
      <c r="K3910" s="5" t="s">
        <v>198</v>
      </c>
      <c r="L3910" s="6">
        <v>45693</v>
      </c>
      <c r="M3910" s="6">
        <v>45688</v>
      </c>
      <c r="N3910" s="6" t="s">
        <v>811</v>
      </c>
      <c r="O3910" s="5" t="str">
        <f ca="1">IF(P3910&lt;&gt;"EXPEDIÇÃO","Expedido",IF(NETWORKDAYS(C3910,TODAY())&gt;=5,"Risco Alto",IF(NETWORKDAYS(C3910,TODAY())&gt;=3,IF(NETWORKDAYS(C3910,TODAY())&lt;5,"Risco Médio",""),IF(NETWORKDAYS(C3910,TODAY())&lt;=2,"Risco Baixo",""))))</f>
        <v>Expedido</v>
      </c>
      <c r="P3910" s="5" t="s">
        <v>617</v>
      </c>
      <c r="S3910" s="7">
        <f>IF(ISBLANK(M3910),"Aguardando Previsão/Data",NETWORKDAYS(L3910,M3910)-1)</f>
        <v>-5</v>
      </c>
    </row>
    <row r="3911" spans="1:20" x14ac:dyDescent="0.35">
      <c r="A3911" s="5">
        <v>8100284771</v>
      </c>
      <c r="B3911" s="5">
        <v>7415</v>
      </c>
      <c r="C3911" s="6">
        <v>45685</v>
      </c>
      <c r="D3911" s="5" t="s">
        <v>194</v>
      </c>
      <c r="E3911" s="5" t="s">
        <v>195</v>
      </c>
      <c r="F3911" s="5" t="s">
        <v>406</v>
      </c>
      <c r="G3911" s="5" t="s">
        <v>407</v>
      </c>
      <c r="H3911" s="5" t="s">
        <v>108</v>
      </c>
      <c r="I3911" s="5" t="s">
        <v>788</v>
      </c>
      <c r="J3911" s="5" t="s">
        <v>407</v>
      </c>
      <c r="K3911" s="5" t="s">
        <v>198</v>
      </c>
      <c r="L3911" s="6">
        <v>45691</v>
      </c>
      <c r="M3911" s="6">
        <v>45687</v>
      </c>
      <c r="N3911" s="6" t="s">
        <v>811</v>
      </c>
      <c r="O3911" s="5" t="str">
        <f ca="1">IF(P3911&lt;&gt;"EXPEDIÇÃO","Expedido",IF(NETWORKDAYS(C3911,TODAY())&gt;=5,"Risco Alto",IF(NETWORKDAYS(C3911,TODAY())&gt;=3,IF(NETWORKDAYS(C3911,TODAY())&lt;5,"Risco Médio",""),IF(NETWORKDAYS(C3911,TODAY())&lt;=2,"Risco Baixo",""))))</f>
        <v>Expedido</v>
      </c>
      <c r="P3911" s="5" t="s">
        <v>617</v>
      </c>
      <c r="S3911" s="7">
        <f>IF(ISBLANK(M3911),"Aguardando Previsão/Data",NETWORKDAYS(L3911,M3911)-1)</f>
        <v>-4</v>
      </c>
    </row>
    <row r="3912" spans="1:20" x14ac:dyDescent="0.35">
      <c r="A3912" s="5">
        <v>8100284772</v>
      </c>
      <c r="B3912" s="5">
        <v>7414</v>
      </c>
      <c r="C3912" s="6">
        <v>45685</v>
      </c>
      <c r="D3912" s="5" t="s">
        <v>194</v>
      </c>
      <c r="E3912" s="5" t="s">
        <v>195</v>
      </c>
      <c r="F3912" s="5" t="s">
        <v>406</v>
      </c>
      <c r="G3912" s="5" t="s">
        <v>407</v>
      </c>
      <c r="H3912" s="5" t="s">
        <v>108</v>
      </c>
      <c r="I3912" s="5" t="s">
        <v>788</v>
      </c>
      <c r="J3912" s="5" t="s">
        <v>407</v>
      </c>
      <c r="K3912" s="5" t="s">
        <v>198</v>
      </c>
      <c r="L3912" s="6">
        <v>45691</v>
      </c>
      <c r="M3912" s="6">
        <v>45687</v>
      </c>
      <c r="N3912" s="6" t="s">
        <v>811</v>
      </c>
      <c r="O3912" s="5" t="str">
        <f ca="1">IF(P3912&lt;&gt;"EXPEDIÇÃO","Expedido",IF(NETWORKDAYS(C3912,TODAY())&gt;=5,"Risco Alto",IF(NETWORKDAYS(C3912,TODAY())&gt;=3,IF(NETWORKDAYS(C3912,TODAY())&lt;5,"Risco Médio",""),IF(NETWORKDAYS(C3912,TODAY())&lt;=2,"Risco Baixo",""))))</f>
        <v>Expedido</v>
      </c>
      <c r="P3912" s="5" t="s">
        <v>617</v>
      </c>
      <c r="S3912" s="7">
        <f>IF(ISBLANK(M3912),"Aguardando Previsão/Data",NETWORKDAYS(L3912,M3912)-1)</f>
        <v>-4</v>
      </c>
    </row>
    <row r="3913" spans="1:20" x14ac:dyDescent="0.35">
      <c r="A3913" s="5">
        <v>8100284773</v>
      </c>
      <c r="B3913" s="5">
        <v>7421</v>
      </c>
      <c r="C3913" s="6">
        <v>45685</v>
      </c>
      <c r="D3913" s="5" t="s">
        <v>194</v>
      </c>
      <c r="E3913" s="5" t="s">
        <v>195</v>
      </c>
      <c r="F3913" s="5" t="s">
        <v>406</v>
      </c>
      <c r="G3913" s="5" t="s">
        <v>407</v>
      </c>
      <c r="H3913" s="5" t="s">
        <v>108</v>
      </c>
      <c r="I3913" s="5" t="s">
        <v>201</v>
      </c>
      <c r="J3913" s="5" t="s">
        <v>202</v>
      </c>
      <c r="K3913" s="5" t="s">
        <v>198</v>
      </c>
      <c r="L3913" s="6">
        <v>45692</v>
      </c>
      <c r="M3913" s="6">
        <v>45687</v>
      </c>
      <c r="N3913" s="6" t="s">
        <v>811</v>
      </c>
      <c r="O3913" s="5" t="str">
        <f ca="1">IF(P3913&lt;&gt;"EXPEDIÇÃO","Expedido",IF(NETWORKDAYS(C3913,TODAY())&gt;=5,"Risco Alto",IF(NETWORKDAYS(C3913,TODAY())&gt;=3,IF(NETWORKDAYS(C3913,TODAY())&lt;5,"Risco Médio",""),IF(NETWORKDAYS(C3913,TODAY())&lt;=2,"Risco Baixo",""))))</f>
        <v>Expedido</v>
      </c>
      <c r="P3913" s="5" t="s">
        <v>25</v>
      </c>
      <c r="S3913" s="7">
        <f>IF(ISBLANK(M3913),"Aguardando Previsão/Data",NETWORKDAYS(L3913,M3913)-1)</f>
        <v>-5</v>
      </c>
      <c r="T3913" s="5" t="s">
        <v>942</v>
      </c>
    </row>
    <row r="3914" spans="1:20" x14ac:dyDescent="0.35">
      <c r="A3914" s="5">
        <v>8100284884</v>
      </c>
      <c r="B3914" s="5">
        <v>7420</v>
      </c>
      <c r="C3914" s="6">
        <v>45685</v>
      </c>
      <c r="D3914" s="5" t="s">
        <v>194</v>
      </c>
      <c r="E3914" s="5" t="s">
        <v>195</v>
      </c>
      <c r="F3914" s="5" t="s">
        <v>199</v>
      </c>
      <c r="G3914" s="5" t="s">
        <v>200</v>
      </c>
      <c r="H3914" s="5" t="s">
        <v>108</v>
      </c>
      <c r="I3914" s="5" t="s">
        <v>544</v>
      </c>
      <c r="J3914" s="5" t="s">
        <v>202</v>
      </c>
      <c r="K3914" s="5" t="s">
        <v>198</v>
      </c>
      <c r="L3914" s="6">
        <v>45692</v>
      </c>
      <c r="M3914" s="6">
        <v>45687</v>
      </c>
      <c r="N3914" s="6" t="s">
        <v>811</v>
      </c>
      <c r="O3914" s="5" t="str">
        <f ca="1">IF(P3914&lt;&gt;"EXPEDIÇÃO","Expedido",IF(NETWORKDAYS(C3914,TODAY())&gt;=5,"Risco Alto",IF(NETWORKDAYS(C3914,TODAY())&gt;=3,IF(NETWORKDAYS(C3914,TODAY())&lt;5,"Risco Médio",""),IF(NETWORKDAYS(C3914,TODAY())&lt;=2,"Risco Baixo",""))))</f>
        <v>Expedido</v>
      </c>
      <c r="P3914" s="5" t="s">
        <v>25</v>
      </c>
      <c r="S3914" s="7">
        <f>IF(ISBLANK(M3914),"Aguardando Previsão/Data",NETWORKDAYS(L3914,M3914)-1)</f>
        <v>-5</v>
      </c>
      <c r="T3914" s="5" t="s">
        <v>942</v>
      </c>
    </row>
    <row r="3915" spans="1:20" x14ac:dyDescent="0.35">
      <c r="A3915" s="5">
        <v>8100284886</v>
      </c>
      <c r="B3915" s="5">
        <v>7423</v>
      </c>
      <c r="C3915" s="6">
        <v>45685</v>
      </c>
      <c r="D3915" s="5" t="s">
        <v>194</v>
      </c>
      <c r="E3915" s="5" t="s">
        <v>195</v>
      </c>
      <c r="F3915" s="5" t="s">
        <v>199</v>
      </c>
      <c r="G3915" s="5" t="s">
        <v>200</v>
      </c>
      <c r="H3915" s="5" t="s">
        <v>108</v>
      </c>
      <c r="I3915" s="5" t="s">
        <v>554</v>
      </c>
      <c r="J3915" s="5" t="s">
        <v>208</v>
      </c>
      <c r="K3915" s="5" t="s">
        <v>198</v>
      </c>
      <c r="L3915" s="6">
        <v>45693</v>
      </c>
      <c r="M3915" s="6">
        <v>45687</v>
      </c>
      <c r="N3915" s="6" t="s">
        <v>811</v>
      </c>
      <c r="O3915" s="5" t="str">
        <f ca="1">IF(P3915&lt;&gt;"EXPEDIÇÃO","Expedido",IF(NETWORKDAYS(C3915,TODAY())&gt;=5,"Risco Alto",IF(NETWORKDAYS(C3915,TODAY())&gt;=3,IF(NETWORKDAYS(C3915,TODAY())&lt;5,"Risco Médio",""),IF(NETWORKDAYS(C3915,TODAY())&lt;=2,"Risco Baixo",""))))</f>
        <v>Expedido</v>
      </c>
      <c r="P3915" s="5" t="s">
        <v>617</v>
      </c>
      <c r="S3915" s="7">
        <f>IF(ISBLANK(M3915),"Aguardando Previsão/Data",NETWORKDAYS(L3915,M3915)-1)</f>
        <v>-6</v>
      </c>
    </row>
    <row r="3916" spans="1:20" x14ac:dyDescent="0.35">
      <c r="A3916" s="5">
        <v>8100284887</v>
      </c>
      <c r="B3916" s="5">
        <v>7424</v>
      </c>
      <c r="C3916" s="6">
        <v>45685</v>
      </c>
      <c r="D3916" s="5" t="s">
        <v>194</v>
      </c>
      <c r="E3916" s="5" t="s">
        <v>195</v>
      </c>
      <c r="F3916" s="5" t="s">
        <v>199</v>
      </c>
      <c r="G3916" s="5" t="s">
        <v>200</v>
      </c>
      <c r="H3916" s="5" t="s">
        <v>108</v>
      </c>
      <c r="I3916" s="5" t="s">
        <v>554</v>
      </c>
      <c r="J3916" s="5" t="s">
        <v>208</v>
      </c>
      <c r="K3916" s="5" t="s">
        <v>198</v>
      </c>
      <c r="L3916" s="6">
        <v>45693</v>
      </c>
      <c r="M3916" s="6">
        <v>45687</v>
      </c>
      <c r="N3916" s="6" t="s">
        <v>811</v>
      </c>
      <c r="O3916" s="5" t="str">
        <f ca="1">IF(P3916&lt;&gt;"EXPEDIÇÃO","Expedido",IF(NETWORKDAYS(C3916,TODAY())&gt;=5,"Risco Alto",IF(NETWORKDAYS(C3916,TODAY())&gt;=3,IF(NETWORKDAYS(C3916,TODAY())&lt;5,"Risco Médio",""),IF(NETWORKDAYS(C3916,TODAY())&lt;=2,"Risco Baixo",""))))</f>
        <v>Expedido</v>
      </c>
      <c r="P3916" s="5" t="s">
        <v>617</v>
      </c>
      <c r="S3916" s="7">
        <f>IF(ISBLANK(M3916),"Aguardando Previsão/Data",NETWORKDAYS(L3916,M3916)-1)</f>
        <v>-6</v>
      </c>
    </row>
    <row r="3917" spans="1:20" x14ac:dyDescent="0.35">
      <c r="A3917" s="5">
        <v>8100284888</v>
      </c>
      <c r="B3917" s="5">
        <v>7425</v>
      </c>
      <c r="C3917" s="6">
        <v>45685</v>
      </c>
      <c r="D3917" s="5" t="s">
        <v>194</v>
      </c>
      <c r="E3917" s="5" t="s">
        <v>195</v>
      </c>
      <c r="F3917" s="5" t="s">
        <v>199</v>
      </c>
      <c r="G3917" s="5" t="s">
        <v>200</v>
      </c>
      <c r="H3917" s="5" t="s">
        <v>108</v>
      </c>
      <c r="I3917" s="5" t="s">
        <v>554</v>
      </c>
      <c r="J3917" s="5" t="s">
        <v>208</v>
      </c>
      <c r="K3917" s="5" t="s">
        <v>198</v>
      </c>
      <c r="L3917" s="6">
        <v>45693</v>
      </c>
      <c r="M3917" s="6">
        <v>45687</v>
      </c>
      <c r="N3917" s="6" t="s">
        <v>811</v>
      </c>
      <c r="O3917" s="5" t="str">
        <f ca="1">IF(P3917&lt;&gt;"EXPEDIÇÃO","Expedido",IF(NETWORKDAYS(C3917,TODAY())&gt;=5,"Risco Alto",IF(NETWORKDAYS(C3917,TODAY())&gt;=3,IF(NETWORKDAYS(C3917,TODAY())&lt;5,"Risco Médio",""),IF(NETWORKDAYS(C3917,TODAY())&lt;=2,"Risco Baixo",""))))</f>
        <v>Expedido</v>
      </c>
      <c r="P3917" s="5" t="s">
        <v>617</v>
      </c>
      <c r="S3917" s="7">
        <f>IF(ISBLANK(M3917),"Aguardando Previsão/Data",NETWORKDAYS(L3917,M3917)-1)</f>
        <v>-6</v>
      </c>
    </row>
    <row r="3918" spans="1:20" x14ac:dyDescent="0.35">
      <c r="A3918" s="5">
        <v>8100284889</v>
      </c>
      <c r="B3918" s="5">
        <v>7426</v>
      </c>
      <c r="C3918" s="6">
        <v>45685</v>
      </c>
      <c r="D3918" s="5" t="s">
        <v>194</v>
      </c>
      <c r="E3918" s="5" t="s">
        <v>195</v>
      </c>
      <c r="F3918" s="5" t="s">
        <v>199</v>
      </c>
      <c r="G3918" s="5" t="s">
        <v>200</v>
      </c>
      <c r="H3918" s="5" t="s">
        <v>108</v>
      </c>
      <c r="I3918" s="5" t="s">
        <v>554</v>
      </c>
      <c r="J3918" s="5" t="s">
        <v>208</v>
      </c>
      <c r="K3918" s="5" t="s">
        <v>198</v>
      </c>
      <c r="L3918" s="6">
        <v>45693</v>
      </c>
      <c r="M3918" s="6">
        <v>45687</v>
      </c>
      <c r="N3918" s="6" t="s">
        <v>811</v>
      </c>
      <c r="O3918" s="5" t="str">
        <f ca="1">IF(P3918&lt;&gt;"EXPEDIÇÃO","Expedido",IF(NETWORKDAYS(C3918,TODAY())&gt;=5,"Risco Alto",IF(NETWORKDAYS(C3918,TODAY())&gt;=3,IF(NETWORKDAYS(C3918,TODAY())&lt;5,"Risco Médio",""),IF(NETWORKDAYS(C3918,TODAY())&lt;=2,"Risco Baixo",""))))</f>
        <v>Expedido</v>
      </c>
      <c r="P3918" s="5" t="s">
        <v>617</v>
      </c>
      <c r="S3918" s="7">
        <f>IF(ISBLANK(M3918),"Aguardando Previsão/Data",NETWORKDAYS(L3918,M3918)-1)</f>
        <v>-6</v>
      </c>
    </row>
    <row r="3919" spans="1:20" x14ac:dyDescent="0.35">
      <c r="A3919" s="5">
        <v>8100284890</v>
      </c>
      <c r="B3919" s="5">
        <v>7427</v>
      </c>
      <c r="C3919" s="6">
        <v>45685</v>
      </c>
      <c r="D3919" s="5" t="s">
        <v>194</v>
      </c>
      <c r="E3919" s="5" t="s">
        <v>195</v>
      </c>
      <c r="F3919" s="5" t="s">
        <v>199</v>
      </c>
      <c r="G3919" s="5" t="s">
        <v>200</v>
      </c>
      <c r="H3919" s="5" t="s">
        <v>108</v>
      </c>
      <c r="I3919" s="5" t="s">
        <v>554</v>
      </c>
      <c r="J3919" s="5" t="s">
        <v>208</v>
      </c>
      <c r="K3919" s="5" t="s">
        <v>198</v>
      </c>
      <c r="L3919" s="6">
        <v>45693</v>
      </c>
      <c r="M3919" s="6">
        <v>45687</v>
      </c>
      <c r="N3919" s="6" t="s">
        <v>811</v>
      </c>
      <c r="O3919" s="5" t="str">
        <f ca="1">IF(P3919&lt;&gt;"EXPEDIÇÃO","Expedido",IF(NETWORKDAYS(C3919,TODAY())&gt;=5,"Risco Alto",IF(NETWORKDAYS(C3919,TODAY())&gt;=3,IF(NETWORKDAYS(C3919,TODAY())&lt;5,"Risco Médio",""),IF(NETWORKDAYS(C3919,TODAY())&lt;=2,"Risco Baixo",""))))</f>
        <v>Expedido</v>
      </c>
      <c r="P3919" s="5" t="s">
        <v>617</v>
      </c>
      <c r="S3919" s="7">
        <f>IF(ISBLANK(M3919),"Aguardando Previsão/Data",NETWORKDAYS(L3919,M3919)-1)</f>
        <v>-6</v>
      </c>
    </row>
    <row r="3920" spans="1:20" x14ac:dyDescent="0.35">
      <c r="A3920" s="5">
        <v>8100284891</v>
      </c>
      <c r="B3920" s="5">
        <v>7435</v>
      </c>
      <c r="C3920" s="6">
        <v>45685</v>
      </c>
      <c r="D3920" s="5" t="s">
        <v>194</v>
      </c>
      <c r="E3920" s="5" t="s">
        <v>195</v>
      </c>
      <c r="F3920" s="5" t="s">
        <v>406</v>
      </c>
      <c r="G3920" s="5" t="s">
        <v>407</v>
      </c>
      <c r="H3920" s="5" t="s">
        <v>108</v>
      </c>
      <c r="I3920" s="5" t="s">
        <v>1593</v>
      </c>
      <c r="J3920" s="5" t="s">
        <v>407</v>
      </c>
      <c r="K3920" s="5" t="s">
        <v>198</v>
      </c>
      <c r="L3920" s="6">
        <v>45691</v>
      </c>
      <c r="M3920" s="6">
        <v>45687</v>
      </c>
      <c r="N3920" s="6" t="s">
        <v>811</v>
      </c>
      <c r="O3920" s="5" t="str">
        <f ca="1">IF(P3920&lt;&gt;"EXPEDIÇÃO","Expedido",IF(NETWORKDAYS(C3920,TODAY())&gt;=5,"Risco Alto",IF(NETWORKDAYS(C3920,TODAY())&gt;=3,IF(NETWORKDAYS(C3920,TODAY())&lt;5,"Risco Médio",""),IF(NETWORKDAYS(C3920,TODAY())&lt;=2,"Risco Baixo",""))))</f>
        <v>Expedido</v>
      </c>
      <c r="P3920" s="5" t="s">
        <v>25</v>
      </c>
      <c r="S3920" s="7">
        <f>IF(ISBLANK(M3920),"Aguardando Previsão/Data",NETWORKDAYS(L3920,M3920)-1)</f>
        <v>-4</v>
      </c>
      <c r="T3920" s="5" t="s">
        <v>942</v>
      </c>
    </row>
    <row r="3921" spans="1:20" x14ac:dyDescent="0.35">
      <c r="A3921" s="5">
        <v>8100285033</v>
      </c>
      <c r="B3921" s="5">
        <v>7429</v>
      </c>
      <c r="C3921" s="6">
        <v>45685</v>
      </c>
      <c r="D3921" s="5" t="s">
        <v>723</v>
      </c>
      <c r="E3921" s="5" t="s">
        <v>195</v>
      </c>
      <c r="F3921" s="5" t="s">
        <v>724</v>
      </c>
      <c r="G3921" s="5" t="s">
        <v>725</v>
      </c>
      <c r="H3921" s="5" t="s">
        <v>108</v>
      </c>
      <c r="I3921" s="5" t="s">
        <v>1594</v>
      </c>
      <c r="J3921" s="5" t="s">
        <v>407</v>
      </c>
      <c r="K3921" s="5" t="s">
        <v>198</v>
      </c>
      <c r="L3921" s="6">
        <v>45691</v>
      </c>
      <c r="M3921" s="6">
        <v>45685</v>
      </c>
      <c r="N3921" s="6" t="s">
        <v>811</v>
      </c>
      <c r="O3921" s="5" t="str">
        <f ca="1">IF(P3921&lt;&gt;"EXPEDIÇÃO","Expedido",IF(NETWORKDAYS(C3921,TODAY())&gt;=5,"Risco Alto",IF(NETWORKDAYS(C3921,TODAY())&gt;=3,IF(NETWORKDAYS(C3921,TODAY())&lt;5,"Risco Médio",""),IF(NETWORKDAYS(C3921,TODAY())&lt;=2,"Risco Baixo",""))))</f>
        <v>Expedido</v>
      </c>
      <c r="P3921" s="5" t="s">
        <v>25</v>
      </c>
      <c r="S3921" s="7">
        <f>IF(ISBLANK(M3921),"Aguardando Previsão/Data",NETWORKDAYS(L3921,M3921)-1)</f>
        <v>-6</v>
      </c>
      <c r="T3921" s="5" t="s">
        <v>942</v>
      </c>
    </row>
    <row r="3922" spans="1:20" x14ac:dyDescent="0.35">
      <c r="A3922" s="5">
        <v>8100285078</v>
      </c>
      <c r="B3922" s="5">
        <v>7436</v>
      </c>
      <c r="C3922" s="6">
        <v>45685</v>
      </c>
      <c r="D3922" s="5" t="s">
        <v>194</v>
      </c>
      <c r="E3922" s="5" t="s">
        <v>195</v>
      </c>
      <c r="F3922" s="5" t="s">
        <v>199</v>
      </c>
      <c r="G3922" s="5" t="s">
        <v>200</v>
      </c>
      <c r="H3922" s="5" t="s">
        <v>108</v>
      </c>
      <c r="I3922" s="5" t="s">
        <v>409</v>
      </c>
      <c r="J3922" s="5" t="s">
        <v>717</v>
      </c>
      <c r="K3922" s="5" t="s">
        <v>207</v>
      </c>
      <c r="L3922" s="6">
        <v>45694</v>
      </c>
      <c r="M3922" s="6">
        <v>45692</v>
      </c>
      <c r="N3922" s="6" t="s">
        <v>811</v>
      </c>
      <c r="O3922" s="5" t="str">
        <f ca="1">IF(P3922&lt;&gt;"EXPEDIÇÃO","Expedido",IF(NETWORKDAYS(C3922,TODAY())&gt;=5,"Risco Alto",IF(NETWORKDAYS(C3922,TODAY())&gt;=3,IF(NETWORKDAYS(C3922,TODAY())&lt;5,"Risco Médio",""),IF(NETWORKDAYS(C3922,TODAY())&lt;=2,"Risco Baixo",""))))</f>
        <v>Risco Médio</v>
      </c>
      <c r="P3922" s="5" t="s">
        <v>726</v>
      </c>
      <c r="S3922" s="7">
        <f>IF(ISBLANK(M3922),"Aguardando Previsão/Data",NETWORKDAYS(L3922,M3922)-1)</f>
        <v>-4</v>
      </c>
    </row>
    <row r="3923" spans="1:20" x14ac:dyDescent="0.35">
      <c r="A3923" s="5">
        <v>8100285079</v>
      </c>
      <c r="B3923" s="5">
        <v>7437</v>
      </c>
      <c r="C3923" s="6">
        <v>45685</v>
      </c>
      <c r="D3923" s="5" t="s">
        <v>194</v>
      </c>
      <c r="E3923" s="5" t="s">
        <v>195</v>
      </c>
      <c r="F3923" s="5" t="s">
        <v>199</v>
      </c>
      <c r="G3923" s="5" t="s">
        <v>200</v>
      </c>
      <c r="H3923" s="5" t="s">
        <v>108</v>
      </c>
      <c r="I3923" s="5" t="s">
        <v>409</v>
      </c>
      <c r="J3923" s="5" t="s">
        <v>717</v>
      </c>
      <c r="K3923" s="5" t="s">
        <v>207</v>
      </c>
      <c r="L3923" s="6">
        <v>45694</v>
      </c>
      <c r="M3923" s="6">
        <v>45692</v>
      </c>
      <c r="N3923" s="6" t="s">
        <v>811</v>
      </c>
      <c r="O3923" s="5" t="str">
        <f ca="1">IF(P3923&lt;&gt;"EXPEDIÇÃO","Expedido",IF(NETWORKDAYS(C3923,TODAY())&gt;=5,"Risco Alto",IF(NETWORKDAYS(C3923,TODAY())&gt;=3,IF(NETWORKDAYS(C3923,TODAY())&lt;5,"Risco Médio",""),IF(NETWORKDAYS(C3923,TODAY())&lt;=2,"Risco Baixo",""))))</f>
        <v>Risco Médio</v>
      </c>
      <c r="P3923" s="5" t="s">
        <v>726</v>
      </c>
      <c r="S3923" s="7">
        <f>IF(ISBLANK(M3923),"Aguardando Previsão/Data",NETWORKDAYS(L3923,M3923)-1)</f>
        <v>-4</v>
      </c>
    </row>
    <row r="3924" spans="1:20" x14ac:dyDescent="0.35">
      <c r="A3924" s="5">
        <v>8100285122</v>
      </c>
      <c r="B3924" s="5">
        <v>7438</v>
      </c>
      <c r="C3924" s="6">
        <v>45685</v>
      </c>
      <c r="D3924" s="5" t="s">
        <v>194</v>
      </c>
      <c r="E3924" s="5" t="s">
        <v>195</v>
      </c>
      <c r="F3924" s="5" t="s">
        <v>199</v>
      </c>
      <c r="G3924" s="5" t="s">
        <v>200</v>
      </c>
      <c r="H3924" s="5" t="s">
        <v>108</v>
      </c>
      <c r="I3924" s="5" t="s">
        <v>409</v>
      </c>
      <c r="J3924" s="5" t="s">
        <v>717</v>
      </c>
      <c r="K3924" s="5" t="s">
        <v>207</v>
      </c>
      <c r="L3924" s="6">
        <v>45694</v>
      </c>
      <c r="M3924" s="6">
        <v>45692</v>
      </c>
      <c r="N3924" s="6" t="s">
        <v>811</v>
      </c>
      <c r="O3924" s="5" t="str">
        <f ca="1">IF(P3924&lt;&gt;"EXPEDIÇÃO","Expedido",IF(NETWORKDAYS(C3924,TODAY())&gt;=5,"Risco Alto",IF(NETWORKDAYS(C3924,TODAY())&gt;=3,IF(NETWORKDAYS(C3924,TODAY())&lt;5,"Risco Médio",""),IF(NETWORKDAYS(C3924,TODAY())&lt;=2,"Risco Baixo",""))))</f>
        <v>Risco Médio</v>
      </c>
      <c r="P3924" s="5" t="s">
        <v>726</v>
      </c>
      <c r="S3924" s="7">
        <f>IF(ISBLANK(M3924),"Aguardando Previsão/Data",NETWORKDAYS(L3924,M3924)-1)</f>
        <v>-4</v>
      </c>
    </row>
    <row r="3925" spans="1:20" x14ac:dyDescent="0.35">
      <c r="A3925" s="5">
        <v>8100285170</v>
      </c>
      <c r="B3925" s="5">
        <v>7448</v>
      </c>
      <c r="C3925" s="6">
        <v>45685</v>
      </c>
      <c r="D3925" s="5" t="s">
        <v>194</v>
      </c>
      <c r="E3925" s="5" t="s">
        <v>195</v>
      </c>
      <c r="F3925" s="5" t="s">
        <v>406</v>
      </c>
      <c r="G3925" s="5" t="s">
        <v>407</v>
      </c>
      <c r="H3925" s="5" t="s">
        <v>108</v>
      </c>
      <c r="I3925" s="5" t="s">
        <v>708</v>
      </c>
      <c r="J3925" s="5" t="s">
        <v>616</v>
      </c>
      <c r="K3925" s="5" t="s">
        <v>198</v>
      </c>
      <c r="L3925" s="6">
        <v>45691</v>
      </c>
      <c r="M3925" s="6">
        <v>45688</v>
      </c>
      <c r="N3925" s="6" t="s">
        <v>811</v>
      </c>
      <c r="O3925" s="5" t="str">
        <f ca="1">IF(P3925&lt;&gt;"EXPEDIÇÃO","Expedido",IF(NETWORKDAYS(C3925,TODAY())&gt;=5,"Risco Alto",IF(NETWORKDAYS(C3925,TODAY())&gt;=3,IF(NETWORKDAYS(C3925,TODAY())&lt;5,"Risco Médio",""),IF(NETWORKDAYS(C3925,TODAY())&lt;=2,"Risco Baixo",""))))</f>
        <v>Expedido</v>
      </c>
      <c r="P3925" s="5" t="s">
        <v>617</v>
      </c>
      <c r="S3925" s="7">
        <f>IF(ISBLANK(M3925),"Aguardando Previsão/Data",NETWORKDAYS(L3925,M3925)-1)</f>
        <v>-3</v>
      </c>
    </row>
    <row r="3926" spans="1:20" x14ac:dyDescent="0.35">
      <c r="A3926" s="5">
        <v>8100285171</v>
      </c>
      <c r="B3926" s="5">
        <v>7446</v>
      </c>
      <c r="C3926" s="6">
        <v>45685</v>
      </c>
      <c r="D3926" s="5" t="s">
        <v>194</v>
      </c>
      <c r="E3926" s="5" t="s">
        <v>195</v>
      </c>
      <c r="F3926" s="5" t="s">
        <v>406</v>
      </c>
      <c r="G3926" s="5" t="s">
        <v>407</v>
      </c>
      <c r="H3926" s="5" t="s">
        <v>108</v>
      </c>
      <c r="I3926" s="5" t="s">
        <v>1505</v>
      </c>
      <c r="J3926" s="5" t="s">
        <v>616</v>
      </c>
      <c r="K3926" s="5" t="s">
        <v>198</v>
      </c>
      <c r="L3926" s="6">
        <v>45691</v>
      </c>
      <c r="M3926" s="6">
        <v>45688</v>
      </c>
      <c r="N3926" s="6" t="s">
        <v>811</v>
      </c>
      <c r="O3926" s="5" t="str">
        <f ca="1">IF(P3926&lt;&gt;"EXPEDIÇÃO","Expedido",IF(NETWORKDAYS(C3926,TODAY())&gt;=5,"Risco Alto",IF(NETWORKDAYS(C3926,TODAY())&gt;=3,IF(NETWORKDAYS(C3926,TODAY())&lt;5,"Risco Médio",""),IF(NETWORKDAYS(C3926,TODAY())&lt;=2,"Risco Baixo",""))))</f>
        <v>Expedido</v>
      </c>
      <c r="P3926" s="5" t="s">
        <v>617</v>
      </c>
      <c r="S3926" s="7">
        <f>IF(ISBLANK(M3926),"Aguardando Previsão/Data",NETWORKDAYS(L3926,M3926)-1)</f>
        <v>-3</v>
      </c>
    </row>
    <row r="3927" spans="1:20" x14ac:dyDescent="0.35">
      <c r="A3927" s="5">
        <v>8100285172</v>
      </c>
      <c r="B3927" s="5">
        <v>7440</v>
      </c>
      <c r="C3927" s="6">
        <v>45685</v>
      </c>
      <c r="D3927" s="5" t="s">
        <v>194</v>
      </c>
      <c r="E3927" s="5" t="s">
        <v>195</v>
      </c>
      <c r="F3927" s="5" t="s">
        <v>406</v>
      </c>
      <c r="G3927" s="5" t="s">
        <v>407</v>
      </c>
      <c r="H3927" s="5" t="s">
        <v>108</v>
      </c>
      <c r="I3927" s="5" t="s">
        <v>835</v>
      </c>
      <c r="J3927" s="5" t="s">
        <v>616</v>
      </c>
      <c r="K3927" s="5" t="s">
        <v>198</v>
      </c>
      <c r="L3927" s="6">
        <v>45691</v>
      </c>
      <c r="M3927" s="6">
        <v>45687</v>
      </c>
      <c r="N3927" s="6" t="s">
        <v>811</v>
      </c>
      <c r="O3927" s="5" t="str">
        <f ca="1">IF(P3927&lt;&gt;"EXPEDIÇÃO","Expedido",IF(NETWORKDAYS(C3927,TODAY())&gt;=5,"Risco Alto",IF(NETWORKDAYS(C3927,TODAY())&gt;=3,IF(NETWORKDAYS(C3927,TODAY())&lt;5,"Risco Médio",""),IF(NETWORKDAYS(C3927,TODAY())&lt;=2,"Risco Baixo",""))))</f>
        <v>Expedido</v>
      </c>
      <c r="P3927" s="5" t="s">
        <v>617</v>
      </c>
      <c r="S3927" s="7">
        <f>IF(ISBLANK(M3927),"Aguardando Previsão/Data",NETWORKDAYS(L3927,M3927)-1)</f>
        <v>-4</v>
      </c>
    </row>
    <row r="3928" spans="1:20" x14ac:dyDescent="0.35">
      <c r="A3928" s="5">
        <v>8100285174</v>
      </c>
      <c r="B3928" s="5">
        <v>7443</v>
      </c>
      <c r="C3928" s="6">
        <v>45685</v>
      </c>
      <c r="D3928" s="5" t="s">
        <v>194</v>
      </c>
      <c r="E3928" s="5" t="s">
        <v>195</v>
      </c>
      <c r="F3928" s="5" t="s">
        <v>406</v>
      </c>
      <c r="G3928" s="5" t="s">
        <v>407</v>
      </c>
      <c r="H3928" s="5" t="s">
        <v>108</v>
      </c>
      <c r="I3928" s="5" t="s">
        <v>1535</v>
      </c>
      <c r="J3928" s="5" t="s">
        <v>616</v>
      </c>
      <c r="K3928" s="5" t="s">
        <v>198</v>
      </c>
      <c r="L3928" s="6">
        <v>45691</v>
      </c>
      <c r="M3928" s="6">
        <v>45687</v>
      </c>
      <c r="N3928" s="6" t="s">
        <v>811</v>
      </c>
      <c r="O3928" s="5" t="str">
        <f ca="1">IF(P3928&lt;&gt;"EXPEDIÇÃO","Expedido",IF(NETWORKDAYS(C3928,TODAY())&gt;=5,"Risco Alto",IF(NETWORKDAYS(C3928,TODAY())&gt;=3,IF(NETWORKDAYS(C3928,TODAY())&lt;5,"Risco Médio",""),IF(NETWORKDAYS(C3928,TODAY())&lt;=2,"Risco Baixo",""))))</f>
        <v>Expedido</v>
      </c>
      <c r="P3928" s="5" t="s">
        <v>617</v>
      </c>
      <c r="S3928" s="7">
        <f>IF(ISBLANK(M3928),"Aguardando Previsão/Data",NETWORKDAYS(L3928,M3928)-1)</f>
        <v>-4</v>
      </c>
    </row>
    <row r="3929" spans="1:20" x14ac:dyDescent="0.35">
      <c r="A3929" s="5">
        <v>8100285178</v>
      </c>
      <c r="B3929" s="5">
        <v>7442</v>
      </c>
      <c r="C3929" s="6">
        <v>45685</v>
      </c>
      <c r="D3929" s="5" t="s">
        <v>194</v>
      </c>
      <c r="E3929" s="5" t="s">
        <v>195</v>
      </c>
      <c r="F3929" s="5" t="s">
        <v>406</v>
      </c>
      <c r="G3929" s="5" t="s">
        <v>407</v>
      </c>
      <c r="H3929" s="5" t="s">
        <v>108</v>
      </c>
      <c r="I3929" s="5" t="s">
        <v>1585</v>
      </c>
      <c r="J3929" s="5" t="s">
        <v>407</v>
      </c>
      <c r="K3929" s="5" t="s">
        <v>198</v>
      </c>
      <c r="L3929" s="6">
        <v>45691</v>
      </c>
      <c r="M3929" s="6">
        <v>45687</v>
      </c>
      <c r="N3929" s="6" t="s">
        <v>811</v>
      </c>
      <c r="O3929" s="5" t="str">
        <f ca="1">IF(P3929&lt;&gt;"EXPEDIÇÃO","Expedido",IF(NETWORKDAYS(C3929,TODAY())&gt;=5,"Risco Alto",IF(NETWORKDAYS(C3929,TODAY())&gt;=3,IF(NETWORKDAYS(C3929,TODAY())&lt;5,"Risco Médio",""),IF(NETWORKDAYS(C3929,TODAY())&lt;=2,"Risco Baixo",""))))</f>
        <v>Expedido</v>
      </c>
      <c r="P3929" s="5" t="s">
        <v>617</v>
      </c>
      <c r="S3929" s="7">
        <f>IF(ISBLANK(M3929),"Aguardando Previsão/Data",NETWORKDAYS(L3929,M3929)-1)</f>
        <v>-4</v>
      </c>
    </row>
    <row r="3930" spans="1:20" x14ac:dyDescent="0.35">
      <c r="A3930" s="5">
        <v>8100285184</v>
      </c>
      <c r="B3930" s="5">
        <v>7444</v>
      </c>
      <c r="C3930" s="6">
        <v>45685</v>
      </c>
      <c r="D3930" s="5" t="s">
        <v>194</v>
      </c>
      <c r="E3930" s="5" t="s">
        <v>195</v>
      </c>
      <c r="F3930" s="5" t="s">
        <v>406</v>
      </c>
      <c r="G3930" s="5" t="s">
        <v>407</v>
      </c>
      <c r="H3930" s="5" t="s">
        <v>108</v>
      </c>
      <c r="I3930" s="5" t="s">
        <v>1535</v>
      </c>
      <c r="J3930" s="5" t="s">
        <v>616</v>
      </c>
      <c r="K3930" s="5" t="s">
        <v>198</v>
      </c>
      <c r="L3930" s="6">
        <v>45691</v>
      </c>
      <c r="M3930" s="6">
        <v>45687</v>
      </c>
      <c r="N3930" s="6" t="s">
        <v>811</v>
      </c>
      <c r="O3930" s="5" t="str">
        <f ca="1">IF(P3930&lt;&gt;"EXPEDIÇÃO","Expedido",IF(NETWORKDAYS(C3930,TODAY())&gt;=5,"Risco Alto",IF(NETWORKDAYS(C3930,TODAY())&gt;=3,IF(NETWORKDAYS(C3930,TODAY())&lt;5,"Risco Médio",""),IF(NETWORKDAYS(C3930,TODAY())&lt;=2,"Risco Baixo",""))))</f>
        <v>Expedido</v>
      </c>
      <c r="P3930" s="5" t="s">
        <v>617</v>
      </c>
      <c r="S3930" s="7">
        <f>IF(ISBLANK(M3930),"Aguardando Previsão/Data",NETWORKDAYS(L3930,M3930)-1)</f>
        <v>-4</v>
      </c>
    </row>
    <row r="3931" spans="1:20" x14ac:dyDescent="0.35">
      <c r="A3931" s="5">
        <v>8100285185</v>
      </c>
      <c r="B3931" s="5">
        <v>7445</v>
      </c>
      <c r="C3931" s="6">
        <v>45685</v>
      </c>
      <c r="D3931" s="5" t="s">
        <v>194</v>
      </c>
      <c r="E3931" s="5" t="s">
        <v>195</v>
      </c>
      <c r="F3931" s="5" t="s">
        <v>406</v>
      </c>
      <c r="G3931" s="5" t="s">
        <v>407</v>
      </c>
      <c r="H3931" s="5" t="s">
        <v>108</v>
      </c>
      <c r="I3931" s="5" t="s">
        <v>1598</v>
      </c>
      <c r="J3931" s="5" t="s">
        <v>616</v>
      </c>
      <c r="K3931" s="5" t="s">
        <v>198</v>
      </c>
      <c r="L3931" s="6">
        <v>45691</v>
      </c>
      <c r="M3931" s="6">
        <v>45687</v>
      </c>
      <c r="N3931" s="6" t="s">
        <v>811</v>
      </c>
      <c r="O3931" s="5" t="str">
        <f ca="1">IF(P3931&lt;&gt;"EXPEDIÇÃO","Expedido",IF(NETWORKDAYS(C3931,TODAY())&gt;=5,"Risco Alto",IF(NETWORKDAYS(C3931,TODAY())&gt;=3,IF(NETWORKDAYS(C3931,TODAY())&lt;5,"Risco Médio",""),IF(NETWORKDAYS(C3931,TODAY())&lt;=2,"Risco Baixo",""))))</f>
        <v>Expedido</v>
      </c>
      <c r="P3931" s="5" t="s">
        <v>617</v>
      </c>
      <c r="S3931" s="7">
        <f>IF(ISBLANK(M3931),"Aguardando Previsão/Data",NETWORKDAYS(L3931,M3931)-1)</f>
        <v>-4</v>
      </c>
    </row>
    <row r="3932" spans="1:20" x14ac:dyDescent="0.35">
      <c r="A3932" s="5">
        <v>8100285188</v>
      </c>
      <c r="B3932" s="5">
        <v>7447</v>
      </c>
      <c r="C3932" s="6">
        <v>45685</v>
      </c>
      <c r="D3932" s="5" t="s">
        <v>194</v>
      </c>
      <c r="E3932" s="5" t="s">
        <v>195</v>
      </c>
      <c r="F3932" s="5" t="s">
        <v>406</v>
      </c>
      <c r="G3932" s="5" t="s">
        <v>407</v>
      </c>
      <c r="H3932" s="5" t="s">
        <v>108</v>
      </c>
      <c r="I3932" s="5" t="s">
        <v>1599</v>
      </c>
      <c r="J3932" s="5" t="s">
        <v>1064</v>
      </c>
      <c r="K3932" s="5" t="s">
        <v>198</v>
      </c>
      <c r="L3932" s="6">
        <v>45692</v>
      </c>
      <c r="M3932" s="6">
        <v>45691</v>
      </c>
      <c r="N3932" s="6" t="s">
        <v>811</v>
      </c>
      <c r="O3932" s="5" t="str">
        <f ca="1">IF(P3932&lt;&gt;"EXPEDIÇÃO","Expedido",IF(NETWORKDAYS(C3932,TODAY())&gt;=5,"Risco Alto",IF(NETWORKDAYS(C3932,TODAY())&gt;=3,IF(NETWORKDAYS(C3932,TODAY())&lt;5,"Risco Médio",""),IF(NETWORKDAYS(C3932,TODAY())&lt;=2,"Risco Baixo",""))))</f>
        <v>Risco Médio</v>
      </c>
      <c r="P3932" s="5" t="s">
        <v>726</v>
      </c>
      <c r="S3932" s="7">
        <f>IF(ISBLANK(M3932),"Aguardando Previsão/Data",NETWORKDAYS(L3932,M3932)-1)</f>
        <v>-3</v>
      </c>
    </row>
    <row r="3933" spans="1:20" x14ac:dyDescent="0.35">
      <c r="A3933" s="5">
        <v>8100285189</v>
      </c>
      <c r="B3933" s="5">
        <v>7441</v>
      </c>
      <c r="C3933" s="6">
        <v>45685</v>
      </c>
      <c r="D3933" s="5" t="s">
        <v>194</v>
      </c>
      <c r="E3933" s="5" t="s">
        <v>195</v>
      </c>
      <c r="F3933" s="5" t="s">
        <v>406</v>
      </c>
      <c r="G3933" s="5" t="s">
        <v>407</v>
      </c>
      <c r="H3933" s="5" t="s">
        <v>108</v>
      </c>
      <c r="I3933" s="5" t="s">
        <v>782</v>
      </c>
      <c r="J3933" s="5" t="s">
        <v>204</v>
      </c>
      <c r="K3933" s="5" t="s">
        <v>198</v>
      </c>
      <c r="L3933" s="6">
        <v>45692</v>
      </c>
      <c r="M3933" s="6">
        <v>45691</v>
      </c>
      <c r="N3933" s="6" t="s">
        <v>811</v>
      </c>
      <c r="O3933" s="5" t="str">
        <f ca="1">IF(P3933&lt;&gt;"EXPEDIÇÃO","Expedido",IF(NETWORKDAYS(C3933,TODAY())&gt;=5,"Risco Alto",IF(NETWORKDAYS(C3933,TODAY())&gt;=3,IF(NETWORKDAYS(C3933,TODAY())&lt;5,"Risco Médio",""),IF(NETWORKDAYS(C3933,TODAY())&lt;=2,"Risco Baixo",""))))</f>
        <v>Risco Médio</v>
      </c>
      <c r="P3933" s="5" t="s">
        <v>726</v>
      </c>
      <c r="S3933" s="7">
        <f>IF(ISBLANK(M3933),"Aguardando Previsão/Data",NETWORKDAYS(L3933,M3933)-1)</f>
        <v>-3</v>
      </c>
    </row>
    <row r="3934" spans="1:20" x14ac:dyDescent="0.35">
      <c r="A3934" s="5">
        <v>8100284963</v>
      </c>
      <c r="B3934" s="5">
        <v>14717</v>
      </c>
      <c r="C3934" s="6">
        <v>45685</v>
      </c>
      <c r="D3934" s="5" t="s">
        <v>211</v>
      </c>
      <c r="E3934" s="5" t="s">
        <v>212</v>
      </c>
      <c r="F3934" s="5" t="s">
        <v>66</v>
      </c>
      <c r="G3934" s="5" t="s">
        <v>67</v>
      </c>
      <c r="H3934" s="5" t="s">
        <v>108</v>
      </c>
      <c r="I3934" s="5" t="s">
        <v>154</v>
      </c>
      <c r="J3934" s="5" t="s">
        <v>155</v>
      </c>
      <c r="K3934" s="5" t="s">
        <v>156</v>
      </c>
      <c r="L3934" s="6">
        <v>45694</v>
      </c>
      <c r="M3934" s="6">
        <v>45694</v>
      </c>
      <c r="N3934" s="6" t="s">
        <v>811</v>
      </c>
      <c r="O3934" s="5" t="str">
        <f ca="1">IF(P3934&lt;&gt;"EXPEDIÇÃO","Expedido",IF(NETWORKDAYS(C3934,TODAY())&gt;=5,"Risco Alto",IF(NETWORKDAYS(C3934,TODAY())&gt;=3,IF(NETWORKDAYS(C3934,TODAY())&lt;5,"Risco Médio",""),IF(NETWORKDAYS(C3934,TODAY())&lt;=2,"Risco Baixo",""))))</f>
        <v>Expedido</v>
      </c>
      <c r="P3934" s="5" t="s">
        <v>617</v>
      </c>
      <c r="S3934" s="7">
        <f>IF(ISBLANK(M3934),"Aguardando Previsão/Data",NETWORKDAYS(L3934,M3934)-1)</f>
        <v>0</v>
      </c>
    </row>
    <row r="3935" spans="1:20" x14ac:dyDescent="0.35">
      <c r="A3935" s="5">
        <v>8100284964</v>
      </c>
      <c r="B3935" s="5">
        <v>14718</v>
      </c>
      <c r="C3935" s="6">
        <v>45685</v>
      </c>
      <c r="D3935" s="5" t="s">
        <v>211</v>
      </c>
      <c r="E3935" s="5" t="s">
        <v>212</v>
      </c>
      <c r="F3935" s="5" t="s">
        <v>66</v>
      </c>
      <c r="G3935" s="5" t="s">
        <v>67</v>
      </c>
      <c r="H3935" s="5" t="s">
        <v>108</v>
      </c>
      <c r="I3935" s="5" t="s">
        <v>154</v>
      </c>
      <c r="J3935" s="5" t="s">
        <v>155</v>
      </c>
      <c r="K3935" s="5" t="s">
        <v>156</v>
      </c>
      <c r="L3935" s="6">
        <v>45694</v>
      </c>
      <c r="M3935" s="6">
        <v>45694</v>
      </c>
      <c r="N3935" s="6" t="s">
        <v>811</v>
      </c>
      <c r="O3935" s="5" t="str">
        <f ca="1">IF(P3935&lt;&gt;"EXPEDIÇÃO","Expedido",IF(NETWORKDAYS(C3935,TODAY())&gt;=5,"Risco Alto",IF(NETWORKDAYS(C3935,TODAY())&gt;=3,IF(NETWORKDAYS(C3935,TODAY())&lt;5,"Risco Médio",""),IF(NETWORKDAYS(C3935,TODAY())&lt;=2,"Risco Baixo",""))))</f>
        <v>Expedido</v>
      </c>
      <c r="P3935" s="5" t="s">
        <v>617</v>
      </c>
      <c r="S3935" s="7">
        <f>IF(ISBLANK(M3935),"Aguardando Previsão/Data",NETWORKDAYS(L3935,M3935)-1)</f>
        <v>0</v>
      </c>
    </row>
    <row r="3936" spans="1:20" x14ac:dyDescent="0.35">
      <c r="A3936" s="5">
        <v>8100285179</v>
      </c>
      <c r="B3936" s="5">
        <v>14724</v>
      </c>
      <c r="C3936" s="6">
        <v>45685</v>
      </c>
      <c r="D3936" s="5" t="s">
        <v>211</v>
      </c>
      <c r="E3936" s="5" t="s">
        <v>212</v>
      </c>
      <c r="F3936" s="5" t="s">
        <v>66</v>
      </c>
      <c r="G3936" s="5" t="s">
        <v>67</v>
      </c>
      <c r="H3936" s="5" t="s">
        <v>108</v>
      </c>
      <c r="I3936" s="5" t="s">
        <v>517</v>
      </c>
      <c r="J3936" s="5" t="s">
        <v>1049</v>
      </c>
      <c r="K3936" s="5" t="s">
        <v>156</v>
      </c>
      <c r="L3936" s="6">
        <v>45694</v>
      </c>
      <c r="M3936" s="6">
        <v>45694</v>
      </c>
      <c r="N3936" s="6" t="s">
        <v>811</v>
      </c>
      <c r="O3936" s="5" t="str">
        <f ca="1">IF(P3936&lt;&gt;"EXPEDIÇÃO","Expedido",IF(NETWORKDAYS(C3936,TODAY())&gt;=5,"Risco Alto",IF(NETWORKDAYS(C3936,TODAY())&gt;=3,IF(NETWORKDAYS(C3936,TODAY())&lt;5,"Risco Médio",""),IF(NETWORKDAYS(C3936,TODAY())&lt;=2,"Risco Baixo",""))))</f>
        <v>Expedido</v>
      </c>
      <c r="P3936" s="5" t="s">
        <v>617</v>
      </c>
      <c r="S3936" s="7">
        <f>IF(ISBLANK(M3936),"Aguardando Previsão/Data",NETWORKDAYS(L3936,M3936)-1)</f>
        <v>0</v>
      </c>
    </row>
    <row r="3937" spans="1:20" x14ac:dyDescent="0.35">
      <c r="A3937" s="5">
        <v>8100285180</v>
      </c>
      <c r="B3937" s="5">
        <v>14722</v>
      </c>
      <c r="C3937" s="6">
        <v>45685</v>
      </c>
      <c r="D3937" s="5" t="s">
        <v>211</v>
      </c>
      <c r="E3937" s="5" t="s">
        <v>212</v>
      </c>
      <c r="F3937" s="5" t="s">
        <v>66</v>
      </c>
      <c r="G3937" s="5" t="s">
        <v>67</v>
      </c>
      <c r="H3937" s="5" t="s">
        <v>108</v>
      </c>
      <c r="I3937" s="5" t="s">
        <v>315</v>
      </c>
      <c r="J3937" s="5" t="s">
        <v>316</v>
      </c>
      <c r="K3937" s="5" t="s">
        <v>156</v>
      </c>
      <c r="L3937" s="6">
        <v>45695</v>
      </c>
      <c r="M3937" s="6">
        <v>45695</v>
      </c>
      <c r="N3937" s="6" t="s">
        <v>811</v>
      </c>
      <c r="O3937" s="5" t="str">
        <f ca="1">IF(P3937&lt;&gt;"EXPEDIÇÃO","Expedido",IF(NETWORKDAYS(C3937,TODAY())&gt;=5,"Risco Alto",IF(NETWORKDAYS(C3937,TODAY())&gt;=3,IF(NETWORKDAYS(C3937,TODAY())&lt;5,"Risco Médio",""),IF(NETWORKDAYS(C3937,TODAY())&lt;=2,"Risco Baixo",""))))</f>
        <v>Expedido</v>
      </c>
      <c r="P3937" s="5" t="s">
        <v>617</v>
      </c>
      <c r="S3937" s="7">
        <f>IF(ISBLANK(M3937),"Aguardando Previsão/Data",NETWORKDAYS(L3937,M3937)-1)</f>
        <v>0</v>
      </c>
    </row>
    <row r="3938" spans="1:20" x14ac:dyDescent="0.35">
      <c r="A3938" s="5">
        <v>8100285181</v>
      </c>
      <c r="B3938" s="5">
        <v>14723</v>
      </c>
      <c r="C3938" s="6">
        <v>45685</v>
      </c>
      <c r="D3938" s="5" t="s">
        <v>211</v>
      </c>
      <c r="E3938" s="5" t="s">
        <v>212</v>
      </c>
      <c r="F3938" s="5" t="s">
        <v>66</v>
      </c>
      <c r="G3938" s="5" t="s">
        <v>67</v>
      </c>
      <c r="H3938" s="5" t="s">
        <v>108</v>
      </c>
      <c r="I3938" s="5" t="s">
        <v>315</v>
      </c>
      <c r="J3938" s="5" t="s">
        <v>316</v>
      </c>
      <c r="K3938" s="5" t="s">
        <v>156</v>
      </c>
      <c r="L3938" s="6">
        <v>45695</v>
      </c>
      <c r="M3938" s="6">
        <v>45695</v>
      </c>
      <c r="N3938" s="6" t="s">
        <v>811</v>
      </c>
      <c r="O3938" s="5" t="str">
        <f ca="1">IF(P3938&lt;&gt;"EXPEDIÇÃO","Expedido",IF(NETWORKDAYS(C3938,TODAY())&gt;=5,"Risco Alto",IF(NETWORKDAYS(C3938,TODAY())&gt;=3,IF(NETWORKDAYS(C3938,TODAY())&lt;5,"Risco Médio",""),IF(NETWORKDAYS(C3938,TODAY())&lt;=2,"Risco Baixo",""))))</f>
        <v>Expedido</v>
      </c>
      <c r="P3938" s="5" t="s">
        <v>617</v>
      </c>
      <c r="S3938" s="7">
        <f>IF(ISBLANK(M3938),"Aguardando Previsão/Data",NETWORKDAYS(L3938,M3938)-1)</f>
        <v>0</v>
      </c>
    </row>
    <row r="3939" spans="1:20" x14ac:dyDescent="0.35">
      <c r="A3939" s="5">
        <v>8100285182</v>
      </c>
      <c r="B3939" s="5">
        <v>14720</v>
      </c>
      <c r="C3939" s="6">
        <v>45685</v>
      </c>
      <c r="D3939" s="5" t="s">
        <v>211</v>
      </c>
      <c r="E3939" s="5" t="s">
        <v>212</v>
      </c>
      <c r="F3939" s="5" t="s">
        <v>66</v>
      </c>
      <c r="G3939" s="5" t="s">
        <v>67</v>
      </c>
      <c r="H3939" s="5" t="s">
        <v>108</v>
      </c>
      <c r="I3939" s="5" t="s">
        <v>1389</v>
      </c>
      <c r="J3939" s="5" t="s">
        <v>399</v>
      </c>
      <c r="K3939" s="5" t="s">
        <v>156</v>
      </c>
      <c r="L3939" s="6">
        <v>45695</v>
      </c>
      <c r="M3939" s="6">
        <v>45695</v>
      </c>
      <c r="N3939" s="6" t="s">
        <v>811</v>
      </c>
      <c r="O3939" s="5" t="str">
        <f ca="1">IF(P3939&lt;&gt;"EXPEDIÇÃO","Expedido",IF(NETWORKDAYS(C3939,TODAY())&gt;=5,"Risco Alto",IF(NETWORKDAYS(C3939,TODAY())&gt;=3,IF(NETWORKDAYS(C3939,TODAY())&lt;5,"Risco Médio",""),IF(NETWORKDAYS(C3939,TODAY())&lt;=2,"Risco Baixo",""))))</f>
        <v>Expedido</v>
      </c>
      <c r="P3939" s="5" t="s">
        <v>617</v>
      </c>
      <c r="S3939" s="7">
        <f>IF(ISBLANK(M3939),"Aguardando Previsão/Data",NETWORKDAYS(L3939,M3939)-1)</f>
        <v>0</v>
      </c>
    </row>
    <row r="3940" spans="1:20" x14ac:dyDescent="0.35">
      <c r="A3940" s="5">
        <v>8100285183</v>
      </c>
      <c r="B3940" s="5">
        <v>14721</v>
      </c>
      <c r="C3940" s="6">
        <v>45685</v>
      </c>
      <c r="D3940" s="5" t="s">
        <v>211</v>
      </c>
      <c r="E3940" s="5" t="s">
        <v>212</v>
      </c>
      <c r="F3940" s="5" t="s">
        <v>66</v>
      </c>
      <c r="G3940" s="5" t="s">
        <v>67</v>
      </c>
      <c r="H3940" s="5" t="s">
        <v>108</v>
      </c>
      <c r="I3940" s="5" t="s">
        <v>1389</v>
      </c>
      <c r="J3940" s="5" t="s">
        <v>399</v>
      </c>
      <c r="K3940" s="5" t="s">
        <v>156</v>
      </c>
      <c r="L3940" s="6">
        <v>45695</v>
      </c>
      <c r="M3940" s="6">
        <v>45695</v>
      </c>
      <c r="N3940" s="6" t="s">
        <v>811</v>
      </c>
      <c r="O3940" s="5" t="str">
        <f ca="1">IF(P3940&lt;&gt;"EXPEDIÇÃO","Expedido",IF(NETWORKDAYS(C3940,TODAY())&gt;=5,"Risco Alto",IF(NETWORKDAYS(C3940,TODAY())&gt;=3,IF(NETWORKDAYS(C3940,TODAY())&lt;5,"Risco Médio",""),IF(NETWORKDAYS(C3940,TODAY())&lt;=2,"Risco Baixo",""))))</f>
        <v>Expedido</v>
      </c>
      <c r="P3940" s="5" t="s">
        <v>617</v>
      </c>
      <c r="S3940" s="7">
        <f>IF(ISBLANK(M3940),"Aguardando Previsão/Data",NETWORKDAYS(L3940,M3940)-1)</f>
        <v>0</v>
      </c>
    </row>
    <row r="3941" spans="1:20" x14ac:dyDescent="0.35">
      <c r="A3941" s="5">
        <v>8100282579</v>
      </c>
      <c r="B3941" s="5">
        <v>12515</v>
      </c>
      <c r="C3941" s="6">
        <v>45685</v>
      </c>
      <c r="D3941" s="5" t="s">
        <v>158</v>
      </c>
      <c r="E3941" s="5" t="s">
        <v>159</v>
      </c>
      <c r="F3941" s="5" t="s">
        <v>167</v>
      </c>
      <c r="G3941" s="5" t="s">
        <v>168</v>
      </c>
      <c r="H3941" s="5" t="s">
        <v>108</v>
      </c>
      <c r="I3941" s="5" t="s">
        <v>164</v>
      </c>
      <c r="J3941" s="5" t="s">
        <v>193</v>
      </c>
      <c r="K3941" s="5" t="s">
        <v>170</v>
      </c>
      <c r="L3941" s="6">
        <v>45692</v>
      </c>
      <c r="M3941" s="6">
        <v>45686</v>
      </c>
      <c r="N3941" s="6" t="s">
        <v>811</v>
      </c>
      <c r="O3941" s="5" t="str">
        <f ca="1">IF(P3941&lt;&gt;"EXPEDIÇÃO","Expedido",IF(NETWORKDAYS(C3941,TODAY())&gt;=5,"Risco Alto",IF(NETWORKDAYS(C3941,TODAY())&gt;=3,IF(NETWORKDAYS(C3941,TODAY())&lt;5,"Risco Médio",""),IF(NETWORKDAYS(C3941,TODAY())&lt;=2,"Risco Baixo",""))))</f>
        <v>Expedido</v>
      </c>
      <c r="P3941" s="5" t="s">
        <v>25</v>
      </c>
      <c r="S3941" s="7">
        <f>IF(ISBLANK(M3941),"Aguardando Previsão/Data",NETWORKDAYS(L3941,M3941)-1)</f>
        <v>-6</v>
      </c>
      <c r="T3941" s="5" t="s">
        <v>942</v>
      </c>
    </row>
    <row r="3942" spans="1:20" x14ac:dyDescent="0.35">
      <c r="A3942" s="5">
        <v>8100282632</v>
      </c>
      <c r="B3942" s="5">
        <v>12516</v>
      </c>
      <c r="C3942" s="6">
        <v>45685</v>
      </c>
      <c r="D3942" s="5" t="s">
        <v>158</v>
      </c>
      <c r="E3942" s="5" t="s">
        <v>159</v>
      </c>
      <c r="F3942" s="5" t="s">
        <v>167</v>
      </c>
      <c r="G3942" s="5" t="s">
        <v>168</v>
      </c>
      <c r="H3942" s="5" t="s">
        <v>108</v>
      </c>
      <c r="I3942" s="5" t="s">
        <v>164</v>
      </c>
      <c r="J3942" s="5" t="s">
        <v>193</v>
      </c>
      <c r="K3942" s="5" t="s">
        <v>170</v>
      </c>
      <c r="L3942" s="6">
        <v>45692</v>
      </c>
      <c r="M3942" s="6">
        <v>45686</v>
      </c>
      <c r="N3942" s="6" t="s">
        <v>811</v>
      </c>
      <c r="O3942" s="5" t="str">
        <f ca="1">IF(P3942&lt;&gt;"EXPEDIÇÃO","Expedido",IF(NETWORKDAYS(C3942,TODAY())&gt;=5,"Risco Alto",IF(NETWORKDAYS(C3942,TODAY())&gt;=3,IF(NETWORKDAYS(C3942,TODAY())&lt;5,"Risco Médio",""),IF(NETWORKDAYS(C3942,TODAY())&lt;=2,"Risco Baixo",""))))</f>
        <v>Expedido</v>
      </c>
      <c r="P3942" s="5" t="s">
        <v>25</v>
      </c>
      <c r="S3942" s="7">
        <f>IF(ISBLANK(M3942),"Aguardando Previsão/Data",NETWORKDAYS(L3942,M3942)-1)</f>
        <v>-6</v>
      </c>
      <c r="T3942" s="5" t="s">
        <v>942</v>
      </c>
    </row>
    <row r="3943" spans="1:20" x14ac:dyDescent="0.35">
      <c r="A3943" s="5">
        <v>8100283033</v>
      </c>
      <c r="B3943" s="5">
        <v>12510</v>
      </c>
      <c r="C3943" s="6">
        <v>45685</v>
      </c>
      <c r="D3943" s="5" t="s">
        <v>158</v>
      </c>
      <c r="E3943" s="5" t="s">
        <v>159</v>
      </c>
      <c r="F3943" s="5" t="s">
        <v>176</v>
      </c>
      <c r="G3943" s="5" t="s">
        <v>177</v>
      </c>
      <c r="H3943" s="5" t="s">
        <v>108</v>
      </c>
      <c r="I3943" s="5" t="s">
        <v>1161</v>
      </c>
      <c r="J3943" s="5" t="s">
        <v>908</v>
      </c>
      <c r="K3943" s="5" t="s">
        <v>170</v>
      </c>
      <c r="L3943" s="6">
        <v>45692</v>
      </c>
      <c r="M3943" s="6">
        <v>45691</v>
      </c>
      <c r="N3943" s="6" t="s">
        <v>811</v>
      </c>
      <c r="O3943" s="5" t="str">
        <f ca="1">IF(P3943&lt;&gt;"EXPEDIÇÃO","Expedido",IF(NETWORKDAYS(C3943,TODAY())&gt;=5,"Risco Alto",IF(NETWORKDAYS(C3943,TODAY())&gt;=3,IF(NETWORKDAYS(C3943,TODAY())&lt;5,"Risco Médio",""),IF(NETWORKDAYS(C3943,TODAY())&lt;=2,"Risco Baixo",""))))</f>
        <v>Risco Médio</v>
      </c>
      <c r="P3943" s="5" t="s">
        <v>726</v>
      </c>
      <c r="S3943" s="7">
        <f>IF(ISBLANK(M3943),"Aguardando Previsão/Data",NETWORKDAYS(L3943,M3943)-1)</f>
        <v>-3</v>
      </c>
    </row>
    <row r="3944" spans="1:20" x14ac:dyDescent="0.35">
      <c r="A3944" s="5">
        <v>8100283035</v>
      </c>
      <c r="B3944" s="5">
        <v>12513</v>
      </c>
      <c r="C3944" s="6">
        <v>45685</v>
      </c>
      <c r="D3944" s="5" t="s">
        <v>158</v>
      </c>
      <c r="E3944" s="5" t="s">
        <v>159</v>
      </c>
      <c r="F3944" s="5" t="s">
        <v>176</v>
      </c>
      <c r="G3944" s="5" t="s">
        <v>177</v>
      </c>
      <c r="H3944" s="5" t="s">
        <v>108</v>
      </c>
      <c r="I3944" s="5" t="s">
        <v>1144</v>
      </c>
      <c r="J3944" s="5" t="s">
        <v>1145</v>
      </c>
      <c r="K3944" s="5" t="s">
        <v>170</v>
      </c>
      <c r="L3944" s="6">
        <v>45692</v>
      </c>
      <c r="M3944" s="6">
        <v>45691</v>
      </c>
      <c r="N3944" s="6" t="s">
        <v>811</v>
      </c>
      <c r="O3944" s="5" t="str">
        <f ca="1">IF(P3944&lt;&gt;"EXPEDIÇÃO","Expedido",IF(NETWORKDAYS(C3944,TODAY())&gt;=5,"Risco Alto",IF(NETWORKDAYS(C3944,TODAY())&gt;=3,IF(NETWORKDAYS(C3944,TODAY())&lt;5,"Risco Médio",""),IF(NETWORKDAYS(C3944,TODAY())&lt;=2,"Risco Baixo",""))))</f>
        <v>Risco Médio</v>
      </c>
      <c r="P3944" s="5" t="s">
        <v>726</v>
      </c>
      <c r="S3944" s="7">
        <f>IF(ISBLANK(M3944),"Aguardando Previsão/Data",NETWORKDAYS(L3944,M3944)-1)</f>
        <v>-3</v>
      </c>
    </row>
    <row r="3945" spans="1:20" x14ac:dyDescent="0.35">
      <c r="A3945" s="5">
        <v>8100284561</v>
      </c>
      <c r="B3945" s="5">
        <v>12511</v>
      </c>
      <c r="C3945" s="6">
        <v>45685</v>
      </c>
      <c r="D3945" s="5" t="s">
        <v>158</v>
      </c>
      <c r="E3945" s="5" t="s">
        <v>159</v>
      </c>
      <c r="F3945" s="5" t="s">
        <v>171</v>
      </c>
      <c r="G3945" s="5" t="s">
        <v>172</v>
      </c>
      <c r="H3945" s="5" t="s">
        <v>108</v>
      </c>
      <c r="I3945" s="5" t="s">
        <v>510</v>
      </c>
      <c r="J3945" s="5" t="s">
        <v>172</v>
      </c>
      <c r="K3945" s="5" t="s">
        <v>170</v>
      </c>
      <c r="L3945" s="6">
        <v>45692</v>
      </c>
      <c r="M3945" s="6">
        <v>45688</v>
      </c>
      <c r="N3945" s="6" t="s">
        <v>811</v>
      </c>
      <c r="O3945" s="5" t="str">
        <f ca="1">IF(P3945&lt;&gt;"EXPEDIÇÃO","Expedido",IF(NETWORKDAYS(C3945,TODAY())&gt;=5,"Risco Alto",IF(NETWORKDAYS(C3945,TODAY())&gt;=3,IF(NETWORKDAYS(C3945,TODAY())&lt;5,"Risco Médio",""),IF(NETWORKDAYS(C3945,TODAY())&lt;=2,"Risco Baixo",""))))</f>
        <v>Expedido</v>
      </c>
      <c r="P3945" s="5" t="s">
        <v>617</v>
      </c>
      <c r="Q3945" s="5" t="s">
        <v>897</v>
      </c>
      <c r="S3945" s="7">
        <f>IF(ISBLANK(M3945),"Aguardando Previsão/Data",NETWORKDAYS(L3945,M3945)-1)</f>
        <v>-4</v>
      </c>
    </row>
    <row r="3946" spans="1:20" x14ac:dyDescent="0.35">
      <c r="A3946" s="5">
        <v>8100284774</v>
      </c>
      <c r="B3946" s="5">
        <v>12512</v>
      </c>
      <c r="C3946" s="6">
        <v>45685</v>
      </c>
      <c r="D3946" s="5" t="s">
        <v>158</v>
      </c>
      <c r="E3946" s="5" t="s">
        <v>159</v>
      </c>
      <c r="F3946" s="5" t="s">
        <v>171</v>
      </c>
      <c r="G3946" s="5" t="s">
        <v>172</v>
      </c>
      <c r="H3946" s="5" t="s">
        <v>108</v>
      </c>
      <c r="I3946" s="5" t="s">
        <v>510</v>
      </c>
      <c r="J3946" s="5" t="s">
        <v>172</v>
      </c>
      <c r="K3946" s="5" t="s">
        <v>170</v>
      </c>
      <c r="L3946" s="6">
        <v>45692</v>
      </c>
      <c r="M3946" s="6">
        <v>45688</v>
      </c>
      <c r="N3946" s="6" t="s">
        <v>811</v>
      </c>
      <c r="O3946" s="5" t="str">
        <f ca="1">IF(P3946&lt;&gt;"EXPEDIÇÃO","Expedido",IF(NETWORKDAYS(C3946,TODAY())&gt;=5,"Risco Alto",IF(NETWORKDAYS(C3946,TODAY())&gt;=3,IF(NETWORKDAYS(C3946,TODAY())&lt;5,"Risco Médio",""),IF(NETWORKDAYS(C3946,TODAY())&lt;=2,"Risco Baixo",""))))</f>
        <v>Expedido</v>
      </c>
      <c r="P3946" s="5" t="s">
        <v>617</v>
      </c>
      <c r="Q3946" s="5" t="s">
        <v>897</v>
      </c>
      <c r="S3946" s="7">
        <f>IF(ISBLANK(M3946),"Aguardando Previsão/Data",NETWORKDAYS(L3946,M3946)-1)</f>
        <v>-4</v>
      </c>
    </row>
    <row r="3947" spans="1:20" x14ac:dyDescent="0.35">
      <c r="A3947" s="5">
        <v>8100284849</v>
      </c>
      <c r="B3947" s="5">
        <v>12514</v>
      </c>
      <c r="C3947" s="6">
        <v>45685</v>
      </c>
      <c r="D3947" s="5" t="s">
        <v>158</v>
      </c>
      <c r="E3947" s="5" t="s">
        <v>159</v>
      </c>
      <c r="F3947" s="5" t="s">
        <v>167</v>
      </c>
      <c r="G3947" s="5" t="s">
        <v>168</v>
      </c>
      <c r="H3947" s="5" t="s">
        <v>108</v>
      </c>
      <c r="I3947" s="5" t="s">
        <v>542</v>
      </c>
      <c r="J3947" s="5" t="s">
        <v>186</v>
      </c>
      <c r="K3947" s="5" t="s">
        <v>170</v>
      </c>
      <c r="L3947" s="6">
        <v>45691</v>
      </c>
      <c r="M3947" s="6">
        <v>45691</v>
      </c>
      <c r="N3947" s="6" t="s">
        <v>811</v>
      </c>
      <c r="O3947" s="5" t="str">
        <f ca="1">IF(P3947&lt;&gt;"EXPEDIÇÃO","Expedido",IF(NETWORKDAYS(C3947,TODAY())&gt;=5,"Risco Alto",IF(NETWORKDAYS(C3947,TODAY())&gt;=3,IF(NETWORKDAYS(C3947,TODAY())&lt;5,"Risco Médio",""),IF(NETWORKDAYS(C3947,TODAY())&lt;=2,"Risco Baixo",""))))</f>
        <v>Risco Médio</v>
      </c>
      <c r="P3947" s="5" t="s">
        <v>726</v>
      </c>
      <c r="Q3947" s="5" t="s">
        <v>897</v>
      </c>
      <c r="S3947" s="7">
        <f>IF(ISBLANK(M3947),"Aguardando Previsão/Data",NETWORKDAYS(L3947,M3947)-1)</f>
        <v>0</v>
      </c>
    </row>
    <row r="3948" spans="1:20" x14ac:dyDescent="0.35">
      <c r="A3948" s="5">
        <v>8100284850</v>
      </c>
      <c r="B3948" s="5">
        <v>12509</v>
      </c>
      <c r="C3948" s="6">
        <v>45685</v>
      </c>
      <c r="D3948" s="5" t="s">
        <v>158</v>
      </c>
      <c r="E3948" s="5" t="s">
        <v>159</v>
      </c>
      <c r="F3948" s="5" t="s">
        <v>171</v>
      </c>
      <c r="G3948" s="5" t="s">
        <v>172</v>
      </c>
      <c r="H3948" s="5" t="s">
        <v>108</v>
      </c>
      <c r="I3948" s="5" t="s">
        <v>164</v>
      </c>
      <c r="J3948" s="5" t="s">
        <v>400</v>
      </c>
      <c r="K3948" s="5" t="s">
        <v>170</v>
      </c>
      <c r="L3948" s="6">
        <v>45692</v>
      </c>
      <c r="M3948" s="6">
        <v>45691</v>
      </c>
      <c r="N3948" s="6" t="s">
        <v>811</v>
      </c>
      <c r="O3948" s="5" t="str">
        <f ca="1">IF(P3948&lt;&gt;"EXPEDIÇÃO","Expedido",IF(NETWORKDAYS(C3948,TODAY())&gt;=5,"Risco Alto",IF(NETWORKDAYS(C3948,TODAY())&gt;=3,IF(NETWORKDAYS(C3948,TODAY())&lt;5,"Risco Médio",""),IF(NETWORKDAYS(C3948,TODAY())&lt;=2,"Risco Baixo",""))))</f>
        <v>Risco Médio</v>
      </c>
      <c r="P3948" s="5" t="s">
        <v>726</v>
      </c>
      <c r="S3948" s="7">
        <f>IF(ISBLANK(M3948),"Aguardando Previsão/Data",NETWORKDAYS(L3948,M3948)-1)</f>
        <v>-3</v>
      </c>
    </row>
    <row r="3949" spans="1:20" x14ac:dyDescent="0.35">
      <c r="A3949" s="5">
        <v>8100284851</v>
      </c>
      <c r="B3949" s="5">
        <v>12506</v>
      </c>
      <c r="C3949" s="6">
        <v>45685</v>
      </c>
      <c r="D3949" s="5" t="s">
        <v>158</v>
      </c>
      <c r="E3949" s="5" t="s">
        <v>159</v>
      </c>
      <c r="F3949" s="5" t="s">
        <v>79</v>
      </c>
      <c r="G3949" s="5" t="s">
        <v>80</v>
      </c>
      <c r="H3949" s="5" t="s">
        <v>108</v>
      </c>
      <c r="I3949" s="5" t="s">
        <v>164</v>
      </c>
      <c r="J3949" s="5" t="s">
        <v>660</v>
      </c>
      <c r="K3949" s="5" t="s">
        <v>80</v>
      </c>
      <c r="L3949" s="6">
        <v>45693</v>
      </c>
      <c r="M3949" s="6">
        <v>45691</v>
      </c>
      <c r="N3949" s="6" t="s">
        <v>811</v>
      </c>
      <c r="O3949" s="5" t="str">
        <f ca="1">IF(P3949&lt;&gt;"EXPEDIÇÃO","Expedido",IF(NETWORKDAYS(C3949,TODAY())&gt;=5,"Risco Alto",IF(NETWORKDAYS(C3949,TODAY())&gt;=3,IF(NETWORKDAYS(C3949,TODAY())&lt;5,"Risco Médio",""),IF(NETWORKDAYS(C3949,TODAY())&lt;=2,"Risco Baixo",""))))</f>
        <v>Risco Médio</v>
      </c>
      <c r="P3949" s="5" t="s">
        <v>726</v>
      </c>
      <c r="S3949" s="7">
        <f>IF(ISBLANK(M3949),"Aguardando Previsão/Data",NETWORKDAYS(L3949,M3949)-1)</f>
        <v>-4</v>
      </c>
    </row>
    <row r="3950" spans="1:20" x14ac:dyDescent="0.35">
      <c r="A3950" s="5">
        <v>8100284852</v>
      </c>
      <c r="B3950" s="5">
        <v>12507</v>
      </c>
      <c r="C3950" s="6">
        <v>45685</v>
      </c>
      <c r="D3950" s="5" t="s">
        <v>158</v>
      </c>
      <c r="E3950" s="5" t="s">
        <v>159</v>
      </c>
      <c r="F3950" s="5" t="s">
        <v>79</v>
      </c>
      <c r="G3950" s="5" t="s">
        <v>80</v>
      </c>
      <c r="H3950" s="5" t="s">
        <v>108</v>
      </c>
      <c r="I3950" s="5" t="s">
        <v>164</v>
      </c>
      <c r="J3950" s="5" t="s">
        <v>623</v>
      </c>
      <c r="K3950" s="5" t="s">
        <v>80</v>
      </c>
      <c r="L3950" s="6">
        <v>45693</v>
      </c>
      <c r="M3950" s="6">
        <v>45692</v>
      </c>
      <c r="N3950" s="6" t="s">
        <v>811</v>
      </c>
      <c r="O3950" s="5" t="str">
        <f ca="1">IF(P3950&lt;&gt;"EXPEDIÇÃO","Expedido",IF(NETWORKDAYS(C3950,TODAY())&gt;=5,"Risco Alto",IF(NETWORKDAYS(C3950,TODAY())&gt;=3,IF(NETWORKDAYS(C3950,TODAY())&lt;5,"Risco Médio",""),IF(NETWORKDAYS(C3950,TODAY())&lt;=2,"Risco Baixo",""))))</f>
        <v>Risco Médio</v>
      </c>
      <c r="P3950" s="5" t="s">
        <v>726</v>
      </c>
      <c r="S3950" s="7">
        <f>IF(ISBLANK(M3950),"Aguardando Previsão/Data",NETWORKDAYS(L3950,M3950)-1)</f>
        <v>-3</v>
      </c>
    </row>
    <row r="3951" spans="1:20" x14ac:dyDescent="0.35">
      <c r="A3951" s="5">
        <v>8100284853</v>
      </c>
      <c r="B3951" s="5">
        <v>12503</v>
      </c>
      <c r="C3951" s="6">
        <v>45685</v>
      </c>
      <c r="D3951" s="5" t="s">
        <v>158</v>
      </c>
      <c r="E3951" s="5" t="s">
        <v>159</v>
      </c>
      <c r="F3951" s="5" t="s">
        <v>79</v>
      </c>
      <c r="G3951" s="5" t="s">
        <v>80</v>
      </c>
      <c r="H3951" s="5" t="s">
        <v>108</v>
      </c>
      <c r="I3951" s="5" t="s">
        <v>164</v>
      </c>
      <c r="J3951" s="5" t="s">
        <v>163</v>
      </c>
      <c r="K3951" s="5" t="s">
        <v>80</v>
      </c>
      <c r="L3951" s="6">
        <v>45693</v>
      </c>
      <c r="M3951" s="6">
        <v>45692</v>
      </c>
      <c r="N3951" s="6" t="s">
        <v>811</v>
      </c>
      <c r="O3951" s="5" t="str">
        <f ca="1">IF(P3951&lt;&gt;"EXPEDIÇÃO","Expedido",IF(NETWORKDAYS(C3951,TODAY())&gt;=5,"Risco Alto",IF(NETWORKDAYS(C3951,TODAY())&gt;=3,IF(NETWORKDAYS(C3951,TODAY())&lt;5,"Risco Médio",""),IF(NETWORKDAYS(C3951,TODAY())&lt;=2,"Risco Baixo",""))))</f>
        <v>Risco Médio</v>
      </c>
      <c r="P3951" s="5" t="s">
        <v>726</v>
      </c>
      <c r="S3951" s="7">
        <f>IF(ISBLANK(M3951),"Aguardando Previsão/Data",NETWORKDAYS(L3951,M3951)-1)</f>
        <v>-3</v>
      </c>
    </row>
    <row r="3952" spans="1:20" x14ac:dyDescent="0.35">
      <c r="A3952" s="5">
        <v>8100284854</v>
      </c>
      <c r="B3952" s="5">
        <v>12505</v>
      </c>
      <c r="C3952" s="6">
        <v>45685</v>
      </c>
      <c r="D3952" s="5" t="s">
        <v>158</v>
      </c>
      <c r="E3952" s="5" t="s">
        <v>159</v>
      </c>
      <c r="F3952" s="5" t="s">
        <v>79</v>
      </c>
      <c r="G3952" s="5" t="s">
        <v>80</v>
      </c>
      <c r="H3952" s="5" t="s">
        <v>108</v>
      </c>
      <c r="I3952" s="5" t="s">
        <v>164</v>
      </c>
      <c r="J3952" s="5" t="s">
        <v>181</v>
      </c>
      <c r="K3952" s="5" t="s">
        <v>80</v>
      </c>
      <c r="L3952" s="6">
        <v>45693</v>
      </c>
      <c r="M3952" s="6">
        <v>45691</v>
      </c>
      <c r="N3952" s="6" t="s">
        <v>811</v>
      </c>
      <c r="O3952" s="5" t="str">
        <f ca="1">IF(P3952&lt;&gt;"EXPEDIÇÃO","Expedido",IF(NETWORKDAYS(C3952,TODAY())&gt;=5,"Risco Alto",IF(NETWORKDAYS(C3952,TODAY())&gt;=3,IF(NETWORKDAYS(C3952,TODAY())&lt;5,"Risco Médio",""),IF(NETWORKDAYS(C3952,TODAY())&lt;=2,"Risco Baixo",""))))</f>
        <v>Risco Médio</v>
      </c>
      <c r="P3952" s="5" t="s">
        <v>726</v>
      </c>
      <c r="S3952" s="7">
        <f>IF(ISBLANK(M3952),"Aguardando Previsão/Data",NETWORKDAYS(L3952,M3952)-1)</f>
        <v>-4</v>
      </c>
    </row>
    <row r="3953" spans="1:20" x14ac:dyDescent="0.35">
      <c r="A3953" s="5">
        <v>8100284855</v>
      </c>
      <c r="B3953" s="5">
        <v>12517</v>
      </c>
      <c r="C3953" s="6">
        <v>45685</v>
      </c>
      <c r="D3953" s="5" t="s">
        <v>158</v>
      </c>
      <c r="E3953" s="5" t="s">
        <v>159</v>
      </c>
      <c r="F3953" s="5" t="s">
        <v>136</v>
      </c>
      <c r="G3953" s="5" t="s">
        <v>137</v>
      </c>
      <c r="H3953" s="5" t="s">
        <v>108</v>
      </c>
      <c r="I3953" s="5" t="s">
        <v>164</v>
      </c>
      <c r="J3953" s="5" t="s">
        <v>774</v>
      </c>
      <c r="K3953" s="5" t="s">
        <v>170</v>
      </c>
      <c r="L3953" s="6">
        <v>45691</v>
      </c>
      <c r="M3953" s="6">
        <v>45686</v>
      </c>
      <c r="N3953" s="6" t="s">
        <v>811</v>
      </c>
      <c r="O3953" s="5" t="str">
        <f ca="1">IF(P3953&lt;&gt;"EXPEDIÇÃO","Expedido",IF(NETWORKDAYS(C3953,TODAY())&gt;=5,"Risco Alto",IF(NETWORKDAYS(C3953,TODAY())&gt;=3,IF(NETWORKDAYS(C3953,TODAY())&lt;5,"Risco Médio",""),IF(NETWORKDAYS(C3953,TODAY())&lt;=2,"Risco Baixo",""))))</f>
        <v>Expedido</v>
      </c>
      <c r="P3953" s="5" t="s">
        <v>25</v>
      </c>
      <c r="S3953" s="7">
        <f>IF(ISBLANK(M3953),"Aguardando Previsão/Data",NETWORKDAYS(L3953,M3953)-1)</f>
        <v>-5</v>
      </c>
      <c r="T3953" s="5" t="s">
        <v>942</v>
      </c>
    </row>
    <row r="3954" spans="1:20" x14ac:dyDescent="0.35">
      <c r="A3954" s="5">
        <v>8100284856</v>
      </c>
      <c r="B3954" s="5">
        <v>12518</v>
      </c>
      <c r="C3954" s="6">
        <v>45685</v>
      </c>
      <c r="D3954" s="5" t="s">
        <v>158</v>
      </c>
      <c r="E3954" s="5" t="s">
        <v>159</v>
      </c>
      <c r="F3954" s="5" t="s">
        <v>136</v>
      </c>
      <c r="G3954" s="5" t="s">
        <v>137</v>
      </c>
      <c r="H3954" s="5" t="s">
        <v>108</v>
      </c>
      <c r="I3954" s="5" t="s">
        <v>164</v>
      </c>
      <c r="J3954" s="5" t="s">
        <v>774</v>
      </c>
      <c r="K3954" s="5" t="s">
        <v>170</v>
      </c>
      <c r="L3954" s="6">
        <v>45691</v>
      </c>
      <c r="M3954" s="6">
        <v>45686</v>
      </c>
      <c r="N3954" s="6" t="s">
        <v>811</v>
      </c>
      <c r="O3954" s="5" t="str">
        <f ca="1">IF(P3954&lt;&gt;"EXPEDIÇÃO","Expedido",IF(NETWORKDAYS(C3954,TODAY())&gt;=5,"Risco Alto",IF(NETWORKDAYS(C3954,TODAY())&gt;=3,IF(NETWORKDAYS(C3954,TODAY())&lt;5,"Risco Médio",""),IF(NETWORKDAYS(C3954,TODAY())&lt;=2,"Risco Baixo",""))))</f>
        <v>Expedido</v>
      </c>
      <c r="P3954" s="5" t="s">
        <v>25</v>
      </c>
      <c r="S3954" s="7">
        <f>IF(ISBLANK(M3954),"Aguardando Previsão/Data",NETWORKDAYS(L3954,M3954)-1)</f>
        <v>-5</v>
      </c>
      <c r="T3954" s="5" t="s">
        <v>942</v>
      </c>
    </row>
    <row r="3955" spans="1:20" x14ac:dyDescent="0.35">
      <c r="A3955" s="5">
        <v>8100284857</v>
      </c>
      <c r="B3955" s="5">
        <v>12519</v>
      </c>
      <c r="C3955" s="6">
        <v>45685</v>
      </c>
      <c r="D3955" s="5" t="s">
        <v>158</v>
      </c>
      <c r="E3955" s="5" t="s">
        <v>159</v>
      </c>
      <c r="F3955" s="5" t="s">
        <v>160</v>
      </c>
      <c r="G3955" s="5" t="s">
        <v>161</v>
      </c>
      <c r="H3955" s="5" t="s">
        <v>108</v>
      </c>
      <c r="I3955" s="5" t="s">
        <v>347</v>
      </c>
      <c r="J3955" s="5" t="s">
        <v>310</v>
      </c>
      <c r="K3955" s="5" t="s">
        <v>175</v>
      </c>
      <c r="L3955" s="6">
        <v>45694</v>
      </c>
      <c r="M3955" s="6">
        <v>45692</v>
      </c>
      <c r="N3955" s="6" t="s">
        <v>811</v>
      </c>
      <c r="O3955" s="5" t="str">
        <f ca="1">IF(P3955&lt;&gt;"EXPEDIÇÃO","Expedido",IF(NETWORKDAYS(C3955,TODAY())&gt;=5,"Risco Alto",IF(NETWORKDAYS(C3955,TODAY())&gt;=3,IF(NETWORKDAYS(C3955,TODAY())&lt;5,"Risco Médio",""),IF(NETWORKDAYS(C3955,TODAY())&lt;=2,"Risco Baixo",""))))</f>
        <v>Risco Médio</v>
      </c>
      <c r="P3955" s="5" t="s">
        <v>726</v>
      </c>
      <c r="S3955" s="7">
        <f>IF(ISBLANK(M3955),"Aguardando Previsão/Data",NETWORKDAYS(L3955,M3955)-1)</f>
        <v>-4</v>
      </c>
    </row>
    <row r="3956" spans="1:20" x14ac:dyDescent="0.35">
      <c r="A3956" s="5">
        <v>8100284861</v>
      </c>
      <c r="B3956" s="5">
        <v>12508</v>
      </c>
      <c r="C3956" s="6">
        <v>45685</v>
      </c>
      <c r="D3956" s="5" t="s">
        <v>158</v>
      </c>
      <c r="E3956" s="5" t="s">
        <v>159</v>
      </c>
      <c r="F3956" s="5" t="s">
        <v>79</v>
      </c>
      <c r="G3956" s="5" t="s">
        <v>80</v>
      </c>
      <c r="H3956" s="5" t="s">
        <v>108</v>
      </c>
      <c r="I3956" s="5" t="s">
        <v>164</v>
      </c>
      <c r="J3956" s="5" t="s">
        <v>623</v>
      </c>
      <c r="K3956" s="5" t="s">
        <v>80</v>
      </c>
      <c r="L3956" s="6">
        <v>45693</v>
      </c>
      <c r="M3956" s="6">
        <v>45687</v>
      </c>
      <c r="N3956" s="6" t="s">
        <v>811</v>
      </c>
      <c r="O3956" s="5" t="str">
        <f ca="1">IF(P3956&lt;&gt;"EXPEDIÇÃO","Expedido",IF(NETWORKDAYS(C3956,TODAY())&gt;=5,"Risco Alto",IF(NETWORKDAYS(C3956,TODAY())&gt;=3,IF(NETWORKDAYS(C3956,TODAY())&lt;5,"Risco Médio",""),IF(NETWORKDAYS(C3956,TODAY())&lt;=2,"Risco Baixo",""))))</f>
        <v>Expedido</v>
      </c>
      <c r="P3956" s="5" t="s">
        <v>617</v>
      </c>
      <c r="S3956" s="7">
        <f>IF(ISBLANK(M3956),"Aguardando Previsão/Data",NETWORKDAYS(L3956,M3956)-1)</f>
        <v>-6</v>
      </c>
    </row>
    <row r="3957" spans="1:20" x14ac:dyDescent="0.35">
      <c r="A3957" s="5">
        <v>8100284862</v>
      </c>
      <c r="B3957" s="5">
        <v>12502</v>
      </c>
      <c r="C3957" s="6">
        <v>45685</v>
      </c>
      <c r="D3957" s="5" t="s">
        <v>158</v>
      </c>
      <c r="E3957" s="5" t="s">
        <v>159</v>
      </c>
      <c r="F3957" s="5" t="s">
        <v>79</v>
      </c>
      <c r="G3957" s="5" t="s">
        <v>80</v>
      </c>
      <c r="H3957" s="5" t="s">
        <v>108</v>
      </c>
      <c r="I3957" s="5" t="s">
        <v>164</v>
      </c>
      <c r="J3957" s="5" t="s">
        <v>165</v>
      </c>
      <c r="K3957" s="5" t="s">
        <v>80</v>
      </c>
      <c r="L3957" s="6">
        <v>45693</v>
      </c>
      <c r="M3957" s="6">
        <v>45688</v>
      </c>
      <c r="N3957" s="6" t="s">
        <v>811</v>
      </c>
      <c r="O3957" s="5" t="str">
        <f ca="1">IF(P3957&lt;&gt;"EXPEDIÇÃO","Expedido",IF(NETWORKDAYS(C3957,TODAY())&gt;=5,"Risco Alto",IF(NETWORKDAYS(C3957,TODAY())&gt;=3,IF(NETWORKDAYS(C3957,TODAY())&lt;5,"Risco Médio",""),IF(NETWORKDAYS(C3957,TODAY())&lt;=2,"Risco Baixo",""))))</f>
        <v>Expedido</v>
      </c>
      <c r="P3957" s="5" t="s">
        <v>617</v>
      </c>
      <c r="S3957" s="7">
        <f>IF(ISBLANK(M3957),"Aguardando Previsão/Data",NETWORKDAYS(L3957,M3957)-1)</f>
        <v>-5</v>
      </c>
    </row>
    <row r="3958" spans="1:20" x14ac:dyDescent="0.35">
      <c r="A3958" s="5">
        <v>8100284863</v>
      </c>
      <c r="B3958" s="5">
        <v>12504</v>
      </c>
      <c r="C3958" s="6">
        <v>45685</v>
      </c>
      <c r="D3958" s="5" t="s">
        <v>158</v>
      </c>
      <c r="E3958" s="5" t="s">
        <v>159</v>
      </c>
      <c r="F3958" s="5" t="s">
        <v>79</v>
      </c>
      <c r="G3958" s="5" t="s">
        <v>80</v>
      </c>
      <c r="H3958" s="5" t="s">
        <v>108</v>
      </c>
      <c r="I3958" s="5" t="s">
        <v>164</v>
      </c>
      <c r="J3958" s="5" t="s">
        <v>163</v>
      </c>
      <c r="K3958" s="5" t="s">
        <v>80</v>
      </c>
      <c r="L3958" s="6">
        <v>45693</v>
      </c>
      <c r="M3958" s="6">
        <v>45688</v>
      </c>
      <c r="N3958" s="6" t="s">
        <v>811</v>
      </c>
      <c r="O3958" s="5" t="str">
        <f ca="1">IF(P3958&lt;&gt;"EXPEDIÇÃO","Expedido",IF(NETWORKDAYS(C3958,TODAY())&gt;=5,"Risco Alto",IF(NETWORKDAYS(C3958,TODAY())&gt;=3,IF(NETWORKDAYS(C3958,TODAY())&lt;5,"Risco Médio",""),IF(NETWORKDAYS(C3958,TODAY())&lt;=2,"Risco Baixo",""))))</f>
        <v>Expedido</v>
      </c>
      <c r="P3958" s="5" t="s">
        <v>617</v>
      </c>
      <c r="S3958" s="7">
        <f>IF(ISBLANK(M3958),"Aguardando Previsão/Data",NETWORKDAYS(L3958,M3958)-1)</f>
        <v>-5</v>
      </c>
    </row>
    <row r="3959" spans="1:20" x14ac:dyDescent="0.35">
      <c r="A3959" s="5">
        <v>8100285344</v>
      </c>
      <c r="B3959" s="5">
        <v>17671</v>
      </c>
      <c r="C3959" s="6">
        <v>45686</v>
      </c>
      <c r="D3959" s="5" t="s">
        <v>51</v>
      </c>
      <c r="E3959" s="5" t="s">
        <v>52</v>
      </c>
      <c r="F3959" s="5" t="s">
        <v>84</v>
      </c>
      <c r="G3959" s="5" t="s">
        <v>85</v>
      </c>
      <c r="H3959" s="5" t="s">
        <v>21</v>
      </c>
      <c r="I3959" s="5" t="s">
        <v>844</v>
      </c>
      <c r="J3959" s="5" t="s">
        <v>531</v>
      </c>
      <c r="K3959" s="5" t="s">
        <v>80</v>
      </c>
      <c r="L3959" s="6">
        <v>45693</v>
      </c>
      <c r="M3959" s="6">
        <v>45692</v>
      </c>
      <c r="N3959" s="6" t="s">
        <v>811</v>
      </c>
      <c r="O3959" s="5" t="str">
        <f ca="1">IF(P3959&lt;&gt;"EXPEDIÇÃO","Expedido",IF(NETWORKDAYS(C3959,TODAY())&gt;=5,"Risco Alto",IF(NETWORKDAYS(C3959,TODAY())&gt;=3,IF(NETWORKDAYS(C3959,TODAY())&lt;5,"Risco Médio",""),IF(NETWORKDAYS(C3959,TODAY())&lt;=2,"Risco Baixo",""))))</f>
        <v>Risco Médio</v>
      </c>
      <c r="P3959" s="5" t="s">
        <v>726</v>
      </c>
      <c r="S3959" s="7">
        <f>IF(ISBLANK(M3959),"Aguardando Previsão/Data",NETWORKDAYS(L3959,M3959)-1)</f>
        <v>-3</v>
      </c>
    </row>
    <row r="3960" spans="1:20" x14ac:dyDescent="0.35">
      <c r="A3960" s="5">
        <v>8100285637</v>
      </c>
      <c r="B3960" s="5">
        <v>17674</v>
      </c>
      <c r="C3960" s="6">
        <v>45686</v>
      </c>
      <c r="D3960" s="5" t="s">
        <v>51</v>
      </c>
      <c r="E3960" s="5" t="s">
        <v>52</v>
      </c>
      <c r="F3960" s="5" t="s">
        <v>69</v>
      </c>
      <c r="G3960" s="5" t="s">
        <v>70</v>
      </c>
      <c r="H3960" s="5" t="s">
        <v>21</v>
      </c>
      <c r="I3960" s="5" t="s">
        <v>77</v>
      </c>
      <c r="J3960" s="5" t="s">
        <v>78</v>
      </c>
      <c r="K3960" s="5" t="s">
        <v>57</v>
      </c>
      <c r="L3960" s="6">
        <v>45693</v>
      </c>
      <c r="M3960" s="6">
        <v>45692</v>
      </c>
      <c r="N3960" s="6" t="s">
        <v>811</v>
      </c>
      <c r="O3960" s="5" t="str">
        <f ca="1">IF(P3960&lt;&gt;"EXPEDIÇÃO","Expedido",IF(NETWORKDAYS(C3960,TODAY())&gt;=5,"Risco Alto",IF(NETWORKDAYS(C3960,TODAY())&gt;=3,IF(NETWORKDAYS(C3960,TODAY())&lt;5,"Risco Médio",""),IF(NETWORKDAYS(C3960,TODAY())&lt;=2,"Risco Baixo",""))))</f>
        <v>Risco Médio</v>
      </c>
      <c r="P3960" s="5" t="s">
        <v>726</v>
      </c>
      <c r="S3960" s="7">
        <f>IF(ISBLANK(M3960),"Aguardando Previsão/Data",NETWORKDAYS(L3960,M3960)-1)</f>
        <v>-3</v>
      </c>
    </row>
    <row r="3961" spans="1:20" x14ac:dyDescent="0.35">
      <c r="A3961" s="5">
        <v>8100285638</v>
      </c>
      <c r="B3961" s="5">
        <v>17675</v>
      </c>
      <c r="C3961" s="6">
        <v>45686</v>
      </c>
      <c r="D3961" s="5" t="s">
        <v>51</v>
      </c>
      <c r="E3961" s="5" t="s">
        <v>52</v>
      </c>
      <c r="F3961" s="5" t="s">
        <v>69</v>
      </c>
      <c r="G3961" s="5" t="s">
        <v>70</v>
      </c>
      <c r="H3961" s="5" t="s">
        <v>21</v>
      </c>
      <c r="I3961" s="5" t="s">
        <v>77</v>
      </c>
      <c r="J3961" s="5" t="s">
        <v>78</v>
      </c>
      <c r="K3961" s="5" t="s">
        <v>57</v>
      </c>
      <c r="L3961" s="6">
        <v>45693</v>
      </c>
      <c r="M3961" s="6">
        <v>45692</v>
      </c>
      <c r="N3961" s="6" t="s">
        <v>811</v>
      </c>
      <c r="O3961" s="5" t="str">
        <f ca="1">IF(P3961&lt;&gt;"EXPEDIÇÃO","Expedido",IF(NETWORKDAYS(C3961,TODAY())&gt;=5,"Risco Alto",IF(NETWORKDAYS(C3961,TODAY())&gt;=3,IF(NETWORKDAYS(C3961,TODAY())&lt;5,"Risco Médio",""),IF(NETWORKDAYS(C3961,TODAY())&lt;=2,"Risco Baixo",""))))</f>
        <v>Risco Médio</v>
      </c>
      <c r="P3961" s="5" t="s">
        <v>726</v>
      </c>
      <c r="S3961" s="7">
        <f>IF(ISBLANK(M3961),"Aguardando Previsão/Data",NETWORKDAYS(L3961,M3961)-1)</f>
        <v>-3</v>
      </c>
    </row>
    <row r="3962" spans="1:20" x14ac:dyDescent="0.35">
      <c r="A3962" s="5">
        <v>8100285639</v>
      </c>
      <c r="B3962" s="5">
        <v>17676</v>
      </c>
      <c r="C3962" s="6">
        <v>45686</v>
      </c>
      <c r="D3962" s="5" t="s">
        <v>51</v>
      </c>
      <c r="E3962" s="5" t="s">
        <v>52</v>
      </c>
      <c r="F3962" s="5" t="s">
        <v>69</v>
      </c>
      <c r="G3962" s="5" t="s">
        <v>70</v>
      </c>
      <c r="H3962" s="5" t="s">
        <v>21</v>
      </c>
      <c r="I3962" s="5" t="s">
        <v>77</v>
      </c>
      <c r="J3962" s="5" t="s">
        <v>78</v>
      </c>
      <c r="K3962" s="5" t="s">
        <v>57</v>
      </c>
      <c r="L3962" s="6">
        <v>45693</v>
      </c>
      <c r="M3962" s="6">
        <v>45692</v>
      </c>
      <c r="N3962" s="6" t="s">
        <v>811</v>
      </c>
      <c r="O3962" s="5" t="str">
        <f ca="1">IF(P3962&lt;&gt;"EXPEDIÇÃO","Expedido",IF(NETWORKDAYS(C3962,TODAY())&gt;=5,"Risco Alto",IF(NETWORKDAYS(C3962,TODAY())&gt;=3,IF(NETWORKDAYS(C3962,TODAY())&lt;5,"Risco Médio",""),IF(NETWORKDAYS(C3962,TODAY())&lt;=2,"Risco Baixo",""))))</f>
        <v>Risco Médio</v>
      </c>
      <c r="P3962" s="5" t="s">
        <v>726</v>
      </c>
      <c r="S3962" s="7">
        <f>IF(ISBLANK(M3962),"Aguardando Previsão/Data",NETWORKDAYS(L3962,M3962)-1)</f>
        <v>-3</v>
      </c>
    </row>
    <row r="3963" spans="1:20" x14ac:dyDescent="0.35">
      <c r="A3963" s="5">
        <v>8100285640</v>
      </c>
      <c r="B3963" s="5">
        <v>17677</v>
      </c>
      <c r="C3963" s="6">
        <v>45686</v>
      </c>
      <c r="D3963" s="5" t="s">
        <v>51</v>
      </c>
      <c r="E3963" s="5" t="s">
        <v>52</v>
      </c>
      <c r="F3963" s="5" t="s">
        <v>69</v>
      </c>
      <c r="G3963" s="5" t="s">
        <v>70</v>
      </c>
      <c r="H3963" s="5" t="s">
        <v>21</v>
      </c>
      <c r="I3963" s="5" t="s">
        <v>77</v>
      </c>
      <c r="J3963" s="5" t="s">
        <v>78</v>
      </c>
      <c r="K3963" s="5" t="s">
        <v>57</v>
      </c>
      <c r="L3963" s="6">
        <v>45693</v>
      </c>
      <c r="M3963" s="6">
        <v>45692</v>
      </c>
      <c r="N3963" s="6" t="s">
        <v>811</v>
      </c>
      <c r="O3963" s="5" t="str">
        <f ca="1">IF(P3963&lt;&gt;"EXPEDIÇÃO","Expedido",IF(NETWORKDAYS(C3963,TODAY())&gt;=5,"Risco Alto",IF(NETWORKDAYS(C3963,TODAY())&gt;=3,IF(NETWORKDAYS(C3963,TODAY())&lt;5,"Risco Médio",""),IF(NETWORKDAYS(C3963,TODAY())&lt;=2,"Risco Baixo",""))))</f>
        <v>Risco Médio</v>
      </c>
      <c r="P3963" s="5" t="s">
        <v>726</v>
      </c>
      <c r="S3963" s="7">
        <f>IF(ISBLANK(M3963),"Aguardando Previsão/Data",NETWORKDAYS(L3963,M3963)-1)</f>
        <v>-3</v>
      </c>
    </row>
    <row r="3964" spans="1:20" x14ac:dyDescent="0.35">
      <c r="A3964" s="5">
        <v>8100285641</v>
      </c>
      <c r="B3964" s="5">
        <v>17678</v>
      </c>
      <c r="C3964" s="6">
        <v>45686</v>
      </c>
      <c r="D3964" s="5" t="s">
        <v>51</v>
      </c>
      <c r="E3964" s="5" t="s">
        <v>52</v>
      </c>
      <c r="F3964" s="5" t="s">
        <v>69</v>
      </c>
      <c r="G3964" s="5" t="s">
        <v>70</v>
      </c>
      <c r="H3964" s="5" t="s">
        <v>21</v>
      </c>
      <c r="I3964" s="5" t="s">
        <v>77</v>
      </c>
      <c r="J3964" s="5" t="s">
        <v>78</v>
      </c>
      <c r="K3964" s="5" t="s">
        <v>57</v>
      </c>
      <c r="L3964" s="6">
        <v>45693</v>
      </c>
      <c r="M3964" s="6">
        <v>45692</v>
      </c>
      <c r="N3964" s="6" t="s">
        <v>811</v>
      </c>
      <c r="O3964" s="5" t="str">
        <f ca="1">IF(P3964&lt;&gt;"EXPEDIÇÃO","Expedido",IF(NETWORKDAYS(C3964,TODAY())&gt;=5,"Risco Alto",IF(NETWORKDAYS(C3964,TODAY())&gt;=3,IF(NETWORKDAYS(C3964,TODAY())&lt;5,"Risco Médio",""),IF(NETWORKDAYS(C3964,TODAY())&lt;=2,"Risco Baixo",""))))</f>
        <v>Risco Médio</v>
      </c>
      <c r="P3964" s="5" t="s">
        <v>726</v>
      </c>
      <c r="S3964" s="7">
        <f>IF(ISBLANK(M3964),"Aguardando Previsão/Data",NETWORKDAYS(L3964,M3964)-1)</f>
        <v>-3</v>
      </c>
    </row>
    <row r="3965" spans="1:20" x14ac:dyDescent="0.35">
      <c r="A3965" s="5">
        <v>8100285642</v>
      </c>
      <c r="B3965" s="5">
        <v>17679</v>
      </c>
      <c r="C3965" s="6">
        <v>45686</v>
      </c>
      <c r="D3965" s="5" t="s">
        <v>51</v>
      </c>
      <c r="E3965" s="5" t="s">
        <v>52</v>
      </c>
      <c r="F3965" s="5" t="s">
        <v>69</v>
      </c>
      <c r="G3965" s="5" t="s">
        <v>70</v>
      </c>
      <c r="H3965" s="5" t="s">
        <v>21</v>
      </c>
      <c r="I3965" s="5" t="s">
        <v>77</v>
      </c>
      <c r="J3965" s="5" t="s">
        <v>78</v>
      </c>
      <c r="K3965" s="5" t="s">
        <v>57</v>
      </c>
      <c r="L3965" s="6">
        <v>45693</v>
      </c>
      <c r="M3965" s="6">
        <v>45692</v>
      </c>
      <c r="N3965" s="6" t="s">
        <v>811</v>
      </c>
      <c r="O3965" s="5" t="str">
        <f ca="1">IF(P3965&lt;&gt;"EXPEDIÇÃO","Expedido",IF(NETWORKDAYS(C3965,TODAY())&gt;=5,"Risco Alto",IF(NETWORKDAYS(C3965,TODAY())&gt;=3,IF(NETWORKDAYS(C3965,TODAY())&lt;5,"Risco Médio",""),IF(NETWORKDAYS(C3965,TODAY())&lt;=2,"Risco Baixo",""))))</f>
        <v>Risco Médio</v>
      </c>
      <c r="P3965" s="5" t="s">
        <v>726</v>
      </c>
      <c r="S3965" s="7">
        <f>IF(ISBLANK(M3965),"Aguardando Previsão/Data",NETWORKDAYS(L3965,M3965)-1)</f>
        <v>-3</v>
      </c>
    </row>
    <row r="3966" spans="1:20" x14ac:dyDescent="0.35">
      <c r="A3966" s="5">
        <v>8100285643</v>
      </c>
      <c r="B3966" s="5">
        <v>17680</v>
      </c>
      <c r="C3966" s="6">
        <v>45686</v>
      </c>
      <c r="D3966" s="5" t="s">
        <v>51</v>
      </c>
      <c r="E3966" s="5" t="s">
        <v>52</v>
      </c>
      <c r="F3966" s="5" t="s">
        <v>69</v>
      </c>
      <c r="G3966" s="5" t="s">
        <v>70</v>
      </c>
      <c r="H3966" s="5" t="s">
        <v>21</v>
      </c>
      <c r="I3966" s="5" t="s">
        <v>77</v>
      </c>
      <c r="J3966" s="5" t="s">
        <v>78</v>
      </c>
      <c r="K3966" s="5" t="s">
        <v>57</v>
      </c>
      <c r="L3966" s="6">
        <v>45693</v>
      </c>
      <c r="M3966" s="6">
        <v>45692</v>
      </c>
      <c r="N3966" s="6" t="s">
        <v>811</v>
      </c>
      <c r="O3966" s="5" t="str">
        <f ca="1">IF(P3966&lt;&gt;"EXPEDIÇÃO","Expedido",IF(NETWORKDAYS(C3966,TODAY())&gt;=5,"Risco Alto",IF(NETWORKDAYS(C3966,TODAY())&gt;=3,IF(NETWORKDAYS(C3966,TODAY())&lt;5,"Risco Médio",""),IF(NETWORKDAYS(C3966,TODAY())&lt;=2,"Risco Baixo",""))))</f>
        <v>Risco Médio</v>
      </c>
      <c r="P3966" s="5" t="s">
        <v>726</v>
      </c>
      <c r="S3966" s="7">
        <f>IF(ISBLANK(M3966),"Aguardando Previsão/Data",NETWORKDAYS(L3966,M3966)-1)</f>
        <v>-3</v>
      </c>
    </row>
    <row r="3967" spans="1:20" x14ac:dyDescent="0.35">
      <c r="A3967" s="5">
        <v>8100285644</v>
      </c>
      <c r="B3967" s="5">
        <v>17681</v>
      </c>
      <c r="C3967" s="6">
        <v>45686</v>
      </c>
      <c r="D3967" s="5" t="s">
        <v>51</v>
      </c>
      <c r="E3967" s="5" t="s">
        <v>52</v>
      </c>
      <c r="F3967" s="5" t="s">
        <v>69</v>
      </c>
      <c r="G3967" s="5" t="s">
        <v>70</v>
      </c>
      <c r="H3967" s="5" t="s">
        <v>21</v>
      </c>
      <c r="I3967" s="5" t="s">
        <v>77</v>
      </c>
      <c r="J3967" s="5" t="s">
        <v>78</v>
      </c>
      <c r="K3967" s="5" t="s">
        <v>57</v>
      </c>
      <c r="L3967" s="6">
        <v>45693</v>
      </c>
      <c r="M3967" s="6">
        <v>45692</v>
      </c>
      <c r="N3967" s="6" t="s">
        <v>811</v>
      </c>
      <c r="O3967" s="5" t="str">
        <f ca="1">IF(P3967&lt;&gt;"EXPEDIÇÃO","Expedido",IF(NETWORKDAYS(C3967,TODAY())&gt;=5,"Risco Alto",IF(NETWORKDAYS(C3967,TODAY())&gt;=3,IF(NETWORKDAYS(C3967,TODAY())&lt;5,"Risco Médio",""),IF(NETWORKDAYS(C3967,TODAY())&lt;=2,"Risco Baixo",""))))</f>
        <v>Risco Médio</v>
      </c>
      <c r="P3967" s="5" t="s">
        <v>726</v>
      </c>
      <c r="S3967" s="7">
        <f>IF(ISBLANK(M3967),"Aguardando Previsão/Data",NETWORKDAYS(L3967,M3967)-1)</f>
        <v>-3</v>
      </c>
    </row>
    <row r="3968" spans="1:20" x14ac:dyDescent="0.35">
      <c r="A3968" s="5">
        <v>8100285645</v>
      </c>
      <c r="B3968" s="5">
        <v>17682</v>
      </c>
      <c r="C3968" s="6">
        <v>45686</v>
      </c>
      <c r="D3968" s="5" t="s">
        <v>51</v>
      </c>
      <c r="E3968" s="5" t="s">
        <v>52</v>
      </c>
      <c r="F3968" s="5" t="s">
        <v>66</v>
      </c>
      <c r="G3968" s="5" t="s">
        <v>67</v>
      </c>
      <c r="H3968" s="5" t="s">
        <v>21</v>
      </c>
      <c r="I3968" s="5" t="s">
        <v>77</v>
      </c>
      <c r="J3968" s="5" t="s">
        <v>78</v>
      </c>
      <c r="K3968" s="5" t="s">
        <v>57</v>
      </c>
      <c r="L3968" s="6">
        <v>45693</v>
      </c>
      <c r="M3968" s="6">
        <v>45692</v>
      </c>
      <c r="N3968" s="6" t="s">
        <v>811</v>
      </c>
      <c r="O3968" s="5" t="str">
        <f ca="1">IF(P3968&lt;&gt;"EXPEDIÇÃO","Expedido",IF(NETWORKDAYS(C3968,TODAY())&gt;=5,"Risco Alto",IF(NETWORKDAYS(C3968,TODAY())&gt;=3,IF(NETWORKDAYS(C3968,TODAY())&lt;5,"Risco Médio",""),IF(NETWORKDAYS(C3968,TODAY())&lt;=2,"Risco Baixo",""))))</f>
        <v>Risco Médio</v>
      </c>
      <c r="P3968" s="5" t="s">
        <v>726</v>
      </c>
      <c r="S3968" s="7">
        <f>IF(ISBLANK(M3968),"Aguardando Previsão/Data",NETWORKDAYS(L3968,M3968)-1)</f>
        <v>-3</v>
      </c>
    </row>
    <row r="3969" spans="1:20" x14ac:dyDescent="0.35">
      <c r="A3969" s="5">
        <v>8100285646</v>
      </c>
      <c r="B3969" s="5">
        <v>17683</v>
      </c>
      <c r="C3969" s="6">
        <v>45686</v>
      </c>
      <c r="D3969" s="5" t="s">
        <v>51</v>
      </c>
      <c r="E3969" s="5" t="s">
        <v>52</v>
      </c>
      <c r="F3969" s="5" t="s">
        <v>69</v>
      </c>
      <c r="G3969" s="5" t="s">
        <v>70</v>
      </c>
      <c r="H3969" s="5" t="s">
        <v>21</v>
      </c>
      <c r="I3969" s="5" t="s">
        <v>77</v>
      </c>
      <c r="J3969" s="5" t="s">
        <v>78</v>
      </c>
      <c r="K3969" s="5" t="s">
        <v>57</v>
      </c>
      <c r="L3969" s="6">
        <v>45693</v>
      </c>
      <c r="M3969" s="6">
        <v>45692</v>
      </c>
      <c r="N3969" s="6" t="s">
        <v>811</v>
      </c>
      <c r="O3969" s="5" t="str">
        <f ca="1">IF(P3969&lt;&gt;"EXPEDIÇÃO","Expedido",IF(NETWORKDAYS(C3969,TODAY())&gt;=5,"Risco Alto",IF(NETWORKDAYS(C3969,TODAY())&gt;=3,IF(NETWORKDAYS(C3969,TODAY())&lt;5,"Risco Médio",""),IF(NETWORKDAYS(C3969,TODAY())&lt;=2,"Risco Baixo",""))))</f>
        <v>Risco Médio</v>
      </c>
      <c r="P3969" s="5" t="s">
        <v>726</v>
      </c>
      <c r="S3969" s="7">
        <f>IF(ISBLANK(M3969),"Aguardando Previsão/Data",NETWORKDAYS(L3969,M3969)-1)</f>
        <v>-3</v>
      </c>
    </row>
    <row r="3970" spans="1:20" x14ac:dyDescent="0.35">
      <c r="A3970" s="5">
        <v>8100285647</v>
      </c>
      <c r="B3970" s="5">
        <v>17684</v>
      </c>
      <c r="C3970" s="6">
        <v>45686</v>
      </c>
      <c r="D3970" s="5" t="s">
        <v>51</v>
      </c>
      <c r="E3970" s="5" t="s">
        <v>52</v>
      </c>
      <c r="F3970" s="5" t="s">
        <v>66</v>
      </c>
      <c r="G3970" s="5" t="s">
        <v>67</v>
      </c>
      <c r="H3970" s="5" t="s">
        <v>21</v>
      </c>
      <c r="I3970" s="5" t="s">
        <v>77</v>
      </c>
      <c r="J3970" s="5" t="s">
        <v>78</v>
      </c>
      <c r="K3970" s="5" t="s">
        <v>57</v>
      </c>
      <c r="L3970" s="6">
        <v>45693</v>
      </c>
      <c r="M3970" s="6">
        <v>45692</v>
      </c>
      <c r="N3970" s="6" t="s">
        <v>811</v>
      </c>
      <c r="O3970" s="5" t="str">
        <f ca="1">IF(P3970&lt;&gt;"EXPEDIÇÃO","Expedido",IF(NETWORKDAYS(C3970,TODAY())&gt;=5,"Risco Alto",IF(NETWORKDAYS(C3970,TODAY())&gt;=3,IF(NETWORKDAYS(C3970,TODAY())&lt;5,"Risco Médio",""),IF(NETWORKDAYS(C3970,TODAY())&lt;=2,"Risco Baixo",""))))</f>
        <v>Risco Médio</v>
      </c>
      <c r="P3970" s="5" t="s">
        <v>726</v>
      </c>
      <c r="S3970" s="7">
        <f>IF(ISBLANK(M3970),"Aguardando Previsão/Data",NETWORKDAYS(L3970,M3970)-1)</f>
        <v>-3</v>
      </c>
    </row>
    <row r="3971" spans="1:20" x14ac:dyDescent="0.35">
      <c r="A3971" s="5">
        <v>8100285704</v>
      </c>
      <c r="B3971" s="5">
        <v>17672</v>
      </c>
      <c r="C3971" s="6">
        <v>45686</v>
      </c>
      <c r="D3971" s="5" t="s">
        <v>51</v>
      </c>
      <c r="E3971" s="5" t="s">
        <v>52</v>
      </c>
      <c r="F3971" s="5" t="s">
        <v>66</v>
      </c>
      <c r="G3971" s="5" t="s">
        <v>67</v>
      </c>
      <c r="H3971" s="5" t="s">
        <v>21</v>
      </c>
      <c r="I3971" s="5" t="s">
        <v>269</v>
      </c>
      <c r="J3971" s="5" t="s">
        <v>270</v>
      </c>
      <c r="K3971" s="5" t="s">
        <v>57</v>
      </c>
      <c r="L3971" s="6">
        <v>45694</v>
      </c>
      <c r="M3971" s="6">
        <v>45693</v>
      </c>
      <c r="N3971" s="6" t="s">
        <v>811</v>
      </c>
      <c r="O3971" s="5" t="str">
        <f ca="1">IF(P3971&lt;&gt;"EXPEDIÇÃO","Expedido",IF(NETWORKDAYS(C3971,TODAY())&gt;=5,"Risco Alto",IF(NETWORKDAYS(C3971,TODAY())&gt;=3,IF(NETWORKDAYS(C3971,TODAY())&lt;5,"Risco Médio",""),IF(NETWORKDAYS(C3971,TODAY())&lt;=2,"Risco Baixo",""))))</f>
        <v>Risco Médio</v>
      </c>
      <c r="P3971" s="5" t="s">
        <v>726</v>
      </c>
      <c r="S3971" s="7">
        <f>IF(ISBLANK(M3971),"Aguardando Previsão/Data",NETWORKDAYS(L3971,M3971)-1)</f>
        <v>-3</v>
      </c>
    </row>
    <row r="3972" spans="1:20" x14ac:dyDescent="0.35">
      <c r="A3972" s="5">
        <v>8100285705</v>
      </c>
      <c r="B3972" s="5">
        <v>17673</v>
      </c>
      <c r="C3972" s="6">
        <v>45686</v>
      </c>
      <c r="D3972" s="5" t="s">
        <v>51</v>
      </c>
      <c r="E3972" s="5" t="s">
        <v>52</v>
      </c>
      <c r="F3972" s="5" t="s">
        <v>66</v>
      </c>
      <c r="G3972" s="5" t="s">
        <v>67</v>
      </c>
      <c r="H3972" s="5" t="s">
        <v>21</v>
      </c>
      <c r="I3972" s="5" t="s">
        <v>269</v>
      </c>
      <c r="J3972" s="5" t="s">
        <v>270</v>
      </c>
      <c r="K3972" s="5" t="s">
        <v>57</v>
      </c>
      <c r="L3972" s="6">
        <v>45694</v>
      </c>
      <c r="M3972" s="6">
        <v>45693</v>
      </c>
      <c r="N3972" s="6" t="s">
        <v>811</v>
      </c>
      <c r="O3972" s="5" t="str">
        <f ca="1">IF(P3972&lt;&gt;"EXPEDIÇÃO","Expedido",IF(NETWORKDAYS(C3972,TODAY())&gt;=5,"Risco Alto",IF(NETWORKDAYS(C3972,TODAY())&gt;=3,IF(NETWORKDAYS(C3972,TODAY())&lt;5,"Risco Médio",""),IF(NETWORKDAYS(C3972,TODAY())&lt;=2,"Risco Baixo",""))))</f>
        <v>Risco Médio</v>
      </c>
      <c r="P3972" s="5" t="s">
        <v>726</v>
      </c>
      <c r="S3972" s="7">
        <f>IF(ISBLANK(M3972),"Aguardando Previsão/Data",NETWORKDAYS(L3972,M3972)-1)</f>
        <v>-3</v>
      </c>
    </row>
    <row r="3973" spans="1:20" x14ac:dyDescent="0.35">
      <c r="A3973" s="5">
        <v>8100279888</v>
      </c>
      <c r="B3973" s="5">
        <v>21837</v>
      </c>
      <c r="C3973" s="6">
        <v>45686</v>
      </c>
      <c r="D3973" s="5" t="s">
        <v>17</v>
      </c>
      <c r="E3973" s="5" t="s">
        <v>18</v>
      </c>
      <c r="F3973" s="5" t="s">
        <v>32</v>
      </c>
      <c r="G3973" s="5" t="s">
        <v>33</v>
      </c>
      <c r="H3973" s="5" t="s">
        <v>21</v>
      </c>
      <c r="I3973" s="5" t="s">
        <v>1600</v>
      </c>
      <c r="J3973" s="5" t="s">
        <v>1601</v>
      </c>
      <c r="K3973" s="5" t="s">
        <v>36</v>
      </c>
      <c r="L3973" s="6">
        <v>45688</v>
      </c>
      <c r="M3973" s="6">
        <v>45699</v>
      </c>
      <c r="N3973" s="6" t="s">
        <v>811</v>
      </c>
      <c r="O3973" s="5" t="str">
        <f ca="1">IF(P3973&lt;&gt;"EXPEDIÇÃO","Expedido",IF(NETWORKDAYS(C3973,TODAY())&gt;=5,"Risco Alto",IF(NETWORKDAYS(C3973,TODAY())&gt;=3,IF(NETWORKDAYS(C3973,TODAY())&lt;5,"Risco Médio",""),IF(NETWORKDAYS(C3973,TODAY())&lt;=2,"Risco Baixo",""))))</f>
        <v>Risco Médio</v>
      </c>
      <c r="P3973" s="5" t="s">
        <v>726</v>
      </c>
      <c r="Q3973" s="5" t="s">
        <v>926</v>
      </c>
      <c r="S3973" s="7">
        <f>IF(ISBLANK(M3973),"Aguardando Previsão/Data",NETWORKDAYS(L3973,M3973)-1)</f>
        <v>7</v>
      </c>
    </row>
    <row r="3974" spans="1:20" x14ac:dyDescent="0.35">
      <c r="A3974" s="5">
        <v>8100284486</v>
      </c>
      <c r="B3974" s="5">
        <v>21821</v>
      </c>
      <c r="C3974" s="6">
        <v>45686</v>
      </c>
      <c r="D3974" s="5" t="s">
        <v>17</v>
      </c>
      <c r="E3974" s="5" t="s">
        <v>18</v>
      </c>
      <c r="F3974" s="5" t="s">
        <v>44</v>
      </c>
      <c r="G3974" s="5" t="s">
        <v>45</v>
      </c>
      <c r="H3974" s="5" t="s">
        <v>21</v>
      </c>
      <c r="I3974" s="5" t="s">
        <v>597</v>
      </c>
      <c r="J3974" s="5" t="s">
        <v>45</v>
      </c>
      <c r="K3974" s="5" t="s">
        <v>24</v>
      </c>
      <c r="L3974" s="6">
        <v>45693</v>
      </c>
      <c r="M3974" s="6">
        <v>45692</v>
      </c>
      <c r="N3974" s="6" t="s">
        <v>811</v>
      </c>
      <c r="O3974" s="5" t="str">
        <f ca="1">IF(P3974&lt;&gt;"EXPEDIÇÃO","Expedido",IF(NETWORKDAYS(C3974,TODAY())&gt;=5,"Risco Alto",IF(NETWORKDAYS(C3974,TODAY())&gt;=3,IF(NETWORKDAYS(C3974,TODAY())&lt;5,"Risco Médio",""),IF(NETWORKDAYS(C3974,TODAY())&lt;=2,"Risco Baixo",""))))</f>
        <v>Expedido</v>
      </c>
      <c r="P3974" s="5" t="s">
        <v>617</v>
      </c>
      <c r="S3974" s="7">
        <f>IF(ISBLANK(M3974),"Aguardando Previsão/Data",NETWORKDAYS(L3974,M3974)-1)</f>
        <v>-3</v>
      </c>
    </row>
    <row r="3975" spans="1:20" x14ac:dyDescent="0.35">
      <c r="A3975" s="5">
        <v>8100285144</v>
      </c>
      <c r="B3975" s="5">
        <v>21838</v>
      </c>
      <c r="C3975" s="6">
        <v>45686</v>
      </c>
      <c r="D3975" s="5" t="s">
        <v>17</v>
      </c>
      <c r="E3975" s="5" t="s">
        <v>18</v>
      </c>
      <c r="F3975" s="5" t="s">
        <v>32</v>
      </c>
      <c r="G3975" s="5" t="s">
        <v>33</v>
      </c>
      <c r="H3975" s="5" t="s">
        <v>21</v>
      </c>
      <c r="I3975" s="5" t="s">
        <v>22</v>
      </c>
      <c r="J3975" s="5" t="s">
        <v>23</v>
      </c>
      <c r="K3975" s="5" t="s">
        <v>24</v>
      </c>
      <c r="L3975" s="6">
        <v>45692</v>
      </c>
      <c r="M3975" s="6">
        <v>45686</v>
      </c>
      <c r="N3975" s="6" t="s">
        <v>811</v>
      </c>
      <c r="O3975" s="5" t="str">
        <f ca="1">IF(P3975&lt;&gt;"EXPEDIÇÃO","Expedido",IF(NETWORKDAYS(C3975,TODAY())&gt;=5,"Risco Alto",IF(NETWORKDAYS(C3975,TODAY())&gt;=3,IF(NETWORKDAYS(C3975,TODAY())&lt;5,"Risco Médio",""),IF(NETWORKDAYS(C3975,TODAY())&lt;=2,"Risco Baixo",""))))</f>
        <v>Expedido</v>
      </c>
      <c r="P3975" s="5" t="s">
        <v>25</v>
      </c>
      <c r="Q3975" s="5" t="s">
        <v>900</v>
      </c>
      <c r="S3975" s="7">
        <f>IF(ISBLANK(M3975),"Aguardando Previsão/Data",NETWORKDAYS(L3975,M3975)-1)</f>
        <v>-6</v>
      </c>
      <c r="T3975" s="5" t="s">
        <v>942</v>
      </c>
    </row>
    <row r="3976" spans="1:20" x14ac:dyDescent="0.35">
      <c r="A3976" s="5">
        <v>8100285205</v>
      </c>
      <c r="B3976" s="5">
        <v>21804</v>
      </c>
      <c r="C3976" s="6">
        <v>45686</v>
      </c>
      <c r="D3976" s="5" t="s">
        <v>17</v>
      </c>
      <c r="E3976" s="5" t="s">
        <v>18</v>
      </c>
      <c r="F3976" s="5" t="s">
        <v>27</v>
      </c>
      <c r="G3976" s="5" t="s">
        <v>28</v>
      </c>
      <c r="H3976" s="5" t="s">
        <v>21</v>
      </c>
      <c r="I3976" s="5" t="s">
        <v>1605</v>
      </c>
      <c r="J3976" s="5" t="s">
        <v>362</v>
      </c>
      <c r="K3976" s="5" t="s">
        <v>24</v>
      </c>
      <c r="L3976" s="6">
        <v>45693</v>
      </c>
      <c r="M3976" s="6">
        <v>45692</v>
      </c>
      <c r="N3976" s="6" t="s">
        <v>811</v>
      </c>
      <c r="O3976" s="5" t="str">
        <f ca="1">IF(P3976&lt;&gt;"EXPEDIÇÃO","Expedido",IF(NETWORKDAYS(C3976,TODAY())&gt;=5,"Risco Alto",IF(NETWORKDAYS(C3976,TODAY())&gt;=3,IF(NETWORKDAYS(C3976,TODAY())&lt;5,"Risco Médio",""),IF(NETWORKDAYS(C3976,TODAY())&lt;=2,"Risco Baixo",""))))</f>
        <v>Risco Médio</v>
      </c>
      <c r="P3976" s="5" t="s">
        <v>726</v>
      </c>
      <c r="S3976" s="7">
        <f>IF(ISBLANK(M3976),"Aguardando Previsão/Data",NETWORKDAYS(L3976,M3976)-1)</f>
        <v>-3</v>
      </c>
    </row>
    <row r="3977" spans="1:20" x14ac:dyDescent="0.35">
      <c r="A3977" s="5">
        <v>8100285206</v>
      </c>
      <c r="B3977" s="5">
        <v>21802</v>
      </c>
      <c r="C3977" s="6">
        <v>45686</v>
      </c>
      <c r="D3977" s="5" t="s">
        <v>17</v>
      </c>
      <c r="E3977" s="5" t="s">
        <v>18</v>
      </c>
      <c r="F3977" s="5" t="s">
        <v>27</v>
      </c>
      <c r="G3977" s="5" t="s">
        <v>28</v>
      </c>
      <c r="H3977" s="5" t="s">
        <v>21</v>
      </c>
      <c r="I3977" s="5" t="s">
        <v>704</v>
      </c>
      <c r="J3977" s="5" t="s">
        <v>491</v>
      </c>
      <c r="K3977" s="5" t="s">
        <v>24</v>
      </c>
      <c r="L3977" s="6">
        <v>45693</v>
      </c>
      <c r="M3977" s="6">
        <v>45692</v>
      </c>
      <c r="N3977" s="6" t="s">
        <v>811</v>
      </c>
      <c r="O3977" s="5" t="str">
        <f ca="1">IF(P3977&lt;&gt;"EXPEDIÇÃO","Expedido",IF(NETWORKDAYS(C3977,TODAY())&gt;=5,"Risco Alto",IF(NETWORKDAYS(C3977,TODAY())&gt;=3,IF(NETWORKDAYS(C3977,TODAY())&lt;5,"Risco Médio",""),IF(NETWORKDAYS(C3977,TODAY())&lt;=2,"Risco Baixo",""))))</f>
        <v>Risco Médio</v>
      </c>
      <c r="P3977" s="5" t="s">
        <v>726</v>
      </c>
      <c r="S3977" s="7">
        <f>IF(ISBLANK(M3977),"Aguardando Previsão/Data",NETWORKDAYS(L3977,M3977)-1)</f>
        <v>-3</v>
      </c>
    </row>
    <row r="3978" spans="1:20" x14ac:dyDescent="0.35">
      <c r="A3978" s="5">
        <v>8100285320</v>
      </c>
      <c r="B3978" s="5">
        <v>21816</v>
      </c>
      <c r="C3978" s="6">
        <v>45686</v>
      </c>
      <c r="D3978" s="5" t="s">
        <v>17</v>
      </c>
      <c r="E3978" s="5" t="s">
        <v>18</v>
      </c>
      <c r="F3978" s="5" t="s">
        <v>84</v>
      </c>
      <c r="G3978" s="5" t="s">
        <v>85</v>
      </c>
      <c r="H3978" s="5" t="s">
        <v>21</v>
      </c>
      <c r="I3978" s="5" t="s">
        <v>432</v>
      </c>
      <c r="J3978" s="5" t="s">
        <v>259</v>
      </c>
      <c r="K3978" s="5" t="s">
        <v>24</v>
      </c>
      <c r="L3978" s="6">
        <v>45694</v>
      </c>
      <c r="M3978" s="6">
        <v>45693</v>
      </c>
      <c r="N3978" s="6" t="s">
        <v>811</v>
      </c>
      <c r="O3978" s="5" t="str">
        <f ca="1">IF(P3978&lt;&gt;"EXPEDIÇÃO","Expedido",IF(NETWORKDAYS(C3978,TODAY())&gt;=5,"Risco Alto",IF(NETWORKDAYS(C3978,TODAY())&gt;=3,IF(NETWORKDAYS(C3978,TODAY())&lt;5,"Risco Médio",""),IF(NETWORKDAYS(C3978,TODAY())&lt;=2,"Risco Baixo",""))))</f>
        <v>Risco Médio</v>
      </c>
      <c r="P3978" s="5" t="s">
        <v>726</v>
      </c>
      <c r="S3978" s="7">
        <f>IF(ISBLANK(M3978),"Aguardando Previsão/Data",NETWORKDAYS(L3978,M3978)-1)</f>
        <v>-3</v>
      </c>
    </row>
    <row r="3979" spans="1:20" x14ac:dyDescent="0.35">
      <c r="A3979" s="5">
        <v>8100285321</v>
      </c>
      <c r="B3979" s="5">
        <v>21834</v>
      </c>
      <c r="C3979" s="6">
        <v>45686</v>
      </c>
      <c r="D3979" s="5" t="s">
        <v>17</v>
      </c>
      <c r="E3979" s="5" t="s">
        <v>18</v>
      </c>
      <c r="F3979" s="5" t="s">
        <v>84</v>
      </c>
      <c r="G3979" s="5" t="s">
        <v>85</v>
      </c>
      <c r="H3979" s="5" t="s">
        <v>21</v>
      </c>
      <c r="I3979" s="5" t="s">
        <v>432</v>
      </c>
      <c r="J3979" s="5" t="s">
        <v>259</v>
      </c>
      <c r="K3979" s="5" t="s">
        <v>24</v>
      </c>
      <c r="L3979" s="6">
        <v>45694</v>
      </c>
      <c r="M3979" s="6">
        <v>45693</v>
      </c>
      <c r="N3979" s="6" t="s">
        <v>811</v>
      </c>
      <c r="O3979" s="5" t="str">
        <f ca="1">IF(P3979&lt;&gt;"EXPEDIÇÃO","Expedido",IF(NETWORKDAYS(C3979,TODAY())&gt;=5,"Risco Alto",IF(NETWORKDAYS(C3979,TODAY())&gt;=3,IF(NETWORKDAYS(C3979,TODAY())&lt;5,"Risco Médio",""),IF(NETWORKDAYS(C3979,TODAY())&lt;=2,"Risco Baixo",""))))</f>
        <v>Risco Médio</v>
      </c>
      <c r="P3979" s="5" t="s">
        <v>726</v>
      </c>
      <c r="S3979" s="7">
        <f>IF(ISBLANK(M3979),"Aguardando Previsão/Data",NETWORKDAYS(L3979,M3979)-1)</f>
        <v>-3</v>
      </c>
    </row>
    <row r="3980" spans="1:20" x14ac:dyDescent="0.35">
      <c r="A3980" s="5">
        <v>8100285322</v>
      </c>
      <c r="B3980" s="5">
        <v>21813</v>
      </c>
      <c r="C3980" s="6">
        <v>45686</v>
      </c>
      <c r="D3980" s="5" t="s">
        <v>17</v>
      </c>
      <c r="E3980" s="5" t="s">
        <v>18</v>
      </c>
      <c r="F3980" s="5" t="s">
        <v>84</v>
      </c>
      <c r="G3980" s="5" t="s">
        <v>85</v>
      </c>
      <c r="H3980" s="5" t="s">
        <v>21</v>
      </c>
      <c r="I3980" s="5" t="s">
        <v>876</v>
      </c>
      <c r="J3980" s="5" t="s">
        <v>368</v>
      </c>
      <c r="K3980" s="5" t="s">
        <v>24</v>
      </c>
      <c r="L3980" s="6">
        <v>45694</v>
      </c>
      <c r="M3980" s="6">
        <v>45693</v>
      </c>
      <c r="N3980" s="6" t="s">
        <v>811</v>
      </c>
      <c r="O3980" s="5" t="str">
        <f ca="1">IF(P3980&lt;&gt;"EXPEDIÇÃO","Expedido",IF(NETWORKDAYS(C3980,TODAY())&gt;=5,"Risco Alto",IF(NETWORKDAYS(C3980,TODAY())&gt;=3,IF(NETWORKDAYS(C3980,TODAY())&lt;5,"Risco Médio",""),IF(NETWORKDAYS(C3980,TODAY())&lt;=2,"Risco Baixo",""))))</f>
        <v>Expedido</v>
      </c>
      <c r="P3980" s="5" t="s">
        <v>617</v>
      </c>
      <c r="S3980" s="7">
        <f>IF(ISBLANK(M3980),"Aguardando Previsão/Data",NETWORKDAYS(L3980,M3980)-1)</f>
        <v>-3</v>
      </c>
    </row>
    <row r="3981" spans="1:20" x14ac:dyDescent="0.35">
      <c r="A3981" s="5">
        <v>8100285323</v>
      </c>
      <c r="B3981" s="5">
        <v>21828</v>
      </c>
      <c r="C3981" s="6">
        <v>45686</v>
      </c>
      <c r="D3981" s="5" t="s">
        <v>17</v>
      </c>
      <c r="E3981" s="5" t="s">
        <v>18</v>
      </c>
      <c r="F3981" s="5" t="s">
        <v>84</v>
      </c>
      <c r="G3981" s="5" t="s">
        <v>85</v>
      </c>
      <c r="H3981" s="5" t="s">
        <v>21</v>
      </c>
      <c r="I3981" s="5" t="s">
        <v>1273</v>
      </c>
      <c r="J3981" s="5" t="s">
        <v>604</v>
      </c>
      <c r="K3981" s="5" t="s">
        <v>24</v>
      </c>
      <c r="L3981" s="6">
        <v>45694</v>
      </c>
      <c r="M3981" s="6">
        <v>45693</v>
      </c>
      <c r="N3981" s="6" t="s">
        <v>811</v>
      </c>
      <c r="O3981" s="5" t="str">
        <f ca="1">IF(P3981&lt;&gt;"EXPEDIÇÃO","Expedido",IF(NETWORKDAYS(C3981,TODAY())&gt;=5,"Risco Alto",IF(NETWORKDAYS(C3981,TODAY())&gt;=3,IF(NETWORKDAYS(C3981,TODAY())&lt;5,"Risco Médio",""),IF(NETWORKDAYS(C3981,TODAY())&lt;=2,"Risco Baixo",""))))</f>
        <v>Risco Médio</v>
      </c>
      <c r="P3981" s="5" t="s">
        <v>726</v>
      </c>
      <c r="S3981" s="7">
        <f>IF(ISBLANK(M3981),"Aguardando Previsão/Data",NETWORKDAYS(L3981,M3981)-1)</f>
        <v>-3</v>
      </c>
    </row>
    <row r="3982" spans="1:20" x14ac:dyDescent="0.35">
      <c r="A3982" s="5">
        <v>8100285324</v>
      </c>
      <c r="B3982" s="5">
        <v>21814</v>
      </c>
      <c r="C3982" s="6">
        <v>45686</v>
      </c>
      <c r="D3982" s="5" t="s">
        <v>17</v>
      </c>
      <c r="E3982" s="5" t="s">
        <v>18</v>
      </c>
      <c r="F3982" s="5" t="s">
        <v>84</v>
      </c>
      <c r="G3982" s="5" t="s">
        <v>85</v>
      </c>
      <c r="H3982" s="5" t="s">
        <v>21</v>
      </c>
      <c r="I3982" s="5" t="s">
        <v>1606</v>
      </c>
      <c r="J3982" s="5" t="s">
        <v>1092</v>
      </c>
      <c r="K3982" s="5" t="s">
        <v>24</v>
      </c>
      <c r="L3982" s="6">
        <v>45698</v>
      </c>
      <c r="M3982" s="6">
        <v>45695</v>
      </c>
      <c r="N3982" s="6" t="s">
        <v>811</v>
      </c>
      <c r="O3982" s="5" t="str">
        <f ca="1">IF(P3982&lt;&gt;"EXPEDIÇÃO","Expedido",IF(NETWORKDAYS(C3982,TODAY())&gt;=5,"Risco Alto",IF(NETWORKDAYS(C3982,TODAY())&gt;=3,IF(NETWORKDAYS(C3982,TODAY())&lt;5,"Risco Médio",""),IF(NETWORKDAYS(C3982,TODAY())&lt;=2,"Risco Baixo",""))))</f>
        <v>Risco Médio</v>
      </c>
      <c r="P3982" s="5" t="s">
        <v>726</v>
      </c>
      <c r="S3982" s="7">
        <f>IF(ISBLANK(M3982),"Aguardando Previsão/Data",NETWORKDAYS(L3982,M3982)-1)</f>
        <v>-3</v>
      </c>
    </row>
    <row r="3983" spans="1:20" x14ac:dyDescent="0.35">
      <c r="A3983" s="5">
        <v>8100285325</v>
      </c>
      <c r="B3983" s="5">
        <v>21809</v>
      </c>
      <c r="C3983" s="6">
        <v>45686</v>
      </c>
      <c r="D3983" s="5" t="s">
        <v>17</v>
      </c>
      <c r="E3983" s="5" t="s">
        <v>18</v>
      </c>
      <c r="F3983" s="5" t="s">
        <v>84</v>
      </c>
      <c r="G3983" s="5" t="s">
        <v>85</v>
      </c>
      <c r="H3983" s="5" t="s">
        <v>21</v>
      </c>
      <c r="I3983" s="5" t="s">
        <v>1606</v>
      </c>
      <c r="J3983" s="5" t="s">
        <v>1043</v>
      </c>
      <c r="K3983" s="5" t="s">
        <v>24</v>
      </c>
      <c r="L3983" s="6">
        <v>45694</v>
      </c>
      <c r="M3983" s="6">
        <v>45693</v>
      </c>
      <c r="N3983" s="6" t="s">
        <v>811</v>
      </c>
      <c r="O3983" s="5" t="str">
        <f ca="1">IF(P3983&lt;&gt;"EXPEDIÇÃO","Expedido",IF(NETWORKDAYS(C3983,TODAY())&gt;=5,"Risco Alto",IF(NETWORKDAYS(C3983,TODAY())&gt;=3,IF(NETWORKDAYS(C3983,TODAY())&lt;5,"Risco Médio",""),IF(NETWORKDAYS(C3983,TODAY())&lt;=2,"Risco Baixo",""))))</f>
        <v>Risco Médio</v>
      </c>
      <c r="P3983" s="5" t="s">
        <v>726</v>
      </c>
      <c r="S3983" s="7">
        <f>IF(ISBLANK(M3983),"Aguardando Previsão/Data",NETWORKDAYS(L3983,M3983)-1)</f>
        <v>-3</v>
      </c>
    </row>
    <row r="3984" spans="1:20" x14ac:dyDescent="0.35">
      <c r="A3984" s="5">
        <v>8100285326</v>
      </c>
      <c r="B3984" s="5">
        <v>21808</v>
      </c>
      <c r="C3984" s="6">
        <v>45686</v>
      </c>
      <c r="D3984" s="5" t="s">
        <v>17</v>
      </c>
      <c r="E3984" s="5" t="s">
        <v>18</v>
      </c>
      <c r="F3984" s="5" t="s">
        <v>84</v>
      </c>
      <c r="G3984" s="5" t="s">
        <v>85</v>
      </c>
      <c r="H3984" s="5" t="s">
        <v>21</v>
      </c>
      <c r="I3984" s="5" t="s">
        <v>1091</v>
      </c>
      <c r="J3984" s="5" t="s">
        <v>1092</v>
      </c>
      <c r="K3984" s="5" t="s">
        <v>24</v>
      </c>
      <c r="L3984" s="6">
        <v>45698</v>
      </c>
      <c r="M3984" s="6">
        <v>45695</v>
      </c>
      <c r="N3984" s="6" t="s">
        <v>811</v>
      </c>
      <c r="O3984" s="5" t="str">
        <f ca="1">IF(P3984&lt;&gt;"EXPEDIÇÃO","Expedido",IF(NETWORKDAYS(C3984,TODAY())&gt;=5,"Risco Alto",IF(NETWORKDAYS(C3984,TODAY())&gt;=3,IF(NETWORKDAYS(C3984,TODAY())&lt;5,"Risco Médio",""),IF(NETWORKDAYS(C3984,TODAY())&lt;=2,"Risco Baixo",""))))</f>
        <v>Risco Médio</v>
      </c>
      <c r="P3984" s="5" t="s">
        <v>726</v>
      </c>
      <c r="S3984" s="7">
        <f>IF(ISBLANK(M3984),"Aguardando Previsão/Data",NETWORKDAYS(L3984,M3984)-1)</f>
        <v>-3</v>
      </c>
    </row>
    <row r="3985" spans="1:20" x14ac:dyDescent="0.35">
      <c r="A3985" s="5">
        <v>8100285335</v>
      </c>
      <c r="B3985" s="5">
        <v>21817</v>
      </c>
      <c r="C3985" s="6">
        <v>45686</v>
      </c>
      <c r="D3985" s="5" t="s">
        <v>17</v>
      </c>
      <c r="E3985" s="5" t="s">
        <v>18</v>
      </c>
      <c r="F3985" s="5" t="s">
        <v>32</v>
      </c>
      <c r="G3985" s="5" t="s">
        <v>33</v>
      </c>
      <c r="H3985" s="5" t="s">
        <v>21</v>
      </c>
      <c r="I3985" s="5" t="s">
        <v>367</v>
      </c>
      <c r="J3985" s="5" t="s">
        <v>368</v>
      </c>
      <c r="K3985" s="5" t="s">
        <v>24</v>
      </c>
      <c r="L3985" s="6">
        <v>45694</v>
      </c>
      <c r="M3985" s="6">
        <v>45693</v>
      </c>
      <c r="N3985" s="6" t="s">
        <v>811</v>
      </c>
      <c r="O3985" s="5" t="str">
        <f ca="1">IF(P3985&lt;&gt;"EXPEDIÇÃO","Expedido",IF(NETWORKDAYS(C3985,TODAY())&gt;=5,"Risco Alto",IF(NETWORKDAYS(C3985,TODAY())&gt;=3,IF(NETWORKDAYS(C3985,TODAY())&lt;5,"Risco Médio",""),IF(NETWORKDAYS(C3985,TODAY())&lt;=2,"Risco Baixo",""))))</f>
        <v>Risco Médio</v>
      </c>
      <c r="P3985" s="5" t="s">
        <v>726</v>
      </c>
      <c r="S3985" s="7">
        <f>IF(ISBLANK(M3985),"Aguardando Previsão/Data",NETWORKDAYS(L3985,M3985)-1)</f>
        <v>-3</v>
      </c>
    </row>
    <row r="3986" spans="1:20" x14ac:dyDescent="0.35">
      <c r="A3986" s="5">
        <v>8100285336</v>
      </c>
      <c r="B3986" s="5">
        <v>21822</v>
      </c>
      <c r="C3986" s="6">
        <v>45686</v>
      </c>
      <c r="D3986" s="5" t="s">
        <v>17</v>
      </c>
      <c r="E3986" s="5" t="s">
        <v>18</v>
      </c>
      <c r="F3986" s="5" t="s">
        <v>32</v>
      </c>
      <c r="G3986" s="5" t="s">
        <v>33</v>
      </c>
      <c r="H3986" s="5" t="s">
        <v>21</v>
      </c>
      <c r="I3986" s="5" t="s">
        <v>258</v>
      </c>
      <c r="J3986" s="5" t="s">
        <v>713</v>
      </c>
      <c r="K3986" s="5" t="s">
        <v>24</v>
      </c>
      <c r="L3986" s="6">
        <v>45693</v>
      </c>
      <c r="O3986" s="5" t="str">
        <f ca="1">IF(P3986&lt;&gt;"EXPEDIÇÃO","Expedido",IF(NETWORKDAYS(C3986,TODAY())&gt;=5,"Risco Alto",IF(NETWORKDAYS(C3986,TODAY())&gt;=3,IF(NETWORKDAYS(C3986,TODAY())&lt;5,"Risco Médio",""),IF(NETWORKDAYS(C3986,TODAY())&lt;=2,"Risco Baixo",""))))</f>
        <v>Expedido</v>
      </c>
      <c r="P3986" s="5" t="s">
        <v>145</v>
      </c>
      <c r="Q3986" s="5" t="s">
        <v>363</v>
      </c>
      <c r="S3986" s="7" t="str">
        <f>IF(ISBLANK(M3986),"Aguardando Previsão/Data",NETWORKDAYS(L3986,M3986)-1)</f>
        <v>Aguardando Previsão/Data</v>
      </c>
      <c r="T3986" s="5" t="s">
        <v>942</v>
      </c>
    </row>
    <row r="3987" spans="1:20" x14ac:dyDescent="0.35">
      <c r="A3987" s="5">
        <v>8100285337</v>
      </c>
      <c r="B3987" s="5">
        <v>21835</v>
      </c>
      <c r="C3987" s="6">
        <v>45686</v>
      </c>
      <c r="D3987" s="5" t="s">
        <v>17</v>
      </c>
      <c r="E3987" s="5" t="s">
        <v>18</v>
      </c>
      <c r="F3987" s="5" t="s">
        <v>44</v>
      </c>
      <c r="G3987" s="5" t="s">
        <v>45</v>
      </c>
      <c r="H3987" s="5" t="s">
        <v>21</v>
      </c>
      <c r="I3987" s="5" t="s">
        <v>1607</v>
      </c>
      <c r="J3987" s="5" t="s">
        <v>47</v>
      </c>
      <c r="K3987" s="5" t="s">
        <v>24</v>
      </c>
      <c r="L3987" s="6">
        <v>45693</v>
      </c>
      <c r="M3987" s="6">
        <v>45692</v>
      </c>
      <c r="N3987" s="6" t="s">
        <v>811</v>
      </c>
      <c r="O3987" s="5" t="str">
        <f ca="1">IF(P3987&lt;&gt;"EXPEDIÇÃO","Expedido",IF(NETWORKDAYS(C3987,TODAY())&gt;=5,"Risco Alto",IF(NETWORKDAYS(C3987,TODAY())&gt;=3,IF(NETWORKDAYS(C3987,TODAY())&lt;5,"Risco Médio",""),IF(NETWORKDAYS(C3987,TODAY())&lt;=2,"Risco Baixo",""))))</f>
        <v>Risco Médio</v>
      </c>
      <c r="P3987" s="5" t="s">
        <v>726</v>
      </c>
      <c r="S3987" s="7">
        <f>IF(ISBLANK(M3987),"Aguardando Previsão/Data",NETWORKDAYS(L3987,M3987)-1)</f>
        <v>-3</v>
      </c>
    </row>
    <row r="3988" spans="1:20" x14ac:dyDescent="0.35">
      <c r="A3988" s="5">
        <v>8100285350</v>
      </c>
      <c r="B3988" s="5">
        <v>21792</v>
      </c>
      <c r="C3988" s="6">
        <v>45686</v>
      </c>
      <c r="D3988" s="5" t="s">
        <v>17</v>
      </c>
      <c r="E3988" s="5" t="s">
        <v>18</v>
      </c>
      <c r="F3988" s="5" t="s">
        <v>19</v>
      </c>
      <c r="G3988" s="5" t="s">
        <v>20</v>
      </c>
      <c r="H3988" s="5" t="s">
        <v>21</v>
      </c>
      <c r="I3988" s="5" t="s">
        <v>1080</v>
      </c>
      <c r="J3988" s="5" t="s">
        <v>38</v>
      </c>
      <c r="K3988" s="5" t="s">
        <v>24</v>
      </c>
      <c r="L3988" s="6">
        <v>45694</v>
      </c>
      <c r="M3988" s="6">
        <v>45693</v>
      </c>
      <c r="N3988" s="6" t="s">
        <v>811</v>
      </c>
      <c r="O3988" s="5" t="str">
        <f ca="1">IF(P3988&lt;&gt;"EXPEDIÇÃO","Expedido",IF(NETWORKDAYS(C3988,TODAY())&gt;=5,"Risco Alto",IF(NETWORKDAYS(C3988,TODAY())&gt;=3,IF(NETWORKDAYS(C3988,TODAY())&lt;5,"Risco Médio",""),IF(NETWORKDAYS(C3988,TODAY())&lt;=2,"Risco Baixo",""))))</f>
        <v>Risco Médio</v>
      </c>
      <c r="P3988" s="5" t="s">
        <v>726</v>
      </c>
      <c r="S3988" s="7">
        <f>IF(ISBLANK(M3988),"Aguardando Previsão/Data",NETWORKDAYS(L3988,M3988)-1)</f>
        <v>-3</v>
      </c>
    </row>
    <row r="3989" spans="1:20" x14ac:dyDescent="0.35">
      <c r="A3989" s="5">
        <v>8100285351</v>
      </c>
      <c r="B3989" s="5">
        <v>21820</v>
      </c>
      <c r="C3989" s="6">
        <v>45686</v>
      </c>
      <c r="D3989" s="5" t="s">
        <v>17</v>
      </c>
      <c r="E3989" s="5" t="s">
        <v>18</v>
      </c>
      <c r="F3989" s="5" t="s">
        <v>19</v>
      </c>
      <c r="G3989" s="5" t="s">
        <v>20</v>
      </c>
      <c r="H3989" s="5" t="s">
        <v>21</v>
      </c>
      <c r="I3989" s="5" t="s">
        <v>22</v>
      </c>
      <c r="J3989" s="5" t="s">
        <v>23</v>
      </c>
      <c r="K3989" s="5" t="s">
        <v>24</v>
      </c>
      <c r="L3989" s="6">
        <v>45692</v>
      </c>
      <c r="M3989" s="6">
        <v>45686</v>
      </c>
      <c r="N3989" s="6" t="s">
        <v>811</v>
      </c>
      <c r="O3989" s="5" t="str">
        <f ca="1">IF(P3989&lt;&gt;"EXPEDIÇÃO","Expedido",IF(NETWORKDAYS(C3989,TODAY())&gt;=5,"Risco Alto",IF(NETWORKDAYS(C3989,TODAY())&gt;=3,IF(NETWORKDAYS(C3989,TODAY())&lt;5,"Risco Médio",""),IF(NETWORKDAYS(C3989,TODAY())&lt;=2,"Risco Baixo",""))))</f>
        <v>Expedido</v>
      </c>
      <c r="P3989" s="5" t="s">
        <v>25</v>
      </c>
      <c r="Q3989" s="5" t="s">
        <v>900</v>
      </c>
      <c r="S3989" s="7">
        <f>IF(ISBLANK(M3989),"Aguardando Previsão/Data",NETWORKDAYS(L3989,M3989)-1)</f>
        <v>-6</v>
      </c>
      <c r="T3989" s="5" t="s">
        <v>942</v>
      </c>
    </row>
    <row r="3990" spans="1:20" x14ac:dyDescent="0.35">
      <c r="A3990" s="5">
        <v>8100285352</v>
      </c>
      <c r="B3990" s="5">
        <v>21799</v>
      </c>
      <c r="C3990" s="6">
        <v>45686</v>
      </c>
      <c r="D3990" s="5" t="s">
        <v>17</v>
      </c>
      <c r="E3990" s="5" t="s">
        <v>18</v>
      </c>
      <c r="F3990" s="5" t="s">
        <v>19</v>
      </c>
      <c r="G3990" s="5" t="s">
        <v>20</v>
      </c>
      <c r="H3990" s="5" t="s">
        <v>21</v>
      </c>
      <c r="I3990" s="5" t="s">
        <v>596</v>
      </c>
      <c r="J3990" s="5" t="s">
        <v>38</v>
      </c>
      <c r="K3990" s="5" t="s">
        <v>24</v>
      </c>
      <c r="L3990" s="6">
        <v>45694</v>
      </c>
      <c r="M3990" s="6">
        <v>45693</v>
      </c>
      <c r="N3990" s="6" t="s">
        <v>811</v>
      </c>
      <c r="O3990" s="5" t="str">
        <f ca="1">IF(P3990&lt;&gt;"EXPEDIÇÃO","Expedido",IF(NETWORKDAYS(C3990,TODAY())&gt;=5,"Risco Alto",IF(NETWORKDAYS(C3990,TODAY())&gt;=3,IF(NETWORKDAYS(C3990,TODAY())&lt;5,"Risco Médio",""),IF(NETWORKDAYS(C3990,TODAY())&lt;=2,"Risco Baixo",""))))</f>
        <v>Risco Médio</v>
      </c>
      <c r="P3990" s="5" t="s">
        <v>726</v>
      </c>
      <c r="S3990" s="7">
        <f>IF(ISBLANK(M3990),"Aguardando Previsão/Data",NETWORKDAYS(L3990,M3990)-1)</f>
        <v>-3</v>
      </c>
    </row>
    <row r="3991" spans="1:20" x14ac:dyDescent="0.35">
      <c r="A3991" s="5">
        <v>8100285353</v>
      </c>
      <c r="B3991" s="5">
        <v>21793</v>
      </c>
      <c r="C3991" s="6">
        <v>45686</v>
      </c>
      <c r="D3991" s="5" t="s">
        <v>17</v>
      </c>
      <c r="E3991" s="5" t="s">
        <v>18</v>
      </c>
      <c r="F3991" s="5" t="s">
        <v>84</v>
      </c>
      <c r="G3991" s="5" t="s">
        <v>85</v>
      </c>
      <c r="H3991" s="5" t="s">
        <v>21</v>
      </c>
      <c r="I3991" s="5" t="s">
        <v>879</v>
      </c>
      <c r="J3991" s="5" t="s">
        <v>45</v>
      </c>
      <c r="K3991" s="5" t="s">
        <v>24</v>
      </c>
      <c r="L3991" s="6">
        <v>45693</v>
      </c>
      <c r="M3991" s="6">
        <v>45692</v>
      </c>
      <c r="N3991" s="6" t="s">
        <v>811</v>
      </c>
      <c r="O3991" s="5" t="str">
        <f ca="1">IF(P3991&lt;&gt;"EXPEDIÇÃO","Expedido",IF(NETWORKDAYS(C3991,TODAY())&gt;=5,"Risco Alto",IF(NETWORKDAYS(C3991,TODAY())&gt;=3,IF(NETWORKDAYS(C3991,TODAY())&lt;5,"Risco Médio",""),IF(NETWORKDAYS(C3991,TODAY())&lt;=2,"Risco Baixo",""))))</f>
        <v>Expedido</v>
      </c>
      <c r="P3991" s="5" t="s">
        <v>617</v>
      </c>
      <c r="S3991" s="7">
        <f>IF(ISBLANK(M3991),"Aguardando Previsão/Data",NETWORKDAYS(L3991,M3991)-1)</f>
        <v>-3</v>
      </c>
    </row>
    <row r="3992" spans="1:20" x14ac:dyDescent="0.35">
      <c r="A3992" s="5">
        <v>8100285355</v>
      </c>
      <c r="B3992" s="5">
        <v>21794</v>
      </c>
      <c r="C3992" s="6">
        <v>45686</v>
      </c>
      <c r="D3992" s="5" t="s">
        <v>17</v>
      </c>
      <c r="E3992" s="5" t="s">
        <v>18</v>
      </c>
      <c r="F3992" s="5" t="s">
        <v>84</v>
      </c>
      <c r="G3992" s="5" t="s">
        <v>85</v>
      </c>
      <c r="H3992" s="5" t="s">
        <v>21</v>
      </c>
      <c r="I3992" s="5" t="s">
        <v>879</v>
      </c>
      <c r="J3992" s="5" t="s">
        <v>47</v>
      </c>
      <c r="K3992" s="5" t="s">
        <v>24</v>
      </c>
      <c r="L3992" s="6">
        <v>45693</v>
      </c>
      <c r="M3992" s="6">
        <v>45692</v>
      </c>
      <c r="N3992" s="6" t="s">
        <v>811</v>
      </c>
      <c r="O3992" s="5" t="str">
        <f ca="1">IF(P3992&lt;&gt;"EXPEDIÇÃO","Expedido",IF(NETWORKDAYS(C3992,TODAY())&gt;=5,"Risco Alto",IF(NETWORKDAYS(C3992,TODAY())&gt;=3,IF(NETWORKDAYS(C3992,TODAY())&lt;5,"Risco Médio",""),IF(NETWORKDAYS(C3992,TODAY())&lt;=2,"Risco Baixo",""))))</f>
        <v>Risco Médio</v>
      </c>
      <c r="P3992" s="5" t="s">
        <v>726</v>
      </c>
      <c r="S3992" s="7">
        <f>IF(ISBLANK(M3992),"Aguardando Previsão/Data",NETWORKDAYS(L3992,M3992)-1)</f>
        <v>-3</v>
      </c>
    </row>
    <row r="3993" spans="1:20" x14ac:dyDescent="0.35">
      <c r="A3993" s="5">
        <v>8100285356</v>
      </c>
      <c r="B3993" s="5">
        <v>21795</v>
      </c>
      <c r="C3993" s="6">
        <v>45686</v>
      </c>
      <c r="D3993" s="5" t="s">
        <v>17</v>
      </c>
      <c r="E3993" s="5" t="s">
        <v>18</v>
      </c>
      <c r="F3993" s="5" t="s">
        <v>84</v>
      </c>
      <c r="G3993" s="5" t="s">
        <v>85</v>
      </c>
      <c r="H3993" s="5" t="s">
        <v>21</v>
      </c>
      <c r="I3993" s="5" t="s">
        <v>879</v>
      </c>
      <c r="J3993" s="5" t="s">
        <v>47</v>
      </c>
      <c r="K3993" s="5" t="s">
        <v>24</v>
      </c>
      <c r="L3993" s="6">
        <v>45693</v>
      </c>
      <c r="M3993" s="6">
        <v>45692</v>
      </c>
      <c r="N3993" s="6" t="s">
        <v>811</v>
      </c>
      <c r="O3993" s="5" t="str">
        <f ca="1">IF(P3993&lt;&gt;"EXPEDIÇÃO","Expedido",IF(NETWORKDAYS(C3993,TODAY())&gt;=5,"Risco Alto",IF(NETWORKDAYS(C3993,TODAY())&gt;=3,IF(NETWORKDAYS(C3993,TODAY())&lt;5,"Risco Médio",""),IF(NETWORKDAYS(C3993,TODAY())&lt;=2,"Risco Baixo",""))))</f>
        <v>Risco Médio</v>
      </c>
      <c r="P3993" s="5" t="s">
        <v>726</v>
      </c>
      <c r="S3993" s="7">
        <f>IF(ISBLANK(M3993),"Aguardando Previsão/Data",NETWORKDAYS(L3993,M3993)-1)</f>
        <v>-3</v>
      </c>
    </row>
    <row r="3994" spans="1:20" x14ac:dyDescent="0.35">
      <c r="A3994" s="5">
        <v>8100285357</v>
      </c>
      <c r="B3994" s="5">
        <v>21798</v>
      </c>
      <c r="C3994" s="6">
        <v>45686</v>
      </c>
      <c r="D3994" s="5" t="s">
        <v>17</v>
      </c>
      <c r="E3994" s="5" t="s">
        <v>18</v>
      </c>
      <c r="F3994" s="5" t="s">
        <v>84</v>
      </c>
      <c r="G3994" s="5" t="s">
        <v>85</v>
      </c>
      <c r="H3994" s="5" t="s">
        <v>21</v>
      </c>
      <c r="I3994" s="5" t="s">
        <v>861</v>
      </c>
      <c r="J3994" s="5" t="s">
        <v>525</v>
      </c>
      <c r="K3994" s="5" t="s">
        <v>24</v>
      </c>
      <c r="L3994" s="6">
        <v>45698</v>
      </c>
      <c r="M3994" s="6">
        <v>45695</v>
      </c>
      <c r="N3994" s="6" t="s">
        <v>811</v>
      </c>
      <c r="O3994" s="5" t="str">
        <f ca="1">IF(P3994&lt;&gt;"EXPEDIÇÃO","Expedido",IF(NETWORKDAYS(C3994,TODAY())&gt;=5,"Risco Alto",IF(NETWORKDAYS(C3994,TODAY())&gt;=3,IF(NETWORKDAYS(C3994,TODAY())&lt;5,"Risco Médio",""),IF(NETWORKDAYS(C3994,TODAY())&lt;=2,"Risco Baixo",""))))</f>
        <v>Risco Médio</v>
      </c>
      <c r="P3994" s="5" t="s">
        <v>726</v>
      </c>
      <c r="S3994" s="7">
        <f>IF(ISBLANK(M3994),"Aguardando Previsão/Data",NETWORKDAYS(L3994,M3994)-1)</f>
        <v>-3</v>
      </c>
    </row>
    <row r="3995" spans="1:20" x14ac:dyDescent="0.35">
      <c r="A3995" s="5">
        <v>8100285358</v>
      </c>
      <c r="B3995" s="5">
        <v>21846</v>
      </c>
      <c r="C3995" s="6">
        <v>45686</v>
      </c>
      <c r="D3995" s="5" t="s">
        <v>17</v>
      </c>
      <c r="E3995" s="5" t="s">
        <v>18</v>
      </c>
      <c r="F3995" s="5" t="s">
        <v>84</v>
      </c>
      <c r="G3995" s="5" t="s">
        <v>85</v>
      </c>
      <c r="H3995" s="5" t="s">
        <v>21</v>
      </c>
      <c r="I3995" s="5" t="s">
        <v>845</v>
      </c>
      <c r="J3995" s="5" t="s">
        <v>566</v>
      </c>
      <c r="K3995" s="5" t="s">
        <v>24</v>
      </c>
      <c r="L3995" s="6">
        <v>45694</v>
      </c>
      <c r="M3995" s="6">
        <v>45693</v>
      </c>
      <c r="N3995" s="6" t="s">
        <v>811</v>
      </c>
      <c r="O3995" s="5" t="str">
        <f ca="1">IF(P3995&lt;&gt;"EXPEDIÇÃO","Expedido",IF(NETWORKDAYS(C3995,TODAY())&gt;=5,"Risco Alto",IF(NETWORKDAYS(C3995,TODAY())&gt;=3,IF(NETWORKDAYS(C3995,TODAY())&lt;5,"Risco Médio",""),IF(NETWORKDAYS(C3995,TODAY())&lt;=2,"Risco Baixo",""))))</f>
        <v>Risco Médio</v>
      </c>
      <c r="P3995" s="5" t="s">
        <v>726</v>
      </c>
      <c r="S3995" s="7">
        <f>IF(ISBLANK(M3995),"Aguardando Previsão/Data",NETWORKDAYS(L3995,M3995)-1)</f>
        <v>-3</v>
      </c>
    </row>
    <row r="3996" spans="1:20" x14ac:dyDescent="0.35">
      <c r="A3996" s="5">
        <v>8100285359</v>
      </c>
      <c r="B3996" s="5">
        <v>21825</v>
      </c>
      <c r="C3996" s="6">
        <v>45686</v>
      </c>
      <c r="D3996" s="5" t="s">
        <v>17</v>
      </c>
      <c r="E3996" s="5" t="s">
        <v>18</v>
      </c>
      <c r="F3996" s="5" t="s">
        <v>84</v>
      </c>
      <c r="G3996" s="5" t="s">
        <v>85</v>
      </c>
      <c r="H3996" s="5" t="s">
        <v>21</v>
      </c>
      <c r="I3996" s="5" t="s">
        <v>593</v>
      </c>
      <c r="J3996" s="5" t="s">
        <v>28</v>
      </c>
      <c r="K3996" s="5" t="s">
        <v>24</v>
      </c>
      <c r="L3996" s="6">
        <v>45693</v>
      </c>
      <c r="M3996" s="6">
        <v>45692</v>
      </c>
      <c r="N3996" s="6" t="s">
        <v>811</v>
      </c>
      <c r="O3996" s="5" t="str">
        <f ca="1">IF(P3996&lt;&gt;"EXPEDIÇÃO","Expedido",IF(NETWORKDAYS(C3996,TODAY())&gt;=5,"Risco Alto",IF(NETWORKDAYS(C3996,TODAY())&gt;=3,IF(NETWORKDAYS(C3996,TODAY())&lt;5,"Risco Médio",""),IF(NETWORKDAYS(C3996,TODAY())&lt;=2,"Risco Baixo",""))))</f>
        <v>Risco Médio</v>
      </c>
      <c r="P3996" s="5" t="s">
        <v>726</v>
      </c>
      <c r="S3996" s="7">
        <f>IF(ISBLANK(M3996),"Aguardando Previsão/Data",NETWORKDAYS(L3996,M3996)-1)</f>
        <v>-3</v>
      </c>
    </row>
    <row r="3997" spans="1:20" x14ac:dyDescent="0.35">
      <c r="A3997" s="5">
        <v>8100285360</v>
      </c>
      <c r="B3997" s="5">
        <v>21819</v>
      </c>
      <c r="C3997" s="6">
        <v>45686</v>
      </c>
      <c r="D3997" s="5" t="s">
        <v>17</v>
      </c>
      <c r="E3997" s="5" t="s">
        <v>18</v>
      </c>
      <c r="F3997" s="5" t="s">
        <v>84</v>
      </c>
      <c r="G3997" s="5" t="s">
        <v>85</v>
      </c>
      <c r="H3997" s="5" t="s">
        <v>21</v>
      </c>
      <c r="I3997" s="5" t="s">
        <v>1084</v>
      </c>
      <c r="J3997" s="5" t="s">
        <v>45</v>
      </c>
      <c r="K3997" s="5" t="s">
        <v>24</v>
      </c>
      <c r="L3997" s="6">
        <v>45693</v>
      </c>
      <c r="M3997" s="6">
        <v>45692</v>
      </c>
      <c r="N3997" s="6" t="s">
        <v>811</v>
      </c>
      <c r="O3997" s="5" t="str">
        <f ca="1">IF(P3997&lt;&gt;"EXPEDIÇÃO","Expedido",IF(NETWORKDAYS(C3997,TODAY())&gt;=5,"Risco Alto",IF(NETWORKDAYS(C3997,TODAY())&gt;=3,IF(NETWORKDAYS(C3997,TODAY())&lt;5,"Risco Médio",""),IF(NETWORKDAYS(C3997,TODAY())&lt;=2,"Risco Baixo",""))))</f>
        <v>Expedido</v>
      </c>
      <c r="P3997" s="5" t="s">
        <v>617</v>
      </c>
      <c r="S3997" s="7">
        <f>IF(ISBLANK(M3997),"Aguardando Previsão/Data",NETWORKDAYS(L3997,M3997)-1)</f>
        <v>-3</v>
      </c>
    </row>
    <row r="3998" spans="1:20" x14ac:dyDescent="0.35">
      <c r="A3998" s="5">
        <v>8100285361</v>
      </c>
      <c r="B3998" s="5">
        <v>21818</v>
      </c>
      <c r="C3998" s="6">
        <v>45686</v>
      </c>
      <c r="D3998" s="5" t="s">
        <v>17</v>
      </c>
      <c r="E3998" s="5" t="s">
        <v>18</v>
      </c>
      <c r="F3998" s="5" t="s">
        <v>84</v>
      </c>
      <c r="G3998" s="5" t="s">
        <v>85</v>
      </c>
      <c r="H3998" s="5" t="s">
        <v>21</v>
      </c>
      <c r="I3998" s="5" t="s">
        <v>1061</v>
      </c>
      <c r="J3998" s="5" t="s">
        <v>776</v>
      </c>
      <c r="K3998" s="5" t="s">
        <v>24</v>
      </c>
      <c r="L3998" s="6">
        <v>45698</v>
      </c>
      <c r="M3998" s="6">
        <v>45695</v>
      </c>
      <c r="N3998" s="6" t="s">
        <v>811</v>
      </c>
      <c r="O3998" s="5" t="str">
        <f ca="1">IF(P3998&lt;&gt;"EXPEDIÇÃO","Expedido",IF(NETWORKDAYS(C3998,TODAY())&gt;=5,"Risco Alto",IF(NETWORKDAYS(C3998,TODAY())&gt;=3,IF(NETWORKDAYS(C3998,TODAY())&lt;5,"Risco Médio",""),IF(NETWORKDAYS(C3998,TODAY())&lt;=2,"Risco Baixo",""))))</f>
        <v>Risco Médio</v>
      </c>
      <c r="P3998" s="5" t="s">
        <v>726</v>
      </c>
      <c r="S3998" s="7">
        <f>IF(ISBLANK(M3998),"Aguardando Previsão/Data",NETWORKDAYS(L3998,M3998)-1)</f>
        <v>-3</v>
      </c>
    </row>
    <row r="3999" spans="1:20" x14ac:dyDescent="0.35">
      <c r="A3999" s="5">
        <v>8100285362</v>
      </c>
      <c r="B3999" s="5">
        <v>21796</v>
      </c>
      <c r="C3999" s="6">
        <v>45686</v>
      </c>
      <c r="D3999" s="5" t="s">
        <v>17</v>
      </c>
      <c r="E3999" s="5" t="s">
        <v>18</v>
      </c>
      <c r="F3999" s="5" t="s">
        <v>84</v>
      </c>
      <c r="G3999" s="5" t="s">
        <v>85</v>
      </c>
      <c r="H3999" s="5" t="s">
        <v>21</v>
      </c>
      <c r="I3999" s="5" t="s">
        <v>1548</v>
      </c>
      <c r="J3999" s="5" t="s">
        <v>256</v>
      </c>
      <c r="K3999" s="5" t="s">
        <v>24</v>
      </c>
      <c r="L3999" s="6">
        <v>45693</v>
      </c>
      <c r="M3999" s="6">
        <v>45692</v>
      </c>
      <c r="N3999" s="6" t="s">
        <v>811</v>
      </c>
      <c r="O3999" s="5" t="str">
        <f ca="1">IF(P3999&lt;&gt;"EXPEDIÇÃO","Expedido",IF(NETWORKDAYS(C3999,TODAY())&gt;=5,"Risco Alto",IF(NETWORKDAYS(C3999,TODAY())&gt;=3,IF(NETWORKDAYS(C3999,TODAY())&lt;5,"Risco Médio",""),IF(NETWORKDAYS(C3999,TODAY())&lt;=2,"Risco Baixo",""))))</f>
        <v>Risco Médio</v>
      </c>
      <c r="P3999" s="5" t="s">
        <v>726</v>
      </c>
      <c r="S3999" s="7">
        <f>IF(ISBLANK(M3999),"Aguardando Previsão/Data",NETWORKDAYS(L3999,M3999)-1)</f>
        <v>-3</v>
      </c>
    </row>
    <row r="4000" spans="1:20" x14ac:dyDescent="0.35">
      <c r="A4000" s="5">
        <v>8100285363</v>
      </c>
      <c r="B4000" s="5">
        <v>21805</v>
      </c>
      <c r="C4000" s="6">
        <v>45686</v>
      </c>
      <c r="D4000" s="5" t="s">
        <v>17</v>
      </c>
      <c r="E4000" s="5" t="s">
        <v>18</v>
      </c>
      <c r="F4000" s="5" t="s">
        <v>84</v>
      </c>
      <c r="G4000" s="5" t="s">
        <v>85</v>
      </c>
      <c r="H4000" s="5" t="s">
        <v>21</v>
      </c>
      <c r="I4000" s="5" t="s">
        <v>826</v>
      </c>
      <c r="J4000" s="5" t="s">
        <v>50</v>
      </c>
      <c r="K4000" s="5" t="s">
        <v>24</v>
      </c>
      <c r="L4000" s="6">
        <v>45694</v>
      </c>
      <c r="M4000" s="6">
        <v>45693</v>
      </c>
      <c r="N4000" s="6" t="s">
        <v>811</v>
      </c>
      <c r="O4000" s="5" t="str">
        <f ca="1">IF(P4000&lt;&gt;"EXPEDIÇÃO","Expedido",IF(NETWORKDAYS(C4000,TODAY())&gt;=5,"Risco Alto",IF(NETWORKDAYS(C4000,TODAY())&gt;=3,IF(NETWORKDAYS(C4000,TODAY())&lt;5,"Risco Médio",""),IF(NETWORKDAYS(C4000,TODAY())&lt;=2,"Risco Baixo",""))))</f>
        <v>Risco Médio</v>
      </c>
      <c r="P4000" s="5" t="s">
        <v>726</v>
      </c>
      <c r="S4000" s="7">
        <f>IF(ISBLANK(M4000),"Aguardando Previsão/Data",NETWORKDAYS(L4000,M4000)-1)</f>
        <v>-3</v>
      </c>
    </row>
    <row r="4001" spans="1:19" x14ac:dyDescent="0.35">
      <c r="A4001" s="5">
        <v>8100285364</v>
      </c>
      <c r="B4001" s="5">
        <v>21801</v>
      </c>
      <c r="C4001" s="6">
        <v>45686</v>
      </c>
      <c r="D4001" s="5" t="s">
        <v>17</v>
      </c>
      <c r="E4001" s="5" t="s">
        <v>18</v>
      </c>
      <c r="F4001" s="5" t="s">
        <v>39</v>
      </c>
      <c r="G4001" s="5" t="s">
        <v>40</v>
      </c>
      <c r="H4001" s="5" t="s">
        <v>21</v>
      </c>
      <c r="I4001" s="5" t="s">
        <v>738</v>
      </c>
      <c r="J4001" s="5" t="s">
        <v>466</v>
      </c>
      <c r="K4001" s="5" t="s">
        <v>24</v>
      </c>
      <c r="L4001" s="6">
        <v>45698</v>
      </c>
      <c r="M4001" s="6">
        <v>45695</v>
      </c>
      <c r="N4001" s="6" t="s">
        <v>811</v>
      </c>
      <c r="O4001" s="5" t="str">
        <f ca="1">IF(P4001&lt;&gt;"EXPEDIÇÃO","Expedido",IF(NETWORKDAYS(C4001,TODAY())&gt;=5,"Risco Alto",IF(NETWORKDAYS(C4001,TODAY())&gt;=3,IF(NETWORKDAYS(C4001,TODAY())&lt;5,"Risco Médio",""),IF(NETWORKDAYS(C4001,TODAY())&lt;=2,"Risco Baixo",""))))</f>
        <v>Risco Médio</v>
      </c>
      <c r="P4001" s="5" t="s">
        <v>726</v>
      </c>
      <c r="S4001" s="7">
        <f>IF(ISBLANK(M4001),"Aguardando Previsão/Data",NETWORKDAYS(L4001,M4001)-1)</f>
        <v>-3</v>
      </c>
    </row>
    <row r="4002" spans="1:19" x14ac:dyDescent="0.35">
      <c r="A4002" s="5">
        <v>8100285365</v>
      </c>
      <c r="B4002" s="5">
        <v>21803</v>
      </c>
      <c r="C4002" s="6">
        <v>45686</v>
      </c>
      <c r="D4002" s="5" t="s">
        <v>17</v>
      </c>
      <c r="E4002" s="5" t="s">
        <v>18</v>
      </c>
      <c r="F4002" s="5" t="s">
        <v>19</v>
      </c>
      <c r="G4002" s="5" t="s">
        <v>20</v>
      </c>
      <c r="H4002" s="5" t="s">
        <v>21</v>
      </c>
      <c r="I4002" s="5" t="s">
        <v>526</v>
      </c>
      <c r="J4002" s="5" t="s">
        <v>370</v>
      </c>
      <c r="K4002" s="5" t="s">
        <v>24</v>
      </c>
      <c r="L4002" s="6">
        <v>45698</v>
      </c>
      <c r="M4002" s="6">
        <v>45695</v>
      </c>
      <c r="N4002" s="6" t="s">
        <v>811</v>
      </c>
      <c r="O4002" s="5" t="str">
        <f ca="1">IF(P4002&lt;&gt;"EXPEDIÇÃO","Expedido",IF(NETWORKDAYS(C4002,TODAY())&gt;=5,"Risco Alto",IF(NETWORKDAYS(C4002,TODAY())&gt;=3,IF(NETWORKDAYS(C4002,TODAY())&lt;5,"Risco Médio",""),IF(NETWORKDAYS(C4002,TODAY())&lt;=2,"Risco Baixo",""))))</f>
        <v>Risco Médio</v>
      </c>
      <c r="P4002" s="5" t="s">
        <v>726</v>
      </c>
      <c r="S4002" s="7">
        <f>IF(ISBLANK(M4002),"Aguardando Previsão/Data",NETWORKDAYS(L4002,M4002)-1)</f>
        <v>-3</v>
      </c>
    </row>
    <row r="4003" spans="1:19" x14ac:dyDescent="0.35">
      <c r="A4003" s="5">
        <v>8100285366</v>
      </c>
      <c r="B4003" s="5">
        <v>21815</v>
      </c>
      <c r="C4003" s="6">
        <v>45686</v>
      </c>
      <c r="D4003" s="5" t="s">
        <v>17</v>
      </c>
      <c r="E4003" s="5" t="s">
        <v>18</v>
      </c>
      <c r="F4003" s="5" t="s">
        <v>84</v>
      </c>
      <c r="G4003" s="5" t="s">
        <v>85</v>
      </c>
      <c r="H4003" s="5" t="s">
        <v>21</v>
      </c>
      <c r="I4003" s="5" t="s">
        <v>1007</v>
      </c>
      <c r="J4003" s="5" t="s">
        <v>372</v>
      </c>
      <c r="K4003" s="5" t="s">
        <v>24</v>
      </c>
      <c r="L4003" s="6">
        <v>45694</v>
      </c>
      <c r="M4003" s="6">
        <v>45693</v>
      </c>
      <c r="N4003" s="6" t="s">
        <v>811</v>
      </c>
      <c r="O4003" s="5" t="str">
        <f ca="1">IF(P4003&lt;&gt;"EXPEDIÇÃO","Expedido",IF(NETWORKDAYS(C4003,TODAY())&gt;=5,"Risco Alto",IF(NETWORKDAYS(C4003,TODAY())&gt;=3,IF(NETWORKDAYS(C4003,TODAY())&lt;5,"Risco Médio",""),IF(NETWORKDAYS(C4003,TODAY())&lt;=2,"Risco Baixo",""))))</f>
        <v>Risco Médio</v>
      </c>
      <c r="P4003" s="5" t="s">
        <v>726</v>
      </c>
      <c r="S4003" s="7">
        <f>IF(ISBLANK(M4003),"Aguardando Previsão/Data",NETWORKDAYS(L4003,M4003)-1)</f>
        <v>-3</v>
      </c>
    </row>
    <row r="4004" spans="1:19" x14ac:dyDescent="0.35">
      <c r="A4004" s="5">
        <v>8100285367</v>
      </c>
      <c r="B4004" s="5">
        <v>21810</v>
      </c>
      <c r="C4004" s="6">
        <v>45686</v>
      </c>
      <c r="D4004" s="5" t="s">
        <v>17</v>
      </c>
      <c r="E4004" s="5" t="s">
        <v>18</v>
      </c>
      <c r="F4004" s="5" t="s">
        <v>84</v>
      </c>
      <c r="G4004" s="5" t="s">
        <v>85</v>
      </c>
      <c r="H4004" s="5" t="s">
        <v>21</v>
      </c>
      <c r="I4004" s="5" t="s">
        <v>1007</v>
      </c>
      <c r="J4004" s="5" t="s">
        <v>372</v>
      </c>
      <c r="K4004" s="5" t="s">
        <v>24</v>
      </c>
      <c r="L4004" s="6">
        <v>45694</v>
      </c>
      <c r="M4004" s="6">
        <v>45693</v>
      </c>
      <c r="N4004" s="6" t="s">
        <v>811</v>
      </c>
      <c r="O4004" s="5" t="str">
        <f ca="1">IF(P4004&lt;&gt;"EXPEDIÇÃO","Expedido",IF(NETWORKDAYS(C4004,TODAY())&gt;=5,"Risco Alto",IF(NETWORKDAYS(C4004,TODAY())&gt;=3,IF(NETWORKDAYS(C4004,TODAY())&lt;5,"Risco Médio",""),IF(NETWORKDAYS(C4004,TODAY())&lt;=2,"Risco Baixo",""))))</f>
        <v>Risco Médio</v>
      </c>
      <c r="P4004" s="5" t="s">
        <v>726</v>
      </c>
      <c r="S4004" s="7">
        <f>IF(ISBLANK(M4004),"Aguardando Previsão/Data",NETWORKDAYS(L4004,M4004)-1)</f>
        <v>-3</v>
      </c>
    </row>
    <row r="4005" spans="1:19" x14ac:dyDescent="0.35">
      <c r="A4005" s="5">
        <v>8100285368</v>
      </c>
      <c r="B4005" s="5">
        <v>21811</v>
      </c>
      <c r="C4005" s="6">
        <v>45686</v>
      </c>
      <c r="D4005" s="5" t="s">
        <v>17</v>
      </c>
      <c r="E4005" s="5" t="s">
        <v>18</v>
      </c>
      <c r="F4005" s="5" t="s">
        <v>84</v>
      </c>
      <c r="G4005" s="5" t="s">
        <v>85</v>
      </c>
      <c r="H4005" s="5" t="s">
        <v>21</v>
      </c>
      <c r="I4005" s="5" t="s">
        <v>1606</v>
      </c>
      <c r="J4005" s="5" t="s">
        <v>1043</v>
      </c>
      <c r="K4005" s="5" t="s">
        <v>24</v>
      </c>
      <c r="L4005" s="6">
        <v>45694</v>
      </c>
      <c r="M4005" s="6">
        <v>45693</v>
      </c>
      <c r="N4005" s="6" t="s">
        <v>811</v>
      </c>
      <c r="O4005" s="5" t="str">
        <f ca="1">IF(P4005&lt;&gt;"EXPEDIÇÃO","Expedido",IF(NETWORKDAYS(C4005,TODAY())&gt;=5,"Risco Alto",IF(NETWORKDAYS(C4005,TODAY())&gt;=3,IF(NETWORKDAYS(C4005,TODAY())&lt;5,"Risco Médio",""),IF(NETWORKDAYS(C4005,TODAY())&lt;=2,"Risco Baixo",""))))</f>
        <v>Risco Médio</v>
      </c>
      <c r="P4005" s="5" t="s">
        <v>726</v>
      </c>
      <c r="S4005" s="7">
        <f>IF(ISBLANK(M4005),"Aguardando Previsão/Data",NETWORKDAYS(L4005,M4005)-1)</f>
        <v>-3</v>
      </c>
    </row>
    <row r="4006" spans="1:19" x14ac:dyDescent="0.35">
      <c r="A4006" s="5">
        <v>8100285369</v>
      </c>
      <c r="B4006" s="5">
        <v>21831</v>
      </c>
      <c r="C4006" s="6">
        <v>45686</v>
      </c>
      <c r="D4006" s="5" t="s">
        <v>17</v>
      </c>
      <c r="E4006" s="5" t="s">
        <v>18</v>
      </c>
      <c r="F4006" s="5" t="s">
        <v>44</v>
      </c>
      <c r="G4006" s="5" t="s">
        <v>45</v>
      </c>
      <c r="H4006" s="5" t="s">
        <v>21</v>
      </c>
      <c r="I4006" s="5" t="s">
        <v>644</v>
      </c>
      <c r="J4006" s="5" t="s">
        <v>256</v>
      </c>
      <c r="K4006" s="5" t="s">
        <v>24</v>
      </c>
      <c r="L4006" s="6">
        <v>45693</v>
      </c>
      <c r="M4006" s="6">
        <v>45692</v>
      </c>
      <c r="N4006" s="6" t="s">
        <v>811</v>
      </c>
      <c r="O4006" s="5" t="str">
        <f ca="1">IF(P4006&lt;&gt;"EXPEDIÇÃO","Expedido",IF(NETWORKDAYS(C4006,TODAY())&gt;=5,"Risco Alto",IF(NETWORKDAYS(C4006,TODAY())&gt;=3,IF(NETWORKDAYS(C4006,TODAY())&lt;5,"Risco Médio",""),IF(NETWORKDAYS(C4006,TODAY())&lt;=2,"Risco Baixo",""))))</f>
        <v>Risco Médio</v>
      </c>
      <c r="P4006" s="5" t="s">
        <v>726</v>
      </c>
      <c r="S4006" s="7">
        <f>IF(ISBLANK(M4006),"Aguardando Previsão/Data",NETWORKDAYS(L4006,M4006)-1)</f>
        <v>-3</v>
      </c>
    </row>
    <row r="4007" spans="1:19" x14ac:dyDescent="0.35">
      <c r="A4007" s="5">
        <v>8100285371</v>
      </c>
      <c r="B4007" s="5">
        <v>21800</v>
      </c>
      <c r="C4007" s="6">
        <v>45686</v>
      </c>
      <c r="D4007" s="5" t="s">
        <v>17</v>
      </c>
      <c r="E4007" s="5" t="s">
        <v>18</v>
      </c>
      <c r="F4007" s="5" t="s">
        <v>19</v>
      </c>
      <c r="G4007" s="5" t="s">
        <v>20</v>
      </c>
      <c r="H4007" s="5" t="s">
        <v>21</v>
      </c>
      <c r="I4007" s="5" t="s">
        <v>596</v>
      </c>
      <c r="J4007" s="5" t="s">
        <v>38</v>
      </c>
      <c r="K4007" s="5" t="s">
        <v>24</v>
      </c>
      <c r="L4007" s="6">
        <v>45694</v>
      </c>
      <c r="M4007" s="6">
        <v>45693</v>
      </c>
      <c r="N4007" s="6" t="s">
        <v>811</v>
      </c>
      <c r="O4007" s="5" t="str">
        <f ca="1">IF(P4007&lt;&gt;"EXPEDIÇÃO","Expedido",IF(NETWORKDAYS(C4007,TODAY())&gt;=5,"Risco Alto",IF(NETWORKDAYS(C4007,TODAY())&gt;=3,IF(NETWORKDAYS(C4007,TODAY())&lt;5,"Risco Médio",""),IF(NETWORKDAYS(C4007,TODAY())&lt;=2,"Risco Baixo",""))))</f>
        <v>Risco Médio</v>
      </c>
      <c r="P4007" s="5" t="s">
        <v>726</v>
      </c>
      <c r="S4007" s="7">
        <f>IF(ISBLANK(M4007),"Aguardando Previsão/Data",NETWORKDAYS(L4007,M4007)-1)</f>
        <v>-3</v>
      </c>
    </row>
    <row r="4008" spans="1:19" x14ac:dyDescent="0.35">
      <c r="A4008" s="5">
        <v>8100285372</v>
      </c>
      <c r="B4008" s="5">
        <v>21797</v>
      </c>
      <c r="C4008" s="6">
        <v>45686</v>
      </c>
      <c r="D4008" s="5" t="s">
        <v>17</v>
      </c>
      <c r="E4008" s="5" t="s">
        <v>18</v>
      </c>
      <c r="F4008" s="5" t="s">
        <v>84</v>
      </c>
      <c r="G4008" s="5" t="s">
        <v>85</v>
      </c>
      <c r="H4008" s="5" t="s">
        <v>21</v>
      </c>
      <c r="I4008" s="5" t="s">
        <v>1548</v>
      </c>
      <c r="J4008" s="5" t="s">
        <v>256</v>
      </c>
      <c r="K4008" s="5" t="s">
        <v>24</v>
      </c>
      <c r="L4008" s="6">
        <v>45693</v>
      </c>
      <c r="M4008" s="6">
        <v>45692</v>
      </c>
      <c r="N4008" s="6" t="s">
        <v>811</v>
      </c>
      <c r="O4008" s="5" t="str">
        <f ca="1">IF(P4008&lt;&gt;"EXPEDIÇÃO","Expedido",IF(NETWORKDAYS(C4008,TODAY())&gt;=5,"Risco Alto",IF(NETWORKDAYS(C4008,TODAY())&gt;=3,IF(NETWORKDAYS(C4008,TODAY())&lt;5,"Risco Médio",""),IF(NETWORKDAYS(C4008,TODAY())&lt;=2,"Risco Baixo",""))))</f>
        <v>Risco Médio</v>
      </c>
      <c r="P4008" s="5" t="s">
        <v>726</v>
      </c>
      <c r="S4008" s="7">
        <f>IF(ISBLANK(M4008),"Aguardando Previsão/Data",NETWORKDAYS(L4008,M4008)-1)</f>
        <v>-3</v>
      </c>
    </row>
    <row r="4009" spans="1:19" x14ac:dyDescent="0.35">
      <c r="A4009" s="5">
        <v>8100285373</v>
      </c>
      <c r="B4009" s="5">
        <v>21806</v>
      </c>
      <c r="C4009" s="6">
        <v>45686</v>
      </c>
      <c r="D4009" s="5" t="s">
        <v>17</v>
      </c>
      <c r="E4009" s="5" t="s">
        <v>18</v>
      </c>
      <c r="F4009" s="5" t="s">
        <v>84</v>
      </c>
      <c r="G4009" s="5" t="s">
        <v>85</v>
      </c>
      <c r="H4009" s="5" t="s">
        <v>21</v>
      </c>
      <c r="I4009" s="5" t="s">
        <v>826</v>
      </c>
      <c r="J4009" s="5" t="s">
        <v>50</v>
      </c>
      <c r="K4009" s="5" t="s">
        <v>24</v>
      </c>
      <c r="L4009" s="6">
        <v>45694</v>
      </c>
      <c r="M4009" s="6">
        <v>45693</v>
      </c>
      <c r="N4009" s="6" t="s">
        <v>811</v>
      </c>
      <c r="O4009" s="5" t="str">
        <f ca="1">IF(P4009&lt;&gt;"EXPEDIÇÃO","Expedido",IF(NETWORKDAYS(C4009,TODAY())&gt;=5,"Risco Alto",IF(NETWORKDAYS(C4009,TODAY())&gt;=3,IF(NETWORKDAYS(C4009,TODAY())&lt;5,"Risco Médio",""),IF(NETWORKDAYS(C4009,TODAY())&lt;=2,"Risco Baixo",""))))</f>
        <v>Risco Médio</v>
      </c>
      <c r="P4009" s="5" t="s">
        <v>726</v>
      </c>
      <c r="S4009" s="7">
        <f>IF(ISBLANK(M4009),"Aguardando Previsão/Data",NETWORKDAYS(L4009,M4009)-1)</f>
        <v>-3</v>
      </c>
    </row>
    <row r="4010" spans="1:19" x14ac:dyDescent="0.35">
      <c r="A4010" s="5">
        <v>8100285374</v>
      </c>
      <c r="B4010" s="5">
        <v>21812</v>
      </c>
      <c r="C4010" s="6">
        <v>45686</v>
      </c>
      <c r="D4010" s="5" t="s">
        <v>17</v>
      </c>
      <c r="E4010" s="5" t="s">
        <v>18</v>
      </c>
      <c r="F4010" s="5" t="s">
        <v>44</v>
      </c>
      <c r="G4010" s="5" t="s">
        <v>45</v>
      </c>
      <c r="H4010" s="5" t="s">
        <v>21</v>
      </c>
      <c r="I4010" s="5" t="s">
        <v>644</v>
      </c>
      <c r="J4010" s="5" t="s">
        <v>256</v>
      </c>
      <c r="K4010" s="5" t="s">
        <v>24</v>
      </c>
      <c r="L4010" s="6">
        <v>45693</v>
      </c>
      <c r="M4010" s="6">
        <v>45692</v>
      </c>
      <c r="N4010" s="6" t="s">
        <v>811</v>
      </c>
      <c r="O4010" s="5" t="str">
        <f ca="1">IF(P4010&lt;&gt;"EXPEDIÇÃO","Expedido",IF(NETWORKDAYS(C4010,TODAY())&gt;=5,"Risco Alto",IF(NETWORKDAYS(C4010,TODAY())&gt;=3,IF(NETWORKDAYS(C4010,TODAY())&lt;5,"Risco Médio",""),IF(NETWORKDAYS(C4010,TODAY())&lt;=2,"Risco Baixo",""))))</f>
        <v>Risco Médio</v>
      </c>
      <c r="P4010" s="5" t="s">
        <v>726</v>
      </c>
      <c r="S4010" s="7">
        <f>IF(ISBLANK(M4010),"Aguardando Previsão/Data",NETWORKDAYS(L4010,M4010)-1)</f>
        <v>-3</v>
      </c>
    </row>
    <row r="4011" spans="1:19" x14ac:dyDescent="0.35">
      <c r="A4011" s="5">
        <v>8100285375</v>
      </c>
      <c r="B4011" s="5">
        <v>21807</v>
      </c>
      <c r="C4011" s="6">
        <v>45686</v>
      </c>
      <c r="D4011" s="5" t="s">
        <v>17</v>
      </c>
      <c r="E4011" s="5" t="s">
        <v>18</v>
      </c>
      <c r="F4011" s="5" t="s">
        <v>84</v>
      </c>
      <c r="G4011" s="5" t="s">
        <v>85</v>
      </c>
      <c r="H4011" s="5" t="s">
        <v>21</v>
      </c>
      <c r="I4011" s="5" t="s">
        <v>826</v>
      </c>
      <c r="J4011" s="5" t="s">
        <v>50</v>
      </c>
      <c r="K4011" s="5" t="s">
        <v>24</v>
      </c>
      <c r="L4011" s="6">
        <v>45694</v>
      </c>
      <c r="M4011" s="6">
        <v>45693</v>
      </c>
      <c r="N4011" s="6" t="s">
        <v>811</v>
      </c>
      <c r="O4011" s="5" t="str">
        <f ca="1">IF(P4011&lt;&gt;"EXPEDIÇÃO","Expedido",IF(NETWORKDAYS(C4011,TODAY())&gt;=5,"Risco Alto",IF(NETWORKDAYS(C4011,TODAY())&gt;=3,IF(NETWORKDAYS(C4011,TODAY())&lt;5,"Risco Médio",""),IF(NETWORKDAYS(C4011,TODAY())&lt;=2,"Risco Baixo",""))))</f>
        <v>Risco Médio</v>
      </c>
      <c r="P4011" s="5" t="s">
        <v>726</v>
      </c>
      <c r="S4011" s="7">
        <f>IF(ISBLANK(M4011),"Aguardando Previsão/Data",NETWORKDAYS(L4011,M4011)-1)</f>
        <v>-3</v>
      </c>
    </row>
    <row r="4012" spans="1:19" x14ac:dyDescent="0.35">
      <c r="A4012" s="5">
        <v>8100285625</v>
      </c>
      <c r="B4012" s="5">
        <v>21826</v>
      </c>
      <c r="C4012" s="6">
        <v>45686</v>
      </c>
      <c r="D4012" s="5" t="s">
        <v>17</v>
      </c>
      <c r="E4012" s="5" t="s">
        <v>18</v>
      </c>
      <c r="F4012" s="5" t="s">
        <v>84</v>
      </c>
      <c r="G4012" s="5" t="s">
        <v>85</v>
      </c>
      <c r="H4012" s="5" t="s">
        <v>21</v>
      </c>
      <c r="I4012" s="5" t="s">
        <v>826</v>
      </c>
      <c r="J4012" s="5" t="s">
        <v>50</v>
      </c>
      <c r="K4012" s="5" t="s">
        <v>24</v>
      </c>
      <c r="L4012" s="6">
        <v>45694</v>
      </c>
      <c r="M4012" s="6">
        <v>45693</v>
      </c>
      <c r="N4012" s="6" t="s">
        <v>811</v>
      </c>
      <c r="O4012" s="5" t="str">
        <f ca="1">IF(P4012&lt;&gt;"EXPEDIÇÃO","Expedido",IF(NETWORKDAYS(C4012,TODAY())&gt;=5,"Risco Alto",IF(NETWORKDAYS(C4012,TODAY())&gt;=3,IF(NETWORKDAYS(C4012,TODAY())&lt;5,"Risco Médio",""),IF(NETWORKDAYS(C4012,TODAY())&lt;=2,"Risco Baixo",""))))</f>
        <v>Risco Médio</v>
      </c>
      <c r="P4012" s="5" t="s">
        <v>726</v>
      </c>
      <c r="S4012" s="7">
        <f>IF(ISBLANK(M4012),"Aguardando Previsão/Data",NETWORKDAYS(L4012,M4012)-1)</f>
        <v>-3</v>
      </c>
    </row>
    <row r="4013" spans="1:19" x14ac:dyDescent="0.35">
      <c r="A4013" s="5">
        <v>8100285627</v>
      </c>
      <c r="B4013" s="5">
        <v>21836</v>
      </c>
      <c r="C4013" s="6">
        <v>45686</v>
      </c>
      <c r="D4013" s="5" t="s">
        <v>17</v>
      </c>
      <c r="E4013" s="5" t="s">
        <v>18</v>
      </c>
      <c r="F4013" s="5" t="s">
        <v>44</v>
      </c>
      <c r="G4013" s="5" t="s">
        <v>45</v>
      </c>
      <c r="H4013" s="5" t="s">
        <v>21</v>
      </c>
      <c r="I4013" s="5" t="s">
        <v>597</v>
      </c>
      <c r="J4013" s="5" t="s">
        <v>45</v>
      </c>
      <c r="K4013" s="5" t="s">
        <v>24</v>
      </c>
      <c r="L4013" s="6">
        <v>45693</v>
      </c>
      <c r="M4013" s="6">
        <v>45692</v>
      </c>
      <c r="N4013" s="6" t="s">
        <v>811</v>
      </c>
      <c r="O4013" s="5" t="str">
        <f ca="1">IF(P4013&lt;&gt;"EXPEDIÇÃO","Expedido",IF(NETWORKDAYS(C4013,TODAY())&gt;=5,"Risco Alto",IF(NETWORKDAYS(C4013,TODAY())&gt;=3,IF(NETWORKDAYS(C4013,TODAY())&lt;5,"Risco Médio",""),IF(NETWORKDAYS(C4013,TODAY())&lt;=2,"Risco Baixo",""))))</f>
        <v>Expedido</v>
      </c>
      <c r="P4013" s="5" t="s">
        <v>617</v>
      </c>
      <c r="S4013" s="7">
        <f>IF(ISBLANK(M4013),"Aguardando Previsão/Data",NETWORKDAYS(L4013,M4013)-1)</f>
        <v>-3</v>
      </c>
    </row>
    <row r="4014" spans="1:19" x14ac:dyDescent="0.35">
      <c r="A4014" s="5">
        <v>8100285628</v>
      </c>
      <c r="B4014" s="5">
        <v>21841</v>
      </c>
      <c r="C4014" s="6">
        <v>45686</v>
      </c>
      <c r="D4014" s="5" t="s">
        <v>17</v>
      </c>
      <c r="E4014" s="5" t="s">
        <v>18</v>
      </c>
      <c r="F4014" s="5" t="s">
        <v>39</v>
      </c>
      <c r="G4014" s="5" t="s">
        <v>40</v>
      </c>
      <c r="H4014" s="5" t="s">
        <v>21</v>
      </c>
      <c r="I4014" s="5" t="s">
        <v>1096</v>
      </c>
      <c r="J4014" s="5" t="s">
        <v>41</v>
      </c>
      <c r="K4014" s="5" t="s">
        <v>24</v>
      </c>
      <c r="L4014" s="6">
        <v>45698</v>
      </c>
      <c r="M4014" s="6">
        <v>45695</v>
      </c>
      <c r="N4014" s="6" t="s">
        <v>811</v>
      </c>
      <c r="O4014" s="5" t="str">
        <f ca="1">IF(P4014&lt;&gt;"EXPEDIÇÃO","Expedido",IF(NETWORKDAYS(C4014,TODAY())&gt;=5,"Risco Alto",IF(NETWORKDAYS(C4014,TODAY())&gt;=3,IF(NETWORKDAYS(C4014,TODAY())&lt;5,"Risco Médio",""),IF(NETWORKDAYS(C4014,TODAY())&lt;=2,"Risco Baixo",""))))</f>
        <v>Risco Médio</v>
      </c>
      <c r="P4014" s="5" t="s">
        <v>726</v>
      </c>
      <c r="S4014" s="7">
        <f>IF(ISBLANK(M4014),"Aguardando Previsão/Data",NETWORKDAYS(L4014,M4014)-1)</f>
        <v>-3</v>
      </c>
    </row>
    <row r="4015" spans="1:19" x14ac:dyDescent="0.35">
      <c r="A4015" s="5">
        <v>8100285630</v>
      </c>
      <c r="B4015" s="5">
        <v>21832</v>
      </c>
      <c r="C4015" s="6">
        <v>45686</v>
      </c>
      <c r="D4015" s="5" t="s">
        <v>17</v>
      </c>
      <c r="E4015" s="5" t="s">
        <v>18</v>
      </c>
      <c r="F4015" s="5" t="s">
        <v>32</v>
      </c>
      <c r="G4015" s="5" t="s">
        <v>33</v>
      </c>
      <c r="H4015" s="5" t="s">
        <v>21</v>
      </c>
      <c r="I4015" s="5" t="s">
        <v>635</v>
      </c>
      <c r="J4015" s="5" t="s">
        <v>47</v>
      </c>
      <c r="K4015" s="5" t="s">
        <v>24</v>
      </c>
      <c r="L4015" s="6">
        <v>45693</v>
      </c>
      <c r="M4015" s="6">
        <v>45692</v>
      </c>
      <c r="N4015" s="6" t="s">
        <v>811</v>
      </c>
      <c r="O4015" s="5" t="str">
        <f ca="1">IF(P4015&lt;&gt;"EXPEDIÇÃO","Expedido",IF(NETWORKDAYS(C4015,TODAY())&gt;=5,"Risco Alto",IF(NETWORKDAYS(C4015,TODAY())&gt;=3,IF(NETWORKDAYS(C4015,TODAY())&lt;5,"Risco Médio",""),IF(NETWORKDAYS(C4015,TODAY())&lt;=2,"Risco Baixo",""))))</f>
        <v>Risco Médio</v>
      </c>
      <c r="P4015" s="5" t="s">
        <v>726</v>
      </c>
      <c r="S4015" s="7">
        <f>IF(ISBLANK(M4015),"Aguardando Previsão/Data",NETWORKDAYS(L4015,M4015)-1)</f>
        <v>-3</v>
      </c>
    </row>
    <row r="4016" spans="1:19" x14ac:dyDescent="0.35">
      <c r="A4016" s="5">
        <v>8100285632</v>
      </c>
      <c r="B4016" s="5">
        <v>21827</v>
      </c>
      <c r="C4016" s="6">
        <v>45686</v>
      </c>
      <c r="D4016" s="5" t="s">
        <v>17</v>
      </c>
      <c r="E4016" s="5" t="s">
        <v>18</v>
      </c>
      <c r="F4016" s="5" t="s">
        <v>84</v>
      </c>
      <c r="G4016" s="5" t="s">
        <v>85</v>
      </c>
      <c r="H4016" s="5" t="s">
        <v>21</v>
      </c>
      <c r="I4016" s="5" t="s">
        <v>826</v>
      </c>
      <c r="J4016" s="5" t="s">
        <v>50</v>
      </c>
      <c r="K4016" s="5" t="s">
        <v>24</v>
      </c>
      <c r="L4016" s="6">
        <v>45694</v>
      </c>
      <c r="M4016" s="6">
        <v>45693</v>
      </c>
      <c r="N4016" s="6" t="s">
        <v>811</v>
      </c>
      <c r="O4016" s="5" t="str">
        <f ca="1">IF(P4016&lt;&gt;"EXPEDIÇÃO","Expedido",IF(NETWORKDAYS(C4016,TODAY())&gt;=5,"Risco Alto",IF(NETWORKDAYS(C4016,TODAY())&gt;=3,IF(NETWORKDAYS(C4016,TODAY())&lt;5,"Risco Médio",""),IF(NETWORKDAYS(C4016,TODAY())&lt;=2,"Risco Baixo",""))))</f>
        <v>Risco Médio</v>
      </c>
      <c r="P4016" s="5" t="s">
        <v>726</v>
      </c>
      <c r="S4016" s="7">
        <f>IF(ISBLANK(M4016),"Aguardando Previsão/Data",NETWORKDAYS(L4016,M4016)-1)</f>
        <v>-3</v>
      </c>
    </row>
    <row r="4017" spans="1:20" x14ac:dyDescent="0.35">
      <c r="A4017" s="5">
        <v>8100285652</v>
      </c>
      <c r="B4017" s="5">
        <v>21829</v>
      </c>
      <c r="C4017" s="6">
        <v>45686</v>
      </c>
      <c r="D4017" s="5" t="s">
        <v>17</v>
      </c>
      <c r="E4017" s="5" t="s">
        <v>18</v>
      </c>
      <c r="F4017" s="5" t="s">
        <v>32</v>
      </c>
      <c r="G4017" s="5" t="s">
        <v>33</v>
      </c>
      <c r="H4017" s="5" t="s">
        <v>21</v>
      </c>
      <c r="I4017" s="5" t="s">
        <v>916</v>
      </c>
      <c r="J4017" s="5" t="s">
        <v>368</v>
      </c>
      <c r="K4017" s="5" t="s">
        <v>24</v>
      </c>
      <c r="L4017" s="6">
        <v>45694</v>
      </c>
      <c r="M4017" s="6">
        <v>45693</v>
      </c>
      <c r="N4017" s="6" t="s">
        <v>811</v>
      </c>
      <c r="O4017" s="5" t="str">
        <f ca="1">IF(P4017&lt;&gt;"EXPEDIÇÃO","Expedido",IF(NETWORKDAYS(C4017,TODAY())&gt;=5,"Risco Alto",IF(NETWORKDAYS(C4017,TODAY())&gt;=3,IF(NETWORKDAYS(C4017,TODAY())&lt;5,"Risco Médio",""),IF(NETWORKDAYS(C4017,TODAY())&lt;=2,"Risco Baixo",""))))</f>
        <v>Risco Médio</v>
      </c>
      <c r="P4017" s="5" t="s">
        <v>726</v>
      </c>
      <c r="S4017" s="7">
        <f>IF(ISBLANK(M4017),"Aguardando Previsão/Data",NETWORKDAYS(L4017,M4017)-1)</f>
        <v>-3</v>
      </c>
    </row>
    <row r="4018" spans="1:20" x14ac:dyDescent="0.35">
      <c r="A4018" s="5">
        <v>8100285654</v>
      </c>
      <c r="B4018" s="5">
        <v>21824</v>
      </c>
      <c r="C4018" s="6">
        <v>45686</v>
      </c>
      <c r="D4018" s="5" t="s">
        <v>17</v>
      </c>
      <c r="E4018" s="5" t="s">
        <v>18</v>
      </c>
      <c r="F4018" s="5" t="s">
        <v>19</v>
      </c>
      <c r="G4018" s="5" t="s">
        <v>20</v>
      </c>
      <c r="H4018" s="5" t="s">
        <v>21</v>
      </c>
      <c r="I4018" s="5" t="s">
        <v>693</v>
      </c>
      <c r="J4018" s="5" t="s">
        <v>47</v>
      </c>
      <c r="K4018" s="5" t="s">
        <v>24</v>
      </c>
      <c r="L4018" s="6">
        <v>45693</v>
      </c>
      <c r="M4018" s="6">
        <v>45692</v>
      </c>
      <c r="N4018" s="6" t="s">
        <v>811</v>
      </c>
      <c r="O4018" s="5" t="str">
        <f ca="1">IF(P4018&lt;&gt;"EXPEDIÇÃO","Expedido",IF(NETWORKDAYS(C4018,TODAY())&gt;=5,"Risco Alto",IF(NETWORKDAYS(C4018,TODAY())&gt;=3,IF(NETWORKDAYS(C4018,TODAY())&lt;5,"Risco Médio",""),IF(NETWORKDAYS(C4018,TODAY())&lt;=2,"Risco Baixo",""))))</f>
        <v>Risco Médio</v>
      </c>
      <c r="P4018" s="5" t="s">
        <v>726</v>
      </c>
      <c r="S4018" s="7">
        <f>IF(ISBLANK(M4018),"Aguardando Previsão/Data",NETWORKDAYS(L4018,M4018)-1)</f>
        <v>-3</v>
      </c>
    </row>
    <row r="4019" spans="1:20" x14ac:dyDescent="0.35">
      <c r="A4019" s="5">
        <v>8100285683</v>
      </c>
      <c r="B4019" s="5">
        <v>21843</v>
      </c>
      <c r="C4019" s="6">
        <v>45686</v>
      </c>
      <c r="D4019" s="5" t="s">
        <v>17</v>
      </c>
      <c r="E4019" s="5" t="s">
        <v>18</v>
      </c>
      <c r="F4019" s="5" t="s">
        <v>19</v>
      </c>
      <c r="G4019" s="5" t="s">
        <v>20</v>
      </c>
      <c r="H4019" s="5" t="s">
        <v>21</v>
      </c>
      <c r="I4019" s="5" t="s">
        <v>693</v>
      </c>
      <c r="J4019" s="5" t="s">
        <v>47</v>
      </c>
      <c r="K4019" s="5" t="s">
        <v>24</v>
      </c>
      <c r="L4019" s="6">
        <v>45693</v>
      </c>
      <c r="M4019" s="6">
        <v>45692</v>
      </c>
      <c r="N4019" s="6" t="s">
        <v>811</v>
      </c>
      <c r="O4019" s="5" t="str">
        <f ca="1">IF(P4019&lt;&gt;"EXPEDIÇÃO","Expedido",IF(NETWORKDAYS(C4019,TODAY())&gt;=5,"Risco Alto",IF(NETWORKDAYS(C4019,TODAY())&gt;=3,IF(NETWORKDAYS(C4019,TODAY())&lt;5,"Risco Médio",""),IF(NETWORKDAYS(C4019,TODAY())&lt;=2,"Risco Baixo",""))))</f>
        <v>Risco Médio</v>
      </c>
      <c r="P4019" s="5" t="s">
        <v>726</v>
      </c>
      <c r="S4019" s="7">
        <f>IF(ISBLANK(M4019),"Aguardando Previsão/Data",NETWORKDAYS(L4019,M4019)-1)</f>
        <v>-3</v>
      </c>
    </row>
    <row r="4020" spans="1:20" x14ac:dyDescent="0.35">
      <c r="A4020" s="5">
        <v>8100285689</v>
      </c>
      <c r="B4020" s="5">
        <v>21833</v>
      </c>
      <c r="C4020" s="6">
        <v>45686</v>
      </c>
      <c r="D4020" s="5" t="s">
        <v>17</v>
      </c>
      <c r="E4020" s="5" t="s">
        <v>18</v>
      </c>
      <c r="F4020" s="5" t="s">
        <v>19</v>
      </c>
      <c r="G4020" s="5" t="s">
        <v>20</v>
      </c>
      <c r="H4020" s="5" t="s">
        <v>21</v>
      </c>
      <c r="I4020" s="5" t="s">
        <v>891</v>
      </c>
      <c r="J4020" s="5" t="s">
        <v>43</v>
      </c>
      <c r="K4020" s="5" t="s">
        <v>24</v>
      </c>
      <c r="L4020" s="6">
        <v>45693</v>
      </c>
      <c r="M4020" s="6">
        <v>45692</v>
      </c>
      <c r="N4020" s="6" t="s">
        <v>811</v>
      </c>
      <c r="O4020" s="5" t="str">
        <f ca="1">IF(P4020&lt;&gt;"EXPEDIÇÃO","Expedido",IF(NETWORKDAYS(C4020,TODAY())&gt;=5,"Risco Alto",IF(NETWORKDAYS(C4020,TODAY())&gt;=3,IF(NETWORKDAYS(C4020,TODAY())&lt;5,"Risco Médio",""),IF(NETWORKDAYS(C4020,TODAY())&lt;=2,"Risco Baixo",""))))</f>
        <v>Risco Médio</v>
      </c>
      <c r="P4020" s="5" t="s">
        <v>726</v>
      </c>
      <c r="S4020" s="7">
        <f>IF(ISBLANK(M4020),"Aguardando Previsão/Data",NETWORKDAYS(L4020,M4020)-1)</f>
        <v>-3</v>
      </c>
    </row>
    <row r="4021" spans="1:20" x14ac:dyDescent="0.35">
      <c r="A4021" s="5">
        <v>8100285700</v>
      </c>
      <c r="B4021" s="5">
        <v>21830</v>
      </c>
      <c r="C4021" s="6">
        <v>45686</v>
      </c>
      <c r="D4021" s="5" t="s">
        <v>17</v>
      </c>
      <c r="E4021" s="5" t="s">
        <v>18</v>
      </c>
      <c r="F4021" s="5" t="s">
        <v>32</v>
      </c>
      <c r="G4021" s="5" t="s">
        <v>33</v>
      </c>
      <c r="H4021" s="5" t="s">
        <v>21</v>
      </c>
      <c r="I4021" s="5" t="s">
        <v>916</v>
      </c>
      <c r="J4021" s="5" t="s">
        <v>368</v>
      </c>
      <c r="K4021" s="5" t="s">
        <v>24</v>
      </c>
      <c r="L4021" s="6">
        <v>45694</v>
      </c>
      <c r="M4021" s="6">
        <v>45693</v>
      </c>
      <c r="N4021" s="6" t="s">
        <v>811</v>
      </c>
      <c r="O4021" s="5" t="str">
        <f ca="1">IF(P4021&lt;&gt;"EXPEDIÇÃO","Expedido",IF(NETWORKDAYS(C4021,TODAY())&gt;=5,"Risco Alto",IF(NETWORKDAYS(C4021,TODAY())&gt;=3,IF(NETWORKDAYS(C4021,TODAY())&lt;5,"Risco Médio",""),IF(NETWORKDAYS(C4021,TODAY())&lt;=2,"Risco Baixo",""))))</f>
        <v>Risco Médio</v>
      </c>
      <c r="P4021" s="5" t="s">
        <v>726</v>
      </c>
      <c r="S4021" s="7">
        <f>IF(ISBLANK(M4021),"Aguardando Previsão/Data",NETWORKDAYS(L4021,M4021)-1)</f>
        <v>-3</v>
      </c>
    </row>
    <row r="4022" spans="1:20" x14ac:dyDescent="0.35">
      <c r="A4022" s="5">
        <v>8100285701</v>
      </c>
      <c r="B4022" s="5">
        <v>21845</v>
      </c>
      <c r="C4022" s="6">
        <v>45686</v>
      </c>
      <c r="D4022" s="5" t="s">
        <v>17</v>
      </c>
      <c r="E4022" s="5" t="s">
        <v>18</v>
      </c>
      <c r="F4022" s="5" t="s">
        <v>84</v>
      </c>
      <c r="G4022" s="5" t="s">
        <v>85</v>
      </c>
      <c r="H4022" s="5" t="s">
        <v>21</v>
      </c>
      <c r="I4022" s="5" t="s">
        <v>432</v>
      </c>
      <c r="J4022" s="5" t="s">
        <v>259</v>
      </c>
      <c r="K4022" s="5" t="s">
        <v>24</v>
      </c>
      <c r="L4022" s="6">
        <v>45694</v>
      </c>
      <c r="M4022" s="6">
        <v>45693</v>
      </c>
      <c r="N4022" s="6" t="s">
        <v>811</v>
      </c>
      <c r="O4022" s="5" t="str">
        <f ca="1">IF(P4022&lt;&gt;"EXPEDIÇÃO","Expedido",IF(NETWORKDAYS(C4022,TODAY())&gt;=5,"Risco Alto",IF(NETWORKDAYS(C4022,TODAY())&gt;=3,IF(NETWORKDAYS(C4022,TODAY())&lt;5,"Risco Médio",""),IF(NETWORKDAYS(C4022,TODAY())&lt;=2,"Risco Baixo",""))))</f>
        <v>Risco Médio</v>
      </c>
      <c r="P4022" s="5" t="s">
        <v>726</v>
      </c>
      <c r="S4022" s="7">
        <f>IF(ISBLANK(M4022),"Aguardando Previsão/Data",NETWORKDAYS(L4022,M4022)-1)</f>
        <v>-3</v>
      </c>
    </row>
    <row r="4023" spans="1:20" x14ac:dyDescent="0.35">
      <c r="A4023" s="5">
        <v>8100285702</v>
      </c>
      <c r="B4023" s="5">
        <v>21844</v>
      </c>
      <c r="C4023" s="6">
        <v>45686</v>
      </c>
      <c r="D4023" s="5" t="s">
        <v>17</v>
      </c>
      <c r="E4023" s="5" t="s">
        <v>18</v>
      </c>
      <c r="F4023" s="5" t="s">
        <v>84</v>
      </c>
      <c r="G4023" s="5" t="s">
        <v>85</v>
      </c>
      <c r="H4023" s="5" t="s">
        <v>21</v>
      </c>
      <c r="I4023" s="5" t="s">
        <v>1273</v>
      </c>
      <c r="J4023" s="5" t="s">
        <v>604</v>
      </c>
      <c r="K4023" s="5" t="s">
        <v>24</v>
      </c>
      <c r="L4023" s="6">
        <v>45694</v>
      </c>
      <c r="M4023" s="6">
        <v>45693</v>
      </c>
      <c r="N4023" s="6" t="s">
        <v>811</v>
      </c>
      <c r="O4023" s="5" t="str">
        <f ca="1">IF(P4023&lt;&gt;"EXPEDIÇÃO","Expedido",IF(NETWORKDAYS(C4023,TODAY())&gt;=5,"Risco Alto",IF(NETWORKDAYS(C4023,TODAY())&gt;=3,IF(NETWORKDAYS(C4023,TODAY())&lt;5,"Risco Médio",""),IF(NETWORKDAYS(C4023,TODAY())&lt;=2,"Risco Baixo",""))))</f>
        <v>Risco Médio</v>
      </c>
      <c r="P4023" s="5" t="s">
        <v>726</v>
      </c>
      <c r="S4023" s="7">
        <f>IF(ISBLANK(M4023),"Aguardando Previsão/Data",NETWORKDAYS(L4023,M4023)-1)</f>
        <v>-3</v>
      </c>
    </row>
    <row r="4024" spans="1:20" x14ac:dyDescent="0.35">
      <c r="A4024" s="5">
        <v>8100285829</v>
      </c>
      <c r="B4024" s="5">
        <v>21842</v>
      </c>
      <c r="C4024" s="6">
        <v>45686</v>
      </c>
      <c r="D4024" s="5" t="s">
        <v>17</v>
      </c>
      <c r="E4024" s="5" t="s">
        <v>18</v>
      </c>
      <c r="F4024" s="5" t="s">
        <v>39</v>
      </c>
      <c r="G4024" s="5" t="s">
        <v>40</v>
      </c>
      <c r="H4024" s="5" t="s">
        <v>21</v>
      </c>
      <c r="I4024" s="5" t="s">
        <v>1615</v>
      </c>
      <c r="J4024" s="5" t="s">
        <v>603</v>
      </c>
      <c r="K4024" s="5" t="s">
        <v>24</v>
      </c>
      <c r="L4024" s="6">
        <v>45698</v>
      </c>
      <c r="M4024" s="6">
        <v>45695</v>
      </c>
      <c r="N4024" s="6" t="s">
        <v>811</v>
      </c>
      <c r="O4024" s="5" t="str">
        <f ca="1">IF(P4024&lt;&gt;"EXPEDIÇÃO","Expedido",IF(NETWORKDAYS(C4024,TODAY())&gt;=5,"Risco Alto",IF(NETWORKDAYS(C4024,TODAY())&gt;=3,IF(NETWORKDAYS(C4024,TODAY())&lt;5,"Risco Médio",""),IF(NETWORKDAYS(C4024,TODAY())&lt;=2,"Risco Baixo",""))))</f>
        <v>Risco Médio</v>
      </c>
      <c r="P4024" s="5" t="s">
        <v>726</v>
      </c>
      <c r="S4024" s="7">
        <f>IF(ISBLANK(M4024),"Aguardando Previsão/Data",NETWORKDAYS(L4024,M4024)-1)</f>
        <v>-3</v>
      </c>
    </row>
    <row r="4025" spans="1:20" x14ac:dyDescent="0.35">
      <c r="A4025" s="5">
        <v>8100285838</v>
      </c>
      <c r="B4025" s="5">
        <v>21839</v>
      </c>
      <c r="C4025" s="6">
        <v>45686</v>
      </c>
      <c r="D4025" s="5" t="s">
        <v>17</v>
      </c>
      <c r="E4025" s="5" t="s">
        <v>18</v>
      </c>
      <c r="F4025" s="5" t="s">
        <v>84</v>
      </c>
      <c r="G4025" s="5" t="s">
        <v>85</v>
      </c>
      <c r="H4025" s="5" t="s">
        <v>21</v>
      </c>
      <c r="I4025" s="5" t="s">
        <v>879</v>
      </c>
      <c r="J4025" s="5" t="s">
        <v>47</v>
      </c>
      <c r="K4025" s="5" t="s">
        <v>24</v>
      </c>
      <c r="L4025" s="6">
        <v>45693</v>
      </c>
      <c r="M4025" s="6">
        <v>45686</v>
      </c>
      <c r="N4025" s="6" t="s">
        <v>811</v>
      </c>
      <c r="O4025" s="5" t="str">
        <f ca="1">IF(P4025&lt;&gt;"EXPEDIÇÃO","Expedido",IF(NETWORKDAYS(C4025,TODAY())&gt;=5,"Risco Alto",IF(NETWORKDAYS(C4025,TODAY())&gt;=3,IF(NETWORKDAYS(C4025,TODAY())&lt;5,"Risco Médio",""),IF(NETWORKDAYS(C4025,TODAY())&lt;=2,"Risco Baixo",""))))</f>
        <v>Expedido</v>
      </c>
      <c r="P4025" s="5" t="s">
        <v>25</v>
      </c>
      <c r="Q4025" s="5" t="s">
        <v>824</v>
      </c>
      <c r="S4025" s="7">
        <f>IF(ISBLANK(M4025),"Aguardando Previsão/Data",NETWORKDAYS(L4025,M4025)-1)</f>
        <v>-7</v>
      </c>
      <c r="T4025" s="5" t="s">
        <v>942</v>
      </c>
    </row>
    <row r="4026" spans="1:20" x14ac:dyDescent="0.35">
      <c r="A4026" s="5">
        <v>8100285839</v>
      </c>
      <c r="B4026" s="5">
        <v>21840</v>
      </c>
      <c r="C4026" s="6">
        <v>45686</v>
      </c>
      <c r="D4026" s="5" t="s">
        <v>17</v>
      </c>
      <c r="E4026" s="5" t="s">
        <v>18</v>
      </c>
      <c r="F4026" s="5" t="s">
        <v>84</v>
      </c>
      <c r="G4026" s="5" t="s">
        <v>85</v>
      </c>
      <c r="H4026" s="5" t="s">
        <v>21</v>
      </c>
      <c r="I4026" s="5" t="s">
        <v>879</v>
      </c>
      <c r="J4026" s="5" t="s">
        <v>47</v>
      </c>
      <c r="K4026" s="5" t="s">
        <v>24</v>
      </c>
      <c r="L4026" s="6">
        <v>45693</v>
      </c>
      <c r="M4026" s="6">
        <v>45686</v>
      </c>
      <c r="N4026" s="6" t="s">
        <v>811</v>
      </c>
      <c r="O4026" s="5" t="str">
        <f ca="1">IF(P4026&lt;&gt;"EXPEDIÇÃO","Expedido",IF(NETWORKDAYS(C4026,TODAY())&gt;=5,"Risco Alto",IF(NETWORKDAYS(C4026,TODAY())&gt;=3,IF(NETWORKDAYS(C4026,TODAY())&lt;5,"Risco Médio",""),IF(NETWORKDAYS(C4026,TODAY())&lt;=2,"Risco Baixo",""))))</f>
        <v>Expedido</v>
      </c>
      <c r="P4026" s="5" t="s">
        <v>25</v>
      </c>
      <c r="Q4026" s="5" t="s">
        <v>824</v>
      </c>
      <c r="S4026" s="7">
        <f>IF(ISBLANK(M4026),"Aguardando Previsão/Data",NETWORKDAYS(L4026,M4026)-1)</f>
        <v>-7</v>
      </c>
      <c r="T4026" s="5" t="s">
        <v>942</v>
      </c>
    </row>
    <row r="4027" spans="1:20" x14ac:dyDescent="0.35">
      <c r="A4027" s="5">
        <v>8100285946</v>
      </c>
      <c r="B4027" s="5">
        <v>21847</v>
      </c>
      <c r="C4027" s="6">
        <v>45686</v>
      </c>
      <c r="D4027" s="5" t="s">
        <v>17</v>
      </c>
      <c r="E4027" s="5" t="s">
        <v>18</v>
      </c>
      <c r="F4027" s="5" t="s">
        <v>44</v>
      </c>
      <c r="G4027" s="5" t="s">
        <v>45</v>
      </c>
      <c r="H4027" s="5" t="s">
        <v>21</v>
      </c>
      <c r="I4027" s="5" t="s">
        <v>523</v>
      </c>
      <c r="J4027" s="5" t="s">
        <v>45</v>
      </c>
      <c r="K4027" s="5" t="s">
        <v>24</v>
      </c>
      <c r="L4027" s="6">
        <v>45693</v>
      </c>
      <c r="M4027" s="6">
        <v>45692</v>
      </c>
      <c r="N4027" s="6" t="s">
        <v>811</v>
      </c>
      <c r="O4027" s="5" t="str">
        <f ca="1">IF(P4027&lt;&gt;"EXPEDIÇÃO","Expedido",IF(NETWORKDAYS(C4027,TODAY())&gt;=5,"Risco Alto",IF(NETWORKDAYS(C4027,TODAY())&gt;=3,IF(NETWORKDAYS(C4027,TODAY())&lt;5,"Risco Médio",""),IF(NETWORKDAYS(C4027,TODAY())&lt;=2,"Risco Baixo",""))))</f>
        <v>Risco Médio</v>
      </c>
      <c r="P4027" s="5" t="s">
        <v>726</v>
      </c>
      <c r="S4027" s="7">
        <f>IF(ISBLANK(M4027),"Aguardando Previsão/Data",NETWORKDAYS(L4027,M4027)-1)</f>
        <v>-3</v>
      </c>
    </row>
    <row r="4028" spans="1:20" x14ac:dyDescent="0.35">
      <c r="A4028" s="5">
        <v>8100285947</v>
      </c>
      <c r="B4028" s="5">
        <v>21851</v>
      </c>
      <c r="C4028" s="6">
        <v>45686</v>
      </c>
      <c r="D4028" s="5" t="s">
        <v>17</v>
      </c>
      <c r="E4028" s="5" t="s">
        <v>18</v>
      </c>
      <c r="F4028" s="5" t="s">
        <v>44</v>
      </c>
      <c r="G4028" s="5" t="s">
        <v>45</v>
      </c>
      <c r="H4028" s="5" t="s">
        <v>21</v>
      </c>
      <c r="I4028" s="5" t="s">
        <v>523</v>
      </c>
      <c r="J4028" s="5" t="s">
        <v>45</v>
      </c>
      <c r="K4028" s="5" t="s">
        <v>24</v>
      </c>
      <c r="L4028" s="6">
        <v>45693</v>
      </c>
      <c r="M4028" s="6">
        <v>45692</v>
      </c>
      <c r="N4028" s="6" t="s">
        <v>811</v>
      </c>
      <c r="O4028" s="5" t="str">
        <f ca="1">IF(P4028&lt;&gt;"EXPEDIÇÃO","Expedido",IF(NETWORKDAYS(C4028,TODAY())&gt;=5,"Risco Alto",IF(NETWORKDAYS(C4028,TODAY())&gt;=3,IF(NETWORKDAYS(C4028,TODAY())&lt;5,"Risco Médio",""),IF(NETWORKDAYS(C4028,TODAY())&lt;=2,"Risco Baixo",""))))</f>
        <v>Risco Médio</v>
      </c>
      <c r="P4028" s="5" t="s">
        <v>726</v>
      </c>
      <c r="S4028" s="7">
        <f>IF(ISBLANK(M4028),"Aguardando Previsão/Data",NETWORKDAYS(L4028,M4028)-1)</f>
        <v>-3</v>
      </c>
    </row>
    <row r="4029" spans="1:20" x14ac:dyDescent="0.35">
      <c r="A4029" s="5">
        <v>8100285949</v>
      </c>
      <c r="B4029" s="5">
        <v>21848</v>
      </c>
      <c r="C4029" s="6">
        <v>45686</v>
      </c>
      <c r="D4029" s="5" t="s">
        <v>17</v>
      </c>
      <c r="E4029" s="5" t="s">
        <v>18</v>
      </c>
      <c r="F4029" s="5" t="s">
        <v>44</v>
      </c>
      <c r="G4029" s="5" t="s">
        <v>45</v>
      </c>
      <c r="H4029" s="5" t="s">
        <v>21</v>
      </c>
      <c r="I4029" s="5" t="s">
        <v>523</v>
      </c>
      <c r="J4029" s="5" t="s">
        <v>45</v>
      </c>
      <c r="K4029" s="5" t="s">
        <v>24</v>
      </c>
      <c r="L4029" s="6">
        <v>45693</v>
      </c>
      <c r="M4029" s="6">
        <v>45692</v>
      </c>
      <c r="N4029" s="6" t="s">
        <v>811</v>
      </c>
      <c r="O4029" s="5" t="str">
        <f ca="1">IF(P4029&lt;&gt;"EXPEDIÇÃO","Expedido",IF(NETWORKDAYS(C4029,TODAY())&gt;=5,"Risco Alto",IF(NETWORKDAYS(C4029,TODAY())&gt;=3,IF(NETWORKDAYS(C4029,TODAY())&lt;5,"Risco Médio",""),IF(NETWORKDAYS(C4029,TODAY())&lt;=2,"Risco Baixo",""))))</f>
        <v>Risco Médio</v>
      </c>
      <c r="P4029" s="5" t="s">
        <v>726</v>
      </c>
      <c r="S4029" s="7">
        <f>IF(ISBLANK(M4029),"Aguardando Previsão/Data",NETWORKDAYS(L4029,M4029)-1)</f>
        <v>-3</v>
      </c>
    </row>
    <row r="4030" spans="1:20" x14ac:dyDescent="0.35">
      <c r="A4030" s="5">
        <v>8100285952</v>
      </c>
      <c r="B4030" s="5">
        <v>21852</v>
      </c>
      <c r="C4030" s="6">
        <v>45686</v>
      </c>
      <c r="D4030" s="5" t="s">
        <v>17</v>
      </c>
      <c r="E4030" s="5" t="s">
        <v>18</v>
      </c>
      <c r="F4030" s="5" t="s">
        <v>44</v>
      </c>
      <c r="G4030" s="5" t="s">
        <v>45</v>
      </c>
      <c r="H4030" s="5" t="s">
        <v>21</v>
      </c>
      <c r="I4030" s="5" t="s">
        <v>523</v>
      </c>
      <c r="J4030" s="5" t="s">
        <v>45</v>
      </c>
      <c r="K4030" s="5" t="s">
        <v>24</v>
      </c>
      <c r="L4030" s="6">
        <v>45693</v>
      </c>
      <c r="M4030" s="6">
        <v>45692</v>
      </c>
      <c r="N4030" s="6" t="s">
        <v>811</v>
      </c>
      <c r="O4030" s="5" t="str">
        <f ca="1">IF(P4030&lt;&gt;"EXPEDIÇÃO","Expedido",IF(NETWORKDAYS(C4030,TODAY())&gt;=5,"Risco Alto",IF(NETWORKDAYS(C4030,TODAY())&gt;=3,IF(NETWORKDAYS(C4030,TODAY())&lt;5,"Risco Médio",""),IF(NETWORKDAYS(C4030,TODAY())&lt;=2,"Risco Baixo",""))))</f>
        <v>Risco Médio</v>
      </c>
      <c r="P4030" s="5" t="s">
        <v>726</v>
      </c>
      <c r="S4030" s="7">
        <f>IF(ISBLANK(M4030),"Aguardando Previsão/Data",NETWORKDAYS(L4030,M4030)-1)</f>
        <v>-3</v>
      </c>
    </row>
    <row r="4031" spans="1:20" x14ac:dyDescent="0.35">
      <c r="A4031" s="5">
        <v>8100285953</v>
      </c>
      <c r="B4031" s="5">
        <v>21853</v>
      </c>
      <c r="C4031" s="6">
        <v>45686</v>
      </c>
      <c r="D4031" s="5" t="s">
        <v>17</v>
      </c>
      <c r="E4031" s="5" t="s">
        <v>18</v>
      </c>
      <c r="F4031" s="5" t="s">
        <v>44</v>
      </c>
      <c r="G4031" s="5" t="s">
        <v>45</v>
      </c>
      <c r="H4031" s="5" t="s">
        <v>21</v>
      </c>
      <c r="I4031" s="5" t="s">
        <v>523</v>
      </c>
      <c r="J4031" s="5" t="s">
        <v>45</v>
      </c>
      <c r="K4031" s="5" t="s">
        <v>24</v>
      </c>
      <c r="L4031" s="6">
        <v>45693</v>
      </c>
      <c r="M4031" s="6">
        <v>45692</v>
      </c>
      <c r="N4031" s="6" t="s">
        <v>811</v>
      </c>
      <c r="O4031" s="5" t="str">
        <f ca="1">IF(P4031&lt;&gt;"EXPEDIÇÃO","Expedido",IF(NETWORKDAYS(C4031,TODAY())&gt;=5,"Risco Alto",IF(NETWORKDAYS(C4031,TODAY())&gt;=3,IF(NETWORKDAYS(C4031,TODAY())&lt;5,"Risco Médio",""),IF(NETWORKDAYS(C4031,TODAY())&lt;=2,"Risco Baixo",""))))</f>
        <v>Risco Médio</v>
      </c>
      <c r="P4031" s="5" t="s">
        <v>726</v>
      </c>
      <c r="S4031" s="7">
        <f>IF(ISBLANK(M4031),"Aguardando Previsão/Data",NETWORKDAYS(L4031,M4031)-1)</f>
        <v>-3</v>
      </c>
    </row>
    <row r="4032" spans="1:20" x14ac:dyDescent="0.35">
      <c r="A4032" s="5">
        <v>8100285955</v>
      </c>
      <c r="B4032" s="5">
        <v>21854</v>
      </c>
      <c r="C4032" s="6">
        <v>45686</v>
      </c>
      <c r="D4032" s="5" t="s">
        <v>17</v>
      </c>
      <c r="E4032" s="5" t="s">
        <v>18</v>
      </c>
      <c r="F4032" s="5" t="s">
        <v>44</v>
      </c>
      <c r="G4032" s="5" t="s">
        <v>45</v>
      </c>
      <c r="H4032" s="5" t="s">
        <v>21</v>
      </c>
      <c r="I4032" s="5" t="s">
        <v>523</v>
      </c>
      <c r="J4032" s="5" t="s">
        <v>45</v>
      </c>
      <c r="K4032" s="5" t="s">
        <v>24</v>
      </c>
      <c r="L4032" s="6">
        <v>45693</v>
      </c>
      <c r="M4032" s="6">
        <v>45692</v>
      </c>
      <c r="N4032" s="6" t="s">
        <v>811</v>
      </c>
      <c r="O4032" s="5" t="str">
        <f ca="1">IF(P4032&lt;&gt;"EXPEDIÇÃO","Expedido",IF(NETWORKDAYS(C4032,TODAY())&gt;=5,"Risco Alto",IF(NETWORKDAYS(C4032,TODAY())&gt;=3,IF(NETWORKDAYS(C4032,TODAY())&lt;5,"Risco Médio",""),IF(NETWORKDAYS(C4032,TODAY())&lt;=2,"Risco Baixo",""))))</f>
        <v>Risco Médio</v>
      </c>
      <c r="P4032" s="5" t="s">
        <v>726</v>
      </c>
      <c r="S4032" s="7">
        <f>IF(ISBLANK(M4032),"Aguardando Previsão/Data",NETWORKDAYS(L4032,M4032)-1)</f>
        <v>-3</v>
      </c>
    </row>
    <row r="4033" spans="1:19" x14ac:dyDescent="0.35">
      <c r="A4033" s="5">
        <v>8100285956</v>
      </c>
      <c r="B4033" s="5">
        <v>21855</v>
      </c>
      <c r="C4033" s="6">
        <v>45686</v>
      </c>
      <c r="D4033" s="5" t="s">
        <v>17</v>
      </c>
      <c r="E4033" s="5" t="s">
        <v>18</v>
      </c>
      <c r="F4033" s="5" t="s">
        <v>44</v>
      </c>
      <c r="G4033" s="5" t="s">
        <v>45</v>
      </c>
      <c r="H4033" s="5" t="s">
        <v>21</v>
      </c>
      <c r="I4033" s="5" t="s">
        <v>523</v>
      </c>
      <c r="J4033" s="5" t="s">
        <v>45</v>
      </c>
      <c r="K4033" s="5" t="s">
        <v>24</v>
      </c>
      <c r="L4033" s="6">
        <v>45693</v>
      </c>
      <c r="M4033" s="6">
        <v>45692</v>
      </c>
      <c r="N4033" s="6" t="s">
        <v>811</v>
      </c>
      <c r="O4033" s="5" t="str">
        <f ca="1">IF(P4033&lt;&gt;"EXPEDIÇÃO","Expedido",IF(NETWORKDAYS(C4033,TODAY())&gt;=5,"Risco Alto",IF(NETWORKDAYS(C4033,TODAY())&gt;=3,IF(NETWORKDAYS(C4033,TODAY())&lt;5,"Risco Médio",""),IF(NETWORKDAYS(C4033,TODAY())&lt;=2,"Risco Baixo",""))))</f>
        <v>Risco Médio</v>
      </c>
      <c r="P4033" s="5" t="s">
        <v>726</v>
      </c>
      <c r="S4033" s="7">
        <f>IF(ISBLANK(M4033),"Aguardando Previsão/Data",NETWORKDAYS(L4033,M4033)-1)</f>
        <v>-3</v>
      </c>
    </row>
    <row r="4034" spans="1:19" x14ac:dyDescent="0.35">
      <c r="A4034" s="5">
        <v>8100285957</v>
      </c>
      <c r="B4034" s="5">
        <v>21849</v>
      </c>
      <c r="C4034" s="6">
        <v>45686</v>
      </c>
      <c r="D4034" s="5" t="s">
        <v>17</v>
      </c>
      <c r="E4034" s="5" t="s">
        <v>18</v>
      </c>
      <c r="F4034" s="5" t="s">
        <v>44</v>
      </c>
      <c r="G4034" s="5" t="s">
        <v>45</v>
      </c>
      <c r="H4034" s="5" t="s">
        <v>21</v>
      </c>
      <c r="I4034" s="5" t="s">
        <v>523</v>
      </c>
      <c r="J4034" s="5" t="s">
        <v>45</v>
      </c>
      <c r="K4034" s="5" t="s">
        <v>24</v>
      </c>
      <c r="L4034" s="6">
        <v>45693</v>
      </c>
      <c r="M4034" s="6">
        <v>45692</v>
      </c>
      <c r="N4034" s="6" t="s">
        <v>811</v>
      </c>
      <c r="O4034" s="5" t="str">
        <f ca="1">IF(P4034&lt;&gt;"EXPEDIÇÃO","Expedido",IF(NETWORKDAYS(C4034,TODAY())&gt;=5,"Risco Alto",IF(NETWORKDAYS(C4034,TODAY())&gt;=3,IF(NETWORKDAYS(C4034,TODAY())&lt;5,"Risco Médio",""),IF(NETWORKDAYS(C4034,TODAY())&lt;=2,"Risco Baixo",""))))</f>
        <v>Risco Médio</v>
      </c>
      <c r="P4034" s="5" t="s">
        <v>726</v>
      </c>
      <c r="S4034" s="7">
        <f>IF(ISBLANK(M4034),"Aguardando Previsão/Data",NETWORKDAYS(L4034,M4034)-1)</f>
        <v>-3</v>
      </c>
    </row>
    <row r="4035" spans="1:19" x14ac:dyDescent="0.35">
      <c r="A4035" s="5">
        <v>8100285961</v>
      </c>
      <c r="B4035" s="5">
        <v>21856</v>
      </c>
      <c r="C4035" s="6">
        <v>45686</v>
      </c>
      <c r="D4035" s="5" t="s">
        <v>17</v>
      </c>
      <c r="E4035" s="5" t="s">
        <v>18</v>
      </c>
      <c r="F4035" s="5" t="s">
        <v>44</v>
      </c>
      <c r="G4035" s="5" t="s">
        <v>45</v>
      </c>
      <c r="H4035" s="5" t="s">
        <v>21</v>
      </c>
      <c r="I4035" s="5" t="s">
        <v>523</v>
      </c>
      <c r="J4035" s="5" t="s">
        <v>45</v>
      </c>
      <c r="K4035" s="5" t="s">
        <v>24</v>
      </c>
      <c r="L4035" s="6">
        <v>45693</v>
      </c>
      <c r="M4035" s="6">
        <v>45692</v>
      </c>
      <c r="N4035" s="6" t="s">
        <v>811</v>
      </c>
      <c r="O4035" s="5" t="str">
        <f ca="1">IF(P4035&lt;&gt;"EXPEDIÇÃO","Expedido",IF(NETWORKDAYS(C4035,TODAY())&gt;=5,"Risco Alto",IF(NETWORKDAYS(C4035,TODAY())&gt;=3,IF(NETWORKDAYS(C4035,TODAY())&lt;5,"Risco Médio",""),IF(NETWORKDAYS(C4035,TODAY())&lt;=2,"Risco Baixo",""))))</f>
        <v>Risco Médio</v>
      </c>
      <c r="P4035" s="5" t="s">
        <v>726</v>
      </c>
      <c r="S4035" s="7">
        <f>IF(ISBLANK(M4035),"Aguardando Previsão/Data",NETWORKDAYS(L4035,M4035)-1)</f>
        <v>-3</v>
      </c>
    </row>
    <row r="4036" spans="1:19" x14ac:dyDescent="0.35">
      <c r="A4036" s="5">
        <v>8100285962</v>
      </c>
      <c r="B4036" s="5">
        <v>21857</v>
      </c>
      <c r="C4036" s="6">
        <v>45686</v>
      </c>
      <c r="D4036" s="5" t="s">
        <v>17</v>
      </c>
      <c r="E4036" s="5" t="s">
        <v>18</v>
      </c>
      <c r="F4036" s="5" t="s">
        <v>44</v>
      </c>
      <c r="G4036" s="5" t="s">
        <v>45</v>
      </c>
      <c r="H4036" s="5" t="s">
        <v>21</v>
      </c>
      <c r="I4036" s="5" t="s">
        <v>523</v>
      </c>
      <c r="J4036" s="5" t="s">
        <v>45</v>
      </c>
      <c r="K4036" s="5" t="s">
        <v>24</v>
      </c>
      <c r="L4036" s="6">
        <v>45693</v>
      </c>
      <c r="M4036" s="6">
        <v>45692</v>
      </c>
      <c r="N4036" s="6" t="s">
        <v>811</v>
      </c>
      <c r="O4036" s="5" t="str">
        <f ca="1">IF(P4036&lt;&gt;"EXPEDIÇÃO","Expedido",IF(NETWORKDAYS(C4036,TODAY())&gt;=5,"Risco Alto",IF(NETWORKDAYS(C4036,TODAY())&gt;=3,IF(NETWORKDAYS(C4036,TODAY())&lt;5,"Risco Médio",""),IF(NETWORKDAYS(C4036,TODAY())&lt;=2,"Risco Baixo",""))))</f>
        <v>Risco Médio</v>
      </c>
      <c r="P4036" s="5" t="s">
        <v>726</v>
      </c>
      <c r="S4036" s="7">
        <f>IF(ISBLANK(M4036),"Aguardando Previsão/Data",NETWORKDAYS(L4036,M4036)-1)</f>
        <v>-3</v>
      </c>
    </row>
    <row r="4037" spans="1:19" x14ac:dyDescent="0.35">
      <c r="A4037" s="5">
        <v>8100284571</v>
      </c>
      <c r="B4037" s="5">
        <v>13556</v>
      </c>
      <c r="C4037" s="6">
        <v>45686</v>
      </c>
      <c r="D4037" s="5" t="s">
        <v>91</v>
      </c>
      <c r="E4037" s="5" t="s">
        <v>92</v>
      </c>
      <c r="F4037" s="5" t="s">
        <v>103</v>
      </c>
      <c r="G4037" s="5" t="s">
        <v>104</v>
      </c>
      <c r="H4037" s="5" t="s">
        <v>21</v>
      </c>
      <c r="I4037" s="5" t="s">
        <v>1602</v>
      </c>
      <c r="J4037" s="5" t="s">
        <v>578</v>
      </c>
      <c r="K4037" s="5" t="s">
        <v>274</v>
      </c>
      <c r="L4037" s="6">
        <v>45695</v>
      </c>
      <c r="M4037" s="6">
        <v>45694</v>
      </c>
      <c r="N4037" s="6" t="s">
        <v>811</v>
      </c>
      <c r="O4037" s="5" t="str">
        <f ca="1">IF(P4037&lt;&gt;"EXPEDIÇÃO","Expedido",IF(NETWORKDAYS(C4037,TODAY())&gt;=5,"Risco Alto",IF(NETWORKDAYS(C4037,TODAY())&gt;=3,IF(NETWORKDAYS(C4037,TODAY())&lt;5,"Risco Médio",""),IF(NETWORKDAYS(C4037,TODAY())&lt;=2,"Risco Baixo",""))))</f>
        <v>Risco Médio</v>
      </c>
      <c r="P4037" s="5" t="s">
        <v>726</v>
      </c>
      <c r="S4037" s="7">
        <f>IF(ISBLANK(M4037),"Aguardando Previsão/Data",NETWORKDAYS(L4037,M4037)-1)</f>
        <v>-3</v>
      </c>
    </row>
    <row r="4038" spans="1:19" x14ac:dyDescent="0.35">
      <c r="A4038" s="5">
        <v>8100284572</v>
      </c>
      <c r="B4038" s="5">
        <v>13557</v>
      </c>
      <c r="C4038" s="6">
        <v>45686</v>
      </c>
      <c r="D4038" s="5" t="s">
        <v>91</v>
      </c>
      <c r="E4038" s="5" t="s">
        <v>92</v>
      </c>
      <c r="F4038" s="5" t="s">
        <v>103</v>
      </c>
      <c r="G4038" s="5" t="s">
        <v>104</v>
      </c>
      <c r="H4038" s="5" t="s">
        <v>21</v>
      </c>
      <c r="I4038" s="5" t="s">
        <v>1602</v>
      </c>
      <c r="J4038" s="5" t="s">
        <v>578</v>
      </c>
      <c r="K4038" s="5" t="s">
        <v>274</v>
      </c>
      <c r="L4038" s="6">
        <v>45695</v>
      </c>
      <c r="M4038" s="6">
        <v>45694</v>
      </c>
      <c r="N4038" s="6" t="s">
        <v>811</v>
      </c>
      <c r="O4038" s="5" t="str">
        <f ca="1">IF(P4038&lt;&gt;"EXPEDIÇÃO","Expedido",IF(NETWORKDAYS(C4038,TODAY())&gt;=5,"Risco Alto",IF(NETWORKDAYS(C4038,TODAY())&gt;=3,IF(NETWORKDAYS(C4038,TODAY())&lt;5,"Risco Médio",""),IF(NETWORKDAYS(C4038,TODAY())&lt;=2,"Risco Baixo",""))))</f>
        <v>Risco Médio</v>
      </c>
      <c r="P4038" s="5" t="s">
        <v>726</v>
      </c>
      <c r="S4038" s="7">
        <f>IF(ISBLANK(M4038),"Aguardando Previsão/Data",NETWORKDAYS(L4038,M4038)-1)</f>
        <v>-3</v>
      </c>
    </row>
    <row r="4039" spans="1:19" x14ac:dyDescent="0.35">
      <c r="A4039" s="5">
        <v>8100284573</v>
      </c>
      <c r="B4039" s="5">
        <v>13558</v>
      </c>
      <c r="C4039" s="6">
        <v>45686</v>
      </c>
      <c r="D4039" s="5" t="s">
        <v>91</v>
      </c>
      <c r="E4039" s="5" t="s">
        <v>92</v>
      </c>
      <c r="F4039" s="5" t="s">
        <v>103</v>
      </c>
      <c r="G4039" s="5" t="s">
        <v>104</v>
      </c>
      <c r="H4039" s="5" t="s">
        <v>21</v>
      </c>
      <c r="I4039" s="5" t="s">
        <v>1602</v>
      </c>
      <c r="J4039" s="5" t="s">
        <v>578</v>
      </c>
      <c r="K4039" s="5" t="s">
        <v>274</v>
      </c>
      <c r="L4039" s="6">
        <v>45695</v>
      </c>
      <c r="M4039" s="6">
        <v>45694</v>
      </c>
      <c r="N4039" s="6" t="s">
        <v>811</v>
      </c>
      <c r="O4039" s="5" t="str">
        <f ca="1">IF(P4039&lt;&gt;"EXPEDIÇÃO","Expedido",IF(NETWORKDAYS(C4039,TODAY())&gt;=5,"Risco Alto",IF(NETWORKDAYS(C4039,TODAY())&gt;=3,IF(NETWORKDAYS(C4039,TODAY())&lt;5,"Risco Médio",""),IF(NETWORKDAYS(C4039,TODAY())&lt;=2,"Risco Baixo",""))))</f>
        <v>Risco Médio</v>
      </c>
      <c r="P4039" s="5" t="s">
        <v>726</v>
      </c>
      <c r="S4039" s="7">
        <f>IF(ISBLANK(M4039),"Aguardando Previsão/Data",NETWORKDAYS(L4039,M4039)-1)</f>
        <v>-3</v>
      </c>
    </row>
    <row r="4040" spans="1:19" x14ac:dyDescent="0.35">
      <c r="A4040" s="5">
        <v>8100285067</v>
      </c>
      <c r="B4040" s="5">
        <v>13550</v>
      </c>
      <c r="C4040" s="6">
        <v>45686</v>
      </c>
      <c r="D4040" s="5" t="s">
        <v>91</v>
      </c>
      <c r="E4040" s="5" t="s">
        <v>92</v>
      </c>
      <c r="F4040" s="5" t="s">
        <v>103</v>
      </c>
      <c r="G4040" s="5" t="s">
        <v>104</v>
      </c>
      <c r="H4040" s="5" t="s">
        <v>21</v>
      </c>
      <c r="I4040" s="5" t="s">
        <v>1603</v>
      </c>
      <c r="J4040" s="5" t="s">
        <v>557</v>
      </c>
      <c r="K4040" s="5" t="s">
        <v>105</v>
      </c>
      <c r="L4040" s="6">
        <v>45699</v>
      </c>
      <c r="M4040" s="6">
        <v>45698</v>
      </c>
      <c r="N4040" s="6" t="s">
        <v>811</v>
      </c>
      <c r="O4040" s="5" t="str">
        <f ca="1">IF(P4040&lt;&gt;"EXPEDIÇÃO","Expedido",IF(NETWORKDAYS(C4040,TODAY())&gt;=5,"Risco Alto",IF(NETWORKDAYS(C4040,TODAY())&gt;=3,IF(NETWORKDAYS(C4040,TODAY())&lt;5,"Risco Médio",""),IF(NETWORKDAYS(C4040,TODAY())&lt;=2,"Risco Baixo",""))))</f>
        <v>Risco Médio</v>
      </c>
      <c r="P4040" s="5" t="s">
        <v>726</v>
      </c>
      <c r="S4040" s="7">
        <f>IF(ISBLANK(M4040),"Aguardando Previsão/Data",NETWORKDAYS(L4040,M4040)-1)</f>
        <v>-3</v>
      </c>
    </row>
    <row r="4041" spans="1:19" x14ac:dyDescent="0.35">
      <c r="A4041" s="5">
        <v>8100285077</v>
      </c>
      <c r="B4041" s="5">
        <v>13553</v>
      </c>
      <c r="C4041" s="6">
        <v>45686</v>
      </c>
      <c r="D4041" s="5" t="s">
        <v>91</v>
      </c>
      <c r="E4041" s="5" t="s">
        <v>92</v>
      </c>
      <c r="F4041" s="5" t="s">
        <v>103</v>
      </c>
      <c r="G4041" s="5" t="s">
        <v>104</v>
      </c>
      <c r="H4041" s="5" t="s">
        <v>21</v>
      </c>
      <c r="I4041" s="5" t="s">
        <v>1604</v>
      </c>
      <c r="J4041" s="5" t="s">
        <v>273</v>
      </c>
      <c r="K4041" s="5" t="s">
        <v>274</v>
      </c>
      <c r="L4041" s="6">
        <v>45695</v>
      </c>
      <c r="M4041" s="6">
        <v>45694</v>
      </c>
      <c r="N4041" s="6" t="s">
        <v>811</v>
      </c>
      <c r="O4041" s="5" t="str">
        <f ca="1">IF(P4041&lt;&gt;"EXPEDIÇÃO","Expedido",IF(NETWORKDAYS(C4041,TODAY())&gt;=5,"Risco Alto",IF(NETWORKDAYS(C4041,TODAY())&gt;=3,IF(NETWORKDAYS(C4041,TODAY())&lt;5,"Risco Médio",""),IF(NETWORKDAYS(C4041,TODAY())&lt;=2,"Risco Baixo",""))))</f>
        <v>Risco Médio</v>
      </c>
      <c r="P4041" s="5" t="s">
        <v>726</v>
      </c>
      <c r="S4041" s="7">
        <f>IF(ISBLANK(M4041),"Aguardando Previsão/Data",NETWORKDAYS(L4041,M4041)-1)</f>
        <v>-3</v>
      </c>
    </row>
    <row r="4042" spans="1:19" x14ac:dyDescent="0.35">
      <c r="A4042" s="5">
        <v>8100285175</v>
      </c>
      <c r="B4042" s="5">
        <v>13552</v>
      </c>
      <c r="C4042" s="6">
        <v>45686</v>
      </c>
      <c r="D4042" s="5" t="s">
        <v>91</v>
      </c>
      <c r="E4042" s="5" t="s">
        <v>92</v>
      </c>
      <c r="F4042" s="5" t="s">
        <v>96</v>
      </c>
      <c r="G4042" s="5" t="s">
        <v>97</v>
      </c>
      <c r="H4042" s="5" t="s">
        <v>21</v>
      </c>
      <c r="I4042" s="5" t="s">
        <v>949</v>
      </c>
      <c r="J4042" s="5" t="s">
        <v>636</v>
      </c>
      <c r="K4042" s="5" t="s">
        <v>95</v>
      </c>
      <c r="L4042" s="6">
        <v>45693</v>
      </c>
      <c r="M4042" s="6">
        <v>45692</v>
      </c>
      <c r="N4042" s="6" t="s">
        <v>811</v>
      </c>
      <c r="O4042" s="5" t="str">
        <f ca="1">IF(P4042&lt;&gt;"EXPEDIÇÃO","Expedido",IF(NETWORKDAYS(C4042,TODAY())&gt;=5,"Risco Alto",IF(NETWORKDAYS(C4042,TODAY())&gt;=3,IF(NETWORKDAYS(C4042,TODAY())&lt;5,"Risco Médio",""),IF(NETWORKDAYS(C4042,TODAY())&lt;=2,"Risco Baixo",""))))</f>
        <v>Expedido</v>
      </c>
      <c r="P4042" s="5" t="s">
        <v>617</v>
      </c>
      <c r="S4042" s="7">
        <f>IF(ISBLANK(M4042),"Aguardando Previsão/Data",NETWORKDAYS(L4042,M4042)-1)</f>
        <v>-3</v>
      </c>
    </row>
    <row r="4043" spans="1:19" x14ac:dyDescent="0.35">
      <c r="A4043" s="5">
        <v>8100285176</v>
      </c>
      <c r="B4043" s="5">
        <v>13555</v>
      </c>
      <c r="C4043" s="6">
        <v>45686</v>
      </c>
      <c r="D4043" s="5" t="s">
        <v>91</v>
      </c>
      <c r="E4043" s="5" t="s">
        <v>92</v>
      </c>
      <c r="F4043" s="5" t="s">
        <v>96</v>
      </c>
      <c r="G4043" s="5" t="s">
        <v>97</v>
      </c>
      <c r="H4043" s="5" t="s">
        <v>21</v>
      </c>
      <c r="I4043" s="5" t="s">
        <v>1070</v>
      </c>
      <c r="J4043" s="5" t="s">
        <v>636</v>
      </c>
      <c r="K4043" s="5" t="s">
        <v>95</v>
      </c>
      <c r="L4043" s="6">
        <v>45693</v>
      </c>
      <c r="M4043" s="6">
        <v>45692</v>
      </c>
      <c r="N4043" s="6" t="s">
        <v>811</v>
      </c>
      <c r="O4043" s="5" t="str">
        <f ca="1">IF(P4043&lt;&gt;"EXPEDIÇÃO","Expedido",IF(NETWORKDAYS(C4043,TODAY())&gt;=5,"Risco Alto",IF(NETWORKDAYS(C4043,TODAY())&gt;=3,IF(NETWORKDAYS(C4043,TODAY())&lt;5,"Risco Médio",""),IF(NETWORKDAYS(C4043,TODAY())&lt;=2,"Risco Baixo",""))))</f>
        <v>Risco Médio</v>
      </c>
      <c r="P4043" s="5" t="s">
        <v>726</v>
      </c>
      <c r="S4043" s="7">
        <f>IF(ISBLANK(M4043),"Aguardando Previsão/Data",NETWORKDAYS(L4043,M4043)-1)</f>
        <v>-3</v>
      </c>
    </row>
    <row r="4044" spans="1:19" x14ac:dyDescent="0.35">
      <c r="A4044" s="5">
        <v>8100285305</v>
      </c>
      <c r="B4044" s="5">
        <v>13551</v>
      </c>
      <c r="C4044" s="6">
        <v>45686</v>
      </c>
      <c r="D4044" s="5" t="s">
        <v>91</v>
      </c>
      <c r="E4044" s="5" t="s">
        <v>92</v>
      </c>
      <c r="F4044" s="5" t="s">
        <v>103</v>
      </c>
      <c r="G4044" s="5" t="s">
        <v>104</v>
      </c>
      <c r="H4044" s="5" t="s">
        <v>21</v>
      </c>
      <c r="I4044" s="5" t="s">
        <v>1315</v>
      </c>
      <c r="J4044" s="5" t="s">
        <v>386</v>
      </c>
      <c r="K4044" s="5" t="s">
        <v>105</v>
      </c>
      <c r="L4044" s="6">
        <v>45700</v>
      </c>
      <c r="M4044" s="6">
        <v>45699</v>
      </c>
      <c r="N4044" s="6" t="s">
        <v>811</v>
      </c>
      <c r="O4044" s="5" t="str">
        <f ca="1">IF(P4044&lt;&gt;"EXPEDIÇÃO","Expedido",IF(NETWORKDAYS(C4044,TODAY())&gt;=5,"Risco Alto",IF(NETWORKDAYS(C4044,TODAY())&gt;=3,IF(NETWORKDAYS(C4044,TODAY())&lt;5,"Risco Médio",""),IF(NETWORKDAYS(C4044,TODAY())&lt;=2,"Risco Baixo",""))))</f>
        <v>Risco Médio</v>
      </c>
      <c r="P4044" s="5" t="s">
        <v>726</v>
      </c>
      <c r="S4044" s="7">
        <f>IF(ISBLANK(M4044),"Aguardando Previsão/Data",NETWORKDAYS(L4044,M4044)-1)</f>
        <v>-3</v>
      </c>
    </row>
    <row r="4045" spans="1:19" x14ac:dyDescent="0.35">
      <c r="A4045" s="5">
        <v>8100285562</v>
      </c>
      <c r="B4045" s="5">
        <v>13562</v>
      </c>
      <c r="C4045" s="6">
        <v>45686</v>
      </c>
      <c r="D4045" s="5" t="s">
        <v>91</v>
      </c>
      <c r="E4045" s="5" t="s">
        <v>92</v>
      </c>
      <c r="F4045" s="5" t="s">
        <v>96</v>
      </c>
      <c r="G4045" s="5" t="s">
        <v>97</v>
      </c>
      <c r="H4045" s="5" t="s">
        <v>21</v>
      </c>
      <c r="I4045" s="5" t="s">
        <v>1608</v>
      </c>
      <c r="J4045" s="5" t="s">
        <v>579</v>
      </c>
      <c r="K4045" s="5" t="s">
        <v>101</v>
      </c>
      <c r="L4045" s="6">
        <v>45698</v>
      </c>
      <c r="M4045" s="6">
        <v>45695</v>
      </c>
      <c r="N4045" s="6" t="s">
        <v>811</v>
      </c>
      <c r="O4045" s="5" t="str">
        <f ca="1">IF(P4045&lt;&gt;"EXPEDIÇÃO","Expedido",IF(NETWORKDAYS(C4045,TODAY())&gt;=5,"Risco Alto",IF(NETWORKDAYS(C4045,TODAY())&gt;=3,IF(NETWORKDAYS(C4045,TODAY())&lt;5,"Risco Médio",""),IF(NETWORKDAYS(C4045,TODAY())&lt;=2,"Risco Baixo",""))))</f>
        <v>Risco Médio</v>
      </c>
      <c r="P4045" s="5" t="s">
        <v>726</v>
      </c>
      <c r="S4045" s="7">
        <f>IF(ISBLANK(M4045),"Aguardando Previsão/Data",NETWORKDAYS(L4045,M4045)-1)</f>
        <v>-3</v>
      </c>
    </row>
    <row r="4046" spans="1:19" x14ac:dyDescent="0.35">
      <c r="A4046" s="5">
        <v>8100285563</v>
      </c>
      <c r="B4046" s="5">
        <v>13560</v>
      </c>
      <c r="C4046" s="6">
        <v>45686</v>
      </c>
      <c r="D4046" s="5" t="s">
        <v>91</v>
      </c>
      <c r="E4046" s="5" t="s">
        <v>92</v>
      </c>
      <c r="F4046" s="5" t="s">
        <v>103</v>
      </c>
      <c r="G4046" s="5" t="s">
        <v>104</v>
      </c>
      <c r="H4046" s="5" t="s">
        <v>21</v>
      </c>
      <c r="I4046" s="5" t="s">
        <v>409</v>
      </c>
      <c r="J4046" s="5" t="s">
        <v>1294</v>
      </c>
      <c r="K4046" s="5" t="s">
        <v>274</v>
      </c>
      <c r="L4046" s="6">
        <v>45699</v>
      </c>
      <c r="M4046" s="6">
        <v>45698</v>
      </c>
      <c r="N4046" s="6" t="s">
        <v>811</v>
      </c>
      <c r="O4046" s="5" t="str">
        <f ca="1">IF(P4046&lt;&gt;"EXPEDIÇÃO","Expedido",IF(NETWORKDAYS(C4046,TODAY())&gt;=5,"Risco Alto",IF(NETWORKDAYS(C4046,TODAY())&gt;=3,IF(NETWORKDAYS(C4046,TODAY())&lt;5,"Risco Médio",""),IF(NETWORKDAYS(C4046,TODAY())&lt;=2,"Risco Baixo",""))))</f>
        <v>Risco Médio</v>
      </c>
      <c r="P4046" s="5" t="s">
        <v>726</v>
      </c>
      <c r="S4046" s="7">
        <f>IF(ISBLANK(M4046),"Aguardando Previsão/Data",NETWORKDAYS(L4046,M4046)-1)</f>
        <v>-3</v>
      </c>
    </row>
    <row r="4047" spans="1:19" x14ac:dyDescent="0.35">
      <c r="A4047" s="5">
        <v>8100285676</v>
      </c>
      <c r="B4047" s="5">
        <v>13563</v>
      </c>
      <c r="C4047" s="6">
        <v>45686</v>
      </c>
      <c r="D4047" s="5" t="s">
        <v>91</v>
      </c>
      <c r="E4047" s="5" t="s">
        <v>92</v>
      </c>
      <c r="F4047" s="5" t="s">
        <v>103</v>
      </c>
      <c r="G4047" s="5" t="s">
        <v>104</v>
      </c>
      <c r="H4047" s="5" t="s">
        <v>21</v>
      </c>
      <c r="I4047" s="5" t="s">
        <v>919</v>
      </c>
      <c r="J4047" s="5" t="s">
        <v>677</v>
      </c>
      <c r="K4047" s="5" t="s">
        <v>274</v>
      </c>
      <c r="L4047" s="6">
        <v>45698</v>
      </c>
      <c r="M4047" s="6">
        <v>45695</v>
      </c>
      <c r="N4047" s="6" t="s">
        <v>811</v>
      </c>
      <c r="O4047" s="5" t="str">
        <f ca="1">IF(P4047&lt;&gt;"EXPEDIÇÃO","Expedido",IF(NETWORKDAYS(C4047,TODAY())&gt;=5,"Risco Alto",IF(NETWORKDAYS(C4047,TODAY())&gt;=3,IF(NETWORKDAYS(C4047,TODAY())&lt;5,"Risco Médio",""),IF(NETWORKDAYS(C4047,TODAY())&lt;=2,"Risco Baixo",""))))</f>
        <v>Risco Médio</v>
      </c>
      <c r="P4047" s="5" t="s">
        <v>726</v>
      </c>
      <c r="S4047" s="7">
        <f>IF(ISBLANK(M4047),"Aguardando Previsão/Data",NETWORKDAYS(L4047,M4047)-1)</f>
        <v>-3</v>
      </c>
    </row>
    <row r="4048" spans="1:19" x14ac:dyDescent="0.35">
      <c r="A4048" s="5">
        <v>8100285677</v>
      </c>
      <c r="B4048" s="5">
        <v>13564</v>
      </c>
      <c r="C4048" s="6">
        <v>45686</v>
      </c>
      <c r="D4048" s="5" t="s">
        <v>91</v>
      </c>
      <c r="E4048" s="5" t="s">
        <v>92</v>
      </c>
      <c r="F4048" s="5" t="s">
        <v>103</v>
      </c>
      <c r="G4048" s="5" t="s">
        <v>104</v>
      </c>
      <c r="H4048" s="5" t="s">
        <v>21</v>
      </c>
      <c r="I4048" s="5" t="s">
        <v>919</v>
      </c>
      <c r="J4048" s="5" t="s">
        <v>677</v>
      </c>
      <c r="K4048" s="5" t="s">
        <v>274</v>
      </c>
      <c r="L4048" s="6">
        <v>45698</v>
      </c>
      <c r="M4048" s="6">
        <v>45695</v>
      </c>
      <c r="N4048" s="6" t="s">
        <v>811</v>
      </c>
      <c r="O4048" s="5" t="str">
        <f ca="1">IF(P4048&lt;&gt;"EXPEDIÇÃO","Expedido",IF(NETWORKDAYS(C4048,TODAY())&gt;=5,"Risco Alto",IF(NETWORKDAYS(C4048,TODAY())&gt;=3,IF(NETWORKDAYS(C4048,TODAY())&lt;5,"Risco Médio",""),IF(NETWORKDAYS(C4048,TODAY())&lt;=2,"Risco Baixo",""))))</f>
        <v>Risco Médio</v>
      </c>
      <c r="P4048" s="5" t="s">
        <v>726</v>
      </c>
      <c r="S4048" s="7">
        <f>IF(ISBLANK(M4048),"Aguardando Previsão/Data",NETWORKDAYS(L4048,M4048)-1)</f>
        <v>-3</v>
      </c>
    </row>
    <row r="4049" spans="1:20" x14ac:dyDescent="0.35">
      <c r="A4049" s="5">
        <v>8100285678</v>
      </c>
      <c r="B4049" s="5">
        <v>13561</v>
      </c>
      <c r="C4049" s="6">
        <v>45686</v>
      </c>
      <c r="D4049" s="5" t="s">
        <v>91</v>
      </c>
      <c r="E4049" s="5" t="s">
        <v>92</v>
      </c>
      <c r="F4049" s="5" t="s">
        <v>69</v>
      </c>
      <c r="G4049" s="5" t="s">
        <v>70</v>
      </c>
      <c r="H4049" s="5" t="s">
        <v>21</v>
      </c>
      <c r="I4049" s="5" t="s">
        <v>1293</v>
      </c>
      <c r="J4049" s="5" t="s">
        <v>1294</v>
      </c>
      <c r="K4049" s="5" t="s">
        <v>274</v>
      </c>
      <c r="L4049" s="6">
        <v>45699</v>
      </c>
      <c r="M4049" s="6">
        <v>45698</v>
      </c>
      <c r="N4049" s="6" t="s">
        <v>811</v>
      </c>
      <c r="O4049" s="5" t="str">
        <f ca="1">IF(P4049&lt;&gt;"EXPEDIÇÃO","Expedido",IF(NETWORKDAYS(C4049,TODAY())&gt;=5,"Risco Alto",IF(NETWORKDAYS(C4049,TODAY())&gt;=3,IF(NETWORKDAYS(C4049,TODAY())&lt;5,"Risco Médio",""),IF(NETWORKDAYS(C4049,TODAY())&lt;=2,"Risco Baixo",""))))</f>
        <v>Risco Médio</v>
      </c>
      <c r="P4049" s="5" t="s">
        <v>726</v>
      </c>
      <c r="S4049" s="7">
        <f>IF(ISBLANK(M4049),"Aguardando Previsão/Data",NETWORKDAYS(L4049,M4049)-1)</f>
        <v>-3</v>
      </c>
    </row>
    <row r="4050" spans="1:20" x14ac:dyDescent="0.35">
      <c r="A4050" s="5">
        <v>8100285679</v>
      </c>
      <c r="B4050" s="5">
        <v>13559</v>
      </c>
      <c r="C4050" s="6">
        <v>45686</v>
      </c>
      <c r="D4050" s="5" t="s">
        <v>91</v>
      </c>
      <c r="E4050" s="5" t="s">
        <v>92</v>
      </c>
      <c r="F4050" s="5" t="s">
        <v>96</v>
      </c>
      <c r="G4050" s="5" t="s">
        <v>97</v>
      </c>
      <c r="H4050" s="5" t="s">
        <v>21</v>
      </c>
      <c r="I4050" s="5" t="s">
        <v>1611</v>
      </c>
      <c r="J4050" s="5" t="s">
        <v>426</v>
      </c>
      <c r="K4050" s="5" t="s">
        <v>95</v>
      </c>
      <c r="L4050" s="6">
        <v>45693</v>
      </c>
      <c r="M4050" s="6">
        <v>45686</v>
      </c>
      <c r="N4050" s="6" t="s">
        <v>811</v>
      </c>
      <c r="O4050" s="5" t="str">
        <f ca="1">IF(P4050&lt;&gt;"EXPEDIÇÃO","Expedido",IF(NETWORKDAYS(C4050,TODAY())&gt;=5,"Risco Alto",IF(NETWORKDAYS(C4050,TODAY())&gt;=3,IF(NETWORKDAYS(C4050,TODAY())&lt;5,"Risco Médio",""),IF(NETWORKDAYS(C4050,TODAY())&lt;=2,"Risco Baixo",""))))</f>
        <v>Expedido</v>
      </c>
      <c r="P4050" s="5" t="s">
        <v>25</v>
      </c>
      <c r="Q4050" s="5" t="s">
        <v>824</v>
      </c>
      <c r="S4050" s="7">
        <f>IF(ISBLANK(M4050),"Aguardando Previsão/Data",NETWORKDAYS(L4050,M4050)-1)</f>
        <v>-7</v>
      </c>
      <c r="T4050" s="5" t="s">
        <v>942</v>
      </c>
    </row>
    <row r="4051" spans="1:20" x14ac:dyDescent="0.35">
      <c r="A4051" s="5">
        <v>8100281457</v>
      </c>
      <c r="B4051" s="5">
        <v>21823</v>
      </c>
      <c r="C4051" s="6">
        <v>45686</v>
      </c>
      <c r="D4051" s="5" t="s">
        <v>836</v>
      </c>
      <c r="E4051" s="5" t="s">
        <v>837</v>
      </c>
      <c r="F4051" s="5" t="s">
        <v>406</v>
      </c>
      <c r="G4051" s="5" t="s">
        <v>407</v>
      </c>
      <c r="H4051" s="5" t="s">
        <v>21</v>
      </c>
      <c r="I4051" s="5" t="s">
        <v>974</v>
      </c>
      <c r="J4051" s="5" t="s">
        <v>600</v>
      </c>
      <c r="K4051" s="5" t="s">
        <v>24</v>
      </c>
      <c r="L4051" s="6">
        <v>45694</v>
      </c>
      <c r="M4051" s="6">
        <v>45693</v>
      </c>
      <c r="N4051" s="6" t="s">
        <v>811</v>
      </c>
      <c r="O4051" s="5" t="str">
        <f ca="1">IF(P4051&lt;&gt;"EXPEDIÇÃO","Expedido",IF(NETWORKDAYS(C4051,TODAY())&gt;=5,"Risco Alto",IF(NETWORKDAYS(C4051,TODAY())&gt;=3,IF(NETWORKDAYS(C4051,TODAY())&lt;5,"Risco Médio",""),IF(NETWORKDAYS(C4051,TODAY())&lt;=2,"Risco Baixo",""))))</f>
        <v>Risco Médio</v>
      </c>
      <c r="P4051" s="5" t="s">
        <v>726</v>
      </c>
      <c r="S4051" s="7">
        <f>IF(ISBLANK(M4051),"Aguardando Previsão/Data",NETWORKDAYS(L4051,M4051)-1)</f>
        <v>-3</v>
      </c>
    </row>
    <row r="4052" spans="1:20" x14ac:dyDescent="0.35">
      <c r="A4052" s="5">
        <v>8100285672</v>
      </c>
      <c r="B4052" s="5">
        <v>11030</v>
      </c>
      <c r="C4052" s="6">
        <v>45686</v>
      </c>
      <c r="D4052" s="5" t="s">
        <v>239</v>
      </c>
      <c r="E4052" s="5" t="s">
        <v>240</v>
      </c>
      <c r="F4052" s="5" t="s">
        <v>242</v>
      </c>
      <c r="G4052" s="5" t="s">
        <v>243</v>
      </c>
      <c r="H4052" s="5" t="s">
        <v>218</v>
      </c>
      <c r="I4052" s="5" t="s">
        <v>1609</v>
      </c>
      <c r="J4052" s="5" t="s">
        <v>1610</v>
      </c>
      <c r="K4052" s="5" t="s">
        <v>241</v>
      </c>
      <c r="L4052" s="6">
        <v>45692</v>
      </c>
      <c r="M4052" s="6">
        <v>45688</v>
      </c>
      <c r="N4052" s="6" t="s">
        <v>811</v>
      </c>
      <c r="O4052" s="5" t="str">
        <f ca="1">IF(P4052&lt;&gt;"EXPEDIÇÃO","Expedido",IF(NETWORKDAYS(C4052,TODAY())&gt;=5,"Risco Alto",IF(NETWORKDAYS(C4052,TODAY())&gt;=3,IF(NETWORKDAYS(C4052,TODAY())&lt;5,"Risco Médio",""),IF(NETWORKDAYS(C4052,TODAY())&lt;=2,"Risco Baixo",""))))</f>
        <v>Expedido</v>
      </c>
      <c r="P4052" s="5" t="s">
        <v>617</v>
      </c>
      <c r="Q4052" s="5" t="s">
        <v>793</v>
      </c>
      <c r="S4052" s="7">
        <f>IF(ISBLANK(M4052),"Aguardando Previsão/Data",NETWORKDAYS(L4052,M4052)-1)</f>
        <v>-4</v>
      </c>
    </row>
    <row r="4053" spans="1:20" x14ac:dyDescent="0.35">
      <c r="A4053" s="5">
        <v>8100285680</v>
      </c>
      <c r="B4053" s="5">
        <v>11033</v>
      </c>
      <c r="C4053" s="6">
        <v>45686</v>
      </c>
      <c r="D4053" s="5" t="s">
        <v>239</v>
      </c>
      <c r="E4053" s="5" t="s">
        <v>240</v>
      </c>
      <c r="F4053" s="5" t="s">
        <v>160</v>
      </c>
      <c r="G4053" s="5" t="s">
        <v>161</v>
      </c>
      <c r="H4053" s="5" t="s">
        <v>218</v>
      </c>
      <c r="I4053" s="5" t="s">
        <v>162</v>
      </c>
      <c r="J4053" s="5" t="s">
        <v>348</v>
      </c>
      <c r="K4053" s="5" t="s">
        <v>175</v>
      </c>
      <c r="L4053" s="6">
        <v>45692</v>
      </c>
      <c r="M4053" s="6">
        <v>45688</v>
      </c>
      <c r="N4053" s="6" t="s">
        <v>811</v>
      </c>
      <c r="O4053" s="5" t="str">
        <f ca="1">IF(P4053&lt;&gt;"EXPEDIÇÃO","Expedido",IF(NETWORKDAYS(C4053,TODAY())&gt;=5,"Risco Alto",IF(NETWORKDAYS(C4053,TODAY())&gt;=3,IF(NETWORKDAYS(C4053,TODAY())&lt;5,"Risco Médio",""),IF(NETWORKDAYS(C4053,TODAY())&lt;=2,"Risco Baixo",""))))</f>
        <v>Expedido</v>
      </c>
      <c r="P4053" s="5" t="s">
        <v>617</v>
      </c>
      <c r="Q4053" s="5" t="s">
        <v>793</v>
      </c>
      <c r="S4053" s="7">
        <f>IF(ISBLANK(M4053),"Aguardando Previsão/Data",NETWORKDAYS(L4053,M4053)-1)</f>
        <v>-4</v>
      </c>
    </row>
    <row r="4054" spans="1:20" x14ac:dyDescent="0.35">
      <c r="A4054" s="5">
        <v>8100285729</v>
      </c>
      <c r="B4054" s="5">
        <v>11034</v>
      </c>
      <c r="C4054" s="6">
        <v>45686</v>
      </c>
      <c r="D4054" s="5" t="s">
        <v>239</v>
      </c>
      <c r="E4054" s="5" t="s">
        <v>240</v>
      </c>
      <c r="F4054" s="5" t="s">
        <v>242</v>
      </c>
      <c r="G4054" s="5" t="s">
        <v>243</v>
      </c>
      <c r="H4054" s="5" t="s">
        <v>218</v>
      </c>
      <c r="I4054" s="5" t="s">
        <v>253</v>
      </c>
      <c r="J4054" s="5" t="s">
        <v>254</v>
      </c>
      <c r="K4054" s="5" t="s">
        <v>241</v>
      </c>
      <c r="L4054" s="6">
        <v>45692</v>
      </c>
      <c r="M4054" s="6">
        <v>45688</v>
      </c>
      <c r="N4054" s="6" t="s">
        <v>811</v>
      </c>
      <c r="O4054" s="5" t="str">
        <f ca="1">IF(P4054&lt;&gt;"EXPEDIÇÃO","Expedido",IF(NETWORKDAYS(C4054,TODAY())&gt;=5,"Risco Alto",IF(NETWORKDAYS(C4054,TODAY())&gt;=3,IF(NETWORKDAYS(C4054,TODAY())&lt;5,"Risco Médio",""),IF(NETWORKDAYS(C4054,TODAY())&lt;=2,"Risco Baixo",""))))</f>
        <v>Expedido</v>
      </c>
      <c r="P4054" s="5" t="s">
        <v>617</v>
      </c>
      <c r="Q4054" s="5" t="s">
        <v>793</v>
      </c>
      <c r="S4054" s="7">
        <f>IF(ISBLANK(M4054),"Aguardando Previsão/Data",NETWORKDAYS(L4054,M4054)-1)</f>
        <v>-4</v>
      </c>
    </row>
    <row r="4055" spans="1:20" x14ac:dyDescent="0.35">
      <c r="A4055" s="5">
        <v>8100285882</v>
      </c>
      <c r="B4055" s="5">
        <v>11031</v>
      </c>
      <c r="C4055" s="6">
        <v>45686</v>
      </c>
      <c r="D4055" s="5" t="s">
        <v>239</v>
      </c>
      <c r="E4055" s="5" t="s">
        <v>240</v>
      </c>
      <c r="F4055" s="5" t="s">
        <v>176</v>
      </c>
      <c r="G4055" s="5" t="s">
        <v>177</v>
      </c>
      <c r="H4055" s="5" t="s">
        <v>218</v>
      </c>
      <c r="I4055" s="5" t="s">
        <v>1163</v>
      </c>
      <c r="J4055" s="5" t="s">
        <v>797</v>
      </c>
      <c r="K4055" s="5" t="s">
        <v>241</v>
      </c>
      <c r="L4055" s="6">
        <v>45693</v>
      </c>
      <c r="M4055" s="6">
        <v>45688</v>
      </c>
      <c r="N4055" s="6" t="s">
        <v>811</v>
      </c>
      <c r="O4055" s="5" t="str">
        <f ca="1">IF(P4055&lt;&gt;"EXPEDIÇÃO","Expedido",IF(NETWORKDAYS(C4055,TODAY())&gt;=5,"Risco Alto",IF(NETWORKDAYS(C4055,TODAY())&gt;=3,IF(NETWORKDAYS(C4055,TODAY())&lt;5,"Risco Médio",""),IF(NETWORKDAYS(C4055,TODAY())&lt;=2,"Risco Baixo",""))))</f>
        <v>Expedido</v>
      </c>
      <c r="P4055" s="5" t="s">
        <v>617</v>
      </c>
      <c r="Q4055" s="5" t="s">
        <v>793</v>
      </c>
      <c r="S4055" s="7">
        <f>IF(ISBLANK(M4055),"Aguardando Previsão/Data",NETWORKDAYS(L4055,M4055)-1)</f>
        <v>-5</v>
      </c>
    </row>
    <row r="4056" spans="1:20" x14ac:dyDescent="0.35">
      <c r="A4056" s="5">
        <v>8100285883</v>
      </c>
      <c r="B4056" s="5">
        <v>11035</v>
      </c>
      <c r="C4056" s="6">
        <v>45686</v>
      </c>
      <c r="D4056" s="5" t="s">
        <v>239</v>
      </c>
      <c r="E4056" s="5" t="s">
        <v>240</v>
      </c>
      <c r="F4056" s="5" t="s">
        <v>242</v>
      </c>
      <c r="G4056" s="5" t="s">
        <v>243</v>
      </c>
      <c r="H4056" s="5" t="s">
        <v>218</v>
      </c>
      <c r="I4056" s="5" t="s">
        <v>253</v>
      </c>
      <c r="J4056" s="5" t="s">
        <v>254</v>
      </c>
      <c r="K4056" s="5" t="s">
        <v>241</v>
      </c>
      <c r="L4056" s="6">
        <v>45692</v>
      </c>
      <c r="M4056" s="6">
        <v>45688</v>
      </c>
      <c r="N4056" s="6" t="s">
        <v>811</v>
      </c>
      <c r="O4056" s="5" t="str">
        <f ca="1">IF(P4056&lt;&gt;"EXPEDIÇÃO","Expedido",IF(NETWORKDAYS(C4056,TODAY())&gt;=5,"Risco Alto",IF(NETWORKDAYS(C4056,TODAY())&gt;=3,IF(NETWORKDAYS(C4056,TODAY())&lt;5,"Risco Médio",""),IF(NETWORKDAYS(C4056,TODAY())&lt;=2,"Risco Baixo",""))))</f>
        <v>Expedido</v>
      </c>
      <c r="P4056" s="5" t="s">
        <v>617</v>
      </c>
      <c r="Q4056" s="5" t="s">
        <v>793</v>
      </c>
      <c r="S4056" s="7">
        <f>IF(ISBLANK(M4056),"Aguardando Previsão/Data",NETWORKDAYS(L4056,M4056)-1)</f>
        <v>-4</v>
      </c>
    </row>
    <row r="4057" spans="1:20" x14ac:dyDescent="0.35">
      <c r="A4057" s="5">
        <v>8100285915</v>
      </c>
      <c r="B4057" s="5">
        <v>11032</v>
      </c>
      <c r="C4057" s="6">
        <v>45686</v>
      </c>
      <c r="D4057" s="5" t="s">
        <v>239</v>
      </c>
      <c r="E4057" s="5" t="s">
        <v>240</v>
      </c>
      <c r="F4057" s="5" t="s">
        <v>176</v>
      </c>
      <c r="G4057" s="5" t="s">
        <v>177</v>
      </c>
      <c r="H4057" s="5" t="s">
        <v>218</v>
      </c>
      <c r="I4057" s="5" t="s">
        <v>1163</v>
      </c>
      <c r="J4057" s="5" t="s">
        <v>797</v>
      </c>
      <c r="K4057" s="5" t="s">
        <v>241</v>
      </c>
      <c r="L4057" s="6">
        <v>45693</v>
      </c>
      <c r="M4057" s="6">
        <v>45688</v>
      </c>
      <c r="N4057" s="6" t="s">
        <v>811</v>
      </c>
      <c r="O4057" s="5" t="str">
        <f ca="1">IF(P4057&lt;&gt;"EXPEDIÇÃO","Expedido",IF(NETWORKDAYS(C4057,TODAY())&gt;=5,"Risco Alto",IF(NETWORKDAYS(C4057,TODAY())&gt;=3,IF(NETWORKDAYS(C4057,TODAY())&lt;5,"Risco Médio",""),IF(NETWORKDAYS(C4057,TODAY())&lt;=2,"Risco Baixo",""))))</f>
        <v>Expedido</v>
      </c>
      <c r="P4057" s="5" t="s">
        <v>617</v>
      </c>
      <c r="Q4057" s="5" t="s">
        <v>793</v>
      </c>
      <c r="S4057" s="7">
        <f>IF(ISBLANK(M4057),"Aguardando Previsão/Data",NETWORKDAYS(L4057,M4057)-1)</f>
        <v>-5</v>
      </c>
    </row>
    <row r="4058" spans="1:20" x14ac:dyDescent="0.35">
      <c r="A4058" s="5">
        <v>8100282360</v>
      </c>
      <c r="B4058" s="5">
        <v>19800</v>
      </c>
      <c r="C4058" s="6">
        <v>45686</v>
      </c>
      <c r="D4058" s="5" t="s">
        <v>106</v>
      </c>
      <c r="E4058" s="5" t="s">
        <v>107</v>
      </c>
      <c r="F4058" s="5" t="s">
        <v>171</v>
      </c>
      <c r="G4058" s="5" t="s">
        <v>172</v>
      </c>
      <c r="H4058" s="5" t="s">
        <v>108</v>
      </c>
      <c r="I4058" s="5" t="s">
        <v>216</v>
      </c>
      <c r="J4058" s="5" t="s">
        <v>217</v>
      </c>
      <c r="K4058" s="5" t="s">
        <v>170</v>
      </c>
      <c r="L4058" s="6">
        <v>45698</v>
      </c>
      <c r="M4058" s="6">
        <v>45698</v>
      </c>
      <c r="N4058" s="6" t="s">
        <v>811</v>
      </c>
      <c r="O4058" s="5" t="str">
        <f ca="1">IF(P4058&lt;&gt;"EXPEDIÇÃO","Expedido",IF(NETWORKDAYS(C4058,TODAY())&gt;=5,"Risco Alto",IF(NETWORKDAYS(C4058,TODAY())&gt;=3,IF(NETWORKDAYS(C4058,TODAY())&lt;5,"Risco Médio",""),IF(NETWORKDAYS(C4058,TODAY())&lt;=2,"Risco Baixo",""))))</f>
        <v>Risco Médio</v>
      </c>
      <c r="P4058" s="5" t="s">
        <v>726</v>
      </c>
      <c r="S4058" s="7">
        <f>IF(ISBLANK(M4058),"Aguardando Previsão/Data",NETWORKDAYS(L4058,M4058)-1)</f>
        <v>0</v>
      </c>
    </row>
    <row r="4059" spans="1:20" x14ac:dyDescent="0.35">
      <c r="A4059" s="5">
        <v>8100284934</v>
      </c>
      <c r="B4059" s="5">
        <v>19797</v>
      </c>
      <c r="C4059" s="6">
        <v>45686</v>
      </c>
      <c r="D4059" s="5" t="s">
        <v>106</v>
      </c>
      <c r="E4059" s="5" t="s">
        <v>107</v>
      </c>
      <c r="F4059" s="5" t="s">
        <v>58</v>
      </c>
      <c r="G4059" s="5" t="s">
        <v>59</v>
      </c>
      <c r="H4059" s="5" t="s">
        <v>108</v>
      </c>
      <c r="I4059" s="5" t="s">
        <v>140</v>
      </c>
      <c r="J4059" s="5" t="s">
        <v>141</v>
      </c>
      <c r="K4059" s="5" t="s">
        <v>110</v>
      </c>
      <c r="L4059" s="6">
        <v>45692</v>
      </c>
      <c r="M4059" s="6">
        <v>45686</v>
      </c>
      <c r="N4059" s="6" t="s">
        <v>811</v>
      </c>
      <c r="O4059" s="5" t="str">
        <f ca="1">IF(P4059&lt;&gt;"EXPEDIÇÃO","Expedido",IF(NETWORKDAYS(C4059,TODAY())&gt;=5,"Risco Alto",IF(NETWORKDAYS(C4059,TODAY())&gt;=3,IF(NETWORKDAYS(C4059,TODAY())&lt;5,"Risco Médio",""),IF(NETWORKDAYS(C4059,TODAY())&lt;=2,"Risco Baixo",""))))</f>
        <v>Expedido</v>
      </c>
      <c r="P4059" s="5" t="s">
        <v>25</v>
      </c>
      <c r="Q4059" s="5" t="s">
        <v>900</v>
      </c>
      <c r="S4059" s="7">
        <f>IF(ISBLANK(M4059),"Aguardando Previsão/Data",NETWORKDAYS(L4059,M4059)-1)</f>
        <v>-6</v>
      </c>
      <c r="T4059" s="5" t="s">
        <v>942</v>
      </c>
    </row>
    <row r="4060" spans="1:20" x14ac:dyDescent="0.35">
      <c r="A4060" s="5">
        <v>8100285332</v>
      </c>
      <c r="B4060" s="5">
        <v>19796</v>
      </c>
      <c r="C4060" s="6">
        <v>45686</v>
      </c>
      <c r="D4060" s="5" t="s">
        <v>106</v>
      </c>
      <c r="E4060" s="5" t="s">
        <v>107</v>
      </c>
      <c r="F4060" s="5" t="s">
        <v>147</v>
      </c>
      <c r="G4060" s="5" t="s">
        <v>148</v>
      </c>
      <c r="H4060" s="5" t="s">
        <v>108</v>
      </c>
      <c r="I4060" s="5" t="s">
        <v>905</v>
      </c>
      <c r="J4060" s="5" t="s">
        <v>906</v>
      </c>
      <c r="K4060" s="5" t="s">
        <v>110</v>
      </c>
      <c r="L4060" s="6">
        <v>45694</v>
      </c>
      <c r="M4060" s="6">
        <v>45692</v>
      </c>
      <c r="N4060" s="6" t="s">
        <v>811</v>
      </c>
      <c r="O4060" s="5" t="str">
        <f ca="1">IF(P4060&lt;&gt;"EXPEDIÇÃO","Expedido",IF(NETWORKDAYS(C4060,TODAY())&gt;=5,"Risco Alto",IF(NETWORKDAYS(C4060,TODAY())&gt;=3,IF(NETWORKDAYS(C4060,TODAY())&lt;5,"Risco Médio",""),IF(NETWORKDAYS(C4060,TODAY())&lt;=2,"Risco Baixo",""))))</f>
        <v>Risco Médio</v>
      </c>
      <c r="P4060" s="5" t="s">
        <v>726</v>
      </c>
      <c r="S4060" s="7">
        <f>IF(ISBLANK(M4060),"Aguardando Previsão/Data",NETWORKDAYS(L4060,M4060)-1)</f>
        <v>-4</v>
      </c>
    </row>
    <row r="4061" spans="1:20" x14ac:dyDescent="0.35">
      <c r="A4061" s="5">
        <v>8100285606</v>
      </c>
      <c r="B4061" s="5">
        <v>19795</v>
      </c>
      <c r="C4061" s="6">
        <v>45686</v>
      </c>
      <c r="D4061" s="5" t="s">
        <v>106</v>
      </c>
      <c r="E4061" s="5" t="s">
        <v>107</v>
      </c>
      <c r="F4061" s="5" t="s">
        <v>69</v>
      </c>
      <c r="G4061" s="5" t="s">
        <v>70</v>
      </c>
      <c r="H4061" s="5" t="s">
        <v>108</v>
      </c>
      <c r="I4061" s="5" t="s">
        <v>64</v>
      </c>
      <c r="J4061" s="5" t="s">
        <v>537</v>
      </c>
      <c r="K4061" s="5" t="s">
        <v>110</v>
      </c>
      <c r="L4061" s="6">
        <v>45694</v>
      </c>
      <c r="M4061" s="6">
        <v>45692</v>
      </c>
      <c r="N4061" s="6" t="s">
        <v>811</v>
      </c>
      <c r="O4061" s="5" t="str">
        <f ca="1">IF(P4061&lt;&gt;"EXPEDIÇÃO","Expedido",IF(NETWORKDAYS(C4061,TODAY())&gt;=5,"Risco Alto",IF(NETWORKDAYS(C4061,TODAY())&gt;=3,IF(NETWORKDAYS(C4061,TODAY())&lt;5,"Risco Médio",""),IF(NETWORKDAYS(C4061,TODAY())&lt;=2,"Risco Baixo",""))))</f>
        <v>Risco Médio</v>
      </c>
      <c r="P4061" s="5" t="s">
        <v>726</v>
      </c>
      <c r="S4061" s="7">
        <f>IF(ISBLANK(M4061),"Aguardando Previsão/Data",NETWORKDAYS(L4061,M4061)-1)</f>
        <v>-4</v>
      </c>
    </row>
    <row r="4062" spans="1:20" x14ac:dyDescent="0.35">
      <c r="A4062" s="5">
        <v>8100285728</v>
      </c>
      <c r="B4062" s="5">
        <v>19801</v>
      </c>
      <c r="C4062" s="6">
        <v>45686</v>
      </c>
      <c r="D4062" s="5" t="s">
        <v>106</v>
      </c>
      <c r="E4062" s="5" t="s">
        <v>107</v>
      </c>
      <c r="F4062" s="5" t="s">
        <v>69</v>
      </c>
      <c r="G4062" s="5" t="s">
        <v>70</v>
      </c>
      <c r="H4062" s="5" t="s">
        <v>108</v>
      </c>
      <c r="I4062" s="5" t="s">
        <v>278</v>
      </c>
      <c r="J4062" s="5" t="s">
        <v>279</v>
      </c>
      <c r="K4062" s="5" t="s">
        <v>110</v>
      </c>
      <c r="L4062" s="6">
        <v>45693</v>
      </c>
      <c r="O4062" s="5" t="str">
        <f ca="1">IF(P4062&lt;&gt;"EXPEDIÇÃO","Expedido",IF(NETWORKDAYS(C4062,TODAY())&gt;=5,"Risco Alto",IF(NETWORKDAYS(C4062,TODAY())&gt;=3,IF(NETWORKDAYS(C4062,TODAY())&lt;5,"Risco Médio",""),IF(NETWORKDAYS(C4062,TODAY())&lt;=2,"Risco Baixo",""))))</f>
        <v>Expedido</v>
      </c>
      <c r="P4062" s="5" t="s">
        <v>145</v>
      </c>
      <c r="Q4062" s="5" t="s">
        <v>363</v>
      </c>
      <c r="S4062" s="7" t="str">
        <f>IF(ISBLANK(M4062),"Aguardando Previsão/Data",NETWORKDAYS(L4062,M4062)-1)</f>
        <v>Aguardando Previsão/Data</v>
      </c>
      <c r="T4062" s="5" t="s">
        <v>942</v>
      </c>
    </row>
    <row r="4063" spans="1:20" x14ac:dyDescent="0.35">
      <c r="A4063" s="5">
        <v>8100285893</v>
      </c>
      <c r="B4063" s="5">
        <v>19798</v>
      </c>
      <c r="C4063" s="6">
        <v>45686</v>
      </c>
      <c r="D4063" s="5" t="s">
        <v>106</v>
      </c>
      <c r="E4063" s="5" t="s">
        <v>107</v>
      </c>
      <c r="F4063" s="5" t="s">
        <v>111</v>
      </c>
      <c r="G4063" s="5" t="s">
        <v>112</v>
      </c>
      <c r="H4063" s="5" t="s">
        <v>108</v>
      </c>
      <c r="I4063" s="5" t="s">
        <v>115</v>
      </c>
      <c r="J4063" s="5" t="s">
        <v>125</v>
      </c>
      <c r="K4063" s="5" t="s">
        <v>110</v>
      </c>
      <c r="L4063" s="6">
        <v>45692</v>
      </c>
      <c r="M4063" s="6">
        <v>45691</v>
      </c>
      <c r="N4063" s="6" t="s">
        <v>811</v>
      </c>
      <c r="O4063" s="5" t="str">
        <f ca="1">IF(P4063&lt;&gt;"EXPEDIÇÃO","Expedido",IF(NETWORKDAYS(C4063,TODAY())&gt;=5,"Risco Alto",IF(NETWORKDAYS(C4063,TODAY())&gt;=3,IF(NETWORKDAYS(C4063,TODAY())&lt;5,"Risco Médio",""),IF(NETWORKDAYS(C4063,TODAY())&lt;=2,"Risco Baixo",""))))</f>
        <v>Risco Médio</v>
      </c>
      <c r="P4063" s="5" t="s">
        <v>726</v>
      </c>
      <c r="S4063" s="7">
        <f>IF(ISBLANK(M4063),"Aguardando Previsão/Data",NETWORKDAYS(L4063,M4063)-1)</f>
        <v>-3</v>
      </c>
    </row>
    <row r="4064" spans="1:20" x14ac:dyDescent="0.35">
      <c r="A4064" s="5">
        <v>8100285894</v>
      </c>
      <c r="B4064" s="5">
        <v>19799</v>
      </c>
      <c r="C4064" s="6">
        <v>45686</v>
      </c>
      <c r="D4064" s="5" t="s">
        <v>106</v>
      </c>
      <c r="E4064" s="5" t="s">
        <v>107</v>
      </c>
      <c r="F4064" s="5" t="s">
        <v>66</v>
      </c>
      <c r="G4064" s="5" t="s">
        <v>67</v>
      </c>
      <c r="H4064" s="5" t="s">
        <v>108</v>
      </c>
      <c r="I4064" s="5" t="s">
        <v>394</v>
      </c>
      <c r="J4064" s="5" t="s">
        <v>395</v>
      </c>
      <c r="K4064" s="5" t="s">
        <v>110</v>
      </c>
      <c r="L4064" s="6">
        <v>45693</v>
      </c>
      <c r="M4064" s="6">
        <v>45691</v>
      </c>
      <c r="N4064" s="6" t="s">
        <v>811</v>
      </c>
      <c r="O4064" s="5" t="str">
        <f ca="1">IF(P4064&lt;&gt;"EXPEDIÇÃO","Expedido",IF(NETWORKDAYS(C4064,TODAY())&gt;=5,"Risco Alto",IF(NETWORKDAYS(C4064,TODAY())&gt;=3,IF(NETWORKDAYS(C4064,TODAY())&lt;5,"Risco Médio",""),IF(NETWORKDAYS(C4064,TODAY())&lt;=2,"Risco Baixo",""))))</f>
        <v>Risco Médio</v>
      </c>
      <c r="P4064" s="5" t="s">
        <v>726</v>
      </c>
      <c r="S4064" s="7">
        <f>IF(ISBLANK(M4064),"Aguardando Previsão/Data",NETWORKDAYS(L4064,M4064)-1)</f>
        <v>-4</v>
      </c>
    </row>
    <row r="4065" spans="1:20" x14ac:dyDescent="0.35">
      <c r="A4065" s="5">
        <v>8100285383</v>
      </c>
      <c r="B4065" s="5">
        <v>7450</v>
      </c>
      <c r="C4065" s="6">
        <v>45686</v>
      </c>
      <c r="D4065" s="5" t="s">
        <v>194</v>
      </c>
      <c r="E4065" s="5" t="s">
        <v>195</v>
      </c>
      <c r="F4065" s="5" t="s">
        <v>19</v>
      </c>
      <c r="G4065" s="5" t="s">
        <v>20</v>
      </c>
      <c r="H4065" s="5" t="s">
        <v>108</v>
      </c>
      <c r="I4065" s="5" t="s">
        <v>612</v>
      </c>
      <c r="J4065" s="5" t="s">
        <v>205</v>
      </c>
      <c r="K4065" s="5" t="s">
        <v>198</v>
      </c>
      <c r="L4065" s="6">
        <v>45694</v>
      </c>
      <c r="M4065" s="6">
        <v>45691</v>
      </c>
      <c r="N4065" s="6" t="s">
        <v>811</v>
      </c>
      <c r="O4065" s="5" t="str">
        <f ca="1">IF(P4065&lt;&gt;"EXPEDIÇÃO","Expedido",IF(NETWORKDAYS(C4065,TODAY())&gt;=5,"Risco Alto",IF(NETWORKDAYS(C4065,TODAY())&gt;=3,IF(NETWORKDAYS(C4065,TODAY())&lt;5,"Risco Médio",""),IF(NETWORKDAYS(C4065,TODAY())&lt;=2,"Risco Baixo",""))))</f>
        <v>Risco Médio</v>
      </c>
      <c r="P4065" s="5" t="s">
        <v>726</v>
      </c>
      <c r="S4065" s="7">
        <f>IF(ISBLANK(M4065),"Aguardando Previsão/Data",NETWORKDAYS(L4065,M4065)-1)</f>
        <v>-5</v>
      </c>
    </row>
    <row r="4066" spans="1:20" x14ac:dyDescent="0.35">
      <c r="A4066" s="5">
        <v>8100285384</v>
      </c>
      <c r="B4066" s="5">
        <v>7451</v>
      </c>
      <c r="C4066" s="6">
        <v>45686</v>
      </c>
      <c r="D4066" s="5" t="s">
        <v>194</v>
      </c>
      <c r="E4066" s="5" t="s">
        <v>195</v>
      </c>
      <c r="F4066" s="5" t="s">
        <v>199</v>
      </c>
      <c r="G4066" s="5" t="s">
        <v>200</v>
      </c>
      <c r="H4066" s="5" t="s">
        <v>108</v>
      </c>
      <c r="I4066" s="5" t="s">
        <v>554</v>
      </c>
      <c r="J4066" s="5" t="s">
        <v>208</v>
      </c>
      <c r="K4066" s="5" t="s">
        <v>198</v>
      </c>
      <c r="L4066" s="6">
        <v>45694</v>
      </c>
      <c r="M4066" s="6">
        <v>45691</v>
      </c>
      <c r="N4066" s="6" t="s">
        <v>811</v>
      </c>
      <c r="O4066" s="5" t="str">
        <f ca="1">IF(P4066&lt;&gt;"EXPEDIÇÃO","Expedido",IF(NETWORKDAYS(C4066,TODAY())&gt;=5,"Risco Alto",IF(NETWORKDAYS(C4066,TODAY())&gt;=3,IF(NETWORKDAYS(C4066,TODAY())&lt;5,"Risco Médio",""),IF(NETWORKDAYS(C4066,TODAY())&lt;=2,"Risco Baixo",""))))</f>
        <v>Risco Médio</v>
      </c>
      <c r="P4066" s="5" t="s">
        <v>726</v>
      </c>
      <c r="S4066" s="7">
        <f>IF(ISBLANK(M4066),"Aguardando Previsão/Data",NETWORKDAYS(L4066,M4066)-1)</f>
        <v>-5</v>
      </c>
    </row>
    <row r="4067" spans="1:20" x14ac:dyDescent="0.35">
      <c r="A4067" s="5">
        <v>8100285559</v>
      </c>
      <c r="B4067" s="5">
        <v>7449</v>
      </c>
      <c r="C4067" s="6">
        <v>45686</v>
      </c>
      <c r="D4067" s="5" t="s">
        <v>723</v>
      </c>
      <c r="E4067" s="5" t="s">
        <v>195</v>
      </c>
      <c r="F4067" s="5" t="s">
        <v>724</v>
      </c>
      <c r="G4067" s="5" t="s">
        <v>725</v>
      </c>
      <c r="H4067" s="5" t="s">
        <v>108</v>
      </c>
      <c r="I4067" s="5" t="s">
        <v>1047</v>
      </c>
      <c r="J4067" s="5" t="s">
        <v>408</v>
      </c>
      <c r="K4067" s="5" t="s">
        <v>198</v>
      </c>
      <c r="L4067" s="6">
        <v>45692</v>
      </c>
      <c r="M4067" s="6">
        <v>45686</v>
      </c>
      <c r="N4067" s="6" t="s">
        <v>811</v>
      </c>
      <c r="O4067" s="5" t="str">
        <f ca="1">IF(P4067&lt;&gt;"EXPEDIÇÃO","Expedido",IF(NETWORKDAYS(C4067,TODAY())&gt;=5,"Risco Alto",IF(NETWORKDAYS(C4067,TODAY())&gt;=3,IF(NETWORKDAYS(C4067,TODAY())&lt;5,"Risco Médio",""),IF(NETWORKDAYS(C4067,TODAY())&lt;=2,"Risco Baixo",""))))</f>
        <v>Expedido</v>
      </c>
      <c r="P4067" s="5" t="s">
        <v>25</v>
      </c>
      <c r="S4067" s="7">
        <f>IF(ISBLANK(M4067),"Aguardando Previsão/Data",NETWORKDAYS(L4067,M4067)-1)</f>
        <v>-6</v>
      </c>
      <c r="T4067" s="5" t="s">
        <v>942</v>
      </c>
    </row>
    <row r="4068" spans="1:20" x14ac:dyDescent="0.35">
      <c r="A4068" s="5">
        <v>8100285745</v>
      </c>
      <c r="B4068" s="5">
        <v>7452</v>
      </c>
      <c r="C4068" s="6">
        <v>45686</v>
      </c>
      <c r="D4068" s="5" t="s">
        <v>723</v>
      </c>
      <c r="E4068" s="5" t="s">
        <v>195</v>
      </c>
      <c r="F4068" s="5" t="s">
        <v>724</v>
      </c>
      <c r="G4068" s="5" t="s">
        <v>725</v>
      </c>
      <c r="H4068" s="5" t="s">
        <v>108</v>
      </c>
      <c r="I4068" s="5" t="s">
        <v>1612</v>
      </c>
      <c r="J4068" s="5" t="s">
        <v>1613</v>
      </c>
      <c r="K4068" s="5" t="s">
        <v>198</v>
      </c>
      <c r="L4068" s="6">
        <v>45694</v>
      </c>
      <c r="M4068" s="6">
        <v>45686</v>
      </c>
      <c r="N4068" s="6" t="s">
        <v>811</v>
      </c>
      <c r="O4068" s="5" t="str">
        <f ca="1">IF(P4068&lt;&gt;"EXPEDIÇÃO","Expedido",IF(NETWORKDAYS(C4068,TODAY())&gt;=5,"Risco Alto",IF(NETWORKDAYS(C4068,TODAY())&gt;=3,IF(NETWORKDAYS(C4068,TODAY())&lt;5,"Risco Médio",""),IF(NETWORKDAYS(C4068,TODAY())&lt;=2,"Risco Baixo",""))))</f>
        <v>Expedido</v>
      </c>
      <c r="P4068" s="5" t="s">
        <v>25</v>
      </c>
      <c r="S4068" s="7">
        <f>IF(ISBLANK(M4068),"Aguardando Previsão/Data",NETWORKDAYS(L4068,M4068)-1)</f>
        <v>-8</v>
      </c>
      <c r="T4068" s="5" t="s">
        <v>942</v>
      </c>
    </row>
    <row r="4069" spans="1:20" x14ac:dyDescent="0.35">
      <c r="A4069" s="5">
        <v>8100285752</v>
      </c>
      <c r="B4069" s="5">
        <v>7453</v>
      </c>
      <c r="C4069" s="6">
        <v>45686</v>
      </c>
      <c r="D4069" s="5" t="s">
        <v>723</v>
      </c>
      <c r="E4069" s="5" t="s">
        <v>195</v>
      </c>
      <c r="F4069" s="5" t="s">
        <v>724</v>
      </c>
      <c r="G4069" s="5" t="s">
        <v>725</v>
      </c>
      <c r="H4069" s="5" t="s">
        <v>108</v>
      </c>
      <c r="I4069" s="5" t="s">
        <v>1612</v>
      </c>
      <c r="J4069" s="5" t="s">
        <v>1613</v>
      </c>
      <c r="K4069" s="5" t="s">
        <v>198</v>
      </c>
      <c r="L4069" s="6">
        <v>45694</v>
      </c>
      <c r="M4069" s="6">
        <v>45686</v>
      </c>
      <c r="N4069" s="6" t="s">
        <v>811</v>
      </c>
      <c r="O4069" s="5" t="str">
        <f ca="1">IF(P4069&lt;&gt;"EXPEDIÇÃO","Expedido",IF(NETWORKDAYS(C4069,TODAY())&gt;=5,"Risco Alto",IF(NETWORKDAYS(C4069,TODAY())&gt;=3,IF(NETWORKDAYS(C4069,TODAY())&lt;5,"Risco Médio",""),IF(NETWORKDAYS(C4069,TODAY())&lt;=2,"Risco Baixo",""))))</f>
        <v>Expedido</v>
      </c>
      <c r="P4069" s="5" t="s">
        <v>25</v>
      </c>
      <c r="S4069" s="7">
        <f>IF(ISBLANK(M4069),"Aguardando Previsão/Data",NETWORKDAYS(L4069,M4069)-1)</f>
        <v>-8</v>
      </c>
      <c r="T4069" s="5" t="s">
        <v>942</v>
      </c>
    </row>
    <row r="4070" spans="1:20" x14ac:dyDescent="0.35">
      <c r="A4070" s="5">
        <v>8100285760</v>
      </c>
      <c r="B4070" s="5">
        <v>7454</v>
      </c>
      <c r="C4070" s="6">
        <v>45686</v>
      </c>
      <c r="D4070" s="5" t="s">
        <v>723</v>
      </c>
      <c r="E4070" s="5" t="s">
        <v>195</v>
      </c>
      <c r="F4070" s="5" t="s">
        <v>724</v>
      </c>
      <c r="G4070" s="5" t="s">
        <v>725</v>
      </c>
      <c r="H4070" s="5" t="s">
        <v>108</v>
      </c>
      <c r="I4070" s="5" t="s">
        <v>1614</v>
      </c>
      <c r="J4070" s="5" t="s">
        <v>407</v>
      </c>
      <c r="K4070" s="5" t="s">
        <v>198</v>
      </c>
      <c r="L4070" s="6">
        <v>45692</v>
      </c>
      <c r="M4070" s="6">
        <v>45687</v>
      </c>
      <c r="N4070" s="6" t="s">
        <v>811</v>
      </c>
      <c r="O4070" s="5" t="str">
        <f ca="1">IF(P4070&lt;&gt;"EXPEDIÇÃO","Expedido",IF(NETWORKDAYS(C4070,TODAY())&gt;=5,"Risco Alto",IF(NETWORKDAYS(C4070,TODAY())&gt;=3,IF(NETWORKDAYS(C4070,TODAY())&lt;5,"Risco Médio",""),IF(NETWORKDAYS(C4070,TODAY())&lt;=2,"Risco Baixo",""))))</f>
        <v>Expedido</v>
      </c>
      <c r="P4070" s="5" t="s">
        <v>25</v>
      </c>
      <c r="S4070" s="7">
        <f>IF(ISBLANK(M4070),"Aguardando Previsão/Data",NETWORKDAYS(L4070,M4070)-1)</f>
        <v>-5</v>
      </c>
      <c r="T4070" s="5" t="s">
        <v>942</v>
      </c>
    </row>
    <row r="4071" spans="1:20" x14ac:dyDescent="0.35">
      <c r="A4071" s="5">
        <v>8100285851</v>
      </c>
      <c r="B4071" s="5">
        <v>7457</v>
      </c>
      <c r="C4071" s="6">
        <v>45686</v>
      </c>
      <c r="D4071" s="5" t="s">
        <v>194</v>
      </c>
      <c r="E4071" s="5" t="s">
        <v>195</v>
      </c>
      <c r="F4071" s="5" t="s">
        <v>199</v>
      </c>
      <c r="G4071" s="5" t="s">
        <v>200</v>
      </c>
      <c r="H4071" s="5" t="s">
        <v>108</v>
      </c>
      <c r="I4071" s="5" t="s">
        <v>331</v>
      </c>
      <c r="J4071" s="5" t="s">
        <v>628</v>
      </c>
      <c r="K4071" s="5" t="s">
        <v>198</v>
      </c>
      <c r="L4071" s="6">
        <v>45694</v>
      </c>
      <c r="M4071" s="6">
        <v>45691</v>
      </c>
      <c r="N4071" s="6" t="s">
        <v>811</v>
      </c>
      <c r="O4071" s="5" t="str">
        <f ca="1">IF(P4071&lt;&gt;"EXPEDIÇÃO","Expedido",IF(NETWORKDAYS(C4071,TODAY())&gt;=5,"Risco Alto",IF(NETWORKDAYS(C4071,TODAY())&gt;=3,IF(NETWORKDAYS(C4071,TODAY())&lt;5,"Risco Médio",""),IF(NETWORKDAYS(C4071,TODAY())&lt;=2,"Risco Baixo",""))))</f>
        <v>Risco Médio</v>
      </c>
      <c r="P4071" s="5" t="s">
        <v>726</v>
      </c>
      <c r="S4071" s="7">
        <f>IF(ISBLANK(M4071),"Aguardando Previsão/Data",NETWORKDAYS(L4071,M4071)-1)</f>
        <v>-5</v>
      </c>
    </row>
    <row r="4072" spans="1:20" x14ac:dyDescent="0.35">
      <c r="A4072" s="5">
        <v>8100285852</v>
      </c>
      <c r="B4072" s="5">
        <v>7455</v>
      </c>
      <c r="C4072" s="6">
        <v>45686</v>
      </c>
      <c r="D4072" s="5" t="s">
        <v>194</v>
      </c>
      <c r="E4072" s="5" t="s">
        <v>195</v>
      </c>
      <c r="F4072" s="5" t="s">
        <v>199</v>
      </c>
      <c r="G4072" s="5" t="s">
        <v>200</v>
      </c>
      <c r="H4072" s="5" t="s">
        <v>108</v>
      </c>
      <c r="I4072" s="5" t="s">
        <v>331</v>
      </c>
      <c r="J4072" s="5" t="s">
        <v>516</v>
      </c>
      <c r="K4072" s="5" t="s">
        <v>198</v>
      </c>
      <c r="L4072" s="6">
        <v>45693</v>
      </c>
      <c r="M4072" s="6">
        <v>45691</v>
      </c>
      <c r="N4072" s="6" t="s">
        <v>811</v>
      </c>
      <c r="O4072" s="5" t="str">
        <f ca="1">IF(P4072&lt;&gt;"EXPEDIÇÃO","Expedido",IF(NETWORKDAYS(C4072,TODAY())&gt;=5,"Risco Alto",IF(NETWORKDAYS(C4072,TODAY())&gt;=3,IF(NETWORKDAYS(C4072,TODAY())&lt;5,"Risco Médio",""),IF(NETWORKDAYS(C4072,TODAY())&lt;=2,"Risco Baixo",""))))</f>
        <v>Risco Médio</v>
      </c>
      <c r="P4072" s="5" t="s">
        <v>726</v>
      </c>
      <c r="S4072" s="7">
        <f>IF(ISBLANK(M4072),"Aguardando Previsão/Data",NETWORKDAYS(L4072,M4072)-1)</f>
        <v>-4</v>
      </c>
    </row>
    <row r="4073" spans="1:20" x14ac:dyDescent="0.35">
      <c r="A4073" s="5">
        <v>8100285853</v>
      </c>
      <c r="B4073" s="5">
        <v>7458</v>
      </c>
      <c r="C4073" s="6">
        <v>45686</v>
      </c>
      <c r="D4073" s="5" t="s">
        <v>194</v>
      </c>
      <c r="E4073" s="5" t="s">
        <v>195</v>
      </c>
      <c r="F4073" s="5" t="s">
        <v>199</v>
      </c>
      <c r="G4073" s="5" t="s">
        <v>200</v>
      </c>
      <c r="H4073" s="5" t="s">
        <v>108</v>
      </c>
      <c r="I4073" s="5" t="s">
        <v>331</v>
      </c>
      <c r="J4073" s="5" t="s">
        <v>628</v>
      </c>
      <c r="K4073" s="5" t="s">
        <v>198</v>
      </c>
      <c r="L4073" s="6">
        <v>45694</v>
      </c>
      <c r="M4073" s="6">
        <v>45691</v>
      </c>
      <c r="N4073" s="6" t="s">
        <v>811</v>
      </c>
      <c r="O4073" s="5" t="str">
        <f ca="1">IF(P4073&lt;&gt;"EXPEDIÇÃO","Expedido",IF(NETWORKDAYS(C4073,TODAY())&gt;=5,"Risco Alto",IF(NETWORKDAYS(C4073,TODAY())&gt;=3,IF(NETWORKDAYS(C4073,TODAY())&lt;5,"Risco Médio",""),IF(NETWORKDAYS(C4073,TODAY())&lt;=2,"Risco Baixo",""))))</f>
        <v>Risco Médio</v>
      </c>
      <c r="P4073" s="5" t="s">
        <v>726</v>
      </c>
      <c r="S4073" s="7">
        <f>IF(ISBLANK(M4073),"Aguardando Previsão/Data",NETWORKDAYS(L4073,M4073)-1)</f>
        <v>-5</v>
      </c>
    </row>
    <row r="4074" spans="1:20" x14ac:dyDescent="0.35">
      <c r="A4074" s="5">
        <v>8100285854</v>
      </c>
      <c r="B4074" s="5">
        <v>7459</v>
      </c>
      <c r="C4074" s="6">
        <v>45686</v>
      </c>
      <c r="D4074" s="5" t="s">
        <v>194</v>
      </c>
      <c r="E4074" s="5" t="s">
        <v>195</v>
      </c>
      <c r="F4074" s="5" t="s">
        <v>199</v>
      </c>
      <c r="G4074" s="5" t="s">
        <v>200</v>
      </c>
      <c r="H4074" s="5" t="s">
        <v>108</v>
      </c>
      <c r="I4074" s="5" t="s">
        <v>331</v>
      </c>
      <c r="J4074" s="5" t="s">
        <v>628</v>
      </c>
      <c r="K4074" s="5" t="s">
        <v>198</v>
      </c>
      <c r="L4074" s="6">
        <v>45694</v>
      </c>
      <c r="M4074" s="6">
        <v>45691</v>
      </c>
      <c r="N4074" s="6" t="s">
        <v>811</v>
      </c>
      <c r="O4074" s="5" t="str">
        <f ca="1">IF(P4074&lt;&gt;"EXPEDIÇÃO","Expedido",IF(NETWORKDAYS(C4074,TODAY())&gt;=5,"Risco Alto",IF(NETWORKDAYS(C4074,TODAY())&gt;=3,IF(NETWORKDAYS(C4074,TODAY())&lt;5,"Risco Médio",""),IF(NETWORKDAYS(C4074,TODAY())&lt;=2,"Risco Baixo",""))))</f>
        <v>Risco Médio</v>
      </c>
      <c r="P4074" s="5" t="s">
        <v>726</v>
      </c>
      <c r="S4074" s="7">
        <f>IF(ISBLANK(M4074),"Aguardando Previsão/Data",NETWORKDAYS(L4074,M4074)-1)</f>
        <v>-5</v>
      </c>
    </row>
    <row r="4075" spans="1:20" x14ac:dyDescent="0.35">
      <c r="A4075" s="5">
        <v>8100285855</v>
      </c>
      <c r="B4075" s="5">
        <v>7456</v>
      </c>
      <c r="C4075" s="6">
        <v>45686</v>
      </c>
      <c r="D4075" s="5" t="s">
        <v>194</v>
      </c>
      <c r="E4075" s="5" t="s">
        <v>195</v>
      </c>
      <c r="F4075" s="5" t="s">
        <v>199</v>
      </c>
      <c r="G4075" s="5" t="s">
        <v>200</v>
      </c>
      <c r="H4075" s="5" t="s">
        <v>108</v>
      </c>
      <c r="I4075" s="5" t="s">
        <v>331</v>
      </c>
      <c r="J4075" s="5" t="s">
        <v>516</v>
      </c>
      <c r="K4075" s="5" t="s">
        <v>198</v>
      </c>
      <c r="L4075" s="6">
        <v>45693</v>
      </c>
      <c r="M4075" s="6">
        <v>45691</v>
      </c>
      <c r="N4075" s="6" t="s">
        <v>811</v>
      </c>
      <c r="O4075" s="5" t="str">
        <f ca="1">IF(P4075&lt;&gt;"EXPEDIÇÃO","Expedido",IF(NETWORKDAYS(C4075,TODAY())&gt;=5,"Risco Alto",IF(NETWORKDAYS(C4075,TODAY())&gt;=3,IF(NETWORKDAYS(C4075,TODAY())&lt;5,"Risco Médio",""),IF(NETWORKDAYS(C4075,TODAY())&lt;=2,"Risco Baixo",""))))</f>
        <v>Risco Médio</v>
      </c>
      <c r="P4075" s="5" t="s">
        <v>726</v>
      </c>
      <c r="S4075" s="7">
        <f>IF(ISBLANK(M4075),"Aguardando Previsão/Data",NETWORKDAYS(L4075,M4075)-1)</f>
        <v>-4</v>
      </c>
    </row>
    <row r="4076" spans="1:20" x14ac:dyDescent="0.35">
      <c r="A4076" s="5">
        <v>8100285856</v>
      </c>
      <c r="B4076" s="5">
        <v>7460</v>
      </c>
      <c r="C4076" s="6">
        <v>45686</v>
      </c>
      <c r="D4076" s="5" t="s">
        <v>194</v>
      </c>
      <c r="E4076" s="5" t="s">
        <v>195</v>
      </c>
      <c r="F4076" s="5" t="s">
        <v>199</v>
      </c>
      <c r="G4076" s="5" t="s">
        <v>200</v>
      </c>
      <c r="H4076" s="5" t="s">
        <v>108</v>
      </c>
      <c r="I4076" s="5" t="s">
        <v>331</v>
      </c>
      <c r="J4076" s="5" t="s">
        <v>628</v>
      </c>
      <c r="K4076" s="5" t="s">
        <v>198</v>
      </c>
      <c r="L4076" s="6">
        <v>45694</v>
      </c>
      <c r="M4076" s="6">
        <v>45691</v>
      </c>
      <c r="N4076" s="6" t="s">
        <v>811</v>
      </c>
      <c r="O4076" s="5" t="str">
        <f ca="1">IF(P4076&lt;&gt;"EXPEDIÇÃO","Expedido",IF(NETWORKDAYS(C4076,TODAY())&gt;=5,"Risco Alto",IF(NETWORKDAYS(C4076,TODAY())&gt;=3,IF(NETWORKDAYS(C4076,TODAY())&lt;5,"Risco Médio",""),IF(NETWORKDAYS(C4076,TODAY())&lt;=2,"Risco Baixo",""))))</f>
        <v>Risco Médio</v>
      </c>
      <c r="P4076" s="5" t="s">
        <v>726</v>
      </c>
      <c r="S4076" s="7">
        <f>IF(ISBLANK(M4076),"Aguardando Previsão/Data",NETWORKDAYS(L4076,M4076)-1)</f>
        <v>-5</v>
      </c>
    </row>
    <row r="4077" spans="1:20" x14ac:dyDescent="0.35">
      <c r="A4077" s="5">
        <v>8100285863</v>
      </c>
      <c r="B4077" s="5">
        <v>7461</v>
      </c>
      <c r="C4077" s="6">
        <v>45686</v>
      </c>
      <c r="D4077" s="5" t="s">
        <v>723</v>
      </c>
      <c r="E4077" s="5" t="s">
        <v>195</v>
      </c>
      <c r="F4077" s="5" t="s">
        <v>724</v>
      </c>
      <c r="G4077" s="5" t="s">
        <v>725</v>
      </c>
      <c r="H4077" s="5" t="s">
        <v>108</v>
      </c>
      <c r="I4077" s="5" t="s">
        <v>868</v>
      </c>
      <c r="J4077" s="5" t="s">
        <v>691</v>
      </c>
      <c r="K4077" s="5" t="s">
        <v>198</v>
      </c>
      <c r="L4077" s="6">
        <v>45693</v>
      </c>
      <c r="M4077" s="6">
        <v>45686</v>
      </c>
      <c r="N4077" s="6" t="s">
        <v>811</v>
      </c>
      <c r="O4077" s="5" t="str">
        <f ca="1">IF(P4077&lt;&gt;"EXPEDIÇÃO","Expedido",IF(NETWORKDAYS(C4077,TODAY())&gt;=5,"Risco Alto",IF(NETWORKDAYS(C4077,TODAY())&gt;=3,IF(NETWORKDAYS(C4077,TODAY())&lt;5,"Risco Médio",""),IF(NETWORKDAYS(C4077,TODAY())&lt;=2,"Risco Baixo",""))))</f>
        <v>Expedido</v>
      </c>
      <c r="P4077" s="5" t="s">
        <v>25</v>
      </c>
      <c r="S4077" s="7">
        <f>IF(ISBLANK(M4077),"Aguardando Previsão/Data",NETWORKDAYS(L4077,M4077)-1)</f>
        <v>-7</v>
      </c>
      <c r="T4077" s="5" t="s">
        <v>942</v>
      </c>
    </row>
    <row r="4078" spans="1:20" x14ac:dyDescent="0.35">
      <c r="A4078" s="5">
        <v>8100285864</v>
      </c>
      <c r="B4078" s="5">
        <v>7462</v>
      </c>
      <c r="C4078" s="6">
        <v>45686</v>
      </c>
      <c r="D4078" s="5" t="s">
        <v>723</v>
      </c>
      <c r="E4078" s="5" t="s">
        <v>195</v>
      </c>
      <c r="F4078" s="5" t="s">
        <v>724</v>
      </c>
      <c r="G4078" s="5" t="s">
        <v>725</v>
      </c>
      <c r="H4078" s="5" t="s">
        <v>108</v>
      </c>
      <c r="I4078" s="5" t="s">
        <v>868</v>
      </c>
      <c r="J4078" s="5" t="s">
        <v>691</v>
      </c>
      <c r="K4078" s="5" t="s">
        <v>198</v>
      </c>
      <c r="L4078" s="6">
        <v>45693</v>
      </c>
      <c r="M4078" s="6">
        <v>45686</v>
      </c>
      <c r="N4078" s="6" t="s">
        <v>811</v>
      </c>
      <c r="O4078" s="5" t="str">
        <f ca="1">IF(P4078&lt;&gt;"EXPEDIÇÃO","Expedido",IF(NETWORKDAYS(C4078,TODAY())&gt;=5,"Risco Alto",IF(NETWORKDAYS(C4078,TODAY())&gt;=3,IF(NETWORKDAYS(C4078,TODAY())&lt;5,"Risco Médio",""),IF(NETWORKDAYS(C4078,TODAY())&lt;=2,"Risco Baixo",""))))</f>
        <v>Expedido</v>
      </c>
      <c r="P4078" s="5" t="s">
        <v>25</v>
      </c>
      <c r="S4078" s="7">
        <f>IF(ISBLANK(M4078),"Aguardando Previsão/Data",NETWORKDAYS(L4078,M4078)-1)</f>
        <v>-7</v>
      </c>
      <c r="T4078" s="5" t="s">
        <v>942</v>
      </c>
    </row>
    <row r="4079" spans="1:20" x14ac:dyDescent="0.35">
      <c r="A4079" s="5">
        <v>8100285866</v>
      </c>
      <c r="B4079" s="5">
        <v>7463</v>
      </c>
      <c r="C4079" s="6">
        <v>45686</v>
      </c>
      <c r="D4079" s="5" t="s">
        <v>723</v>
      </c>
      <c r="E4079" s="5" t="s">
        <v>195</v>
      </c>
      <c r="F4079" s="5" t="s">
        <v>724</v>
      </c>
      <c r="G4079" s="5" t="s">
        <v>725</v>
      </c>
      <c r="H4079" s="5" t="s">
        <v>108</v>
      </c>
      <c r="I4079" s="5" t="s">
        <v>868</v>
      </c>
      <c r="J4079" s="5" t="s">
        <v>691</v>
      </c>
      <c r="K4079" s="5" t="s">
        <v>198</v>
      </c>
      <c r="L4079" s="6">
        <v>45693</v>
      </c>
      <c r="M4079" s="6">
        <v>45686</v>
      </c>
      <c r="N4079" s="6" t="s">
        <v>811</v>
      </c>
      <c r="O4079" s="5" t="str">
        <f ca="1">IF(P4079&lt;&gt;"EXPEDIÇÃO","Expedido",IF(NETWORKDAYS(C4079,TODAY())&gt;=5,"Risco Alto",IF(NETWORKDAYS(C4079,TODAY())&gt;=3,IF(NETWORKDAYS(C4079,TODAY())&lt;5,"Risco Médio",""),IF(NETWORKDAYS(C4079,TODAY())&lt;=2,"Risco Baixo",""))))</f>
        <v>Expedido</v>
      </c>
      <c r="P4079" s="5" t="s">
        <v>25</v>
      </c>
      <c r="S4079" s="7">
        <f>IF(ISBLANK(M4079),"Aguardando Previsão/Data",NETWORKDAYS(L4079,M4079)-1)</f>
        <v>-7</v>
      </c>
      <c r="T4079" s="5" t="s">
        <v>942</v>
      </c>
    </row>
    <row r="4080" spans="1:20" x14ac:dyDescent="0.35">
      <c r="A4080" s="5">
        <v>8100285675</v>
      </c>
      <c r="B4080" s="5">
        <v>12520</v>
      </c>
      <c r="C4080" s="6">
        <v>45686</v>
      </c>
      <c r="D4080" s="5" t="s">
        <v>158</v>
      </c>
      <c r="E4080" s="5" t="s">
        <v>159</v>
      </c>
      <c r="F4080" s="5" t="s">
        <v>176</v>
      </c>
      <c r="G4080" s="5" t="s">
        <v>177</v>
      </c>
      <c r="H4080" s="5" t="s">
        <v>108</v>
      </c>
      <c r="I4080" s="5" t="s">
        <v>1088</v>
      </c>
      <c r="J4080" s="5" t="s">
        <v>1089</v>
      </c>
      <c r="K4080" s="5" t="s">
        <v>175</v>
      </c>
      <c r="L4080" s="6">
        <v>45698</v>
      </c>
      <c r="M4080" s="6">
        <v>45695</v>
      </c>
      <c r="N4080" s="6" t="s">
        <v>811</v>
      </c>
      <c r="O4080" s="5" t="str">
        <f ca="1">IF(P4080&lt;&gt;"EXPEDIÇÃO","Expedido",IF(NETWORKDAYS(C4080,TODAY())&gt;=5,"Risco Alto",IF(NETWORKDAYS(C4080,TODAY())&gt;=3,IF(NETWORKDAYS(C4080,TODAY())&lt;5,"Risco Médio",""),IF(NETWORKDAYS(C4080,TODAY())&lt;=2,"Risco Baixo",""))))</f>
        <v>Risco Médio</v>
      </c>
      <c r="P4080" s="5" t="s">
        <v>726</v>
      </c>
      <c r="S4080" s="7">
        <f>IF(ISBLANK(M4080),"Aguardando Previsão/Data",NETWORKDAYS(L4080,M4080)-1)</f>
        <v>-3</v>
      </c>
    </row>
  </sheetData>
  <autoFilter ref="A1:T4080" xr:uid="{16EEDA9D-D7CC-4C0F-9B27-DC6F12766E6D}">
    <sortState xmlns:xlrd2="http://schemas.microsoft.com/office/spreadsheetml/2017/richdata2" ref="A2:T4080">
      <sortCondition ref="C1:C4080"/>
    </sortState>
  </autoFilter>
  <conditionalFormatting sqref="N1:N291">
    <cfRule type="containsText" dxfId="350" priority="751" operator="containsText" text="NO PRAZO">
      <formula>NOT(ISERROR(SEARCH("NO PRAZO",N1)))</formula>
    </cfRule>
    <cfRule type="containsText" dxfId="349" priority="752" operator="containsText" text="FORA DO PRAZO">
      <formula>NOT(ISERROR(SEARCH("FORA DO PRAZO",N1)))</formula>
    </cfRule>
    <cfRule type="containsText" dxfId="348" priority="753" operator="containsText" text="AVALIAR">
      <formula>NOT(ISERROR(SEARCH("AVALIAR",N1)))</formula>
    </cfRule>
  </conditionalFormatting>
  <conditionalFormatting sqref="N1">
    <cfRule type="containsText" dxfId="347" priority="745" operator="containsText" text="NO PRAZO">
      <formula>NOT(ISERROR(SEARCH("NO PRAZO",N1)))</formula>
    </cfRule>
    <cfRule type="containsText" dxfId="346" priority="746" operator="containsText" text="FORA DO PRAZO">
      <formula>NOT(ISERROR(SEARCH("FORA DO PRAZO",N1)))</formula>
    </cfRule>
    <cfRule type="containsText" dxfId="345" priority="747" operator="containsText" text="AVALIAR">
      <formula>NOT(ISERROR(SEARCH("AVALIAR",N1)))</formula>
    </cfRule>
  </conditionalFormatting>
  <conditionalFormatting sqref="O1:O4080">
    <cfRule type="containsText" dxfId="344" priority="748" operator="containsText" text="Risco Baixo">
      <formula>NOT(ISERROR(SEARCH("Risco Baixo",O1)))</formula>
    </cfRule>
    <cfRule type="containsText" dxfId="343" priority="749" operator="containsText" text="Risco Médio">
      <formula>NOT(ISERROR(SEARCH("Risco Médio",O1)))</formula>
    </cfRule>
    <cfRule type="containsText" dxfId="342" priority="750" operator="containsText" text="Risco Alto">
      <formula>NOT(ISERROR(SEARCH("Risco Alto",O1)))</formula>
    </cfRule>
  </conditionalFormatting>
  <conditionalFormatting sqref="N5:N249">
    <cfRule type="containsText" dxfId="341" priority="340" operator="containsText" text="NO PRAZO">
      <formula>NOT(ISERROR(SEARCH("NO PRAZO",N5)))</formula>
    </cfRule>
    <cfRule type="containsText" dxfId="340" priority="341" operator="containsText" text="FORA DO PRAZO">
      <formula>NOT(ISERROR(SEARCH("FORA DO PRAZO",N5)))</formula>
    </cfRule>
    <cfRule type="containsText" dxfId="339" priority="342" operator="containsText" text="AVALIAR">
      <formula>NOT(ISERROR(SEARCH("AVALIAR",N5)))</formula>
    </cfRule>
  </conditionalFormatting>
  <conditionalFormatting sqref="O250:O256">
    <cfRule type="containsText" dxfId="338" priority="322" operator="containsText" text="Risco Baixo">
      <formula>NOT(ISERROR(SEARCH("Risco Baixo",O250)))</formula>
    </cfRule>
    <cfRule type="containsText" dxfId="337" priority="323" operator="containsText" text="Risco Médio">
      <formula>NOT(ISERROR(SEARCH("Risco Médio",O250)))</formula>
    </cfRule>
    <cfRule type="containsText" dxfId="336" priority="324" operator="containsText" text="Risco Alto">
      <formula>NOT(ISERROR(SEARCH("Risco Alto",O250)))</formula>
    </cfRule>
    <cfRule type="containsText" dxfId="335" priority="325" operator="containsText" text="Risco Baixo">
      <formula>NOT(ISERROR(SEARCH("Risco Baixo",O250)))</formula>
    </cfRule>
    <cfRule type="containsText" dxfId="334" priority="326" operator="containsText" text="Risco Médio">
      <formula>NOT(ISERROR(SEARCH("Risco Médio",O250)))</formula>
    </cfRule>
    <cfRule type="containsText" dxfId="333" priority="327" operator="containsText" text="Risco Alto">
      <formula>NOT(ISERROR(SEARCH("Risco Alto",O250)))</formula>
    </cfRule>
    <cfRule type="containsText" dxfId="332" priority="328" operator="containsText" text="Risco Baixo">
      <formula>NOT(ISERROR(SEARCH("Risco Baixo",O250)))</formula>
    </cfRule>
    <cfRule type="containsText" dxfId="331" priority="329" operator="containsText" text="Risco Médio">
      <formula>NOT(ISERROR(SEARCH("Risco Médio",O250)))</formula>
    </cfRule>
    <cfRule type="containsText" dxfId="330" priority="330" operator="containsText" text="Risco Alto">
      <formula>NOT(ISERROR(SEARCH("Risco Alto",O250)))</formula>
    </cfRule>
    <cfRule type="containsText" dxfId="329" priority="331" operator="containsText" text="Risco Baixo">
      <formula>NOT(ISERROR(SEARCH("Risco Baixo",O250)))</formula>
    </cfRule>
    <cfRule type="containsText" dxfId="328" priority="332" operator="containsText" text="Risco Médio">
      <formula>NOT(ISERROR(SEARCH("Risco Médio",O250)))</formula>
    </cfRule>
    <cfRule type="containsText" dxfId="327" priority="333" operator="containsText" text="Risco Alto">
      <formula>NOT(ISERROR(SEARCH("Risco Alto",O250)))</formula>
    </cfRule>
  </conditionalFormatting>
  <conditionalFormatting sqref="O250:O280">
    <cfRule type="containsText" dxfId="326" priority="319" operator="containsText" text="Risco Baixo">
      <formula>NOT(ISERROR(SEARCH("Risco Baixo",O250)))</formula>
    </cfRule>
    <cfRule type="containsText" dxfId="325" priority="320" operator="containsText" text="Risco Médio">
      <formula>NOT(ISERROR(SEARCH("Risco Médio",O250)))</formula>
    </cfRule>
    <cfRule type="containsText" dxfId="324" priority="321" operator="containsText" text="Risco Alto">
      <formula>NOT(ISERROR(SEARCH("Risco Alto",O250)))</formula>
    </cfRule>
    <cfRule type="containsText" dxfId="323" priority="334" operator="containsText" text="Risco Baixo">
      <formula>NOT(ISERROR(SEARCH("Risco Baixo",O250)))</formula>
    </cfRule>
    <cfRule type="containsText" dxfId="322" priority="335" operator="containsText" text="Risco Médio">
      <formula>NOT(ISERROR(SEARCH("Risco Médio",O250)))</formula>
    </cfRule>
    <cfRule type="containsText" dxfId="321" priority="336" operator="containsText" text="Risco Alto">
      <formula>NOT(ISERROR(SEARCH("Risco Alto",O250)))</formula>
    </cfRule>
  </conditionalFormatting>
  <conditionalFormatting sqref="O250:O291">
    <cfRule type="containsText" dxfId="320" priority="337" operator="containsText" text="Risco Baixo">
      <formula>NOT(ISERROR(SEARCH("Risco Baixo",O250)))</formula>
    </cfRule>
    <cfRule type="containsText" dxfId="319" priority="338" operator="containsText" text="Risco Médio">
      <formula>NOT(ISERROR(SEARCH("Risco Médio",O250)))</formula>
    </cfRule>
    <cfRule type="containsText" dxfId="318" priority="339" operator="containsText" text="Risco Alto">
      <formula>NOT(ISERROR(SEARCH("Risco Alto",O250)))</formula>
    </cfRule>
  </conditionalFormatting>
  <conditionalFormatting sqref="O257:O269">
    <cfRule type="containsText" dxfId="317" priority="316" operator="containsText" text="Risco Baixo">
      <formula>NOT(ISERROR(SEARCH("Risco Baixo",O257)))</formula>
    </cfRule>
    <cfRule type="containsText" dxfId="316" priority="317" operator="containsText" text="Risco Médio">
      <formula>NOT(ISERROR(SEARCH("Risco Médio",O257)))</formula>
    </cfRule>
    <cfRule type="containsText" dxfId="315" priority="318" operator="containsText" text="Risco Alto">
      <formula>NOT(ISERROR(SEARCH("Risco Alto",O257)))</formula>
    </cfRule>
  </conditionalFormatting>
  <conditionalFormatting sqref="O268:O269">
    <cfRule type="containsText" dxfId="314" priority="310" operator="containsText" text="Risco Baixo">
      <formula>NOT(ISERROR(SEARCH("Risco Baixo",O268)))</formula>
    </cfRule>
    <cfRule type="containsText" dxfId="313" priority="311" operator="containsText" text="Risco Médio">
      <formula>NOT(ISERROR(SEARCH("Risco Médio",O268)))</formula>
    </cfRule>
    <cfRule type="containsText" dxfId="312" priority="312" operator="containsText" text="Risco Alto">
      <formula>NOT(ISERROR(SEARCH("Risco Alto",O268)))</formula>
    </cfRule>
    <cfRule type="containsText" dxfId="311" priority="313" operator="containsText" text="Risco Baixo">
      <formula>NOT(ISERROR(SEARCH("Risco Baixo",O268)))</formula>
    </cfRule>
    <cfRule type="containsText" dxfId="310" priority="314" operator="containsText" text="Risco Médio">
      <formula>NOT(ISERROR(SEARCH("Risco Médio",O268)))</formula>
    </cfRule>
    <cfRule type="containsText" dxfId="309" priority="315" operator="containsText" text="Risco Alto">
      <formula>NOT(ISERROR(SEARCH("Risco Alto",O268)))</formula>
    </cfRule>
  </conditionalFormatting>
  <conditionalFormatting sqref="O268:O280">
    <cfRule type="containsText" dxfId="308" priority="307" operator="containsText" text="Risco Baixo">
      <formula>NOT(ISERROR(SEARCH("Risco Baixo",O268)))</formula>
    </cfRule>
    <cfRule type="containsText" dxfId="307" priority="308" operator="containsText" text="Risco Médio">
      <formula>NOT(ISERROR(SEARCH("Risco Médio",O268)))</formula>
    </cfRule>
    <cfRule type="containsText" dxfId="306" priority="309" operator="containsText" text="Risco Alto">
      <formula>NOT(ISERROR(SEARCH("Risco Alto",O268)))</formula>
    </cfRule>
  </conditionalFormatting>
  <conditionalFormatting sqref="O270:O280">
    <cfRule type="containsText" dxfId="305" priority="298" operator="containsText" text="Risco Baixo">
      <formula>NOT(ISERROR(SEARCH("Risco Baixo",O270)))</formula>
    </cfRule>
    <cfRule type="containsText" dxfId="304" priority="299" operator="containsText" text="Risco Médio">
      <formula>NOT(ISERROR(SEARCH("Risco Médio",O270)))</formula>
    </cfRule>
    <cfRule type="containsText" dxfId="303" priority="300" operator="containsText" text="Risco Alto">
      <formula>NOT(ISERROR(SEARCH("Risco Alto",O270)))</formula>
    </cfRule>
    <cfRule type="containsText" dxfId="302" priority="301" operator="containsText" text="Risco Baixo">
      <formula>NOT(ISERROR(SEARCH("Risco Baixo",O270)))</formula>
    </cfRule>
    <cfRule type="containsText" dxfId="301" priority="302" operator="containsText" text="Risco Médio">
      <formula>NOT(ISERROR(SEARCH("Risco Médio",O270)))</formula>
    </cfRule>
    <cfRule type="containsText" dxfId="300" priority="303" operator="containsText" text="Risco Alto">
      <formula>NOT(ISERROR(SEARCH("Risco Alto",O270)))</formula>
    </cfRule>
    <cfRule type="containsText" dxfId="299" priority="304" operator="containsText" text="Risco Baixo">
      <formula>NOT(ISERROR(SEARCH("Risco Baixo",O270)))</formula>
    </cfRule>
    <cfRule type="containsText" dxfId="298" priority="305" operator="containsText" text="Risco Médio">
      <formula>NOT(ISERROR(SEARCH("Risco Médio",O270)))</formula>
    </cfRule>
    <cfRule type="containsText" dxfId="297" priority="306" operator="containsText" text="Risco Alto">
      <formula>NOT(ISERROR(SEARCH("Risco Alto",O270)))</formula>
    </cfRule>
  </conditionalFormatting>
  <conditionalFormatting sqref="N292:N379">
    <cfRule type="containsText" dxfId="296" priority="292" operator="containsText" text="NO PRAZO">
      <formula>NOT(ISERROR(SEARCH("NO PRAZO",N292)))</formula>
    </cfRule>
    <cfRule type="containsText" dxfId="295" priority="293" operator="containsText" text="FORA DO PRAZO">
      <formula>NOT(ISERROR(SEARCH("FORA DO PRAZO",N292)))</formula>
    </cfRule>
    <cfRule type="containsText" dxfId="294" priority="294" operator="containsText" text="AVALIAR">
      <formula>NOT(ISERROR(SEARCH("AVALIAR",N292)))</formula>
    </cfRule>
  </conditionalFormatting>
  <conditionalFormatting sqref="N292:N1568">
    <cfRule type="containsText" dxfId="293" priority="289" operator="containsText" text="NO PRAZO">
      <formula>NOT(ISERROR(SEARCH("NO PRAZO",N292)))</formula>
    </cfRule>
    <cfRule type="containsText" dxfId="292" priority="290" operator="containsText" text="FORA DO PRAZO">
      <formula>NOT(ISERROR(SEARCH("FORA DO PRAZO",N292)))</formula>
    </cfRule>
    <cfRule type="containsText" dxfId="291" priority="291" operator="containsText" text="AVALIAR">
      <formula>NOT(ISERROR(SEARCH("AVALIAR",N292)))</formula>
    </cfRule>
  </conditionalFormatting>
  <conditionalFormatting sqref="N380:N1373">
    <cfRule type="containsText" dxfId="290" priority="286" operator="containsText" text="NO PRAZO">
      <formula>NOT(ISERROR(SEARCH("NO PRAZO",N380)))</formula>
    </cfRule>
    <cfRule type="containsText" dxfId="289" priority="287" operator="containsText" text="FORA DO PRAZO">
      <formula>NOT(ISERROR(SEARCH("FORA DO PRAZO",N380)))</formula>
    </cfRule>
    <cfRule type="containsText" dxfId="288" priority="288" operator="containsText" text="AVALIAR">
      <formula>NOT(ISERROR(SEARCH("AVALIAR",N380)))</formula>
    </cfRule>
  </conditionalFormatting>
  <conditionalFormatting sqref="O292:O1568">
    <cfRule type="containsText" dxfId="287" priority="295" operator="containsText" text="Risco Baixo">
      <formula>NOT(ISERROR(SEARCH("Risco Baixo",O292)))</formula>
    </cfRule>
    <cfRule type="containsText" dxfId="286" priority="296" operator="containsText" text="Risco Médio">
      <formula>NOT(ISERROR(SEARCH("Risco Médio",O292)))</formula>
    </cfRule>
    <cfRule type="containsText" dxfId="285" priority="297" operator="containsText" text="Risco Alto">
      <formula>NOT(ISERROR(SEARCH("Risco Alto",O292)))</formula>
    </cfRule>
  </conditionalFormatting>
  <conditionalFormatting sqref="O1391:O1418">
    <cfRule type="containsText" dxfId="284" priority="268" operator="containsText" text="Risco Baixo">
      <formula>NOT(ISERROR(SEARCH("Risco Baixo",O1391)))</formula>
    </cfRule>
    <cfRule type="containsText" dxfId="283" priority="269" operator="containsText" text="Risco Médio">
      <formula>NOT(ISERROR(SEARCH("Risco Médio",O1391)))</formula>
    </cfRule>
    <cfRule type="containsText" dxfId="282" priority="270" operator="containsText" text="Risco Alto">
      <formula>NOT(ISERROR(SEARCH("Risco Alto",O1391)))</formula>
    </cfRule>
    <cfRule type="containsText" dxfId="281" priority="271" operator="containsText" text="Risco Baixo">
      <formula>NOT(ISERROR(SEARCH("Risco Baixo",O1391)))</formula>
    </cfRule>
    <cfRule type="containsText" dxfId="280" priority="272" operator="containsText" text="Risco Médio">
      <formula>NOT(ISERROR(SEARCH("Risco Médio",O1391)))</formula>
    </cfRule>
    <cfRule type="containsText" dxfId="279" priority="273" operator="containsText" text="Risco Alto">
      <formula>NOT(ISERROR(SEARCH("Risco Alto",O1391)))</formula>
    </cfRule>
    <cfRule type="containsText" dxfId="278" priority="274" operator="containsText" text="Risco Baixo">
      <formula>NOT(ISERROR(SEARCH("Risco Baixo",O1391)))</formula>
    </cfRule>
    <cfRule type="containsText" dxfId="277" priority="275" operator="containsText" text="Risco Médio">
      <formula>NOT(ISERROR(SEARCH("Risco Médio",O1391)))</formula>
    </cfRule>
    <cfRule type="containsText" dxfId="276" priority="276" operator="containsText" text="Risco Alto">
      <formula>NOT(ISERROR(SEARCH("Risco Alto",O1391)))</formula>
    </cfRule>
    <cfRule type="containsText" dxfId="275" priority="277" operator="containsText" text="Risco Baixo">
      <formula>NOT(ISERROR(SEARCH("Risco Baixo",O1391)))</formula>
    </cfRule>
    <cfRule type="containsText" dxfId="274" priority="278" operator="containsText" text="Risco Médio">
      <formula>NOT(ISERROR(SEARCH("Risco Médio",O1391)))</formula>
    </cfRule>
    <cfRule type="containsText" dxfId="273" priority="279" operator="containsText" text="Risco Alto">
      <formula>NOT(ISERROR(SEARCH("Risco Alto",O1391)))</formula>
    </cfRule>
  </conditionalFormatting>
  <conditionalFormatting sqref="O1391:O1504">
    <cfRule type="containsText" dxfId="272" priority="265" operator="containsText" text="Risco Baixo">
      <formula>NOT(ISERROR(SEARCH("Risco Baixo",O1391)))</formula>
    </cfRule>
    <cfRule type="containsText" dxfId="271" priority="266" operator="containsText" text="Risco Médio">
      <formula>NOT(ISERROR(SEARCH("Risco Médio",O1391)))</formula>
    </cfRule>
    <cfRule type="containsText" dxfId="270" priority="267" operator="containsText" text="Risco Alto">
      <formula>NOT(ISERROR(SEARCH("Risco Alto",O1391)))</formula>
    </cfRule>
  </conditionalFormatting>
  <conditionalFormatting sqref="O1391:O1523">
    <cfRule type="containsText" dxfId="269" priority="280" operator="containsText" text="Risco Baixo">
      <formula>NOT(ISERROR(SEARCH("Risco Baixo",O1391)))</formula>
    </cfRule>
    <cfRule type="containsText" dxfId="268" priority="281" operator="containsText" text="Risco Médio">
      <formula>NOT(ISERROR(SEARCH("Risco Médio",O1391)))</formula>
    </cfRule>
    <cfRule type="containsText" dxfId="267" priority="282" operator="containsText" text="Risco Alto">
      <formula>NOT(ISERROR(SEARCH("Risco Alto",O1391)))</formula>
    </cfRule>
  </conditionalFormatting>
  <conditionalFormatting sqref="O1391:O1568">
    <cfRule type="containsText" dxfId="266" priority="283" operator="containsText" text="Risco Baixo">
      <formula>NOT(ISERROR(SEARCH("Risco Baixo",O1391)))</formula>
    </cfRule>
    <cfRule type="containsText" dxfId="265" priority="284" operator="containsText" text="Risco Médio">
      <formula>NOT(ISERROR(SEARCH("Risco Médio",O1391)))</formula>
    </cfRule>
    <cfRule type="containsText" dxfId="264" priority="285" operator="containsText" text="Risco Alto">
      <formula>NOT(ISERROR(SEARCH("Risco Alto",O1391)))</formula>
    </cfRule>
  </conditionalFormatting>
  <conditionalFormatting sqref="O1419:O1446">
    <cfRule type="containsText" dxfId="263" priority="256" operator="containsText" text="Risco Baixo">
      <formula>NOT(ISERROR(SEARCH("Risco Baixo",O1419)))</formula>
    </cfRule>
    <cfRule type="containsText" dxfId="262" priority="257" operator="containsText" text="Risco Médio">
      <formula>NOT(ISERROR(SEARCH("Risco Médio",O1419)))</formula>
    </cfRule>
    <cfRule type="containsText" dxfId="261" priority="258" operator="containsText" text="Risco Alto">
      <formula>NOT(ISERROR(SEARCH("Risco Alto",O1419)))</formula>
    </cfRule>
    <cfRule type="containsText" dxfId="260" priority="259" operator="containsText" text="Risco Baixo">
      <formula>NOT(ISERROR(SEARCH("Risco Baixo",O1419)))</formula>
    </cfRule>
    <cfRule type="containsText" dxfId="259" priority="260" operator="containsText" text="Risco Médio">
      <formula>NOT(ISERROR(SEARCH("Risco Médio",O1419)))</formula>
    </cfRule>
    <cfRule type="containsText" dxfId="258" priority="261" operator="containsText" text="Risco Alto">
      <formula>NOT(ISERROR(SEARCH("Risco Alto",O1419)))</formula>
    </cfRule>
    <cfRule type="containsText" dxfId="257" priority="262" operator="containsText" text="Risco Baixo">
      <formula>NOT(ISERROR(SEARCH("Risco Baixo",O1419)))</formula>
    </cfRule>
    <cfRule type="containsText" dxfId="256" priority="263" operator="containsText" text="Risco Médio">
      <formula>NOT(ISERROR(SEARCH("Risco Médio",O1419)))</formula>
    </cfRule>
    <cfRule type="containsText" dxfId="255" priority="264" operator="containsText" text="Risco Alto">
      <formula>NOT(ISERROR(SEARCH("Risco Alto",O1419)))</formula>
    </cfRule>
  </conditionalFormatting>
  <conditionalFormatting sqref="O1419:O1452">
    <cfRule type="containsText" dxfId="254" priority="253" operator="containsText" text="Risco Baixo">
      <formula>NOT(ISERROR(SEARCH("Risco Baixo",O1419)))</formula>
    </cfRule>
    <cfRule type="containsText" dxfId="253" priority="254" operator="containsText" text="Risco Médio">
      <formula>NOT(ISERROR(SEARCH("Risco Médio",O1419)))</formula>
    </cfRule>
    <cfRule type="containsText" dxfId="252" priority="255" operator="containsText" text="Risco Alto">
      <formula>NOT(ISERROR(SEARCH("Risco Alto",O1419)))</formula>
    </cfRule>
  </conditionalFormatting>
  <conditionalFormatting sqref="O1447:O1452">
    <cfRule type="containsText" dxfId="251" priority="250" operator="containsText" text="Risco Baixo">
      <formula>NOT(ISERROR(SEARCH("Risco Baixo",O1447)))</formula>
    </cfRule>
    <cfRule type="containsText" dxfId="250" priority="251" operator="containsText" text="Risco Médio">
      <formula>NOT(ISERROR(SEARCH("Risco Médio",O1447)))</formula>
    </cfRule>
    <cfRule type="containsText" dxfId="249" priority="252" operator="containsText" text="Risco Alto">
      <formula>NOT(ISERROR(SEARCH("Risco Alto",O1447)))</formula>
    </cfRule>
  </conditionalFormatting>
  <conditionalFormatting sqref="O1447:O1504">
    <cfRule type="containsText" dxfId="248" priority="247" operator="containsText" text="Risco Baixo">
      <formula>NOT(ISERROR(SEARCH("Risco Baixo",O1447)))</formula>
    </cfRule>
    <cfRule type="containsText" dxfId="247" priority="248" operator="containsText" text="Risco Médio">
      <formula>NOT(ISERROR(SEARCH("Risco Médio",O1447)))</formula>
    </cfRule>
    <cfRule type="containsText" dxfId="246" priority="249" operator="containsText" text="Risco Alto">
      <formula>NOT(ISERROR(SEARCH("Risco Alto",O1447)))</formula>
    </cfRule>
  </conditionalFormatting>
  <conditionalFormatting sqref="O1453:O1504">
    <cfRule type="containsText" dxfId="245" priority="241" operator="containsText" text="Risco Baixo">
      <formula>NOT(ISERROR(SEARCH("Risco Baixo",O1453)))</formula>
    </cfRule>
    <cfRule type="containsText" dxfId="244" priority="242" operator="containsText" text="Risco Médio">
      <formula>NOT(ISERROR(SEARCH("Risco Médio",O1453)))</formula>
    </cfRule>
    <cfRule type="containsText" dxfId="243" priority="243" operator="containsText" text="Risco Alto">
      <formula>NOT(ISERROR(SEARCH("Risco Alto",O1453)))</formula>
    </cfRule>
    <cfRule type="containsText" dxfId="242" priority="244" operator="containsText" text="Risco Baixo">
      <formula>NOT(ISERROR(SEARCH("Risco Baixo",O1453)))</formula>
    </cfRule>
    <cfRule type="containsText" dxfId="241" priority="245" operator="containsText" text="Risco Médio">
      <formula>NOT(ISERROR(SEARCH("Risco Médio",O1453)))</formula>
    </cfRule>
    <cfRule type="containsText" dxfId="240" priority="246" operator="containsText" text="Risco Alto">
      <formula>NOT(ISERROR(SEARCH("Risco Alto",O1453)))</formula>
    </cfRule>
  </conditionalFormatting>
  <conditionalFormatting sqref="O1453:O1523">
    <cfRule type="containsText" dxfId="239" priority="238" operator="containsText" text="Risco Baixo">
      <formula>NOT(ISERROR(SEARCH("Risco Baixo",O1453)))</formula>
    </cfRule>
    <cfRule type="containsText" dxfId="238" priority="239" operator="containsText" text="Risco Médio">
      <formula>NOT(ISERROR(SEARCH("Risco Médio",O1453)))</formula>
    </cfRule>
    <cfRule type="containsText" dxfId="237" priority="240" operator="containsText" text="Risco Alto">
      <formula>NOT(ISERROR(SEARCH("Risco Alto",O1453)))</formula>
    </cfRule>
  </conditionalFormatting>
  <conditionalFormatting sqref="O1505:O1523">
    <cfRule type="containsText" dxfId="236" priority="235" operator="containsText" text="Risco Baixo">
      <formula>NOT(ISERROR(SEARCH("Risco Baixo",O1505)))</formula>
    </cfRule>
    <cfRule type="containsText" dxfId="235" priority="236" operator="containsText" text="Risco Médio">
      <formula>NOT(ISERROR(SEARCH("Risco Médio",O1505)))</formula>
    </cfRule>
    <cfRule type="containsText" dxfId="234" priority="237" operator="containsText" text="Risco Alto">
      <formula>NOT(ISERROR(SEARCH("Risco Alto",O1505)))</formula>
    </cfRule>
  </conditionalFormatting>
  <conditionalFormatting sqref="N1569:N1746">
    <cfRule type="containsText" dxfId="233" priority="229" operator="containsText" text="NO PRAZO">
      <formula>NOT(ISERROR(SEARCH("NO PRAZO",N1569)))</formula>
    </cfRule>
    <cfRule type="containsText" dxfId="232" priority="230" operator="containsText" text="FORA DO PRAZO">
      <formula>NOT(ISERROR(SEARCH("FORA DO PRAZO",N1569)))</formula>
    </cfRule>
    <cfRule type="containsText" dxfId="231" priority="231" operator="containsText" text="AVALIAR">
      <formula>NOT(ISERROR(SEARCH("AVALIAR",N1569)))</formula>
    </cfRule>
  </conditionalFormatting>
  <conditionalFormatting sqref="N1569:N2807">
    <cfRule type="containsText" dxfId="230" priority="226" operator="containsText" text="NO PRAZO">
      <formula>NOT(ISERROR(SEARCH("NO PRAZO",N1569)))</formula>
    </cfRule>
    <cfRule type="containsText" dxfId="229" priority="227" operator="containsText" text="FORA DO PRAZO">
      <formula>NOT(ISERROR(SEARCH("FORA DO PRAZO",N1569)))</formula>
    </cfRule>
    <cfRule type="containsText" dxfId="228" priority="228" operator="containsText" text="AVALIAR">
      <formula>NOT(ISERROR(SEARCH("AVALIAR",N1569)))</formula>
    </cfRule>
  </conditionalFormatting>
  <conditionalFormatting sqref="N1747:N2617">
    <cfRule type="containsText" dxfId="227" priority="223" operator="containsText" text="NO PRAZO">
      <formula>NOT(ISERROR(SEARCH("NO PRAZO",N1747)))</formula>
    </cfRule>
    <cfRule type="containsText" dxfId="226" priority="224" operator="containsText" text="FORA DO PRAZO">
      <formula>NOT(ISERROR(SEARCH("FORA DO PRAZO",N1747)))</formula>
    </cfRule>
    <cfRule type="containsText" dxfId="225" priority="225" operator="containsText" text="AVALIAR">
      <formula>NOT(ISERROR(SEARCH("AVALIAR",N1747)))</formula>
    </cfRule>
  </conditionalFormatting>
  <conditionalFormatting sqref="O1569:O2807">
    <cfRule type="containsText" dxfId="224" priority="232" operator="containsText" text="Risco Baixo">
      <formula>NOT(ISERROR(SEARCH("Risco Baixo",O1569)))</formula>
    </cfRule>
    <cfRule type="containsText" dxfId="223" priority="233" operator="containsText" text="Risco Médio">
      <formula>NOT(ISERROR(SEARCH("Risco Médio",O1569)))</formula>
    </cfRule>
    <cfRule type="containsText" dxfId="222" priority="234" operator="containsText" text="Risco Alto">
      <formula>NOT(ISERROR(SEARCH("Risco Alto",O1569)))</formula>
    </cfRule>
  </conditionalFormatting>
  <conditionalFormatting sqref="O2678">
    <cfRule type="containsText" dxfId="221" priority="205" operator="containsText" text="Risco Baixo">
      <formula>NOT(ISERROR(SEARCH("Risco Baixo",O2678)))</formula>
    </cfRule>
    <cfRule type="containsText" dxfId="220" priority="206" operator="containsText" text="Risco Médio">
      <formula>NOT(ISERROR(SEARCH("Risco Médio",O2678)))</formula>
    </cfRule>
    <cfRule type="containsText" dxfId="219" priority="207" operator="containsText" text="Risco Alto">
      <formula>NOT(ISERROR(SEARCH("Risco Alto",O2678)))</formula>
    </cfRule>
  </conditionalFormatting>
  <conditionalFormatting sqref="O2678:O2682">
    <cfRule type="containsText" dxfId="218" priority="202" operator="containsText" text="Risco Baixo">
      <formula>NOT(ISERROR(SEARCH("Risco Baixo",O2678)))</formula>
    </cfRule>
    <cfRule type="containsText" dxfId="217" priority="203" operator="containsText" text="Risco Médio">
      <formula>NOT(ISERROR(SEARCH("Risco Médio",O2678)))</formula>
    </cfRule>
    <cfRule type="containsText" dxfId="216" priority="204" operator="containsText" text="Risco Alto">
      <formula>NOT(ISERROR(SEARCH("Risco Alto",O2678)))</formula>
    </cfRule>
    <cfRule type="containsText" dxfId="215" priority="208" operator="containsText" text="Risco Baixo">
      <formula>NOT(ISERROR(SEARCH("Risco Baixo",O2678)))</formula>
    </cfRule>
    <cfRule type="containsText" dxfId="214" priority="209" operator="containsText" text="Risco Médio">
      <formula>NOT(ISERROR(SEARCH("Risco Médio",O2678)))</formula>
    </cfRule>
    <cfRule type="containsText" dxfId="213" priority="210" operator="containsText" text="Risco Alto">
      <formula>NOT(ISERROR(SEARCH("Risco Alto",O2678)))</formula>
    </cfRule>
    <cfRule type="containsText" dxfId="212" priority="211" operator="containsText" text="Risco Baixo">
      <formula>NOT(ISERROR(SEARCH("Risco Baixo",O2678)))</formula>
    </cfRule>
    <cfRule type="containsText" dxfId="211" priority="212" operator="containsText" text="Risco Médio">
      <formula>NOT(ISERROR(SEARCH("Risco Médio",O2678)))</formula>
    </cfRule>
    <cfRule type="containsText" dxfId="210" priority="213" operator="containsText" text="Risco Alto">
      <formula>NOT(ISERROR(SEARCH("Risco Alto",O2678)))</formula>
    </cfRule>
    <cfRule type="containsText" dxfId="209" priority="214" operator="containsText" text="Risco Baixo">
      <formula>NOT(ISERROR(SEARCH("Risco Baixo",O2678)))</formula>
    </cfRule>
    <cfRule type="containsText" dxfId="208" priority="215" operator="containsText" text="Risco Médio">
      <formula>NOT(ISERROR(SEARCH("Risco Médio",O2678)))</formula>
    </cfRule>
    <cfRule type="containsText" dxfId="207" priority="216" operator="containsText" text="Risco Alto">
      <formula>NOT(ISERROR(SEARCH("Risco Alto",O2678)))</formula>
    </cfRule>
  </conditionalFormatting>
  <conditionalFormatting sqref="O2678:O2730">
    <cfRule type="containsText" dxfId="206" priority="217" operator="containsText" text="Risco Baixo">
      <formula>NOT(ISERROR(SEARCH("Risco Baixo",O2678)))</formula>
    </cfRule>
    <cfRule type="containsText" dxfId="205" priority="218" operator="containsText" text="Risco Médio">
      <formula>NOT(ISERROR(SEARCH("Risco Médio",O2678)))</formula>
    </cfRule>
    <cfRule type="containsText" dxfId="204" priority="219" operator="containsText" text="Risco Alto">
      <formula>NOT(ISERROR(SEARCH("Risco Alto",O2678)))</formula>
    </cfRule>
  </conditionalFormatting>
  <conditionalFormatting sqref="O2678:O2807">
    <cfRule type="containsText" dxfId="203" priority="220" operator="containsText" text="Risco Baixo">
      <formula>NOT(ISERROR(SEARCH("Risco Baixo",O2678)))</formula>
    </cfRule>
    <cfRule type="containsText" dxfId="202" priority="221" operator="containsText" text="Risco Médio">
      <formula>NOT(ISERROR(SEARCH("Risco Médio",O2678)))</formula>
    </cfRule>
    <cfRule type="containsText" dxfId="201" priority="222" operator="containsText" text="Risco Alto">
      <formula>NOT(ISERROR(SEARCH("Risco Alto",O2678)))</formula>
    </cfRule>
  </conditionalFormatting>
  <conditionalFormatting sqref="O2679:O2691">
    <cfRule type="containsText" dxfId="200" priority="199" operator="containsText" text="Risco Baixo">
      <formula>NOT(ISERROR(SEARCH("Risco Baixo",O2679)))</formula>
    </cfRule>
    <cfRule type="containsText" dxfId="199" priority="200" operator="containsText" text="Risco Médio">
      <formula>NOT(ISERROR(SEARCH("Risco Médio",O2679)))</formula>
    </cfRule>
    <cfRule type="containsText" dxfId="198" priority="201" operator="containsText" text="Risco Alto">
      <formula>NOT(ISERROR(SEARCH("Risco Alto",O2679)))</formula>
    </cfRule>
  </conditionalFormatting>
  <conditionalFormatting sqref="O2683:O2691">
    <cfRule type="containsText" dxfId="197" priority="193" operator="containsText" text="Risco Baixo">
      <formula>NOT(ISERROR(SEARCH("Risco Baixo",O2683)))</formula>
    </cfRule>
    <cfRule type="containsText" dxfId="196" priority="194" operator="containsText" text="Risco Médio">
      <formula>NOT(ISERROR(SEARCH("Risco Médio",O2683)))</formula>
    </cfRule>
    <cfRule type="containsText" dxfId="195" priority="195" operator="containsText" text="Risco Alto">
      <formula>NOT(ISERROR(SEARCH("Risco Alto",O2683)))</formula>
    </cfRule>
    <cfRule type="containsText" dxfId="194" priority="196" operator="containsText" text="Risco Baixo">
      <formula>NOT(ISERROR(SEARCH("Risco Baixo",O2683)))</formula>
    </cfRule>
    <cfRule type="containsText" dxfId="193" priority="197" operator="containsText" text="Risco Médio">
      <formula>NOT(ISERROR(SEARCH("Risco Médio",O2683)))</formula>
    </cfRule>
    <cfRule type="containsText" dxfId="192" priority="198" operator="containsText" text="Risco Alto">
      <formula>NOT(ISERROR(SEARCH("Risco Alto",O2683)))</formula>
    </cfRule>
  </conditionalFormatting>
  <conditionalFormatting sqref="O2683:O2730">
    <cfRule type="containsText" dxfId="191" priority="190" operator="containsText" text="Risco Baixo">
      <formula>NOT(ISERROR(SEARCH("Risco Baixo",O2683)))</formula>
    </cfRule>
    <cfRule type="containsText" dxfId="190" priority="191" operator="containsText" text="Risco Médio">
      <formula>NOT(ISERROR(SEARCH("Risco Médio",O2683)))</formula>
    </cfRule>
    <cfRule type="containsText" dxfId="189" priority="192" operator="containsText" text="Risco Alto">
      <formula>NOT(ISERROR(SEARCH("Risco Alto",O2683)))</formula>
    </cfRule>
  </conditionalFormatting>
  <conditionalFormatting sqref="O2692:O2707">
    <cfRule type="containsText" dxfId="188" priority="187" operator="containsText" text="Risco Baixo">
      <formula>NOT(ISERROR(SEARCH("Risco Baixo",O2692)))</formula>
    </cfRule>
    <cfRule type="containsText" dxfId="187" priority="188" operator="containsText" text="Risco Médio">
      <formula>NOT(ISERROR(SEARCH("Risco Médio",O2692)))</formula>
    </cfRule>
    <cfRule type="containsText" dxfId="186" priority="189" operator="containsText" text="Risco Alto">
      <formula>NOT(ISERROR(SEARCH("Risco Alto",O2692)))</formula>
    </cfRule>
  </conditionalFormatting>
  <conditionalFormatting sqref="O2703:O2707">
    <cfRule type="containsText" dxfId="185" priority="181" operator="containsText" text="Risco Baixo">
      <formula>NOT(ISERROR(SEARCH("Risco Baixo",O2703)))</formula>
    </cfRule>
    <cfRule type="containsText" dxfId="184" priority="182" operator="containsText" text="Risco Médio">
      <formula>NOT(ISERROR(SEARCH("Risco Médio",O2703)))</formula>
    </cfRule>
    <cfRule type="containsText" dxfId="183" priority="183" operator="containsText" text="Risco Alto">
      <formula>NOT(ISERROR(SEARCH("Risco Alto",O2703)))</formula>
    </cfRule>
    <cfRule type="containsText" dxfId="182" priority="184" operator="containsText" text="Risco Baixo">
      <formula>NOT(ISERROR(SEARCH("Risco Baixo",O2703)))</formula>
    </cfRule>
    <cfRule type="containsText" dxfId="181" priority="185" operator="containsText" text="Risco Médio">
      <formula>NOT(ISERROR(SEARCH("Risco Médio",O2703)))</formula>
    </cfRule>
    <cfRule type="containsText" dxfId="180" priority="186" operator="containsText" text="Risco Alto">
      <formula>NOT(ISERROR(SEARCH("Risco Alto",O2703)))</formula>
    </cfRule>
  </conditionalFormatting>
  <conditionalFormatting sqref="O2703:O2715">
    <cfRule type="containsText" dxfId="179" priority="178" operator="containsText" text="Risco Baixo">
      <formula>NOT(ISERROR(SEARCH("Risco Baixo",O2703)))</formula>
    </cfRule>
    <cfRule type="containsText" dxfId="178" priority="179" operator="containsText" text="Risco Médio">
      <formula>NOT(ISERROR(SEARCH("Risco Médio",O2703)))</formula>
    </cfRule>
    <cfRule type="containsText" dxfId="177" priority="180" operator="containsText" text="Risco Alto">
      <formula>NOT(ISERROR(SEARCH("Risco Alto",O2703)))</formula>
    </cfRule>
  </conditionalFormatting>
  <conditionalFormatting sqref="O2708:O2715">
    <cfRule type="containsText" dxfId="176" priority="175" operator="containsText" text="Risco Baixo">
      <formula>NOT(ISERROR(SEARCH("Risco Baixo",O2708)))</formula>
    </cfRule>
    <cfRule type="containsText" dxfId="175" priority="176" operator="containsText" text="Risco Médio">
      <formula>NOT(ISERROR(SEARCH("Risco Médio",O2708)))</formula>
    </cfRule>
    <cfRule type="containsText" dxfId="174" priority="177" operator="containsText" text="Risco Alto">
      <formula>NOT(ISERROR(SEARCH("Risco Alto",O2708)))</formula>
    </cfRule>
  </conditionalFormatting>
  <conditionalFormatting sqref="O2708:O2730">
    <cfRule type="containsText" dxfId="173" priority="172" operator="containsText" text="Risco Baixo">
      <formula>NOT(ISERROR(SEARCH("Risco Baixo",O2708)))</formula>
    </cfRule>
    <cfRule type="containsText" dxfId="172" priority="173" operator="containsText" text="Risco Médio">
      <formula>NOT(ISERROR(SEARCH("Risco Médio",O2708)))</formula>
    </cfRule>
    <cfRule type="containsText" dxfId="171" priority="174" operator="containsText" text="Risco Alto">
      <formula>NOT(ISERROR(SEARCH("Risco Alto",O2708)))</formula>
    </cfRule>
  </conditionalFormatting>
  <conditionalFormatting sqref="O2727:O2730">
    <cfRule type="containsText" dxfId="170" priority="166" operator="containsText" text="Risco Baixo">
      <formula>NOT(ISERROR(SEARCH("Risco Baixo",O2727)))</formula>
    </cfRule>
    <cfRule type="containsText" dxfId="169" priority="167" operator="containsText" text="Risco Médio">
      <formula>NOT(ISERROR(SEARCH("Risco Médio",O2727)))</formula>
    </cfRule>
    <cfRule type="containsText" dxfId="168" priority="168" operator="containsText" text="Risco Alto">
      <formula>NOT(ISERROR(SEARCH("Risco Alto",O2727)))</formula>
    </cfRule>
    <cfRule type="containsText" dxfId="167" priority="169" operator="containsText" text="Risco Baixo">
      <formula>NOT(ISERROR(SEARCH("Risco Baixo",O2727)))</formula>
    </cfRule>
    <cfRule type="containsText" dxfId="166" priority="170" operator="containsText" text="Risco Médio">
      <formula>NOT(ISERROR(SEARCH("Risco Médio",O2727)))</formula>
    </cfRule>
    <cfRule type="containsText" dxfId="165" priority="171" operator="containsText" text="Risco Alto">
      <formula>NOT(ISERROR(SEARCH("Risco Alto",O2727)))</formula>
    </cfRule>
  </conditionalFormatting>
  <conditionalFormatting sqref="N2808:N2843">
    <cfRule type="containsText" dxfId="164" priority="160" operator="containsText" text="NO PRAZO">
      <formula>NOT(ISERROR(SEARCH("NO PRAZO",N2808)))</formula>
    </cfRule>
    <cfRule type="containsText" dxfId="163" priority="161" operator="containsText" text="FORA DO PRAZO">
      <formula>NOT(ISERROR(SEARCH("FORA DO PRAZO",N2808)))</formula>
    </cfRule>
    <cfRule type="containsText" dxfId="162" priority="162" operator="containsText" text="AVALIAR">
      <formula>NOT(ISERROR(SEARCH("AVALIAR",N2808)))</formula>
    </cfRule>
  </conditionalFormatting>
  <conditionalFormatting sqref="N2808:N3038">
    <cfRule type="containsText" dxfId="161" priority="157" operator="containsText" text="NO PRAZO">
      <formula>NOT(ISERROR(SEARCH("NO PRAZO",N2808)))</formula>
    </cfRule>
    <cfRule type="containsText" dxfId="160" priority="158" operator="containsText" text="FORA DO PRAZO">
      <formula>NOT(ISERROR(SEARCH("FORA DO PRAZO",N2808)))</formula>
    </cfRule>
    <cfRule type="containsText" dxfId="159" priority="159" operator="containsText" text="AVALIAR">
      <formula>NOT(ISERROR(SEARCH("AVALIAR",N2808)))</formula>
    </cfRule>
  </conditionalFormatting>
  <conditionalFormatting sqref="N2844:N2998">
    <cfRule type="containsText" dxfId="158" priority="154" operator="containsText" text="NO PRAZO">
      <formula>NOT(ISERROR(SEARCH("NO PRAZO",N2844)))</formula>
    </cfRule>
    <cfRule type="containsText" dxfId="157" priority="155" operator="containsText" text="FORA DO PRAZO">
      <formula>NOT(ISERROR(SEARCH("FORA DO PRAZO",N2844)))</formula>
    </cfRule>
    <cfRule type="containsText" dxfId="156" priority="156" operator="containsText" text="AVALIAR">
      <formula>NOT(ISERROR(SEARCH("AVALIAR",N2844)))</formula>
    </cfRule>
  </conditionalFormatting>
  <conditionalFormatting sqref="O2808:O3038">
    <cfRule type="containsText" dxfId="155" priority="163" operator="containsText" text="Risco Baixo">
      <formula>NOT(ISERROR(SEARCH("Risco Baixo",O2808)))</formula>
    </cfRule>
    <cfRule type="containsText" dxfId="154" priority="164" operator="containsText" text="Risco Médio">
      <formula>NOT(ISERROR(SEARCH("Risco Médio",O2808)))</formula>
    </cfRule>
    <cfRule type="containsText" dxfId="153" priority="165" operator="containsText" text="Risco Alto">
      <formula>NOT(ISERROR(SEARCH("Risco Alto",O2808)))</formula>
    </cfRule>
  </conditionalFormatting>
  <conditionalFormatting sqref="O3008:O3014">
    <cfRule type="containsText" dxfId="152" priority="139" operator="containsText" text="Risco Baixo">
      <formula>NOT(ISERROR(SEARCH("Risco Baixo",O3008)))</formula>
    </cfRule>
    <cfRule type="containsText" dxfId="151" priority="140" operator="containsText" text="Risco Médio">
      <formula>NOT(ISERROR(SEARCH("Risco Médio",O3008)))</formula>
    </cfRule>
    <cfRule type="containsText" dxfId="150" priority="141" operator="containsText" text="Risco Alto">
      <formula>NOT(ISERROR(SEARCH("Risco Alto",O3008)))</formula>
    </cfRule>
    <cfRule type="containsText" dxfId="149" priority="142" operator="containsText" text="Risco Baixo">
      <formula>NOT(ISERROR(SEARCH("Risco Baixo",O3008)))</formula>
    </cfRule>
    <cfRule type="containsText" dxfId="148" priority="143" operator="containsText" text="Risco Médio">
      <formula>NOT(ISERROR(SEARCH("Risco Médio",O3008)))</formula>
    </cfRule>
    <cfRule type="containsText" dxfId="147" priority="144" operator="containsText" text="Risco Alto">
      <formula>NOT(ISERROR(SEARCH("Risco Alto",O3008)))</formula>
    </cfRule>
    <cfRule type="containsText" dxfId="146" priority="145" operator="containsText" text="Risco Baixo">
      <formula>NOT(ISERROR(SEARCH("Risco Baixo",O3008)))</formula>
    </cfRule>
    <cfRule type="containsText" dxfId="145" priority="146" operator="containsText" text="Risco Médio">
      <formula>NOT(ISERROR(SEARCH("Risco Médio",O3008)))</formula>
    </cfRule>
    <cfRule type="containsText" dxfId="144" priority="147" operator="containsText" text="Risco Alto">
      <formula>NOT(ISERROR(SEARCH("Risco Alto",O3008)))</formula>
    </cfRule>
  </conditionalFormatting>
  <conditionalFormatting sqref="O3008:O3025">
    <cfRule type="containsText" dxfId="143" priority="136" operator="containsText" text="Risco Baixo">
      <formula>NOT(ISERROR(SEARCH("Risco Baixo",O3008)))</formula>
    </cfRule>
    <cfRule type="containsText" dxfId="142" priority="137" operator="containsText" text="Risco Médio">
      <formula>NOT(ISERROR(SEARCH("Risco Médio",O3008)))</formula>
    </cfRule>
    <cfRule type="containsText" dxfId="141" priority="138" operator="containsText" text="Risco Alto">
      <formula>NOT(ISERROR(SEARCH("Risco Alto",O3008)))</formula>
    </cfRule>
    <cfRule type="containsText" dxfId="140" priority="148" operator="containsText" text="Risco Baixo">
      <formula>NOT(ISERROR(SEARCH("Risco Baixo",O3008)))</formula>
    </cfRule>
    <cfRule type="containsText" dxfId="139" priority="149" operator="containsText" text="Risco Médio">
      <formula>NOT(ISERROR(SEARCH("Risco Médio",O3008)))</formula>
    </cfRule>
    <cfRule type="containsText" dxfId="138" priority="150" operator="containsText" text="Risco Alto">
      <formula>NOT(ISERROR(SEARCH("Risco Alto",O3008)))</formula>
    </cfRule>
  </conditionalFormatting>
  <conditionalFormatting sqref="O3008:O3038">
    <cfRule type="containsText" dxfId="137" priority="151" operator="containsText" text="Risco Baixo">
      <formula>NOT(ISERROR(SEARCH("Risco Baixo",O3008)))</formula>
    </cfRule>
    <cfRule type="containsText" dxfId="136" priority="152" operator="containsText" text="Risco Médio">
      <formula>NOT(ISERROR(SEARCH("Risco Médio",O3008)))</formula>
    </cfRule>
    <cfRule type="containsText" dxfId="135" priority="153" operator="containsText" text="Risco Alto">
      <formula>NOT(ISERROR(SEARCH("Risco Alto",O3008)))</formula>
    </cfRule>
  </conditionalFormatting>
  <conditionalFormatting sqref="O3015:O3018">
    <cfRule type="containsText" dxfId="134" priority="130" operator="containsText" text="Risco Baixo">
      <formula>NOT(ISERROR(SEARCH("Risco Baixo",O3015)))</formula>
    </cfRule>
    <cfRule type="containsText" dxfId="133" priority="131" operator="containsText" text="Risco Médio">
      <formula>NOT(ISERROR(SEARCH("Risco Médio",O3015)))</formula>
    </cfRule>
    <cfRule type="containsText" dxfId="132" priority="132" operator="containsText" text="Risco Alto">
      <formula>NOT(ISERROR(SEARCH("Risco Alto",O3015)))</formula>
    </cfRule>
    <cfRule type="containsText" dxfId="131" priority="133" operator="containsText" text="Risco Baixo">
      <formula>NOT(ISERROR(SEARCH("Risco Baixo",O3015)))</formula>
    </cfRule>
    <cfRule type="containsText" dxfId="130" priority="134" operator="containsText" text="Risco Médio">
      <formula>NOT(ISERROR(SEARCH("Risco Médio",O3015)))</formula>
    </cfRule>
    <cfRule type="containsText" dxfId="129" priority="135" operator="containsText" text="Risco Alto">
      <formula>NOT(ISERROR(SEARCH("Risco Alto",O3015)))</formula>
    </cfRule>
  </conditionalFormatting>
  <conditionalFormatting sqref="O3015:O3025">
    <cfRule type="containsText" dxfId="128" priority="127" operator="containsText" text="Risco Baixo">
      <formula>NOT(ISERROR(SEARCH("Risco Baixo",O3015)))</formula>
    </cfRule>
    <cfRule type="containsText" dxfId="127" priority="128" operator="containsText" text="Risco Médio">
      <formula>NOT(ISERROR(SEARCH("Risco Médio",O3015)))</formula>
    </cfRule>
    <cfRule type="containsText" dxfId="126" priority="129" operator="containsText" text="Risco Alto">
      <formula>NOT(ISERROR(SEARCH("Risco Alto",O3015)))</formula>
    </cfRule>
  </conditionalFormatting>
  <conditionalFormatting sqref="O3019:O3025">
    <cfRule type="containsText" dxfId="125" priority="121" operator="containsText" text="Risco Baixo">
      <formula>NOT(ISERROR(SEARCH("Risco Baixo",O3019)))</formula>
    </cfRule>
    <cfRule type="containsText" dxfId="124" priority="122" operator="containsText" text="Risco Médio">
      <formula>NOT(ISERROR(SEARCH("Risco Médio",O3019)))</formula>
    </cfRule>
    <cfRule type="containsText" dxfId="123" priority="123" operator="containsText" text="Risco Alto">
      <formula>NOT(ISERROR(SEARCH("Risco Alto",O3019)))</formula>
    </cfRule>
    <cfRule type="containsText" dxfId="122" priority="124" operator="containsText" text="Risco Baixo">
      <formula>NOT(ISERROR(SEARCH("Risco Baixo",O3019)))</formula>
    </cfRule>
    <cfRule type="containsText" dxfId="121" priority="125" operator="containsText" text="Risco Médio">
      <formula>NOT(ISERROR(SEARCH("Risco Médio",O3019)))</formula>
    </cfRule>
    <cfRule type="containsText" dxfId="120" priority="126" operator="containsText" text="Risco Alto">
      <formula>NOT(ISERROR(SEARCH("Risco Alto",O3019)))</formula>
    </cfRule>
  </conditionalFormatting>
  <conditionalFormatting sqref="N3039:N3113">
    <cfRule type="containsText" dxfId="119" priority="115" operator="containsText" text="NO PRAZO">
      <formula>NOT(ISERROR(SEARCH("NO PRAZO",N3039)))</formula>
    </cfRule>
    <cfRule type="containsText" dxfId="118" priority="116" operator="containsText" text="FORA DO PRAZO">
      <formula>NOT(ISERROR(SEARCH("FORA DO PRAZO",N3039)))</formula>
    </cfRule>
    <cfRule type="containsText" dxfId="117" priority="117" operator="containsText" text="AVALIAR">
      <formula>NOT(ISERROR(SEARCH("AVALIAR",N3039)))</formula>
    </cfRule>
  </conditionalFormatting>
  <conditionalFormatting sqref="N3039:N4025">
    <cfRule type="containsText" dxfId="116" priority="112" operator="containsText" text="NO PRAZO">
      <formula>NOT(ISERROR(SEARCH("NO PRAZO",N3039)))</formula>
    </cfRule>
    <cfRule type="containsText" dxfId="115" priority="113" operator="containsText" text="FORA DO PRAZO">
      <formula>NOT(ISERROR(SEARCH("FORA DO PRAZO",N3039)))</formula>
    </cfRule>
    <cfRule type="containsText" dxfId="114" priority="114" operator="containsText" text="AVALIAR">
      <formula>NOT(ISERROR(SEARCH("AVALIAR",N3039)))</formula>
    </cfRule>
  </conditionalFormatting>
  <conditionalFormatting sqref="N3114:N3870">
    <cfRule type="containsText" dxfId="113" priority="109" operator="containsText" text="NO PRAZO">
      <formula>NOT(ISERROR(SEARCH("NO PRAZO",N3114)))</formula>
    </cfRule>
    <cfRule type="containsText" dxfId="112" priority="110" operator="containsText" text="FORA DO PRAZO">
      <formula>NOT(ISERROR(SEARCH("FORA DO PRAZO",N3114)))</formula>
    </cfRule>
    <cfRule type="containsText" dxfId="111" priority="111" operator="containsText" text="AVALIAR">
      <formula>NOT(ISERROR(SEARCH("AVALIAR",N3114)))</formula>
    </cfRule>
  </conditionalFormatting>
  <conditionalFormatting sqref="O3039:O4025">
    <cfRule type="containsText" dxfId="110" priority="118" operator="containsText" text="Risco Baixo">
      <formula>NOT(ISERROR(SEARCH("Risco Baixo",O3039)))</formula>
    </cfRule>
    <cfRule type="containsText" dxfId="109" priority="119" operator="containsText" text="Risco Médio">
      <formula>NOT(ISERROR(SEARCH("Risco Médio",O3039)))</formula>
    </cfRule>
    <cfRule type="containsText" dxfId="108" priority="120" operator="containsText" text="Risco Alto">
      <formula>NOT(ISERROR(SEARCH("Risco Alto",O3039)))</formula>
    </cfRule>
  </conditionalFormatting>
  <conditionalFormatting sqref="O3895:O3896">
    <cfRule type="containsText" dxfId="107" priority="94" operator="containsText" text="Risco Baixo">
      <formula>NOT(ISERROR(SEARCH("Risco Baixo",O3895)))</formula>
    </cfRule>
    <cfRule type="containsText" dxfId="106" priority="95" operator="containsText" text="Risco Médio">
      <formula>NOT(ISERROR(SEARCH("Risco Médio",O3895)))</formula>
    </cfRule>
    <cfRule type="containsText" dxfId="105" priority="96" operator="containsText" text="Risco Alto">
      <formula>NOT(ISERROR(SEARCH("Risco Alto",O3895)))</formula>
    </cfRule>
    <cfRule type="containsText" dxfId="104" priority="97" operator="containsText" text="Risco Baixo">
      <formula>NOT(ISERROR(SEARCH("Risco Baixo",O3895)))</formula>
    </cfRule>
    <cfRule type="containsText" dxfId="103" priority="98" operator="containsText" text="Risco Médio">
      <formula>NOT(ISERROR(SEARCH("Risco Médio",O3895)))</formula>
    </cfRule>
    <cfRule type="containsText" dxfId="102" priority="99" operator="containsText" text="Risco Alto">
      <formula>NOT(ISERROR(SEARCH("Risco Alto",O3895)))</formula>
    </cfRule>
  </conditionalFormatting>
  <conditionalFormatting sqref="O3895:O3921">
    <cfRule type="containsText" dxfId="101" priority="91" operator="containsText" text="Risco Baixo">
      <formula>NOT(ISERROR(SEARCH("Risco Baixo",O3895)))</formula>
    </cfRule>
    <cfRule type="containsText" dxfId="100" priority="92" operator="containsText" text="Risco Médio">
      <formula>NOT(ISERROR(SEARCH("Risco Médio",O3895)))</formula>
    </cfRule>
    <cfRule type="containsText" dxfId="99" priority="93" operator="containsText" text="Risco Alto">
      <formula>NOT(ISERROR(SEARCH("Risco Alto",O3895)))</formula>
    </cfRule>
    <cfRule type="containsText" dxfId="98" priority="100" operator="containsText" text="Risco Baixo">
      <formula>NOT(ISERROR(SEARCH("Risco Baixo",O3895)))</formula>
    </cfRule>
    <cfRule type="containsText" dxfId="97" priority="101" operator="containsText" text="Risco Médio">
      <formula>NOT(ISERROR(SEARCH("Risco Médio",O3895)))</formula>
    </cfRule>
    <cfRule type="containsText" dxfId="96" priority="102" operator="containsText" text="Risco Alto">
      <formula>NOT(ISERROR(SEARCH("Risco Alto",O3895)))</formula>
    </cfRule>
  </conditionalFormatting>
  <conditionalFormatting sqref="O3895:O3986">
    <cfRule type="containsText" dxfId="95" priority="103" operator="containsText" text="Risco Baixo">
      <formula>NOT(ISERROR(SEARCH("Risco Baixo",O3895)))</formula>
    </cfRule>
    <cfRule type="containsText" dxfId="94" priority="104" operator="containsText" text="Risco Médio">
      <formula>NOT(ISERROR(SEARCH("Risco Médio",O3895)))</formula>
    </cfRule>
    <cfRule type="containsText" dxfId="93" priority="105" operator="containsText" text="Risco Alto">
      <formula>NOT(ISERROR(SEARCH("Risco Alto",O3895)))</formula>
    </cfRule>
  </conditionalFormatting>
  <conditionalFormatting sqref="O3895:O4025">
    <cfRule type="containsText" dxfId="92" priority="106" operator="containsText" text="Risco Baixo">
      <formula>NOT(ISERROR(SEARCH("Risco Baixo",O3895)))</formula>
    </cfRule>
    <cfRule type="containsText" dxfId="91" priority="107" operator="containsText" text="Risco Médio">
      <formula>NOT(ISERROR(SEARCH("Risco Médio",O3895)))</formula>
    </cfRule>
    <cfRule type="containsText" dxfId="90" priority="108" operator="containsText" text="Risco Alto">
      <formula>NOT(ISERROR(SEARCH("Risco Alto",O3895)))</formula>
    </cfRule>
  </conditionalFormatting>
  <conditionalFormatting sqref="O3897:O3921">
    <cfRule type="containsText" dxfId="89" priority="82" operator="containsText" text="Risco Baixo">
      <formula>NOT(ISERROR(SEARCH("Risco Baixo",O3897)))</formula>
    </cfRule>
    <cfRule type="containsText" dxfId="88" priority="83" operator="containsText" text="Risco Médio">
      <formula>NOT(ISERROR(SEARCH("Risco Médio",O3897)))</formula>
    </cfRule>
    <cfRule type="containsText" dxfId="87" priority="84" operator="containsText" text="Risco Alto">
      <formula>NOT(ISERROR(SEARCH("Risco Alto",O3897)))</formula>
    </cfRule>
    <cfRule type="containsText" dxfId="86" priority="85" operator="containsText" text="Risco Baixo">
      <formula>NOT(ISERROR(SEARCH("Risco Baixo",O3897)))</formula>
    </cfRule>
    <cfRule type="containsText" dxfId="85" priority="86" operator="containsText" text="Risco Médio">
      <formula>NOT(ISERROR(SEARCH("Risco Médio",O3897)))</formula>
    </cfRule>
    <cfRule type="containsText" dxfId="84" priority="87" operator="containsText" text="Risco Alto">
      <formula>NOT(ISERROR(SEARCH("Risco Alto",O3897)))</formula>
    </cfRule>
    <cfRule type="containsText" dxfId="83" priority="88" operator="containsText" text="Risco Baixo">
      <formula>NOT(ISERROR(SEARCH("Risco Baixo",O3897)))</formula>
    </cfRule>
    <cfRule type="containsText" dxfId="82" priority="89" operator="containsText" text="Risco Médio">
      <formula>NOT(ISERROR(SEARCH("Risco Médio",O3897)))</formula>
    </cfRule>
    <cfRule type="containsText" dxfId="81" priority="90" operator="containsText" text="Risco Alto">
      <formula>NOT(ISERROR(SEARCH("Risco Alto",O3897)))</formula>
    </cfRule>
  </conditionalFormatting>
  <conditionalFormatting sqref="O3903:O3904">
    <cfRule type="containsText" dxfId="80" priority="76" operator="containsText" text="Risco Baixo">
      <formula>NOT(ISERROR(SEARCH("Risco Baixo",O3903)))</formula>
    </cfRule>
    <cfRule type="containsText" dxfId="79" priority="77" operator="containsText" text="Risco Médio">
      <formula>NOT(ISERROR(SEARCH("Risco Médio",O3903)))</formula>
    </cfRule>
    <cfRule type="containsText" dxfId="78" priority="78" operator="containsText" text="Risco Alto">
      <formula>NOT(ISERROR(SEARCH("Risco Alto",O3903)))</formula>
    </cfRule>
    <cfRule type="containsText" dxfId="77" priority="79" operator="containsText" text="Risco Baixo">
      <formula>NOT(ISERROR(SEARCH("Risco Baixo",O3903)))</formula>
    </cfRule>
    <cfRule type="containsText" dxfId="76" priority="80" operator="containsText" text="Risco Médio">
      <formula>NOT(ISERROR(SEARCH("Risco Médio",O3903)))</formula>
    </cfRule>
    <cfRule type="containsText" dxfId="75" priority="81" operator="containsText" text="Risco Alto">
      <formula>NOT(ISERROR(SEARCH("Risco Alto",O3903)))</formula>
    </cfRule>
  </conditionalFormatting>
  <conditionalFormatting sqref="O3922:O3936">
    <cfRule type="containsText" dxfId="74" priority="67" operator="containsText" text="Risco Baixo">
      <formula>NOT(ISERROR(SEARCH("Risco Baixo",O3922)))</formula>
    </cfRule>
    <cfRule type="containsText" dxfId="73" priority="68" operator="containsText" text="Risco Médio">
      <formula>NOT(ISERROR(SEARCH("Risco Médio",O3922)))</formula>
    </cfRule>
    <cfRule type="containsText" dxfId="72" priority="69" operator="containsText" text="Risco Alto">
      <formula>NOT(ISERROR(SEARCH("Risco Alto",O3922)))</formula>
    </cfRule>
    <cfRule type="containsText" dxfId="71" priority="70" operator="containsText" text="Risco Baixo">
      <formula>NOT(ISERROR(SEARCH("Risco Baixo",O3922)))</formula>
    </cfRule>
    <cfRule type="containsText" dxfId="70" priority="71" operator="containsText" text="Risco Médio">
      <formula>NOT(ISERROR(SEARCH("Risco Médio",O3922)))</formula>
    </cfRule>
    <cfRule type="containsText" dxfId="69" priority="72" operator="containsText" text="Risco Alto">
      <formula>NOT(ISERROR(SEARCH("Risco Alto",O3922)))</formula>
    </cfRule>
    <cfRule type="containsText" dxfId="68" priority="73" operator="containsText" text="Risco Baixo">
      <formula>NOT(ISERROR(SEARCH("Risco Baixo",O3922)))</formula>
    </cfRule>
    <cfRule type="containsText" dxfId="67" priority="74" operator="containsText" text="Risco Médio">
      <formula>NOT(ISERROR(SEARCH("Risco Médio",O3922)))</formula>
    </cfRule>
    <cfRule type="containsText" dxfId="66" priority="75" operator="containsText" text="Risco Alto">
      <formula>NOT(ISERROR(SEARCH("Risco Alto",O3922)))</formula>
    </cfRule>
  </conditionalFormatting>
  <conditionalFormatting sqref="O3922:O3986">
    <cfRule type="containsText" dxfId="65" priority="64" operator="containsText" text="Risco Baixo">
      <formula>NOT(ISERROR(SEARCH("Risco Baixo",O3922)))</formula>
    </cfRule>
    <cfRule type="containsText" dxfId="64" priority="65" operator="containsText" text="Risco Médio">
      <formula>NOT(ISERROR(SEARCH("Risco Médio",O3922)))</formula>
    </cfRule>
    <cfRule type="containsText" dxfId="63" priority="66" operator="containsText" text="Risco Alto">
      <formula>NOT(ISERROR(SEARCH("Risco Alto",O3922)))</formula>
    </cfRule>
  </conditionalFormatting>
  <conditionalFormatting sqref="O3937:O3963">
    <cfRule type="containsText" dxfId="62" priority="55" operator="containsText" text="Risco Baixo">
      <formula>NOT(ISERROR(SEARCH("Risco Baixo",O3937)))</formula>
    </cfRule>
    <cfRule type="containsText" dxfId="61" priority="56" operator="containsText" text="Risco Médio">
      <formula>NOT(ISERROR(SEARCH("Risco Médio",O3937)))</formula>
    </cfRule>
    <cfRule type="containsText" dxfId="60" priority="57" operator="containsText" text="Risco Alto">
      <formula>NOT(ISERROR(SEARCH("Risco Alto",O3937)))</formula>
    </cfRule>
    <cfRule type="containsText" dxfId="59" priority="58" operator="containsText" text="Risco Baixo">
      <formula>NOT(ISERROR(SEARCH("Risco Baixo",O3937)))</formula>
    </cfRule>
    <cfRule type="containsText" dxfId="58" priority="59" operator="containsText" text="Risco Médio">
      <formula>NOT(ISERROR(SEARCH("Risco Médio",O3937)))</formula>
    </cfRule>
    <cfRule type="containsText" dxfId="57" priority="60" operator="containsText" text="Risco Alto">
      <formula>NOT(ISERROR(SEARCH("Risco Alto",O3937)))</formula>
    </cfRule>
    <cfRule type="containsText" dxfId="56" priority="61" operator="containsText" text="Risco Baixo">
      <formula>NOT(ISERROR(SEARCH("Risco Baixo",O3937)))</formula>
    </cfRule>
    <cfRule type="containsText" dxfId="55" priority="62" operator="containsText" text="Risco Médio">
      <formula>NOT(ISERROR(SEARCH("Risco Médio",O3937)))</formula>
    </cfRule>
    <cfRule type="containsText" dxfId="54" priority="63" operator="containsText" text="Risco Alto">
      <formula>NOT(ISERROR(SEARCH("Risco Alto",O3937)))</formula>
    </cfRule>
  </conditionalFormatting>
  <conditionalFormatting sqref="O3939:O3986">
    <cfRule type="containsText" dxfId="53" priority="52" operator="containsText" text="Risco Baixo">
      <formula>NOT(ISERROR(SEARCH("Risco Baixo",O3939)))</formula>
    </cfRule>
    <cfRule type="containsText" dxfId="52" priority="53" operator="containsText" text="Risco Médio">
      <formula>NOT(ISERROR(SEARCH("Risco Médio",O3939)))</formula>
    </cfRule>
    <cfRule type="containsText" dxfId="51" priority="54" operator="containsText" text="Risco Alto">
      <formula>NOT(ISERROR(SEARCH("Risco Alto",O3939)))</formula>
    </cfRule>
  </conditionalFormatting>
  <conditionalFormatting sqref="O3964:O3986">
    <cfRule type="containsText" dxfId="50" priority="46" operator="containsText" text="Risco Baixo">
      <formula>NOT(ISERROR(SEARCH("Risco Baixo",O3964)))</formula>
    </cfRule>
    <cfRule type="containsText" dxfId="49" priority="47" operator="containsText" text="Risco Médio">
      <formula>NOT(ISERROR(SEARCH("Risco Médio",O3964)))</formula>
    </cfRule>
    <cfRule type="containsText" dxfId="48" priority="48" operator="containsText" text="Risco Alto">
      <formula>NOT(ISERROR(SEARCH("Risco Alto",O3964)))</formula>
    </cfRule>
    <cfRule type="containsText" dxfId="47" priority="49" operator="containsText" text="Risco Baixo">
      <formula>NOT(ISERROR(SEARCH("Risco Baixo",O3964)))</formula>
    </cfRule>
    <cfRule type="containsText" dxfId="46" priority="50" operator="containsText" text="Risco Médio">
      <formula>NOT(ISERROR(SEARCH("Risco Médio",O3964)))</formula>
    </cfRule>
    <cfRule type="containsText" dxfId="45" priority="51" operator="containsText" text="Risco Alto">
      <formula>NOT(ISERROR(SEARCH("Risco Alto",O3964)))</formula>
    </cfRule>
  </conditionalFormatting>
  <conditionalFormatting sqref="N4026:N4045">
    <cfRule type="containsText" dxfId="44" priority="40" operator="containsText" text="NO PRAZO">
      <formula>NOT(ISERROR(SEARCH("NO PRAZO",N4026)))</formula>
    </cfRule>
    <cfRule type="containsText" dxfId="43" priority="41" operator="containsText" text="FORA DO PRAZO">
      <formula>NOT(ISERROR(SEARCH("FORA DO PRAZO",N4026)))</formula>
    </cfRule>
    <cfRule type="containsText" dxfId="42" priority="42" operator="containsText" text="AVALIAR">
      <formula>NOT(ISERROR(SEARCH("AVALIAR",N4026)))</formula>
    </cfRule>
  </conditionalFormatting>
  <conditionalFormatting sqref="N4026:N4080">
    <cfRule type="containsText" dxfId="41" priority="37" operator="containsText" text="NO PRAZO">
      <formula>NOT(ISERROR(SEARCH("NO PRAZO",N4026)))</formula>
    </cfRule>
    <cfRule type="containsText" dxfId="40" priority="38" operator="containsText" text="FORA DO PRAZO">
      <formula>NOT(ISERROR(SEARCH("FORA DO PRAZO",N4026)))</formula>
    </cfRule>
    <cfRule type="containsText" dxfId="39" priority="39" operator="containsText" text="AVALIAR">
      <formula>NOT(ISERROR(SEARCH("AVALIAR",N4026)))</formula>
    </cfRule>
  </conditionalFormatting>
  <conditionalFormatting sqref="N4046:N4070">
    <cfRule type="containsText" dxfId="38" priority="34" operator="containsText" text="NO PRAZO">
      <formula>NOT(ISERROR(SEARCH("NO PRAZO",N4046)))</formula>
    </cfRule>
    <cfRule type="containsText" dxfId="37" priority="35" operator="containsText" text="FORA DO PRAZO">
      <formula>NOT(ISERROR(SEARCH("FORA DO PRAZO",N4046)))</formula>
    </cfRule>
    <cfRule type="containsText" dxfId="36" priority="36" operator="containsText" text="AVALIAR">
      <formula>NOT(ISERROR(SEARCH("AVALIAR",N4046)))</formula>
    </cfRule>
  </conditionalFormatting>
  <conditionalFormatting sqref="O4026:O4080">
    <cfRule type="containsText" dxfId="35" priority="43" operator="containsText" text="Risco Baixo">
      <formula>NOT(ISERROR(SEARCH("Risco Baixo",O4026)))</formula>
    </cfRule>
    <cfRule type="containsText" dxfId="34" priority="44" operator="containsText" text="Risco Médio">
      <formula>NOT(ISERROR(SEARCH("Risco Médio",O4026)))</formula>
    </cfRule>
    <cfRule type="containsText" dxfId="33" priority="45" operator="containsText" text="Risco Alto">
      <formula>NOT(ISERROR(SEARCH("Risco Alto",O4026)))</formula>
    </cfRule>
  </conditionalFormatting>
  <conditionalFormatting sqref="O4071:O4077">
    <cfRule type="containsText" dxfId="32" priority="16" operator="containsText" text="Risco Baixo">
      <formula>NOT(ISERROR(SEARCH("Risco Baixo",O4071)))</formula>
    </cfRule>
    <cfRule type="containsText" dxfId="31" priority="17" operator="containsText" text="Risco Médio">
      <formula>NOT(ISERROR(SEARCH("Risco Médio",O4071)))</formula>
    </cfRule>
    <cfRule type="containsText" dxfId="30" priority="18" operator="containsText" text="Risco Alto">
      <formula>NOT(ISERROR(SEARCH("Risco Alto",O4071)))</formula>
    </cfRule>
    <cfRule type="containsText" dxfId="29" priority="19" operator="containsText" text="Risco Baixo">
      <formula>NOT(ISERROR(SEARCH("Risco Baixo",O4071)))</formula>
    </cfRule>
    <cfRule type="containsText" dxfId="28" priority="20" operator="containsText" text="Risco Médio">
      <formula>NOT(ISERROR(SEARCH("Risco Médio",O4071)))</formula>
    </cfRule>
    <cfRule type="containsText" dxfId="27" priority="21" operator="containsText" text="Risco Alto">
      <formula>NOT(ISERROR(SEARCH("Risco Alto",O4071)))</formula>
    </cfRule>
    <cfRule type="containsText" dxfId="26" priority="22" operator="containsText" text="Risco Baixo">
      <formula>NOT(ISERROR(SEARCH("Risco Baixo",O4071)))</formula>
    </cfRule>
    <cfRule type="containsText" dxfId="25" priority="23" operator="containsText" text="Risco Médio">
      <formula>NOT(ISERROR(SEARCH("Risco Médio",O4071)))</formula>
    </cfRule>
    <cfRule type="containsText" dxfId="24" priority="24" operator="containsText" text="Risco Alto">
      <formula>NOT(ISERROR(SEARCH("Risco Alto",O4071)))</formula>
    </cfRule>
    <cfRule type="containsText" dxfId="23" priority="25" operator="containsText" text="Risco Baixo">
      <formula>NOT(ISERROR(SEARCH("Risco Baixo",O4071)))</formula>
    </cfRule>
    <cfRule type="containsText" dxfId="22" priority="26" operator="containsText" text="Risco Médio">
      <formula>NOT(ISERROR(SEARCH("Risco Médio",O4071)))</formula>
    </cfRule>
    <cfRule type="containsText" dxfId="21" priority="27" operator="containsText" text="Risco Alto">
      <formula>NOT(ISERROR(SEARCH("Risco Alto",O4071)))</formula>
    </cfRule>
  </conditionalFormatting>
  <conditionalFormatting sqref="O4071:O4078">
    <cfRule type="containsText" dxfId="20" priority="13" operator="containsText" text="Risco Baixo">
      <formula>NOT(ISERROR(SEARCH("Risco Baixo",O4071)))</formula>
    </cfRule>
    <cfRule type="containsText" dxfId="19" priority="14" operator="containsText" text="Risco Médio">
      <formula>NOT(ISERROR(SEARCH("Risco Médio",O4071)))</formula>
    </cfRule>
    <cfRule type="containsText" dxfId="18" priority="15" operator="containsText" text="Risco Alto">
      <formula>NOT(ISERROR(SEARCH("Risco Alto",O4071)))</formula>
    </cfRule>
    <cfRule type="containsText" dxfId="17" priority="28" operator="containsText" text="Risco Baixo">
      <formula>NOT(ISERROR(SEARCH("Risco Baixo",O4071)))</formula>
    </cfRule>
    <cfRule type="containsText" dxfId="16" priority="29" operator="containsText" text="Risco Médio">
      <formula>NOT(ISERROR(SEARCH("Risco Médio",O4071)))</formula>
    </cfRule>
    <cfRule type="containsText" dxfId="15" priority="30" operator="containsText" text="Risco Alto">
      <formula>NOT(ISERROR(SEARCH("Risco Alto",O4071)))</formula>
    </cfRule>
  </conditionalFormatting>
  <conditionalFormatting sqref="O4071:O4080">
    <cfRule type="containsText" dxfId="14" priority="31" operator="containsText" text="Risco Baixo">
      <formula>NOT(ISERROR(SEARCH("Risco Baixo",O4071)))</formula>
    </cfRule>
    <cfRule type="containsText" dxfId="13" priority="32" operator="containsText" text="Risco Médio">
      <formula>NOT(ISERROR(SEARCH("Risco Médio",O4071)))</formula>
    </cfRule>
    <cfRule type="containsText" dxfId="12" priority="33" operator="containsText" text="Risco Alto">
      <formula>NOT(ISERROR(SEARCH("Risco Alto",O4071)))</formula>
    </cfRule>
  </conditionalFormatting>
  <conditionalFormatting sqref="O4078">
    <cfRule type="containsText" dxfId="11" priority="1" operator="containsText" text="Risco Baixo">
      <formula>NOT(ISERROR(SEARCH("Risco Baixo",O4078)))</formula>
    </cfRule>
    <cfRule type="containsText" dxfId="10" priority="2" operator="containsText" text="Risco Médio">
      <formula>NOT(ISERROR(SEARCH("Risco Médio",O4078)))</formula>
    </cfRule>
    <cfRule type="containsText" dxfId="9" priority="3" operator="containsText" text="Risco Alto">
      <formula>NOT(ISERROR(SEARCH("Risco Alto",O4078)))</formula>
    </cfRule>
    <cfRule type="containsText" dxfId="8" priority="4" operator="containsText" text="Risco Baixo">
      <formula>NOT(ISERROR(SEARCH("Risco Baixo",O4078)))</formula>
    </cfRule>
    <cfRule type="containsText" dxfId="7" priority="5" operator="containsText" text="Risco Médio">
      <formula>NOT(ISERROR(SEARCH("Risco Médio",O4078)))</formula>
    </cfRule>
    <cfRule type="containsText" dxfId="6" priority="6" operator="containsText" text="Risco Alto">
      <formula>NOT(ISERROR(SEARCH("Risco Alto",O4078)))</formula>
    </cfRule>
    <cfRule type="containsText" dxfId="5" priority="7" operator="containsText" text="Risco Baixo">
      <formula>NOT(ISERROR(SEARCH("Risco Baixo",O4078)))</formula>
    </cfRule>
    <cfRule type="containsText" dxfId="4" priority="8" operator="containsText" text="Risco Médio">
      <formula>NOT(ISERROR(SEARCH("Risco Médio",O4078)))</formula>
    </cfRule>
    <cfRule type="containsText" dxfId="3" priority="9" operator="containsText" text="Risco Alto">
      <formula>NOT(ISERROR(SEARCH("Risco Alto",O4078)))</formula>
    </cfRule>
    <cfRule type="containsText" dxfId="2" priority="10" operator="containsText" text="Risco Baixo">
      <formula>NOT(ISERROR(SEARCH("Risco Baixo",O4078)))</formula>
    </cfRule>
    <cfRule type="containsText" dxfId="1" priority="11" operator="containsText" text="Risco Médio">
      <formula>NOT(ISERROR(SEARCH("Risco Médio",O4078)))</formula>
    </cfRule>
    <cfRule type="containsText" dxfId="0" priority="12" operator="containsText" text="Risco Alto">
      <formula>NOT(ISERROR(SEARCH("Risco Alto",O4078)))</formula>
    </cfRule>
  </conditionalFormatting>
  <pageMargins left="0.511811024" right="0.511811024" top="0.78740157499999996" bottom="0.78740157499999996" header="0.31496062000000002" footer="0.31496062000000002"/>
  <headerFooter>
    <oddFooter>&amp;R_x000D_&amp;1#&amp;"Calibri"&amp;22&amp;KFF8939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56E84-63E0-42CD-809E-1642FCEF68C0}">
  <sheetPr codeName="Planilha16"/>
  <dimension ref="F1:L1"/>
  <sheetViews>
    <sheetView zoomScaleNormal="100" workbookViewId="0">
      <pane ySplit="1" topLeftCell="A2" activePane="bottomLeft" state="frozen"/>
      <selection activeCell="D10354" sqref="A1:U12234"/>
      <selection pane="bottomLeft"/>
    </sheetView>
  </sheetViews>
  <sheetFormatPr defaultColWidth="8.54296875" defaultRowHeight="14.5" x14ac:dyDescent="0.35"/>
  <cols>
    <col min="1" max="5" width="8.54296875" style="12"/>
    <col min="6" max="6" width="8.54296875" style="13"/>
    <col min="7" max="8" width="8.54296875" style="12"/>
    <col min="9" max="12" width="8.54296875" style="13"/>
    <col min="13" max="16384" width="8.54296875" style="12"/>
  </cols>
  <sheetData/>
  <pageMargins left="0.511811024" right="0.511811024" top="0.78740157499999996" bottom="0.78740157499999996" header="0.31496062000000002" footer="0.31496062000000002"/>
  <headerFooter>
    <oddFooter>&amp;R_x000D_&amp;1#&amp;"Calibri"&amp;22&amp;KFF8939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68208F931D8BA4D853451423039D451" ma:contentTypeVersion="14" ma:contentTypeDescription="Crie um novo documento." ma:contentTypeScope="" ma:versionID="3c539beae43e564e3f5fe159761989a2">
  <xsd:schema xmlns:xsd="http://www.w3.org/2001/XMLSchema" xmlns:xs="http://www.w3.org/2001/XMLSchema" xmlns:p="http://schemas.microsoft.com/office/2006/metadata/properties" xmlns:ns2="7a191df8-00db-4808-97e6-1d3f6d2ea091" xmlns:ns3="0e16282a-a37a-40ff-82e6-919dbe6a11b2" targetNamespace="http://schemas.microsoft.com/office/2006/metadata/properties" ma:root="true" ma:fieldsID="57a7b72ce7ce84e0c5128fa1ccba252f" ns2:_="" ns3:_="">
    <xsd:import namespace="7a191df8-00db-4808-97e6-1d3f6d2ea091"/>
    <xsd:import namespace="0e16282a-a37a-40ff-82e6-919dbe6a11b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1df8-00db-4808-97e6-1d3f6d2ea0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25b282d5-df24-4219-90c8-e25d9b67cf6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16282a-a37a-40ff-82e6-919dbe6a11b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ae7c543-4955-44f3-aa00-acd4754fdcf3}" ma:internalName="TaxCatchAll" ma:showField="CatchAllData" ma:web="0e16282a-a37a-40ff-82e6-919dbe6a1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16282a-a37a-40ff-82e6-919dbe6a11b2" xsi:nil="true"/>
    <lcf76f155ced4ddcb4097134ff3c332f xmlns="7a191df8-00db-4808-97e6-1d3f6d2ea09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194CE62-748D-4395-9055-D8D546BBF0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191df8-00db-4808-97e6-1d3f6d2ea091"/>
    <ds:schemaRef ds:uri="0e16282a-a37a-40ff-82e6-919dbe6a11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6BD6D7-1389-4893-8075-2EE6E5EAF115}">
  <ds:schemaRefs>
    <ds:schemaRef ds:uri="http://schemas.microsoft.com/office/2006/documentManagement/types"/>
    <ds:schemaRef ds:uri="0e16282a-a37a-40ff-82e6-919dbe6a11b2"/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7a191df8-00db-4808-97e6-1d3f6d2ea091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701B459-6DF9-48A2-B3CB-F5DA24F0C1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Macro</vt:lpstr>
      <vt:lpstr>Base</vt:lpstr>
      <vt:lpstr>Retorno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Gabriel Costa Domingues</dc:creator>
  <cp:lastModifiedBy>Vinicius Gabriel Costa Domingues</cp:lastModifiedBy>
  <dcterms:created xsi:type="dcterms:W3CDTF">2024-09-19T12:40:12Z</dcterms:created>
  <dcterms:modified xsi:type="dcterms:W3CDTF">2025-01-31T16:45:09Z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0x010100268208F931D8BA4D853451423039D451</vt:lpwstr>
  </property>
  <property fmtid="{D5CDD505-2E9C-101B-9397-08002B2CF9AE}" pid="3" name="MediaServiceImageTags">
    <vt:lpwstr/>
  </property>
  <property fmtid="{D5CDD505-2E9C-101B-9397-08002B2CF9AE}" pid="4" name="MSIP_Label_2c76c141-ac86-40e5-abf2-c6f60e474cee_Enabled">
    <vt:lpwstr>true</vt:lpwstr>
  </property>
  <property fmtid="{D5CDD505-2E9C-101B-9397-08002B2CF9AE}" pid="5" name="MSIP_Label_2c76c141-ac86-40e5-abf2-c6f60e474cee_SetDate">
    <vt:lpwstr>2025-01-30T12:28:51Z</vt:lpwstr>
  </property>
  <property fmtid="{D5CDD505-2E9C-101B-9397-08002B2CF9AE}" pid="6" name="MSIP_Label_2c76c141-ac86-40e5-abf2-c6f60e474cee_Method">
    <vt:lpwstr>Standard</vt:lpwstr>
  </property>
  <property fmtid="{D5CDD505-2E9C-101B-9397-08002B2CF9AE}" pid="7" name="MSIP_Label_2c76c141-ac86-40e5-abf2-c6f60e474cee_Name">
    <vt:lpwstr>2c76c141-ac86-40e5-abf2-c6f60e474cee</vt:lpwstr>
  </property>
  <property fmtid="{D5CDD505-2E9C-101B-9397-08002B2CF9AE}" pid="8" name="MSIP_Label_2c76c141-ac86-40e5-abf2-c6f60e474cee_SiteId">
    <vt:lpwstr>fcb2b37b-5da0-466b-9b83-0014b67a7c78</vt:lpwstr>
  </property>
  <property fmtid="{D5CDD505-2E9C-101B-9397-08002B2CF9AE}" pid="9" name="MSIP_Label_2c76c141-ac86-40e5-abf2-c6f60e474cee_ActionId">
    <vt:lpwstr>ae4d362d-6d93-4ed6-9fff-5c36e45e0ad9</vt:lpwstr>
  </property>
  <property fmtid="{D5CDD505-2E9C-101B-9397-08002B2CF9AE}" pid="10" name="MSIP_Label_2c76c141-ac86-40e5-abf2-c6f60e474cee_ContentBits">
    <vt:lpwstr>2</vt:lpwstr>
  </property>
</Properties>
</file>